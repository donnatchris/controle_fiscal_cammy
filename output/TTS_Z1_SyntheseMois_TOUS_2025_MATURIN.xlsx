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5_MATURIN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_vs_EJ" sheetId="8" state="visible" r:id="rId8"/>
  </sheets>
  <definedNames>
    <definedName name="_xlnm._FilterDatabase" localSheetId="0" hidden="1">'Z1_2025_MATURIN_0'!$A$1:$M$288</definedName>
    <definedName name="_xlnm._FilterDatabase" localSheetId="1" hidden="1">'Z1_CplteAnneeMois'!$A$1:$O$288</definedName>
    <definedName name="_xlnm._FilterDatabase" localSheetId="2" hidden="1">'TD_OccurenceFichMode'!$A$1:$F$8</definedName>
    <definedName name="_xlnm._FilterDatabase" localSheetId="3" hidden="1">'TD_Z1_TotalMontant'!$A$1:$E$148</definedName>
    <definedName name="_xlnm._FilterDatabase" localSheetId="4" hidden="1">'Z1_Total_ModeZZ1'!$A$1:$I$8</definedName>
    <definedName name="_xlnm._FilterDatabase" localSheetId="5" hidden="1">'Z1_Total_ModeZZ2'!$A$1:$I$8</definedName>
    <definedName name="_xlnm._FilterDatabase" localSheetId="6" hidden="1">'Z1_Total_ModeZ'!$A$1:$I$8</definedName>
    <definedName name="_xlnm._FilterDatabase" localSheetId="7" hidden="1">'Compare_Z_vs_EJ'!$A$1:$K$8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288" headerRowCount="1">
  <autoFilter ref="A1:M288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288" headerRowCount="1">
  <autoFilter ref="A1:O288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8" headerRowCount="1">
  <autoFilter ref="A1:F8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148" headerRowCount="1">
  <autoFilter ref="A1:E148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8" headerRowCount="1">
  <autoFilter ref="A1:I8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8" headerRowCount="1">
  <autoFilter ref="A1:I8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8" headerRowCount="1">
  <autoFilter ref="A1:I8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8" headerRowCount="1">
  <autoFilter ref="A1:K8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Z001_01_012025_MATURIN.CSV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0041</t>
        </is>
      </c>
      <c r="H2" s="4" t="n">
        <v>45689</v>
      </c>
      <c r="I2" s="2" t="inlineStr">
        <is>
          <t>15:53</t>
        </is>
      </c>
      <c r="J2" s="3" t="inlineStr">
        <is>
          <t>0001</t>
        </is>
      </c>
      <c r="K2" s="2" t="inlineStr">
        <is>
          <t>CA BRUT</t>
        </is>
      </c>
      <c r="L2" s="5" t="n">
        <v>31</v>
      </c>
      <c r="M2" s="6" t="n">
        <v>11680.3</v>
      </c>
    </row>
    <row r="3">
      <c r="A3" s="2" t="inlineStr">
        <is>
          <t>Z001_01_012025_MATURIN.CSV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0041</t>
        </is>
      </c>
      <c r="H3" s="4" t="n">
        <v>45689</v>
      </c>
      <c r="I3" s="2" t="inlineStr">
        <is>
          <t>15:53</t>
        </is>
      </c>
      <c r="J3" s="3" t="inlineStr">
        <is>
          <t>0002</t>
        </is>
      </c>
      <c r="K3" s="2" t="inlineStr">
        <is>
          <t>CA NET</t>
        </is>
      </c>
      <c r="L3" s="5" t="n">
        <v>19</v>
      </c>
      <c r="M3" s="6" t="n">
        <v>11680.3</v>
      </c>
    </row>
    <row r="4">
      <c r="A4" s="2" t="inlineStr">
        <is>
          <t>Z001_01_012025_MATURIN.CSV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0041</t>
        </is>
      </c>
      <c r="H4" s="4" t="n">
        <v>45689</v>
      </c>
      <c r="I4" s="2" t="inlineStr">
        <is>
          <t>15:53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2731.5</v>
      </c>
    </row>
    <row r="5">
      <c r="A5" s="2" t="inlineStr">
        <is>
          <t>Z001_01_012025_MATURIN.CSV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0041</t>
        </is>
      </c>
      <c r="H5" s="4" t="n">
        <v>45689</v>
      </c>
      <c r="I5" s="2" t="inlineStr">
        <is>
          <t>15:53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8948.799999999999</v>
      </c>
    </row>
    <row r="6">
      <c r="A6" s="2" t="inlineStr">
        <is>
          <t>Z001_01_012025_MATURIN.CSV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0041</t>
        </is>
      </c>
      <c r="H6" s="4" t="n">
        <v>45689</v>
      </c>
      <c r="I6" s="2" t="inlineStr">
        <is>
          <t>15:53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</row>
    <row r="7">
      <c r="A7" s="2" t="inlineStr">
        <is>
          <t>Z001_01_012025_MATURIN.CSV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0041</t>
        </is>
      </c>
      <c r="H7" s="4" t="n">
        <v>45689</v>
      </c>
      <c r="I7" s="2" t="inlineStr">
        <is>
          <t>15:53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</row>
    <row r="8">
      <c r="A8" s="2" t="inlineStr">
        <is>
          <t>Z001_01_012025_MATURIN.CSV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0041</t>
        </is>
      </c>
      <c r="H8" s="4" t="n">
        <v>45689</v>
      </c>
      <c r="I8" s="2" t="inlineStr">
        <is>
          <t>15:53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</row>
    <row r="9">
      <c r="A9" s="2" t="inlineStr">
        <is>
          <t>Z001_01_012025_MATURIN.CSV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0041</t>
        </is>
      </c>
      <c r="H9" s="4" t="n">
        <v>45689</v>
      </c>
      <c r="I9" s="2" t="inlineStr">
        <is>
          <t>15:53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</row>
    <row r="10">
      <c r="A10" s="2" t="inlineStr">
        <is>
          <t>Z001_01_012025_MATURIN.CSV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0041</t>
        </is>
      </c>
      <c r="H10" s="4" t="n">
        <v>45689</v>
      </c>
      <c r="I10" s="2" t="inlineStr">
        <is>
          <t>15:53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</row>
    <row r="11">
      <c r="A11" s="2" t="inlineStr">
        <is>
          <t>Z001_01_012025_MATURIN.CSV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0041</t>
        </is>
      </c>
      <c r="H11" s="4" t="n">
        <v>45689</v>
      </c>
      <c r="I11" s="2" t="inlineStr">
        <is>
          <t>15:53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</row>
    <row r="12">
      <c r="A12" s="2" t="inlineStr">
        <is>
          <t>Z001_01_012025_MATURIN.CSV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0041</t>
        </is>
      </c>
      <c r="H12" s="4" t="n">
        <v>45689</v>
      </c>
      <c r="I12" s="2" t="inlineStr">
        <is>
          <t>15:53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</row>
    <row r="13">
      <c r="A13" s="2" t="inlineStr">
        <is>
          <t>Z001_01_012025_MATURIN.CSV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0041</t>
        </is>
      </c>
      <c r="H13" s="4" t="n">
        <v>45689</v>
      </c>
      <c r="I13" s="2" t="inlineStr">
        <is>
          <t>15:53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</row>
    <row r="14">
      <c r="A14" s="2" t="inlineStr">
        <is>
          <t>Z001_01_012025_MATURIN.CSV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0041</t>
        </is>
      </c>
      <c r="H14" s="4" t="n">
        <v>45689</v>
      </c>
      <c r="I14" s="2" t="inlineStr">
        <is>
          <t>15:53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</row>
    <row r="15">
      <c r="A15" s="2" t="inlineStr">
        <is>
          <t>Z001_01_012025_MATURIN.CSV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0041</t>
        </is>
      </c>
      <c r="H15" s="4" t="n">
        <v>45689</v>
      </c>
      <c r="I15" s="2" t="inlineStr">
        <is>
          <t>15:53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</row>
    <row r="16">
      <c r="A16" s="2" t="inlineStr">
        <is>
          <t>Z001_01_012025_MATURIN.CSV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0041</t>
        </is>
      </c>
      <c r="H16" s="4" t="n">
        <v>45689</v>
      </c>
      <c r="I16" s="2" t="inlineStr">
        <is>
          <t>15:53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</row>
    <row r="17">
      <c r="A17" s="2" t="inlineStr">
        <is>
          <t>Z001_01_012025_MATURIN.CSV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0041</t>
        </is>
      </c>
      <c r="H17" s="4" t="n">
        <v>45689</v>
      </c>
      <c r="I17" s="2" t="inlineStr">
        <is>
          <t>15:53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</row>
    <row r="18">
      <c r="A18" s="2" t="inlineStr">
        <is>
          <t>Z001_01_012025_MATURIN.CSV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0041</t>
        </is>
      </c>
      <c r="H18" s="4" t="n">
        <v>45689</v>
      </c>
      <c r="I18" s="2" t="inlineStr">
        <is>
          <t>15:53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</row>
    <row r="19">
      <c r="A19" s="2" t="inlineStr">
        <is>
          <t>Z001_01_012025_MATURIN.CSV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0041</t>
        </is>
      </c>
      <c r="H19" s="4" t="n">
        <v>45689</v>
      </c>
      <c r="I19" s="2" t="inlineStr">
        <is>
          <t>15:53</t>
        </is>
      </c>
      <c r="J19" s="3" t="inlineStr">
        <is>
          <t>0018</t>
        </is>
      </c>
      <c r="K19" s="2" t="inlineStr">
        <is>
          <t>CLIENTS</t>
        </is>
      </c>
      <c r="L19" s="5" t="n">
        <v>19</v>
      </c>
      <c r="M19" s="6" t="n">
        <v>0</v>
      </c>
    </row>
    <row r="20">
      <c r="A20" s="2" t="inlineStr">
        <is>
          <t>Z001_01_012025_MATURIN.CSV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0041</t>
        </is>
      </c>
      <c r="H20" s="4" t="n">
        <v>45689</v>
      </c>
      <c r="I20" s="2" t="inlineStr">
        <is>
          <t>15:53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</row>
    <row r="21">
      <c r="A21" s="2" t="inlineStr">
        <is>
          <t>Z001_01_012025_MATURIN.CSV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0041</t>
        </is>
      </c>
      <c r="H21" s="4" t="n">
        <v>45689</v>
      </c>
      <c r="I21" s="2" t="inlineStr">
        <is>
          <t>15:53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</row>
    <row r="22">
      <c r="A22" s="2" t="inlineStr">
        <is>
          <t>Z001_01_012025_MATURIN.CSV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0041</t>
        </is>
      </c>
      <c r="H22" s="4" t="n">
        <v>45689</v>
      </c>
      <c r="I22" s="2" t="inlineStr">
        <is>
          <t>15:53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</row>
    <row r="23">
      <c r="A23" s="2" t="inlineStr">
        <is>
          <t>Z001_01_012025_MATURIN.CSV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0041</t>
        </is>
      </c>
      <c r="H23" s="4" t="n">
        <v>45689</v>
      </c>
      <c r="I23" s="2" t="inlineStr">
        <is>
          <t>15:53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</row>
    <row r="24">
      <c r="A24" s="2" t="inlineStr">
        <is>
          <t>Z001_01_012025_MATURIN.CSV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0041</t>
        </is>
      </c>
      <c r="H24" s="4" t="n">
        <v>45689</v>
      </c>
      <c r="I24" s="2" t="inlineStr">
        <is>
          <t>15:53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</row>
    <row r="25">
      <c r="A25" s="2" t="inlineStr">
        <is>
          <t>Z001_01_012025_MATURIN.CSV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0041</t>
        </is>
      </c>
      <c r="H25" s="4" t="n">
        <v>45689</v>
      </c>
      <c r="I25" s="2" t="inlineStr">
        <is>
          <t>15:53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</row>
    <row r="26">
      <c r="A26" s="2" t="inlineStr">
        <is>
          <t>Z001_01_012025_MATURIN.CSV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0041</t>
        </is>
      </c>
      <c r="H26" s="4" t="n">
        <v>45689</v>
      </c>
      <c r="I26" s="2" t="inlineStr">
        <is>
          <t>15:53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</row>
    <row r="27">
      <c r="A27" s="2" t="inlineStr">
        <is>
          <t>Z001_01_012025_MATURIN.CSV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0041</t>
        </is>
      </c>
      <c r="H27" s="4" t="n">
        <v>45689</v>
      </c>
      <c r="I27" s="2" t="inlineStr">
        <is>
          <t>15:53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</row>
    <row r="28">
      <c r="A28" s="2" t="inlineStr">
        <is>
          <t>Z001_01_012025_MATURIN.CSV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0041</t>
        </is>
      </c>
      <c r="H28" s="4" t="n">
        <v>45689</v>
      </c>
      <c r="I28" s="2" t="inlineStr">
        <is>
          <t>15:53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</row>
    <row r="29">
      <c r="A29" s="2" t="inlineStr">
        <is>
          <t>Z001_01_012025_MATURIN.CSV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0041</t>
        </is>
      </c>
      <c r="H29" s="4" t="n">
        <v>45689</v>
      </c>
      <c r="I29" s="2" t="inlineStr">
        <is>
          <t>15:53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</row>
    <row r="30">
      <c r="A30" s="2" t="inlineStr">
        <is>
          <t>Z001_01_012025_MATURIN.CSV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0041</t>
        </is>
      </c>
      <c r="H30" s="4" t="n">
        <v>45689</v>
      </c>
      <c r="I30" s="2" t="inlineStr">
        <is>
          <t>15:53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</row>
    <row r="31">
      <c r="A31" s="2" t="inlineStr">
        <is>
          <t>Z001_01_012025_MATURIN.CSV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0041</t>
        </is>
      </c>
      <c r="H31" s="4" t="n">
        <v>45689</v>
      </c>
      <c r="I31" s="2" t="inlineStr">
        <is>
          <t>15:53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</row>
    <row r="32">
      <c r="A32" s="2" t="inlineStr">
        <is>
          <t>Z001_01_012025_MATURIN.CSV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0041</t>
        </is>
      </c>
      <c r="H32" s="4" t="n">
        <v>45689</v>
      </c>
      <c r="I32" s="2" t="inlineStr">
        <is>
          <t>15:53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</row>
    <row r="33">
      <c r="A33" s="2" t="inlineStr">
        <is>
          <t>Z001_01_012025_MATURIN.CSV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0041</t>
        </is>
      </c>
      <c r="H33" s="4" t="n">
        <v>45689</v>
      </c>
      <c r="I33" s="2" t="inlineStr">
        <is>
          <t>15:53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</row>
    <row r="34">
      <c r="A34" s="2" t="inlineStr">
        <is>
          <t>Z001_01_012025_MATURIN.CSV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0041</t>
        </is>
      </c>
      <c r="H34" s="4" t="n">
        <v>45689</v>
      </c>
      <c r="I34" s="2" t="inlineStr">
        <is>
          <t>15:53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9733.59</v>
      </c>
    </row>
    <row r="35">
      <c r="A35" s="2" t="inlineStr">
        <is>
          <t>Z001_01_012025_MATURIN.CSV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0041</t>
        </is>
      </c>
      <c r="H35" s="4" t="n">
        <v>45689</v>
      </c>
      <c r="I35" s="2" t="inlineStr">
        <is>
          <t>15:53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1946.71</v>
      </c>
    </row>
    <row r="36">
      <c r="A36" s="2" t="inlineStr">
        <is>
          <t>Z001_01_012025_MATURIN.CSV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0041</t>
        </is>
      </c>
      <c r="H36" s="4" t="n">
        <v>45689</v>
      </c>
      <c r="I36" s="2" t="inlineStr">
        <is>
          <t>15:53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</row>
    <row r="37">
      <c r="A37" s="2" t="inlineStr">
        <is>
          <t>Z001_01_012025_MATURIN.CSV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0041</t>
        </is>
      </c>
      <c r="H37" s="4" t="n">
        <v>45689</v>
      </c>
      <c r="I37" s="2" t="inlineStr">
        <is>
          <t>15:53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</row>
    <row r="38">
      <c r="A38" s="2" t="inlineStr">
        <is>
          <t>Z001_01_012025_MATURIN.CSV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0041</t>
        </is>
      </c>
      <c r="H38" s="4" t="n">
        <v>45689</v>
      </c>
      <c r="I38" s="2" t="inlineStr">
        <is>
          <t>15:53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</row>
    <row r="39">
      <c r="A39" s="2" t="inlineStr">
        <is>
          <t>Z001_01_012025_MATURIN.CSV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0041</t>
        </is>
      </c>
      <c r="H39" s="4" t="n">
        <v>45689</v>
      </c>
      <c r="I39" s="2" t="inlineStr">
        <is>
          <t>15:53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</row>
    <row r="40">
      <c r="A40" s="2" t="inlineStr">
        <is>
          <t>Z001_01_012025_MATURIN.CSV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0041</t>
        </is>
      </c>
      <c r="H40" s="4" t="n">
        <v>45689</v>
      </c>
      <c r="I40" s="2" t="inlineStr">
        <is>
          <t>15:53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</row>
    <row r="41">
      <c r="A41" s="2" t="inlineStr">
        <is>
          <t>Z001_01_012025_MATURIN.CSV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0041</t>
        </is>
      </c>
      <c r="H41" s="4" t="n">
        <v>45689</v>
      </c>
      <c r="I41" s="2" t="inlineStr">
        <is>
          <t>15:53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</row>
    <row r="42">
      <c r="A42" s="2" t="inlineStr">
        <is>
          <t>Z001_01_012025_MATURIN.CSV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0041</t>
        </is>
      </c>
      <c r="H42" s="4" t="n">
        <v>45689</v>
      </c>
      <c r="I42" s="2" t="inlineStr">
        <is>
          <t>15:53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</row>
    <row r="43">
      <c r="A43" s="2" t="inlineStr">
        <is>
          <t>Z001_01_022025_MATURIN.CSV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0042</t>
        </is>
      </c>
      <c r="H43" s="4" t="n">
        <v>45717</v>
      </c>
      <c r="I43" s="2" t="inlineStr">
        <is>
          <t>13:36</t>
        </is>
      </c>
      <c r="J43" s="3" t="inlineStr">
        <is>
          <t>0001</t>
        </is>
      </c>
      <c r="K43" s="2" t="inlineStr">
        <is>
          <t>CA BRUT</t>
        </is>
      </c>
      <c r="L43" s="5" t="n">
        <v>16</v>
      </c>
      <c r="M43" s="6" t="n">
        <v>4578.8</v>
      </c>
    </row>
    <row r="44">
      <c r="A44" s="2" t="inlineStr">
        <is>
          <t>Z001_01_022025_MATURIN.CSV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0042</t>
        </is>
      </c>
      <c r="H44" s="4" t="n">
        <v>45717</v>
      </c>
      <c r="I44" s="2" t="inlineStr">
        <is>
          <t>13:36</t>
        </is>
      </c>
      <c r="J44" s="3" t="inlineStr">
        <is>
          <t>0002</t>
        </is>
      </c>
      <c r="K44" s="2" t="inlineStr">
        <is>
          <t>CA NET</t>
        </is>
      </c>
      <c r="L44" s="5" t="n">
        <v>13</v>
      </c>
      <c r="M44" s="6" t="n">
        <v>4578.8</v>
      </c>
    </row>
    <row r="45">
      <c r="A45" s="2" t="inlineStr">
        <is>
          <t>Z001_01_022025_MATURIN.CSV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0042</t>
        </is>
      </c>
      <c r="H45" s="4" t="n">
        <v>45717</v>
      </c>
      <c r="I45" s="2" t="inlineStr">
        <is>
          <t>13:36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2530</v>
      </c>
    </row>
    <row r="46">
      <c r="A46" s="2" t="inlineStr">
        <is>
          <t>Z001_01_022025_MATURIN.CSV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0042</t>
        </is>
      </c>
      <c r="H46" s="4" t="n">
        <v>45717</v>
      </c>
      <c r="I46" s="2" t="inlineStr">
        <is>
          <t>13:36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2048.8</v>
      </c>
    </row>
    <row r="47">
      <c r="A47" s="2" t="inlineStr">
        <is>
          <t>Z001_01_022025_MATURIN.CSV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0042</t>
        </is>
      </c>
      <c r="H47" s="4" t="n">
        <v>45717</v>
      </c>
      <c r="I47" s="2" t="inlineStr">
        <is>
          <t>13:36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</row>
    <row r="48">
      <c r="A48" s="2" t="inlineStr">
        <is>
          <t>Z001_01_022025_MATURIN.CSV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0042</t>
        </is>
      </c>
      <c r="H48" s="4" t="n">
        <v>45717</v>
      </c>
      <c r="I48" s="2" t="inlineStr">
        <is>
          <t>13:36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</row>
    <row r="49">
      <c r="A49" s="2" t="inlineStr">
        <is>
          <t>Z001_01_022025_MATURIN.CSV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0042</t>
        </is>
      </c>
      <c r="H49" s="4" t="n">
        <v>45717</v>
      </c>
      <c r="I49" s="2" t="inlineStr">
        <is>
          <t>13:36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</row>
    <row r="50">
      <c r="A50" s="2" t="inlineStr">
        <is>
          <t>Z001_01_022025_MATURIN.CSV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0042</t>
        </is>
      </c>
      <c r="H50" s="4" t="n">
        <v>45717</v>
      </c>
      <c r="I50" s="2" t="inlineStr">
        <is>
          <t>13:36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</row>
    <row r="51">
      <c r="A51" s="2" t="inlineStr">
        <is>
          <t>Z001_01_022025_MATURIN.CSV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0042</t>
        </is>
      </c>
      <c r="H51" s="4" t="n">
        <v>45717</v>
      </c>
      <c r="I51" s="2" t="inlineStr">
        <is>
          <t>13:36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</row>
    <row r="52">
      <c r="A52" s="2" t="inlineStr">
        <is>
          <t>Z001_01_022025_MATURIN.CSV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0042</t>
        </is>
      </c>
      <c r="H52" s="4" t="n">
        <v>45717</v>
      </c>
      <c r="I52" s="2" t="inlineStr">
        <is>
          <t>13:36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</row>
    <row r="53">
      <c r="A53" s="2" t="inlineStr">
        <is>
          <t>Z001_01_022025_MATURIN.CSV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0042</t>
        </is>
      </c>
      <c r="H53" s="4" t="n">
        <v>45717</v>
      </c>
      <c r="I53" s="2" t="inlineStr">
        <is>
          <t>13:36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</row>
    <row r="54">
      <c r="A54" s="2" t="inlineStr">
        <is>
          <t>Z001_01_022025_MATURIN.CSV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0042</t>
        </is>
      </c>
      <c r="H54" s="4" t="n">
        <v>45717</v>
      </c>
      <c r="I54" s="2" t="inlineStr">
        <is>
          <t>13:36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</row>
    <row r="55">
      <c r="A55" s="2" t="inlineStr">
        <is>
          <t>Z001_01_022025_MATURIN.CSV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0042</t>
        </is>
      </c>
      <c r="H55" s="4" t="n">
        <v>45717</v>
      </c>
      <c r="I55" s="2" t="inlineStr">
        <is>
          <t>13:36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</row>
    <row r="56">
      <c r="A56" s="2" t="inlineStr">
        <is>
          <t>Z001_01_022025_MATURIN.CSV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0042</t>
        </is>
      </c>
      <c r="H56" s="4" t="n">
        <v>45717</v>
      </c>
      <c r="I56" s="2" t="inlineStr">
        <is>
          <t>13:36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</row>
    <row r="57">
      <c r="A57" s="2" t="inlineStr">
        <is>
          <t>Z001_01_022025_MATURIN.CSV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0042</t>
        </is>
      </c>
      <c r="H57" s="4" t="n">
        <v>45717</v>
      </c>
      <c r="I57" s="2" t="inlineStr">
        <is>
          <t>13:36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</row>
    <row r="58">
      <c r="A58" s="2" t="inlineStr">
        <is>
          <t>Z001_01_022025_MATURIN.CSV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0042</t>
        </is>
      </c>
      <c r="H58" s="4" t="n">
        <v>45717</v>
      </c>
      <c r="I58" s="2" t="inlineStr">
        <is>
          <t>13:36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</row>
    <row r="59">
      <c r="A59" s="2" t="inlineStr">
        <is>
          <t>Z001_01_022025_MATURIN.CSV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0042</t>
        </is>
      </c>
      <c r="H59" s="4" t="n">
        <v>45717</v>
      </c>
      <c r="I59" s="2" t="inlineStr">
        <is>
          <t>13:36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</row>
    <row r="60">
      <c r="A60" s="2" t="inlineStr">
        <is>
          <t>Z001_01_022025_MATURIN.CSV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0042</t>
        </is>
      </c>
      <c r="H60" s="4" t="n">
        <v>45717</v>
      </c>
      <c r="I60" s="2" t="inlineStr">
        <is>
          <t>13:36</t>
        </is>
      </c>
      <c r="J60" s="3" t="inlineStr">
        <is>
          <t>0018</t>
        </is>
      </c>
      <c r="K60" s="2" t="inlineStr">
        <is>
          <t>CLIENTS</t>
        </is>
      </c>
      <c r="L60" s="5" t="n">
        <v>13</v>
      </c>
      <c r="M60" s="6" t="n">
        <v>0</v>
      </c>
    </row>
    <row r="61">
      <c r="A61" s="2" t="inlineStr">
        <is>
          <t>Z001_01_022025_MATURIN.CSV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0042</t>
        </is>
      </c>
      <c r="H61" s="4" t="n">
        <v>45717</v>
      </c>
      <c r="I61" s="2" t="inlineStr">
        <is>
          <t>13:36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</row>
    <row r="62">
      <c r="A62" s="2" t="inlineStr">
        <is>
          <t>Z001_01_022025_MATURIN.CSV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0042</t>
        </is>
      </c>
      <c r="H62" s="4" t="n">
        <v>45717</v>
      </c>
      <c r="I62" s="2" t="inlineStr">
        <is>
          <t>13:36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</row>
    <row r="63">
      <c r="A63" s="2" t="inlineStr">
        <is>
          <t>Z001_01_022025_MATURIN.CSV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0042</t>
        </is>
      </c>
      <c r="H63" s="4" t="n">
        <v>45717</v>
      </c>
      <c r="I63" s="2" t="inlineStr">
        <is>
          <t>13:36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</row>
    <row r="64">
      <c r="A64" s="2" t="inlineStr">
        <is>
          <t>Z001_01_022025_MATURIN.CSV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0042</t>
        </is>
      </c>
      <c r="H64" s="4" t="n">
        <v>45717</v>
      </c>
      <c r="I64" s="2" t="inlineStr">
        <is>
          <t>13:36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</row>
    <row r="65">
      <c r="A65" s="2" t="inlineStr">
        <is>
          <t>Z001_01_022025_MATURIN.CSV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0042</t>
        </is>
      </c>
      <c r="H65" s="4" t="n">
        <v>45717</v>
      </c>
      <c r="I65" s="2" t="inlineStr">
        <is>
          <t>13:36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</row>
    <row r="66">
      <c r="A66" s="2" t="inlineStr">
        <is>
          <t>Z001_01_022025_MATURIN.CSV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0042</t>
        </is>
      </c>
      <c r="H66" s="4" t="n">
        <v>45717</v>
      </c>
      <c r="I66" s="2" t="inlineStr">
        <is>
          <t>13:36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</row>
    <row r="67">
      <c r="A67" s="2" t="inlineStr">
        <is>
          <t>Z001_01_022025_MATURIN.CSV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0042</t>
        </is>
      </c>
      <c r="H67" s="4" t="n">
        <v>45717</v>
      </c>
      <c r="I67" s="2" t="inlineStr">
        <is>
          <t>13:36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</row>
    <row r="68">
      <c r="A68" s="2" t="inlineStr">
        <is>
          <t>Z001_01_022025_MATURIN.CSV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0042</t>
        </is>
      </c>
      <c r="H68" s="4" t="n">
        <v>45717</v>
      </c>
      <c r="I68" s="2" t="inlineStr">
        <is>
          <t>13:36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</row>
    <row r="69">
      <c r="A69" s="2" t="inlineStr">
        <is>
          <t>Z001_01_022025_MATURIN.CSV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0042</t>
        </is>
      </c>
      <c r="H69" s="4" t="n">
        <v>45717</v>
      </c>
      <c r="I69" s="2" t="inlineStr">
        <is>
          <t>13:36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</row>
    <row r="70">
      <c r="A70" s="2" t="inlineStr">
        <is>
          <t>Z001_01_022025_MATURIN.CSV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0042</t>
        </is>
      </c>
      <c r="H70" s="4" t="n">
        <v>45717</v>
      </c>
      <c r="I70" s="2" t="inlineStr">
        <is>
          <t>13:36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</row>
    <row r="71">
      <c r="A71" s="2" t="inlineStr">
        <is>
          <t>Z001_01_022025_MATURIN.CSV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0042</t>
        </is>
      </c>
      <c r="H71" s="4" t="n">
        <v>45717</v>
      </c>
      <c r="I71" s="2" t="inlineStr">
        <is>
          <t>13:36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</row>
    <row r="72">
      <c r="A72" s="2" t="inlineStr">
        <is>
          <t>Z001_01_022025_MATURIN.CSV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0042</t>
        </is>
      </c>
      <c r="H72" s="4" t="n">
        <v>45717</v>
      </c>
      <c r="I72" s="2" t="inlineStr">
        <is>
          <t>13:36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</row>
    <row r="73">
      <c r="A73" s="2" t="inlineStr">
        <is>
          <t>Z001_01_022025_MATURIN.CSV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0042</t>
        </is>
      </c>
      <c r="H73" s="4" t="n">
        <v>45717</v>
      </c>
      <c r="I73" s="2" t="inlineStr">
        <is>
          <t>13:36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</row>
    <row r="74">
      <c r="A74" s="2" t="inlineStr">
        <is>
          <t>Z001_01_022025_MATURIN.CSV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0042</t>
        </is>
      </c>
      <c r="H74" s="4" t="n">
        <v>45717</v>
      </c>
      <c r="I74" s="2" t="inlineStr">
        <is>
          <t>13:36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</row>
    <row r="75">
      <c r="A75" s="2" t="inlineStr">
        <is>
          <t>Z001_01_022025_MATURIN.CSV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0042</t>
        </is>
      </c>
      <c r="H75" s="4" t="n">
        <v>45717</v>
      </c>
      <c r="I75" s="2" t="inlineStr">
        <is>
          <t>13:36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3815.68</v>
      </c>
    </row>
    <row r="76">
      <c r="A76" s="2" t="inlineStr">
        <is>
          <t>Z001_01_022025_MATURIN.CSV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0042</t>
        </is>
      </c>
      <c r="H76" s="4" t="n">
        <v>45717</v>
      </c>
      <c r="I76" s="2" t="inlineStr">
        <is>
          <t>13:36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763.12</v>
      </c>
    </row>
    <row r="77">
      <c r="A77" s="2" t="inlineStr">
        <is>
          <t>Z001_01_022025_MATURIN.CSV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0042</t>
        </is>
      </c>
      <c r="H77" s="4" t="n">
        <v>45717</v>
      </c>
      <c r="I77" s="2" t="inlineStr">
        <is>
          <t>13:36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</row>
    <row r="78">
      <c r="A78" s="2" t="inlineStr">
        <is>
          <t>Z001_01_022025_MATURIN.CSV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0042</t>
        </is>
      </c>
      <c r="H78" s="4" t="n">
        <v>45717</v>
      </c>
      <c r="I78" s="2" t="inlineStr">
        <is>
          <t>13:36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</row>
    <row r="79">
      <c r="A79" s="2" t="inlineStr">
        <is>
          <t>Z001_01_022025_MATURIN.CSV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0042</t>
        </is>
      </c>
      <c r="H79" s="4" t="n">
        <v>45717</v>
      </c>
      <c r="I79" s="2" t="inlineStr">
        <is>
          <t>13:36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</row>
    <row r="80">
      <c r="A80" s="2" t="inlineStr">
        <is>
          <t>Z001_01_022025_MATURIN.CSV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0042</t>
        </is>
      </c>
      <c r="H80" s="4" t="n">
        <v>45717</v>
      </c>
      <c r="I80" s="2" t="inlineStr">
        <is>
          <t>13:36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</row>
    <row r="81">
      <c r="A81" s="2" t="inlineStr">
        <is>
          <t>Z001_01_022025_MATURIN.CSV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0042</t>
        </is>
      </c>
      <c r="H81" s="4" t="n">
        <v>45717</v>
      </c>
      <c r="I81" s="2" t="inlineStr">
        <is>
          <t>13:36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</row>
    <row r="82">
      <c r="A82" s="2" t="inlineStr">
        <is>
          <t>Z001_01_022025_MATURIN.CSV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0042</t>
        </is>
      </c>
      <c r="H82" s="4" t="n">
        <v>45717</v>
      </c>
      <c r="I82" s="2" t="inlineStr">
        <is>
          <t>13:36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</row>
    <row r="83">
      <c r="A83" s="2" t="inlineStr">
        <is>
          <t>Z001_01_022025_MATURIN.CSV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0042</t>
        </is>
      </c>
      <c r="H83" s="4" t="n">
        <v>45717</v>
      </c>
      <c r="I83" s="2" t="inlineStr">
        <is>
          <t>13:36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</row>
    <row r="84">
      <c r="A84" s="2" t="inlineStr">
        <is>
          <t>Z001_01_032025_MATURIN.CSV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0043</t>
        </is>
      </c>
      <c r="H84" s="4" t="n">
        <v>45748</v>
      </c>
      <c r="I84" s="2" t="inlineStr">
        <is>
          <t>09:43</t>
        </is>
      </c>
      <c r="J84" s="3" t="inlineStr">
        <is>
          <t>0001</t>
        </is>
      </c>
      <c r="K84" s="2" t="inlineStr">
        <is>
          <t>CA BRUT</t>
        </is>
      </c>
      <c r="L84" s="5" t="n">
        <v>17</v>
      </c>
      <c r="M84" s="6" t="n">
        <v>3853.7</v>
      </c>
    </row>
    <row r="85">
      <c r="A85" s="2" t="inlineStr">
        <is>
          <t>Z001_01_032025_MATURIN.CSV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0043</t>
        </is>
      </c>
      <c r="H85" s="4" t="n">
        <v>45748</v>
      </c>
      <c r="I85" s="2" t="inlineStr">
        <is>
          <t>09:43</t>
        </is>
      </c>
      <c r="J85" s="3" t="inlineStr">
        <is>
          <t>0002</t>
        </is>
      </c>
      <c r="K85" s="2" t="inlineStr">
        <is>
          <t>CA NET</t>
        </is>
      </c>
      <c r="L85" s="5" t="n">
        <v>12</v>
      </c>
      <c r="M85" s="6" t="n">
        <v>3853.7</v>
      </c>
    </row>
    <row r="86">
      <c r="A86" s="2" t="inlineStr">
        <is>
          <t>Z001_01_032025_MATURIN.CSV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0043</t>
        </is>
      </c>
      <c r="H86" s="4" t="n">
        <v>45748</v>
      </c>
      <c r="I86" s="2" t="inlineStr">
        <is>
          <t>09:43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505</v>
      </c>
    </row>
    <row r="87">
      <c r="A87" s="2" t="inlineStr">
        <is>
          <t>Z001_01_032025_MATURIN.CSV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0043</t>
        </is>
      </c>
      <c r="H87" s="4" t="n">
        <v>45748</v>
      </c>
      <c r="I87" s="2" t="inlineStr">
        <is>
          <t>09:43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3348.7</v>
      </c>
    </row>
    <row r="88">
      <c r="A88" s="2" t="inlineStr">
        <is>
          <t>Z001_01_032025_MATURIN.CSV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0043</t>
        </is>
      </c>
      <c r="H88" s="4" t="n">
        <v>45748</v>
      </c>
      <c r="I88" s="2" t="inlineStr">
        <is>
          <t>09:43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</row>
    <row r="89">
      <c r="A89" s="2" t="inlineStr">
        <is>
          <t>Z001_01_032025_MATURIN.CSV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0043</t>
        </is>
      </c>
      <c r="H89" s="4" t="n">
        <v>45748</v>
      </c>
      <c r="I89" s="2" t="inlineStr">
        <is>
          <t>09:43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</row>
    <row r="90">
      <c r="A90" s="2" t="inlineStr">
        <is>
          <t>Z001_01_032025_MATURIN.CSV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0043</t>
        </is>
      </c>
      <c r="H90" s="4" t="n">
        <v>45748</v>
      </c>
      <c r="I90" s="2" t="inlineStr">
        <is>
          <t>09:43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</row>
    <row r="91">
      <c r="A91" s="2" t="inlineStr">
        <is>
          <t>Z001_01_032025_MATURIN.CSV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0043</t>
        </is>
      </c>
      <c r="H91" s="4" t="n">
        <v>45748</v>
      </c>
      <c r="I91" s="2" t="inlineStr">
        <is>
          <t>09:43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</row>
    <row r="92">
      <c r="A92" s="2" t="inlineStr">
        <is>
          <t>Z001_01_032025_MATURIN.CSV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0043</t>
        </is>
      </c>
      <c r="H92" s="4" t="n">
        <v>45748</v>
      </c>
      <c r="I92" s="2" t="inlineStr">
        <is>
          <t>09:43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</row>
    <row r="93">
      <c r="A93" s="2" t="inlineStr">
        <is>
          <t>Z001_01_032025_MATURIN.CSV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0043</t>
        </is>
      </c>
      <c r="H93" s="4" t="n">
        <v>45748</v>
      </c>
      <c r="I93" s="2" t="inlineStr">
        <is>
          <t>09:43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</row>
    <row r="94">
      <c r="A94" s="2" t="inlineStr">
        <is>
          <t>Z001_01_032025_MATURIN.CSV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0043</t>
        </is>
      </c>
      <c r="H94" s="4" t="n">
        <v>45748</v>
      </c>
      <c r="I94" s="2" t="inlineStr">
        <is>
          <t>09:43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</row>
    <row r="95">
      <c r="A95" s="2" t="inlineStr">
        <is>
          <t>Z001_01_032025_MATURIN.CSV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0043</t>
        </is>
      </c>
      <c r="H95" s="4" t="n">
        <v>45748</v>
      </c>
      <c r="I95" s="2" t="inlineStr">
        <is>
          <t>09:43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</row>
    <row r="96">
      <c r="A96" s="2" t="inlineStr">
        <is>
          <t>Z001_01_032025_MATURIN.CSV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0043</t>
        </is>
      </c>
      <c r="H96" s="4" t="n">
        <v>45748</v>
      </c>
      <c r="I96" s="2" t="inlineStr">
        <is>
          <t>09:43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</row>
    <row r="97">
      <c r="A97" s="2" t="inlineStr">
        <is>
          <t>Z001_01_032025_MATURIN.CSV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0043</t>
        </is>
      </c>
      <c r="H97" s="4" t="n">
        <v>45748</v>
      </c>
      <c r="I97" s="2" t="inlineStr">
        <is>
          <t>09:43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</row>
    <row r="98">
      <c r="A98" s="2" t="inlineStr">
        <is>
          <t>Z001_01_032025_MATURIN.CSV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0043</t>
        </is>
      </c>
      <c r="H98" s="4" t="n">
        <v>45748</v>
      </c>
      <c r="I98" s="2" t="inlineStr">
        <is>
          <t>09:43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</row>
    <row r="99">
      <c r="A99" s="2" t="inlineStr">
        <is>
          <t>Z001_01_032025_MATURIN.CSV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0043</t>
        </is>
      </c>
      <c r="H99" s="4" t="n">
        <v>45748</v>
      </c>
      <c r="I99" s="2" t="inlineStr">
        <is>
          <t>09:43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</row>
    <row r="100">
      <c r="A100" s="2" t="inlineStr">
        <is>
          <t>Z001_01_032025_MATURIN.CSV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0043</t>
        </is>
      </c>
      <c r="H100" s="4" t="n">
        <v>45748</v>
      </c>
      <c r="I100" s="2" t="inlineStr">
        <is>
          <t>09:43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</row>
    <row r="101">
      <c r="A101" s="2" t="inlineStr">
        <is>
          <t>Z001_01_032025_MATURIN.CSV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0043</t>
        </is>
      </c>
      <c r="H101" s="4" t="n">
        <v>45748</v>
      </c>
      <c r="I101" s="2" t="inlineStr">
        <is>
          <t>09:43</t>
        </is>
      </c>
      <c r="J101" s="3" t="inlineStr">
        <is>
          <t>0018</t>
        </is>
      </c>
      <c r="K101" s="2" t="inlineStr">
        <is>
          <t>CLIENTS</t>
        </is>
      </c>
      <c r="L101" s="5" t="n">
        <v>12</v>
      </c>
      <c r="M101" s="6" t="n">
        <v>0</v>
      </c>
    </row>
    <row r="102">
      <c r="A102" s="2" t="inlineStr">
        <is>
          <t>Z001_01_032025_MATURIN.CSV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0043</t>
        </is>
      </c>
      <c r="H102" s="4" t="n">
        <v>45748</v>
      </c>
      <c r="I102" s="2" t="inlineStr">
        <is>
          <t>09:43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</row>
    <row r="103">
      <c r="A103" s="2" t="inlineStr">
        <is>
          <t>Z001_01_032025_MATURIN.CSV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0043</t>
        </is>
      </c>
      <c r="H103" s="4" t="n">
        <v>45748</v>
      </c>
      <c r="I103" s="2" t="inlineStr">
        <is>
          <t>09:43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</row>
    <row r="104">
      <c r="A104" s="2" t="inlineStr">
        <is>
          <t>Z001_01_032025_MATURIN.CSV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0043</t>
        </is>
      </c>
      <c r="H104" s="4" t="n">
        <v>45748</v>
      </c>
      <c r="I104" s="2" t="inlineStr">
        <is>
          <t>09:43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</row>
    <row r="105">
      <c r="A105" s="2" t="inlineStr">
        <is>
          <t>Z001_01_032025_MATURIN.CSV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0043</t>
        </is>
      </c>
      <c r="H105" s="4" t="n">
        <v>45748</v>
      </c>
      <c r="I105" s="2" t="inlineStr">
        <is>
          <t>09:43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</row>
    <row r="106">
      <c r="A106" s="2" t="inlineStr">
        <is>
          <t>Z001_01_032025_MATURIN.CSV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0043</t>
        </is>
      </c>
      <c r="H106" s="4" t="n">
        <v>45748</v>
      </c>
      <c r="I106" s="2" t="inlineStr">
        <is>
          <t>09:43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</row>
    <row r="107">
      <c r="A107" s="2" t="inlineStr">
        <is>
          <t>Z001_01_032025_MATURIN.CSV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0043</t>
        </is>
      </c>
      <c r="H107" s="4" t="n">
        <v>45748</v>
      </c>
      <c r="I107" s="2" t="inlineStr">
        <is>
          <t>09:43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</row>
    <row r="108">
      <c r="A108" s="2" t="inlineStr">
        <is>
          <t>Z001_01_032025_MATURIN.CSV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0043</t>
        </is>
      </c>
      <c r="H108" s="4" t="n">
        <v>45748</v>
      </c>
      <c r="I108" s="2" t="inlineStr">
        <is>
          <t>09:43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</row>
    <row r="109">
      <c r="A109" s="2" t="inlineStr">
        <is>
          <t>Z001_01_032025_MATURIN.CSV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0043</t>
        </is>
      </c>
      <c r="H109" s="4" t="n">
        <v>45748</v>
      </c>
      <c r="I109" s="2" t="inlineStr">
        <is>
          <t>09:43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</row>
    <row r="110">
      <c r="A110" s="2" t="inlineStr">
        <is>
          <t>Z001_01_032025_MATURIN.CSV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0043</t>
        </is>
      </c>
      <c r="H110" s="4" t="n">
        <v>45748</v>
      </c>
      <c r="I110" s="2" t="inlineStr">
        <is>
          <t>09:43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</row>
    <row r="111">
      <c r="A111" s="2" t="inlineStr">
        <is>
          <t>Z001_01_032025_MATURIN.CSV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0043</t>
        </is>
      </c>
      <c r="H111" s="4" t="n">
        <v>45748</v>
      </c>
      <c r="I111" s="2" t="inlineStr">
        <is>
          <t>09:43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</row>
    <row r="112">
      <c r="A112" s="2" t="inlineStr">
        <is>
          <t>Z001_01_032025_MATURIN.CSV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0043</t>
        </is>
      </c>
      <c r="H112" s="4" t="n">
        <v>45748</v>
      </c>
      <c r="I112" s="2" t="inlineStr">
        <is>
          <t>09:43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</row>
    <row r="113">
      <c r="A113" s="2" t="inlineStr">
        <is>
          <t>Z001_01_032025_MATURIN.CSV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0043</t>
        </is>
      </c>
      <c r="H113" s="4" t="n">
        <v>45748</v>
      </c>
      <c r="I113" s="2" t="inlineStr">
        <is>
          <t>09:43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</row>
    <row r="114">
      <c r="A114" s="2" t="inlineStr">
        <is>
          <t>Z001_01_032025_MATURIN.CSV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0043</t>
        </is>
      </c>
      <c r="H114" s="4" t="n">
        <v>45748</v>
      </c>
      <c r="I114" s="2" t="inlineStr">
        <is>
          <t>09:43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</row>
    <row r="115">
      <c r="A115" s="2" t="inlineStr">
        <is>
          <t>Z001_01_032025_MATURIN.CSV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0043</t>
        </is>
      </c>
      <c r="H115" s="4" t="n">
        <v>45748</v>
      </c>
      <c r="I115" s="2" t="inlineStr">
        <is>
          <t>09:43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</row>
    <row r="116">
      <c r="A116" s="2" t="inlineStr">
        <is>
          <t>Z001_01_032025_MATURIN.CSV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0043</t>
        </is>
      </c>
      <c r="H116" s="4" t="n">
        <v>45748</v>
      </c>
      <c r="I116" s="2" t="inlineStr">
        <is>
          <t>09:43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3211.42</v>
      </c>
    </row>
    <row r="117">
      <c r="A117" s="2" t="inlineStr">
        <is>
          <t>Z001_01_032025_MATURIN.CSV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0043</t>
        </is>
      </c>
      <c r="H117" s="4" t="n">
        <v>45748</v>
      </c>
      <c r="I117" s="2" t="inlineStr">
        <is>
          <t>09:43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642.28</v>
      </c>
    </row>
    <row r="118">
      <c r="A118" s="2" t="inlineStr">
        <is>
          <t>Z001_01_032025_MATURIN.CSV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0043</t>
        </is>
      </c>
      <c r="H118" s="4" t="n">
        <v>45748</v>
      </c>
      <c r="I118" s="2" t="inlineStr">
        <is>
          <t>09:43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</row>
    <row r="119">
      <c r="A119" s="2" t="inlineStr">
        <is>
          <t>Z001_01_032025_MATURIN.CSV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0043</t>
        </is>
      </c>
      <c r="H119" s="4" t="n">
        <v>45748</v>
      </c>
      <c r="I119" s="2" t="inlineStr">
        <is>
          <t>09:43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</row>
    <row r="120">
      <c r="A120" s="2" t="inlineStr">
        <is>
          <t>Z001_01_032025_MATURIN.CSV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0043</t>
        </is>
      </c>
      <c r="H120" s="4" t="n">
        <v>45748</v>
      </c>
      <c r="I120" s="2" t="inlineStr">
        <is>
          <t>09:43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</row>
    <row r="121">
      <c r="A121" s="2" t="inlineStr">
        <is>
          <t>Z001_01_032025_MATURIN.CSV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0043</t>
        </is>
      </c>
      <c r="H121" s="4" t="n">
        <v>45748</v>
      </c>
      <c r="I121" s="2" t="inlineStr">
        <is>
          <t>09:43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</row>
    <row r="122">
      <c r="A122" s="2" t="inlineStr">
        <is>
          <t>Z001_01_032025_MATURIN.CSV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0043</t>
        </is>
      </c>
      <c r="H122" s="4" t="n">
        <v>45748</v>
      </c>
      <c r="I122" s="2" t="inlineStr">
        <is>
          <t>09:43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</row>
    <row r="123">
      <c r="A123" s="2" t="inlineStr">
        <is>
          <t>Z001_01_032025_MATURIN.CSV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0043</t>
        </is>
      </c>
      <c r="H123" s="4" t="n">
        <v>45748</v>
      </c>
      <c r="I123" s="2" t="inlineStr">
        <is>
          <t>09:43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</row>
    <row r="124">
      <c r="A124" s="2" t="inlineStr">
        <is>
          <t>Z001_01_032025_MATURIN.CSV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0043</t>
        </is>
      </c>
      <c r="H124" s="4" t="n">
        <v>45748</v>
      </c>
      <c r="I124" s="2" t="inlineStr">
        <is>
          <t>09:43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</row>
    <row r="125">
      <c r="A125" s="2" t="inlineStr">
        <is>
          <t>Z001_01_062025_072025_MATURIN.CSV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0044</t>
        </is>
      </c>
      <c r="H125" s="4" t="n">
        <v>45870</v>
      </c>
      <c r="I125" s="2" t="inlineStr">
        <is>
          <t>09:38</t>
        </is>
      </c>
      <c r="J125" s="3" t="inlineStr">
        <is>
          <t>0001</t>
        </is>
      </c>
      <c r="K125" s="2" t="inlineStr">
        <is>
          <t>CA BRUT</t>
        </is>
      </c>
      <c r="L125" s="5" t="n">
        <v>84</v>
      </c>
      <c r="M125" s="6" t="n">
        <v>27074.6</v>
      </c>
    </row>
    <row r="126">
      <c r="A126" s="2" t="inlineStr">
        <is>
          <t>Z001_01_062025_072025_MATURIN.CSV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0044</t>
        </is>
      </c>
      <c r="H126" s="4" t="n">
        <v>45870</v>
      </c>
      <c r="I126" s="2" t="inlineStr">
        <is>
          <t>09:38</t>
        </is>
      </c>
      <c r="J126" s="3" t="inlineStr">
        <is>
          <t>0002</t>
        </is>
      </c>
      <c r="K126" s="2" t="inlineStr">
        <is>
          <t>CA NET</t>
        </is>
      </c>
      <c r="L126" s="5" t="n">
        <v>55</v>
      </c>
      <c r="M126" s="6" t="n">
        <v>27074.6</v>
      </c>
    </row>
    <row r="127">
      <c r="A127" s="2" t="inlineStr">
        <is>
          <t>Z001_01_062025_072025_MATURIN.CSV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0044</t>
        </is>
      </c>
      <c r="H127" s="4" t="n">
        <v>45870</v>
      </c>
      <c r="I127" s="2" t="inlineStr">
        <is>
          <t>09:38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17043</v>
      </c>
    </row>
    <row r="128">
      <c r="A128" s="2" t="inlineStr">
        <is>
          <t>Z001_01_062025_072025_MATURIN.CSV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0044</t>
        </is>
      </c>
      <c r="H128" s="4" t="n">
        <v>45870</v>
      </c>
      <c r="I128" s="2" t="inlineStr">
        <is>
          <t>09:38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9991.6</v>
      </c>
    </row>
    <row r="129">
      <c r="A129" s="2" t="inlineStr">
        <is>
          <t>Z001_01_062025_072025_MATURIN.CSV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0044</t>
        </is>
      </c>
      <c r="H129" s="4" t="n">
        <v>45870</v>
      </c>
      <c r="I129" s="2" t="inlineStr">
        <is>
          <t>09:38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40</v>
      </c>
    </row>
    <row r="130">
      <c r="A130" s="2" t="inlineStr">
        <is>
          <t>Z001_01_062025_072025_MATURIN.CSV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0044</t>
        </is>
      </c>
      <c r="H130" s="4" t="n">
        <v>45870</v>
      </c>
      <c r="I130" s="2" t="inlineStr">
        <is>
          <t>09:38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</row>
    <row r="131">
      <c r="A131" s="2" t="inlineStr">
        <is>
          <t>Z001_01_062025_072025_MATURIN.CSV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0044</t>
        </is>
      </c>
      <c r="H131" s="4" t="n">
        <v>45870</v>
      </c>
      <c r="I131" s="2" t="inlineStr">
        <is>
          <t>09:38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</row>
    <row r="132">
      <c r="A132" s="2" t="inlineStr">
        <is>
          <t>Z001_01_062025_072025_MATURIN.CSV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0044</t>
        </is>
      </c>
      <c r="H132" s="4" t="n">
        <v>45870</v>
      </c>
      <c r="I132" s="2" t="inlineStr">
        <is>
          <t>09:38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</row>
    <row r="133">
      <c r="A133" s="2" t="inlineStr">
        <is>
          <t>Z001_01_062025_072025_MATURIN.CSV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0044</t>
        </is>
      </c>
      <c r="H133" s="4" t="n">
        <v>45870</v>
      </c>
      <c r="I133" s="2" t="inlineStr">
        <is>
          <t>09:38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</row>
    <row r="134">
      <c r="A134" s="2" t="inlineStr">
        <is>
          <t>Z001_01_062025_072025_MATURIN.CSV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0044</t>
        </is>
      </c>
      <c r="H134" s="4" t="n">
        <v>45870</v>
      </c>
      <c r="I134" s="2" t="inlineStr">
        <is>
          <t>09:38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</row>
    <row r="135">
      <c r="A135" s="2" t="inlineStr">
        <is>
          <t>Z001_01_062025_072025_MATURIN.CSV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0044</t>
        </is>
      </c>
      <c r="H135" s="4" t="n">
        <v>45870</v>
      </c>
      <c r="I135" s="2" t="inlineStr">
        <is>
          <t>09:38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</row>
    <row r="136">
      <c r="A136" s="2" t="inlineStr">
        <is>
          <t>Z001_01_062025_072025_MATURIN.CSV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0044</t>
        </is>
      </c>
      <c r="H136" s="4" t="n">
        <v>45870</v>
      </c>
      <c r="I136" s="2" t="inlineStr">
        <is>
          <t>09:38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</row>
    <row r="137">
      <c r="A137" s="2" t="inlineStr">
        <is>
          <t>Z001_01_062025_072025_MATURIN.CSV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0044</t>
        </is>
      </c>
      <c r="H137" s="4" t="n">
        <v>45870</v>
      </c>
      <c r="I137" s="2" t="inlineStr">
        <is>
          <t>09:38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</row>
    <row r="138">
      <c r="A138" s="2" t="inlineStr">
        <is>
          <t>Z001_01_062025_072025_MATURIN.CSV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0044</t>
        </is>
      </c>
      <c r="H138" s="4" t="n">
        <v>45870</v>
      </c>
      <c r="I138" s="2" t="inlineStr">
        <is>
          <t>09:38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</row>
    <row r="139">
      <c r="A139" s="2" t="inlineStr">
        <is>
          <t>Z001_01_062025_072025_MATURIN.CSV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0044</t>
        </is>
      </c>
      <c r="H139" s="4" t="n">
        <v>45870</v>
      </c>
      <c r="I139" s="2" t="inlineStr">
        <is>
          <t>09:38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</row>
    <row r="140">
      <c r="A140" s="2" t="inlineStr">
        <is>
          <t>Z001_01_062025_072025_MATURIN.CSV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0044</t>
        </is>
      </c>
      <c r="H140" s="4" t="n">
        <v>45870</v>
      </c>
      <c r="I140" s="2" t="inlineStr">
        <is>
          <t>09:38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</row>
    <row r="141">
      <c r="A141" s="2" t="inlineStr">
        <is>
          <t>Z001_01_062025_072025_MATURIN.CSV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0044</t>
        </is>
      </c>
      <c r="H141" s="4" t="n">
        <v>45870</v>
      </c>
      <c r="I141" s="2" t="inlineStr">
        <is>
          <t>09:38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</row>
    <row r="142">
      <c r="A142" s="2" t="inlineStr">
        <is>
          <t>Z001_01_062025_072025_MATURIN.CSV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0044</t>
        </is>
      </c>
      <c r="H142" s="4" t="n">
        <v>45870</v>
      </c>
      <c r="I142" s="2" t="inlineStr">
        <is>
          <t>09:38</t>
        </is>
      </c>
      <c r="J142" s="3" t="inlineStr">
        <is>
          <t>0018</t>
        </is>
      </c>
      <c r="K142" s="2" t="inlineStr">
        <is>
          <t>CLIENTS</t>
        </is>
      </c>
      <c r="L142" s="5" t="n">
        <v>55</v>
      </c>
      <c r="M142" s="6" t="n">
        <v>0</v>
      </c>
    </row>
    <row r="143">
      <c r="A143" s="2" t="inlineStr">
        <is>
          <t>Z001_01_062025_072025_MATURIN.CSV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0044</t>
        </is>
      </c>
      <c r="H143" s="4" t="n">
        <v>45870</v>
      </c>
      <c r="I143" s="2" t="inlineStr">
        <is>
          <t>09:38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</row>
    <row r="144">
      <c r="A144" s="2" t="inlineStr">
        <is>
          <t>Z001_01_062025_072025_MATURIN.CSV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0044</t>
        </is>
      </c>
      <c r="H144" s="4" t="n">
        <v>45870</v>
      </c>
      <c r="I144" s="2" t="inlineStr">
        <is>
          <t>09:38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</row>
    <row r="145">
      <c r="A145" s="2" t="inlineStr">
        <is>
          <t>Z001_01_062025_072025_MATURIN.CSV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0044</t>
        </is>
      </c>
      <c r="H145" s="4" t="n">
        <v>45870</v>
      </c>
      <c r="I145" s="2" t="inlineStr">
        <is>
          <t>09:38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</row>
    <row r="146">
      <c r="A146" s="2" t="inlineStr">
        <is>
          <t>Z001_01_062025_072025_MATURIN.CSV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0044</t>
        </is>
      </c>
      <c r="H146" s="4" t="n">
        <v>45870</v>
      </c>
      <c r="I146" s="2" t="inlineStr">
        <is>
          <t>09:38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</row>
    <row r="147">
      <c r="A147" s="2" t="inlineStr">
        <is>
          <t>Z001_01_062025_072025_MATURIN.CSV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0044</t>
        </is>
      </c>
      <c r="H147" s="4" t="n">
        <v>45870</v>
      </c>
      <c r="I147" s="2" t="inlineStr">
        <is>
          <t>09:38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</row>
    <row r="148">
      <c r="A148" s="2" t="inlineStr">
        <is>
          <t>Z001_01_062025_072025_MATURIN.CSV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0044</t>
        </is>
      </c>
      <c r="H148" s="4" t="n">
        <v>45870</v>
      </c>
      <c r="I148" s="2" t="inlineStr">
        <is>
          <t>09:38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</row>
    <row r="149">
      <c r="A149" s="2" t="inlineStr">
        <is>
          <t>Z001_01_062025_072025_MATURIN.CSV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0044</t>
        </is>
      </c>
      <c r="H149" s="4" t="n">
        <v>45870</v>
      </c>
      <c r="I149" s="2" t="inlineStr">
        <is>
          <t>09:38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</row>
    <row r="150">
      <c r="A150" s="2" t="inlineStr">
        <is>
          <t>Z001_01_062025_072025_MATURIN.CSV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0044</t>
        </is>
      </c>
      <c r="H150" s="4" t="n">
        <v>45870</v>
      </c>
      <c r="I150" s="2" t="inlineStr">
        <is>
          <t>09:38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</row>
    <row r="151">
      <c r="A151" s="2" t="inlineStr">
        <is>
          <t>Z001_01_062025_072025_MATURIN.CSV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0044</t>
        </is>
      </c>
      <c r="H151" s="4" t="n">
        <v>45870</v>
      </c>
      <c r="I151" s="2" t="inlineStr">
        <is>
          <t>09:38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Z001_01_062025_072025_MATURIN.CSV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0044</t>
        </is>
      </c>
      <c r="H152" s="4" t="n">
        <v>45870</v>
      </c>
      <c r="I152" s="2" t="inlineStr">
        <is>
          <t>09:38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</row>
    <row r="153">
      <c r="A153" s="2" t="inlineStr">
        <is>
          <t>Z001_01_062025_072025_MATURIN.CSV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0044</t>
        </is>
      </c>
      <c r="H153" s="4" t="n">
        <v>45870</v>
      </c>
      <c r="I153" s="2" t="inlineStr">
        <is>
          <t>09:38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</row>
    <row r="154">
      <c r="A154" s="2" t="inlineStr">
        <is>
          <t>Z001_01_062025_072025_MATURIN.CSV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0044</t>
        </is>
      </c>
      <c r="H154" s="4" t="n">
        <v>45870</v>
      </c>
      <c r="I154" s="2" t="inlineStr">
        <is>
          <t>09:38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</row>
    <row r="155">
      <c r="A155" s="2" t="inlineStr">
        <is>
          <t>Z001_01_062025_072025_MATURIN.CSV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0044</t>
        </is>
      </c>
      <c r="H155" s="4" t="n">
        <v>45870</v>
      </c>
      <c r="I155" s="2" t="inlineStr">
        <is>
          <t>09:38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</row>
    <row r="156">
      <c r="A156" s="2" t="inlineStr">
        <is>
          <t>Z001_01_062025_072025_MATURIN.CSV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0044</t>
        </is>
      </c>
      <c r="H156" s="4" t="n">
        <v>45870</v>
      </c>
      <c r="I156" s="2" t="inlineStr">
        <is>
          <t>09:38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</row>
    <row r="157">
      <c r="A157" s="2" t="inlineStr">
        <is>
          <t>Z001_01_062025_072025_MATURIN.CSV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0044</t>
        </is>
      </c>
      <c r="H157" s="4" t="n">
        <v>45870</v>
      </c>
      <c r="I157" s="2" t="inlineStr">
        <is>
          <t>09:38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22562.17</v>
      </c>
    </row>
    <row r="158">
      <c r="A158" s="2" t="inlineStr">
        <is>
          <t>Z001_01_062025_072025_MATURIN.CSV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0044</t>
        </is>
      </c>
      <c r="H158" s="4" t="n">
        <v>45870</v>
      </c>
      <c r="I158" s="2" t="inlineStr">
        <is>
          <t>09:38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4512.43</v>
      </c>
    </row>
    <row r="159">
      <c r="A159" s="2" t="inlineStr">
        <is>
          <t>Z001_01_062025_072025_MATURIN.CSV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0044</t>
        </is>
      </c>
      <c r="H159" s="4" t="n">
        <v>45870</v>
      </c>
      <c r="I159" s="2" t="inlineStr">
        <is>
          <t>09:38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</row>
    <row r="160">
      <c r="A160" s="2" t="inlineStr">
        <is>
          <t>Z001_01_062025_072025_MATURIN.CSV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0044</t>
        </is>
      </c>
      <c r="H160" s="4" t="n">
        <v>45870</v>
      </c>
      <c r="I160" s="2" t="inlineStr">
        <is>
          <t>09:38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</row>
    <row r="161">
      <c r="A161" s="2" t="inlineStr">
        <is>
          <t>Z001_01_062025_072025_MATURIN.CSV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0044</t>
        </is>
      </c>
      <c r="H161" s="4" t="n">
        <v>45870</v>
      </c>
      <c r="I161" s="2" t="inlineStr">
        <is>
          <t>09:38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</row>
    <row r="162">
      <c r="A162" s="2" t="inlineStr">
        <is>
          <t>Z001_01_062025_072025_MATURIN.CSV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0044</t>
        </is>
      </c>
      <c r="H162" s="4" t="n">
        <v>45870</v>
      </c>
      <c r="I162" s="2" t="inlineStr">
        <is>
          <t>09:38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</row>
    <row r="163">
      <c r="A163" s="2" t="inlineStr">
        <is>
          <t>Z001_01_062025_072025_MATURIN.CSV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0044</t>
        </is>
      </c>
      <c r="H163" s="4" t="n">
        <v>45870</v>
      </c>
      <c r="I163" s="2" t="inlineStr">
        <is>
          <t>09:38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</row>
    <row r="164">
      <c r="A164" s="2" t="inlineStr">
        <is>
          <t>Z001_01_062025_072025_MATURIN.CSV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0044</t>
        </is>
      </c>
      <c r="H164" s="4" t="n">
        <v>45870</v>
      </c>
      <c r="I164" s="2" t="inlineStr">
        <is>
          <t>09:38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</row>
    <row r="165">
      <c r="A165" s="2" t="inlineStr">
        <is>
          <t>Z001_01_062025_072025_MATURIN.CSV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0044</t>
        </is>
      </c>
      <c r="H165" s="4" t="n">
        <v>45870</v>
      </c>
      <c r="I165" s="2" t="inlineStr">
        <is>
          <t>09:38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</row>
    <row r="166">
      <c r="A166" s="2" t="inlineStr">
        <is>
          <t>Z001_01_082025_MATURIN.CSV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0045</t>
        </is>
      </c>
      <c r="H166" s="4" t="n">
        <v>45901</v>
      </c>
      <c r="I166" s="2" t="inlineStr">
        <is>
          <t>09:02</t>
        </is>
      </c>
      <c r="J166" s="3" t="inlineStr">
        <is>
          <t>0001</t>
        </is>
      </c>
      <c r="K166" s="2" t="inlineStr">
        <is>
          <t>CA BRUT</t>
        </is>
      </c>
      <c r="L166" s="5" t="n">
        <v>8</v>
      </c>
      <c r="M166" s="6" t="n">
        <v>2176</v>
      </c>
    </row>
    <row r="167">
      <c r="A167" s="2" t="inlineStr">
        <is>
          <t>Z001_01_082025_MATURIN.CSV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0045</t>
        </is>
      </c>
      <c r="H167" s="4" t="n">
        <v>45901</v>
      </c>
      <c r="I167" s="2" t="inlineStr">
        <is>
          <t>09:02</t>
        </is>
      </c>
      <c r="J167" s="3" t="inlineStr">
        <is>
          <t>0002</t>
        </is>
      </c>
      <c r="K167" s="2" t="inlineStr">
        <is>
          <t>CA NET</t>
        </is>
      </c>
      <c r="L167" s="5" t="n">
        <v>6</v>
      </c>
      <c r="M167" s="6" t="n">
        <v>2176</v>
      </c>
    </row>
    <row r="168">
      <c r="A168" s="2" t="inlineStr">
        <is>
          <t>Z001_01_082025_MATURIN.CSV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0045</t>
        </is>
      </c>
      <c r="H168" s="4" t="n">
        <v>45901</v>
      </c>
      <c r="I168" s="2" t="inlineStr">
        <is>
          <t>09:02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1432</v>
      </c>
    </row>
    <row r="169">
      <c r="A169" s="2" t="inlineStr">
        <is>
          <t>Z001_01_082025_MATURIN.CSV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0045</t>
        </is>
      </c>
      <c r="H169" s="4" t="n">
        <v>45901</v>
      </c>
      <c r="I169" s="2" t="inlineStr">
        <is>
          <t>09:02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744</v>
      </c>
    </row>
    <row r="170">
      <c r="A170" s="2" t="inlineStr">
        <is>
          <t>Z001_01_082025_MATURIN.CSV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0045</t>
        </is>
      </c>
      <c r="H170" s="4" t="n">
        <v>45901</v>
      </c>
      <c r="I170" s="2" t="inlineStr">
        <is>
          <t>09:02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</row>
    <row r="171">
      <c r="A171" s="2" t="inlineStr">
        <is>
          <t>Z001_01_082025_MATURIN.CSV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0045</t>
        </is>
      </c>
      <c r="H171" s="4" t="n">
        <v>45901</v>
      </c>
      <c r="I171" s="2" t="inlineStr">
        <is>
          <t>09:02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</row>
    <row r="172">
      <c r="A172" s="2" t="inlineStr">
        <is>
          <t>Z001_01_082025_MATURIN.CSV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0045</t>
        </is>
      </c>
      <c r="H172" s="4" t="n">
        <v>45901</v>
      </c>
      <c r="I172" s="2" t="inlineStr">
        <is>
          <t>09:02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</row>
    <row r="173">
      <c r="A173" s="2" t="inlineStr">
        <is>
          <t>Z001_01_082025_MATURIN.CSV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0045</t>
        </is>
      </c>
      <c r="H173" s="4" t="n">
        <v>45901</v>
      </c>
      <c r="I173" s="2" t="inlineStr">
        <is>
          <t>09:02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</row>
    <row r="174">
      <c r="A174" s="2" t="inlineStr">
        <is>
          <t>Z001_01_082025_MATURIN.CSV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0045</t>
        </is>
      </c>
      <c r="H174" s="4" t="n">
        <v>45901</v>
      </c>
      <c r="I174" s="2" t="inlineStr">
        <is>
          <t>09:02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</row>
    <row r="175">
      <c r="A175" s="2" t="inlineStr">
        <is>
          <t>Z001_01_082025_MATURIN.CSV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0045</t>
        </is>
      </c>
      <c r="H175" s="4" t="n">
        <v>45901</v>
      </c>
      <c r="I175" s="2" t="inlineStr">
        <is>
          <t>09:02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</row>
    <row r="176">
      <c r="A176" s="2" t="inlineStr">
        <is>
          <t>Z001_01_082025_MATURIN.CSV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0045</t>
        </is>
      </c>
      <c r="H176" s="4" t="n">
        <v>45901</v>
      </c>
      <c r="I176" s="2" t="inlineStr">
        <is>
          <t>09:02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</row>
    <row r="177">
      <c r="A177" s="2" t="inlineStr">
        <is>
          <t>Z001_01_082025_MATURIN.CSV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0045</t>
        </is>
      </c>
      <c r="H177" s="4" t="n">
        <v>45901</v>
      </c>
      <c r="I177" s="2" t="inlineStr">
        <is>
          <t>09:02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</row>
    <row r="178">
      <c r="A178" s="2" t="inlineStr">
        <is>
          <t>Z001_01_082025_MATURIN.CSV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0045</t>
        </is>
      </c>
      <c r="H178" s="4" t="n">
        <v>45901</v>
      </c>
      <c r="I178" s="2" t="inlineStr">
        <is>
          <t>09:02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</row>
    <row r="179">
      <c r="A179" s="2" t="inlineStr">
        <is>
          <t>Z001_01_082025_MATURIN.CSV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0045</t>
        </is>
      </c>
      <c r="H179" s="4" t="n">
        <v>45901</v>
      </c>
      <c r="I179" s="2" t="inlineStr">
        <is>
          <t>09:02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</row>
    <row r="180">
      <c r="A180" s="2" t="inlineStr">
        <is>
          <t>Z001_01_082025_MATURIN.CSV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0045</t>
        </is>
      </c>
      <c r="H180" s="4" t="n">
        <v>45901</v>
      </c>
      <c r="I180" s="2" t="inlineStr">
        <is>
          <t>09:02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</row>
    <row r="181">
      <c r="A181" s="2" t="inlineStr">
        <is>
          <t>Z001_01_082025_MATURIN.CSV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0045</t>
        </is>
      </c>
      <c r="H181" s="4" t="n">
        <v>45901</v>
      </c>
      <c r="I181" s="2" t="inlineStr">
        <is>
          <t>09:02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</row>
    <row r="182">
      <c r="A182" s="2" t="inlineStr">
        <is>
          <t>Z001_01_082025_MATURIN.CSV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0045</t>
        </is>
      </c>
      <c r="H182" s="4" t="n">
        <v>45901</v>
      </c>
      <c r="I182" s="2" t="inlineStr">
        <is>
          <t>09:02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</row>
    <row r="183">
      <c r="A183" s="2" t="inlineStr">
        <is>
          <t>Z001_01_082025_MATURIN.CSV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0045</t>
        </is>
      </c>
      <c r="H183" s="4" t="n">
        <v>45901</v>
      </c>
      <c r="I183" s="2" t="inlineStr">
        <is>
          <t>09:02</t>
        </is>
      </c>
      <c r="J183" s="3" t="inlineStr">
        <is>
          <t>0018</t>
        </is>
      </c>
      <c r="K183" s="2" t="inlineStr">
        <is>
          <t>CLIENTS</t>
        </is>
      </c>
      <c r="L183" s="5" t="n">
        <v>6</v>
      </c>
      <c r="M183" s="6" t="n">
        <v>0</v>
      </c>
    </row>
    <row r="184">
      <c r="A184" s="2" t="inlineStr">
        <is>
          <t>Z001_01_082025_MATURIN.CSV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0045</t>
        </is>
      </c>
      <c r="H184" s="4" t="n">
        <v>45901</v>
      </c>
      <c r="I184" s="2" t="inlineStr">
        <is>
          <t>09:02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</row>
    <row r="185">
      <c r="A185" s="2" t="inlineStr">
        <is>
          <t>Z001_01_082025_MATURIN.CSV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0045</t>
        </is>
      </c>
      <c r="H185" s="4" t="n">
        <v>45901</v>
      </c>
      <c r="I185" s="2" t="inlineStr">
        <is>
          <t>09:02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</row>
    <row r="186">
      <c r="A186" s="2" t="inlineStr">
        <is>
          <t>Z001_01_082025_MATURIN.CSV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0045</t>
        </is>
      </c>
      <c r="H186" s="4" t="n">
        <v>45901</v>
      </c>
      <c r="I186" s="2" t="inlineStr">
        <is>
          <t>09:02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</row>
    <row r="187">
      <c r="A187" s="2" t="inlineStr">
        <is>
          <t>Z001_01_082025_MATURIN.CSV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0045</t>
        </is>
      </c>
      <c r="H187" s="4" t="n">
        <v>45901</v>
      </c>
      <c r="I187" s="2" t="inlineStr">
        <is>
          <t>09:02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</row>
    <row r="188">
      <c r="A188" s="2" t="inlineStr">
        <is>
          <t>Z001_01_082025_MATURIN.CSV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0045</t>
        </is>
      </c>
      <c r="H188" s="4" t="n">
        <v>45901</v>
      </c>
      <c r="I188" s="2" t="inlineStr">
        <is>
          <t>09:02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</row>
    <row r="189">
      <c r="A189" s="2" t="inlineStr">
        <is>
          <t>Z001_01_082025_MATURIN.CSV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0045</t>
        </is>
      </c>
      <c r="H189" s="4" t="n">
        <v>45901</v>
      </c>
      <c r="I189" s="2" t="inlineStr">
        <is>
          <t>09:02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</row>
    <row r="190">
      <c r="A190" s="2" t="inlineStr">
        <is>
          <t>Z001_01_082025_MATURIN.CSV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0045</t>
        </is>
      </c>
      <c r="H190" s="4" t="n">
        <v>45901</v>
      </c>
      <c r="I190" s="2" t="inlineStr">
        <is>
          <t>09:02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</row>
    <row r="191">
      <c r="A191" s="2" t="inlineStr">
        <is>
          <t>Z001_01_082025_MATURIN.CSV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0045</t>
        </is>
      </c>
      <c r="H191" s="4" t="n">
        <v>45901</v>
      </c>
      <c r="I191" s="2" t="inlineStr">
        <is>
          <t>09:02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</row>
    <row r="192">
      <c r="A192" s="2" t="inlineStr">
        <is>
          <t>Z001_01_082025_MATURIN.CSV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0045</t>
        </is>
      </c>
      <c r="H192" s="4" t="n">
        <v>45901</v>
      </c>
      <c r="I192" s="2" t="inlineStr">
        <is>
          <t>09:02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Z001_01_082025_MATURIN.CSV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0045</t>
        </is>
      </c>
      <c r="H193" s="4" t="n">
        <v>45901</v>
      </c>
      <c r="I193" s="2" t="inlineStr">
        <is>
          <t>09:02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</row>
    <row r="194">
      <c r="A194" s="2" t="inlineStr">
        <is>
          <t>Z001_01_082025_MATURIN.CSV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0045</t>
        </is>
      </c>
      <c r="H194" s="4" t="n">
        <v>45901</v>
      </c>
      <c r="I194" s="2" t="inlineStr">
        <is>
          <t>09:02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</row>
    <row r="195">
      <c r="A195" s="2" t="inlineStr">
        <is>
          <t>Z001_01_082025_MATURIN.CSV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0045</t>
        </is>
      </c>
      <c r="H195" s="4" t="n">
        <v>45901</v>
      </c>
      <c r="I195" s="2" t="inlineStr">
        <is>
          <t>09:02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</row>
    <row r="196">
      <c r="A196" s="2" t="inlineStr">
        <is>
          <t>Z001_01_082025_MATURIN.CSV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0045</t>
        </is>
      </c>
      <c r="H196" s="4" t="n">
        <v>45901</v>
      </c>
      <c r="I196" s="2" t="inlineStr">
        <is>
          <t>09:02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</row>
    <row r="197">
      <c r="A197" s="2" t="inlineStr">
        <is>
          <t>Z001_01_082025_MATURIN.CSV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0045</t>
        </is>
      </c>
      <c r="H197" s="4" t="n">
        <v>45901</v>
      </c>
      <c r="I197" s="2" t="inlineStr">
        <is>
          <t>09:02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Z001_01_082025_MATURIN.CSV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0045</t>
        </is>
      </c>
      <c r="H198" s="4" t="n">
        <v>45901</v>
      </c>
      <c r="I198" s="2" t="inlineStr">
        <is>
          <t>09:02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1813.33</v>
      </c>
    </row>
    <row r="199">
      <c r="A199" s="2" t="inlineStr">
        <is>
          <t>Z001_01_082025_MATURIN.CSV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0045</t>
        </is>
      </c>
      <c r="H199" s="4" t="n">
        <v>45901</v>
      </c>
      <c r="I199" s="2" t="inlineStr">
        <is>
          <t>09:02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362.67</v>
      </c>
    </row>
    <row r="200">
      <c r="A200" s="2" t="inlineStr">
        <is>
          <t>Z001_01_082025_MATURIN.CSV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0045</t>
        </is>
      </c>
      <c r="H200" s="4" t="n">
        <v>45901</v>
      </c>
      <c r="I200" s="2" t="inlineStr">
        <is>
          <t>09:02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</row>
    <row r="201">
      <c r="A201" s="2" t="inlineStr">
        <is>
          <t>Z001_01_082025_MATURIN.CSV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0045</t>
        </is>
      </c>
      <c r="H201" s="4" t="n">
        <v>45901</v>
      </c>
      <c r="I201" s="2" t="inlineStr">
        <is>
          <t>09:02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</row>
    <row r="202">
      <c r="A202" s="2" t="inlineStr">
        <is>
          <t>Z001_01_082025_MATURIN.CSV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0045</t>
        </is>
      </c>
      <c r="H202" s="4" t="n">
        <v>45901</v>
      </c>
      <c r="I202" s="2" t="inlineStr">
        <is>
          <t>09:02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</row>
    <row r="203">
      <c r="A203" s="2" t="inlineStr">
        <is>
          <t>Z001_01_082025_MATURIN.CSV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0045</t>
        </is>
      </c>
      <c r="H203" s="4" t="n">
        <v>45901</v>
      </c>
      <c r="I203" s="2" t="inlineStr">
        <is>
          <t>09:02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</row>
    <row r="204">
      <c r="A204" s="2" t="inlineStr">
        <is>
          <t>Z001_01_082025_MATURIN.CSV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0045</t>
        </is>
      </c>
      <c r="H204" s="4" t="n">
        <v>45901</v>
      </c>
      <c r="I204" s="2" t="inlineStr">
        <is>
          <t>09:02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</row>
    <row r="205">
      <c r="A205" s="2" t="inlineStr">
        <is>
          <t>Z001_01_082025_MATURIN.CSV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0045</t>
        </is>
      </c>
      <c r="H205" s="4" t="n">
        <v>45901</v>
      </c>
      <c r="I205" s="2" t="inlineStr">
        <is>
          <t>09:02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</row>
    <row r="206">
      <c r="A206" s="2" t="inlineStr">
        <is>
          <t>Z001_01_082025_MATURIN.CSV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0045</t>
        </is>
      </c>
      <c r="H206" s="4" t="n">
        <v>45901</v>
      </c>
      <c r="I206" s="2" t="inlineStr">
        <is>
          <t>09:02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</row>
    <row r="207">
      <c r="A207" s="2" t="inlineStr">
        <is>
          <t>Z101_02_052025_MATURIN.CSV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0023</t>
        </is>
      </c>
      <c r="H207" s="4" t="n">
        <v>45810</v>
      </c>
      <c r="I207" s="2" t="inlineStr">
        <is>
          <t>10:05</t>
        </is>
      </c>
      <c r="J207" s="3" t="inlineStr">
        <is>
          <t>0001</t>
        </is>
      </c>
      <c r="K207" s="2" t="inlineStr">
        <is>
          <t>CA BRUT</t>
        </is>
      </c>
      <c r="L207" s="5" t="n">
        <v>802</v>
      </c>
      <c r="M207" s="6" t="n">
        <v>334299.18</v>
      </c>
    </row>
    <row r="208">
      <c r="A208" s="2" t="inlineStr">
        <is>
          <t>Z101_02_052025_MATURIN.CSV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0023</t>
        </is>
      </c>
      <c r="H208" s="4" t="n">
        <v>45810</v>
      </c>
      <c r="I208" s="2" t="inlineStr">
        <is>
          <t>10:05</t>
        </is>
      </c>
      <c r="J208" s="3" t="inlineStr">
        <is>
          <t>0002</t>
        </is>
      </c>
      <c r="K208" s="2" t="inlineStr">
        <is>
          <t>CA NET</t>
        </is>
      </c>
      <c r="L208" s="5" t="n">
        <v>365</v>
      </c>
      <c r="M208" s="6" t="n">
        <v>334299.18</v>
      </c>
    </row>
    <row r="209">
      <c r="A209" s="2" t="inlineStr">
        <is>
          <t>Z101_02_052025_MATURIN.CSV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0023</t>
        </is>
      </c>
      <c r="H209" s="4" t="n">
        <v>45810</v>
      </c>
      <c r="I209" s="2" t="inlineStr">
        <is>
          <t>10:05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65807.7</v>
      </c>
    </row>
    <row r="210">
      <c r="A210" s="2" t="inlineStr">
        <is>
          <t>Z101_02_052025_MATURIN.CSV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0023</t>
        </is>
      </c>
      <c r="H210" s="4" t="n">
        <v>45810</v>
      </c>
      <c r="I210" s="2" t="inlineStr">
        <is>
          <t>10:05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268451.48</v>
      </c>
    </row>
    <row r="211">
      <c r="A211" s="2" t="inlineStr">
        <is>
          <t>Z101_02_052025_MATURIN.CSV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0023</t>
        </is>
      </c>
      <c r="H211" s="4" t="n">
        <v>45810</v>
      </c>
      <c r="I211" s="2" t="inlineStr">
        <is>
          <t>10:05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40</v>
      </c>
    </row>
    <row r="212">
      <c r="A212" s="2" t="inlineStr">
        <is>
          <t>Z101_02_052025_MATURIN.CSV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0023</t>
        </is>
      </c>
      <c r="H212" s="4" t="n">
        <v>45810</v>
      </c>
      <c r="I212" s="2" t="inlineStr">
        <is>
          <t>10:05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</row>
    <row r="213">
      <c r="A213" s="2" t="inlineStr">
        <is>
          <t>Z101_02_052025_MATURIN.CSV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0023</t>
        </is>
      </c>
      <c r="H213" s="4" t="n">
        <v>45810</v>
      </c>
      <c r="I213" s="2" t="inlineStr">
        <is>
          <t>10:05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</row>
    <row r="214">
      <c r="A214" s="2" t="inlineStr">
        <is>
          <t>Z101_02_052025_MATURIN.CSV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0023</t>
        </is>
      </c>
      <c r="H214" s="4" t="n">
        <v>45810</v>
      </c>
      <c r="I214" s="2" t="inlineStr">
        <is>
          <t>10:05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</row>
    <row r="215">
      <c r="A215" s="2" t="inlineStr">
        <is>
          <t>Z101_02_052025_MATURIN.CSV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0023</t>
        </is>
      </c>
      <c r="H215" s="4" t="n">
        <v>45810</v>
      </c>
      <c r="I215" s="2" t="inlineStr">
        <is>
          <t>10:05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</row>
    <row r="216">
      <c r="A216" s="2" t="inlineStr">
        <is>
          <t>Z101_02_052025_MATURIN.CSV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0023</t>
        </is>
      </c>
      <c r="H216" s="4" t="n">
        <v>45810</v>
      </c>
      <c r="I216" s="2" t="inlineStr">
        <is>
          <t>10:05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</row>
    <row r="217">
      <c r="A217" s="2" t="inlineStr">
        <is>
          <t>Z101_02_052025_MATURIN.CSV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0023</t>
        </is>
      </c>
      <c r="H217" s="4" t="n">
        <v>45810</v>
      </c>
      <c r="I217" s="2" t="inlineStr">
        <is>
          <t>10:05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</row>
    <row r="218">
      <c r="A218" s="2" t="inlineStr">
        <is>
          <t>Z101_02_052025_MATURIN.CSV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0023</t>
        </is>
      </c>
      <c r="H218" s="4" t="n">
        <v>45810</v>
      </c>
      <c r="I218" s="2" t="inlineStr">
        <is>
          <t>10:05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</row>
    <row r="219">
      <c r="A219" s="2" t="inlineStr">
        <is>
          <t>Z101_02_052025_MATURIN.CSV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0023</t>
        </is>
      </c>
      <c r="H219" s="4" t="n">
        <v>45810</v>
      </c>
      <c r="I219" s="2" t="inlineStr">
        <is>
          <t>10:05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</row>
    <row r="220">
      <c r="A220" s="2" t="inlineStr">
        <is>
          <t>Z101_02_052025_MATURIN.CSV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0023</t>
        </is>
      </c>
      <c r="H220" s="4" t="n">
        <v>45810</v>
      </c>
      <c r="I220" s="2" t="inlineStr">
        <is>
          <t>10:05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</row>
    <row r="221">
      <c r="A221" s="2" t="inlineStr">
        <is>
          <t>Z101_02_052025_MATURIN.CSV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0023</t>
        </is>
      </c>
      <c r="H221" s="4" t="n">
        <v>45810</v>
      </c>
      <c r="I221" s="2" t="inlineStr">
        <is>
          <t>10:05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</row>
    <row r="222">
      <c r="A222" s="2" t="inlineStr">
        <is>
          <t>Z101_02_052025_MATURIN.CSV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0023</t>
        </is>
      </c>
      <c r="H222" s="4" t="n">
        <v>45810</v>
      </c>
      <c r="I222" s="2" t="inlineStr">
        <is>
          <t>10:05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</row>
    <row r="223">
      <c r="A223" s="2" t="inlineStr">
        <is>
          <t>Z101_02_052025_MATURIN.CSV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0023</t>
        </is>
      </c>
      <c r="H223" s="4" t="n">
        <v>45810</v>
      </c>
      <c r="I223" s="2" t="inlineStr">
        <is>
          <t>10:05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</row>
    <row r="224">
      <c r="A224" s="2" t="inlineStr">
        <is>
          <t>Z101_02_052025_MATURIN.CSV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0023</t>
        </is>
      </c>
      <c r="H224" s="4" t="n">
        <v>45810</v>
      </c>
      <c r="I224" s="2" t="inlineStr">
        <is>
          <t>10:05</t>
        </is>
      </c>
      <c r="J224" s="3" t="inlineStr">
        <is>
          <t>0018</t>
        </is>
      </c>
      <c r="K224" s="2" t="inlineStr">
        <is>
          <t>CLIENTS</t>
        </is>
      </c>
      <c r="L224" s="5" t="n">
        <v>365</v>
      </c>
      <c r="M224" s="6" t="n">
        <v>0</v>
      </c>
    </row>
    <row r="225">
      <c r="A225" s="2" t="inlineStr">
        <is>
          <t>Z101_02_052025_MATURIN.CSV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0023</t>
        </is>
      </c>
      <c r="H225" s="4" t="n">
        <v>45810</v>
      </c>
      <c r="I225" s="2" t="inlineStr">
        <is>
          <t>10:05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</row>
    <row r="226">
      <c r="A226" s="2" t="inlineStr">
        <is>
          <t>Z101_02_052025_MATURIN.CSV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0023</t>
        </is>
      </c>
      <c r="H226" s="4" t="n">
        <v>45810</v>
      </c>
      <c r="I226" s="2" t="inlineStr">
        <is>
          <t>10:05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</row>
    <row r="227">
      <c r="A227" s="2" t="inlineStr">
        <is>
          <t>Z101_02_052025_MATURIN.CSV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0023</t>
        </is>
      </c>
      <c r="H227" s="4" t="n">
        <v>45810</v>
      </c>
      <c r="I227" s="2" t="inlineStr">
        <is>
          <t>10:05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</row>
    <row r="228">
      <c r="A228" s="2" t="inlineStr">
        <is>
          <t>Z101_02_052025_MATURIN.CSV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0023</t>
        </is>
      </c>
      <c r="H228" s="4" t="n">
        <v>45810</v>
      </c>
      <c r="I228" s="2" t="inlineStr">
        <is>
          <t>10:05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</row>
    <row r="229">
      <c r="A229" s="2" t="inlineStr">
        <is>
          <t>Z101_02_052025_MATURIN.CSV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0023</t>
        </is>
      </c>
      <c r="H229" s="4" t="n">
        <v>45810</v>
      </c>
      <c r="I229" s="2" t="inlineStr">
        <is>
          <t>10:05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</row>
    <row r="230">
      <c r="A230" s="2" t="inlineStr">
        <is>
          <t>Z101_02_052025_MATURIN.CSV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0023</t>
        </is>
      </c>
      <c r="H230" s="4" t="n">
        <v>45810</v>
      </c>
      <c r="I230" s="2" t="inlineStr">
        <is>
          <t>10:05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</row>
    <row r="231">
      <c r="A231" s="2" t="inlineStr">
        <is>
          <t>Z101_02_052025_MATURIN.CSV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0023</t>
        </is>
      </c>
      <c r="H231" s="4" t="n">
        <v>45810</v>
      </c>
      <c r="I231" s="2" t="inlineStr">
        <is>
          <t>10:05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</row>
    <row r="232">
      <c r="A232" s="2" t="inlineStr">
        <is>
          <t>Z101_02_052025_MATURIN.CSV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0023</t>
        </is>
      </c>
      <c r="H232" s="4" t="n">
        <v>45810</v>
      </c>
      <c r="I232" s="2" t="inlineStr">
        <is>
          <t>10:05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</row>
    <row r="233">
      <c r="A233" s="2" t="inlineStr">
        <is>
          <t>Z101_02_052025_MATURIN.CSV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0023</t>
        </is>
      </c>
      <c r="H233" s="4" t="n">
        <v>45810</v>
      </c>
      <c r="I233" s="2" t="inlineStr">
        <is>
          <t>10:05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</row>
    <row r="234">
      <c r="A234" s="2" t="inlineStr">
        <is>
          <t>Z101_02_052025_MATURIN.CSV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0023</t>
        </is>
      </c>
      <c r="H234" s="4" t="n">
        <v>45810</v>
      </c>
      <c r="I234" s="2" t="inlineStr">
        <is>
          <t>10:05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</row>
    <row r="235">
      <c r="A235" s="2" t="inlineStr">
        <is>
          <t>Z101_02_052025_MATURIN.CSV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0023</t>
        </is>
      </c>
      <c r="H235" s="4" t="n">
        <v>45810</v>
      </c>
      <c r="I235" s="2" t="inlineStr">
        <is>
          <t>10:05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</row>
    <row r="236">
      <c r="A236" s="2" t="inlineStr">
        <is>
          <t>Z101_02_052025_MATURIN.CSV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0023</t>
        </is>
      </c>
      <c r="H236" s="4" t="n">
        <v>45810</v>
      </c>
      <c r="I236" s="2" t="inlineStr">
        <is>
          <t>10:05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</row>
    <row r="237">
      <c r="A237" s="2" t="inlineStr">
        <is>
          <t>Z101_02_052025_MATURIN.CSV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0023</t>
        </is>
      </c>
      <c r="H237" s="4" t="n">
        <v>45810</v>
      </c>
      <c r="I237" s="2" t="inlineStr">
        <is>
          <t>10:05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</row>
    <row r="238">
      <c r="A238" s="2" t="inlineStr">
        <is>
          <t>Z101_02_052025_MATURIN.CSV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0023</t>
        </is>
      </c>
      <c r="H238" s="4" t="n">
        <v>45810</v>
      </c>
      <c r="I238" s="2" t="inlineStr">
        <is>
          <t>10:05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Z101_02_052025_MATURIN.CSV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0023</t>
        </is>
      </c>
      <c r="H239" s="4" t="n">
        <v>45810</v>
      </c>
      <c r="I239" s="2" t="inlineStr">
        <is>
          <t>10:05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278582.64</v>
      </c>
    </row>
    <row r="240">
      <c r="A240" s="2" t="inlineStr">
        <is>
          <t>Z101_02_052025_MATURIN.CSV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0023</t>
        </is>
      </c>
      <c r="H240" s="4" t="n">
        <v>45810</v>
      </c>
      <c r="I240" s="2" t="inlineStr">
        <is>
          <t>10:05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55716.54</v>
      </c>
    </row>
    <row r="241">
      <c r="A241" s="2" t="inlineStr">
        <is>
          <t>Z101_02_052025_MATURIN.CSV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0023</t>
        </is>
      </c>
      <c r="H241" s="4" t="n">
        <v>45810</v>
      </c>
      <c r="I241" s="2" t="inlineStr">
        <is>
          <t>10:05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</row>
    <row r="242">
      <c r="A242" s="2" t="inlineStr">
        <is>
          <t>Z101_02_052025_MATURIN.CSV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0023</t>
        </is>
      </c>
      <c r="H242" s="4" t="n">
        <v>45810</v>
      </c>
      <c r="I242" s="2" t="inlineStr">
        <is>
          <t>10:05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</row>
    <row r="243">
      <c r="A243" s="2" t="inlineStr">
        <is>
          <t>Z101_02_052025_MATURIN.CSV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0023</t>
        </is>
      </c>
      <c r="H243" s="4" t="n">
        <v>45810</v>
      </c>
      <c r="I243" s="2" t="inlineStr">
        <is>
          <t>10:05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</row>
    <row r="244">
      <c r="A244" s="2" t="inlineStr">
        <is>
          <t>Z101_02_052025_MATURIN.CSV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0023</t>
        </is>
      </c>
      <c r="H244" s="4" t="n">
        <v>45810</v>
      </c>
      <c r="I244" s="2" t="inlineStr">
        <is>
          <t>10:05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</row>
    <row r="245">
      <c r="A245" s="2" t="inlineStr">
        <is>
          <t>Z101_02_052025_MATURIN.CSV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0023</t>
        </is>
      </c>
      <c r="H245" s="4" t="n">
        <v>45810</v>
      </c>
      <c r="I245" s="2" t="inlineStr">
        <is>
          <t>10:05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</row>
    <row r="246">
      <c r="A246" s="2" t="inlineStr">
        <is>
          <t>Z101_02_052025_MATURIN.CSV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0023</t>
        </is>
      </c>
      <c r="H246" s="4" t="n">
        <v>45810</v>
      </c>
      <c r="I246" s="2" t="inlineStr">
        <is>
          <t>10:05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</row>
    <row r="247">
      <c r="A247" s="2" t="inlineStr">
        <is>
          <t>Z101_02_052025_MATURIN.CSV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0023</t>
        </is>
      </c>
      <c r="H247" s="4" t="n">
        <v>45810</v>
      </c>
      <c r="I247" s="2" t="inlineStr">
        <is>
          <t>10:05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</row>
    <row r="248">
      <c r="A248" s="2" t="inlineStr">
        <is>
          <t>Z201_02A_052025_MATURIN.CSV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FILE201</t>
        </is>
      </c>
      <c r="F248" s="2" t="inlineStr">
        <is>
          <t>ZZ2</t>
        </is>
      </c>
      <c r="G248" s="3" t="inlineStr">
        <is>
          <t>0011</t>
        </is>
      </c>
      <c r="H248" s="4" t="n">
        <v>45810</v>
      </c>
      <c r="I248" s="2" t="inlineStr">
        <is>
          <t>10:06</t>
        </is>
      </c>
      <c r="J248" s="3" t="inlineStr">
        <is>
          <t>0001</t>
        </is>
      </c>
      <c r="K248" s="2" t="inlineStr">
        <is>
          <t>CA BRUT</t>
        </is>
      </c>
      <c r="L248" s="5" t="n">
        <v>802</v>
      </c>
      <c r="M248" s="6" t="n">
        <v>334299.18</v>
      </c>
    </row>
    <row r="249">
      <c r="A249" s="2" t="inlineStr">
        <is>
          <t>Z201_02A_052025_MATURIN.CSV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FILE201</t>
        </is>
      </c>
      <c r="F249" s="2" t="inlineStr">
        <is>
          <t>ZZ2</t>
        </is>
      </c>
      <c r="G249" s="3" t="inlineStr">
        <is>
          <t>0011</t>
        </is>
      </c>
      <c r="H249" s="4" t="n">
        <v>45810</v>
      </c>
      <c r="I249" s="2" t="inlineStr">
        <is>
          <t>10:06</t>
        </is>
      </c>
      <c r="J249" s="3" t="inlineStr">
        <is>
          <t>0002</t>
        </is>
      </c>
      <c r="K249" s="2" t="inlineStr">
        <is>
          <t>CA NET</t>
        </is>
      </c>
      <c r="L249" s="5" t="n">
        <v>365</v>
      </c>
      <c r="M249" s="6" t="n">
        <v>334299.18</v>
      </c>
    </row>
    <row r="250">
      <c r="A250" s="2" t="inlineStr">
        <is>
          <t>Z201_02A_052025_MATURIN.CSV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FILE201</t>
        </is>
      </c>
      <c r="F250" s="2" t="inlineStr">
        <is>
          <t>ZZ2</t>
        </is>
      </c>
      <c r="G250" s="3" t="inlineStr">
        <is>
          <t>0011</t>
        </is>
      </c>
      <c r="H250" s="4" t="n">
        <v>45810</v>
      </c>
      <c r="I250" s="2" t="inlineStr">
        <is>
          <t>10:06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65807.7</v>
      </c>
    </row>
    <row r="251">
      <c r="A251" s="2" t="inlineStr">
        <is>
          <t>Z201_02A_052025_MATURIN.CSV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FILE201</t>
        </is>
      </c>
      <c r="F251" s="2" t="inlineStr">
        <is>
          <t>ZZ2</t>
        </is>
      </c>
      <c r="G251" s="3" t="inlineStr">
        <is>
          <t>0011</t>
        </is>
      </c>
      <c r="H251" s="4" t="n">
        <v>45810</v>
      </c>
      <c r="I251" s="2" t="inlineStr">
        <is>
          <t>10:06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268451.48</v>
      </c>
    </row>
    <row r="252">
      <c r="A252" s="2" t="inlineStr">
        <is>
          <t>Z201_02A_052025_MATURIN.CSV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FILE201</t>
        </is>
      </c>
      <c r="F252" s="2" t="inlineStr">
        <is>
          <t>ZZ2</t>
        </is>
      </c>
      <c r="G252" s="3" t="inlineStr">
        <is>
          <t>0011</t>
        </is>
      </c>
      <c r="H252" s="4" t="n">
        <v>45810</v>
      </c>
      <c r="I252" s="2" t="inlineStr">
        <is>
          <t>10:06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40</v>
      </c>
    </row>
    <row r="253">
      <c r="A253" s="2" t="inlineStr">
        <is>
          <t>Z201_02A_052025_MATURIN.CSV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FILE201</t>
        </is>
      </c>
      <c r="F253" s="2" t="inlineStr">
        <is>
          <t>ZZ2</t>
        </is>
      </c>
      <c r="G253" s="3" t="inlineStr">
        <is>
          <t>0011</t>
        </is>
      </c>
      <c r="H253" s="4" t="n">
        <v>45810</v>
      </c>
      <c r="I253" s="2" t="inlineStr">
        <is>
          <t>10:06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</row>
    <row r="254">
      <c r="A254" s="2" t="inlineStr">
        <is>
          <t>Z201_02A_052025_MATURIN.CSV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FILE201</t>
        </is>
      </c>
      <c r="F254" s="2" t="inlineStr">
        <is>
          <t>ZZ2</t>
        </is>
      </c>
      <c r="G254" s="3" t="inlineStr">
        <is>
          <t>0011</t>
        </is>
      </c>
      <c r="H254" s="4" t="n">
        <v>45810</v>
      </c>
      <c r="I254" s="2" t="inlineStr">
        <is>
          <t>10:06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</row>
    <row r="255">
      <c r="A255" s="2" t="inlineStr">
        <is>
          <t>Z201_02A_052025_MATURIN.CSV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FILE201</t>
        </is>
      </c>
      <c r="F255" s="2" t="inlineStr">
        <is>
          <t>ZZ2</t>
        </is>
      </c>
      <c r="G255" s="3" t="inlineStr">
        <is>
          <t>0011</t>
        </is>
      </c>
      <c r="H255" s="4" t="n">
        <v>45810</v>
      </c>
      <c r="I255" s="2" t="inlineStr">
        <is>
          <t>10:06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</row>
    <row r="256">
      <c r="A256" s="2" t="inlineStr">
        <is>
          <t>Z201_02A_052025_MATURIN.CSV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FILE201</t>
        </is>
      </c>
      <c r="F256" s="2" t="inlineStr">
        <is>
          <t>ZZ2</t>
        </is>
      </c>
      <c r="G256" s="3" t="inlineStr">
        <is>
          <t>0011</t>
        </is>
      </c>
      <c r="H256" s="4" t="n">
        <v>45810</v>
      </c>
      <c r="I256" s="2" t="inlineStr">
        <is>
          <t>10:06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</row>
    <row r="257">
      <c r="A257" s="2" t="inlineStr">
        <is>
          <t>Z201_02A_052025_MATURIN.CSV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FILE201</t>
        </is>
      </c>
      <c r="F257" s="2" t="inlineStr">
        <is>
          <t>ZZ2</t>
        </is>
      </c>
      <c r="G257" s="3" t="inlineStr">
        <is>
          <t>0011</t>
        </is>
      </c>
      <c r="H257" s="4" t="n">
        <v>45810</v>
      </c>
      <c r="I257" s="2" t="inlineStr">
        <is>
          <t>10:06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</row>
    <row r="258">
      <c r="A258" s="2" t="inlineStr">
        <is>
          <t>Z201_02A_052025_MATURIN.CSV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FILE201</t>
        </is>
      </c>
      <c r="F258" s="2" t="inlineStr">
        <is>
          <t>ZZ2</t>
        </is>
      </c>
      <c r="G258" s="3" t="inlineStr">
        <is>
          <t>0011</t>
        </is>
      </c>
      <c r="H258" s="4" t="n">
        <v>45810</v>
      </c>
      <c r="I258" s="2" t="inlineStr">
        <is>
          <t>10:06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</row>
    <row r="259">
      <c r="A259" s="2" t="inlineStr">
        <is>
          <t>Z201_02A_052025_MATURIN.CSV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FILE201</t>
        </is>
      </c>
      <c r="F259" s="2" t="inlineStr">
        <is>
          <t>ZZ2</t>
        </is>
      </c>
      <c r="G259" s="3" t="inlineStr">
        <is>
          <t>0011</t>
        </is>
      </c>
      <c r="H259" s="4" t="n">
        <v>45810</v>
      </c>
      <c r="I259" s="2" t="inlineStr">
        <is>
          <t>10:06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</row>
    <row r="260">
      <c r="A260" s="2" t="inlineStr">
        <is>
          <t>Z201_02A_052025_MATURIN.CSV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FILE201</t>
        </is>
      </c>
      <c r="F260" s="2" t="inlineStr">
        <is>
          <t>ZZ2</t>
        </is>
      </c>
      <c r="G260" s="3" t="inlineStr">
        <is>
          <t>0011</t>
        </is>
      </c>
      <c r="H260" s="4" t="n">
        <v>45810</v>
      </c>
      <c r="I260" s="2" t="inlineStr">
        <is>
          <t>10:06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</row>
    <row r="261">
      <c r="A261" s="2" t="inlineStr">
        <is>
          <t>Z201_02A_052025_MATURIN.CSV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FILE201</t>
        </is>
      </c>
      <c r="F261" s="2" t="inlineStr">
        <is>
          <t>ZZ2</t>
        </is>
      </c>
      <c r="G261" s="3" t="inlineStr">
        <is>
          <t>0011</t>
        </is>
      </c>
      <c r="H261" s="4" t="n">
        <v>45810</v>
      </c>
      <c r="I261" s="2" t="inlineStr">
        <is>
          <t>10:06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</row>
    <row r="262">
      <c r="A262" s="2" t="inlineStr">
        <is>
          <t>Z201_02A_052025_MATURIN.CSV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FILE201</t>
        </is>
      </c>
      <c r="F262" s="2" t="inlineStr">
        <is>
          <t>ZZ2</t>
        </is>
      </c>
      <c r="G262" s="3" t="inlineStr">
        <is>
          <t>0011</t>
        </is>
      </c>
      <c r="H262" s="4" t="n">
        <v>45810</v>
      </c>
      <c r="I262" s="2" t="inlineStr">
        <is>
          <t>10:06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</row>
    <row r="263">
      <c r="A263" s="2" t="inlineStr">
        <is>
          <t>Z201_02A_052025_MATURIN.CSV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FILE201</t>
        </is>
      </c>
      <c r="F263" s="2" t="inlineStr">
        <is>
          <t>ZZ2</t>
        </is>
      </c>
      <c r="G263" s="3" t="inlineStr">
        <is>
          <t>0011</t>
        </is>
      </c>
      <c r="H263" s="4" t="n">
        <v>45810</v>
      </c>
      <c r="I263" s="2" t="inlineStr">
        <is>
          <t>10:06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</row>
    <row r="264">
      <c r="A264" s="2" t="inlineStr">
        <is>
          <t>Z201_02A_052025_MATURIN.CSV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FILE201</t>
        </is>
      </c>
      <c r="F264" s="2" t="inlineStr">
        <is>
          <t>ZZ2</t>
        </is>
      </c>
      <c r="G264" s="3" t="inlineStr">
        <is>
          <t>0011</t>
        </is>
      </c>
      <c r="H264" s="4" t="n">
        <v>45810</v>
      </c>
      <c r="I264" s="2" t="inlineStr">
        <is>
          <t>10:06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</row>
    <row r="265">
      <c r="A265" s="2" t="inlineStr">
        <is>
          <t>Z201_02A_052025_MATURIN.CSV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FILE201</t>
        </is>
      </c>
      <c r="F265" s="2" t="inlineStr">
        <is>
          <t>ZZ2</t>
        </is>
      </c>
      <c r="G265" s="3" t="inlineStr">
        <is>
          <t>0011</t>
        </is>
      </c>
      <c r="H265" s="4" t="n">
        <v>45810</v>
      </c>
      <c r="I265" s="2" t="inlineStr">
        <is>
          <t>10:06</t>
        </is>
      </c>
      <c r="J265" s="3" t="inlineStr">
        <is>
          <t>0018</t>
        </is>
      </c>
      <c r="K265" s="2" t="inlineStr">
        <is>
          <t>CLIENTS</t>
        </is>
      </c>
      <c r="L265" s="5" t="n">
        <v>365</v>
      </c>
      <c r="M265" s="6" t="n">
        <v>0</v>
      </c>
    </row>
    <row r="266">
      <c r="A266" s="2" t="inlineStr">
        <is>
          <t>Z201_02A_052025_MATURIN.CSV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FILE201</t>
        </is>
      </c>
      <c r="F266" s="2" t="inlineStr">
        <is>
          <t>ZZ2</t>
        </is>
      </c>
      <c r="G266" s="3" t="inlineStr">
        <is>
          <t>0011</t>
        </is>
      </c>
      <c r="H266" s="4" t="n">
        <v>45810</v>
      </c>
      <c r="I266" s="2" t="inlineStr">
        <is>
          <t>10:06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</row>
    <row r="267">
      <c r="A267" s="2" t="inlineStr">
        <is>
          <t>Z201_02A_052025_MATURIN.CSV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FILE201</t>
        </is>
      </c>
      <c r="F267" s="2" t="inlineStr">
        <is>
          <t>ZZ2</t>
        </is>
      </c>
      <c r="G267" s="3" t="inlineStr">
        <is>
          <t>0011</t>
        </is>
      </c>
      <c r="H267" s="4" t="n">
        <v>45810</v>
      </c>
      <c r="I267" s="2" t="inlineStr">
        <is>
          <t>10:06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</row>
    <row r="268">
      <c r="A268" s="2" t="inlineStr">
        <is>
          <t>Z201_02A_052025_MATURIN.CSV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FILE201</t>
        </is>
      </c>
      <c r="F268" s="2" t="inlineStr">
        <is>
          <t>ZZ2</t>
        </is>
      </c>
      <c r="G268" s="3" t="inlineStr">
        <is>
          <t>0011</t>
        </is>
      </c>
      <c r="H268" s="4" t="n">
        <v>45810</v>
      </c>
      <c r="I268" s="2" t="inlineStr">
        <is>
          <t>10:06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</row>
    <row r="269">
      <c r="A269" s="2" t="inlineStr">
        <is>
          <t>Z201_02A_052025_MATURIN.CSV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FILE201</t>
        </is>
      </c>
      <c r="F269" s="2" t="inlineStr">
        <is>
          <t>ZZ2</t>
        </is>
      </c>
      <c r="G269" s="3" t="inlineStr">
        <is>
          <t>0011</t>
        </is>
      </c>
      <c r="H269" s="4" t="n">
        <v>45810</v>
      </c>
      <c r="I269" s="2" t="inlineStr">
        <is>
          <t>10:06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</row>
    <row r="270">
      <c r="A270" s="2" t="inlineStr">
        <is>
          <t>Z201_02A_052025_MATURIN.CSV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FILE201</t>
        </is>
      </c>
      <c r="F270" s="2" t="inlineStr">
        <is>
          <t>ZZ2</t>
        </is>
      </c>
      <c r="G270" s="3" t="inlineStr">
        <is>
          <t>0011</t>
        </is>
      </c>
      <c r="H270" s="4" t="n">
        <v>45810</v>
      </c>
      <c r="I270" s="2" t="inlineStr">
        <is>
          <t>10:06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</row>
    <row r="271">
      <c r="A271" s="2" t="inlineStr">
        <is>
          <t>Z201_02A_052025_MATURIN.CSV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FILE201</t>
        </is>
      </c>
      <c r="F271" s="2" t="inlineStr">
        <is>
          <t>ZZ2</t>
        </is>
      </c>
      <c r="G271" s="3" t="inlineStr">
        <is>
          <t>0011</t>
        </is>
      </c>
      <c r="H271" s="4" t="n">
        <v>45810</v>
      </c>
      <c r="I271" s="2" t="inlineStr">
        <is>
          <t>10:06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</row>
    <row r="272">
      <c r="A272" s="2" t="inlineStr">
        <is>
          <t>Z201_02A_052025_MATURIN.CSV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FILE201</t>
        </is>
      </c>
      <c r="F272" s="2" t="inlineStr">
        <is>
          <t>ZZ2</t>
        </is>
      </c>
      <c r="G272" s="3" t="inlineStr">
        <is>
          <t>0011</t>
        </is>
      </c>
      <c r="H272" s="4" t="n">
        <v>45810</v>
      </c>
      <c r="I272" s="2" t="inlineStr">
        <is>
          <t>10:06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</row>
    <row r="273">
      <c r="A273" s="2" t="inlineStr">
        <is>
          <t>Z201_02A_052025_MATURIN.CSV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FILE201</t>
        </is>
      </c>
      <c r="F273" s="2" t="inlineStr">
        <is>
          <t>ZZ2</t>
        </is>
      </c>
      <c r="G273" s="3" t="inlineStr">
        <is>
          <t>0011</t>
        </is>
      </c>
      <c r="H273" s="4" t="n">
        <v>45810</v>
      </c>
      <c r="I273" s="2" t="inlineStr">
        <is>
          <t>10:06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</row>
    <row r="274">
      <c r="A274" s="2" t="inlineStr">
        <is>
          <t>Z201_02A_052025_MATURIN.CSV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FILE201</t>
        </is>
      </c>
      <c r="F274" s="2" t="inlineStr">
        <is>
          <t>ZZ2</t>
        </is>
      </c>
      <c r="G274" s="3" t="inlineStr">
        <is>
          <t>0011</t>
        </is>
      </c>
      <c r="H274" s="4" t="n">
        <v>45810</v>
      </c>
      <c r="I274" s="2" t="inlineStr">
        <is>
          <t>10:06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</row>
    <row r="275">
      <c r="A275" s="2" t="inlineStr">
        <is>
          <t>Z201_02A_052025_MATURIN.CSV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FILE201</t>
        </is>
      </c>
      <c r="F275" s="2" t="inlineStr">
        <is>
          <t>ZZ2</t>
        </is>
      </c>
      <c r="G275" s="3" t="inlineStr">
        <is>
          <t>0011</t>
        </is>
      </c>
      <c r="H275" s="4" t="n">
        <v>45810</v>
      </c>
      <c r="I275" s="2" t="inlineStr">
        <is>
          <t>10:06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</row>
    <row r="276">
      <c r="A276" s="2" t="inlineStr">
        <is>
          <t>Z201_02A_052025_MATURIN.CSV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FILE201</t>
        </is>
      </c>
      <c r="F276" s="2" t="inlineStr">
        <is>
          <t>ZZ2</t>
        </is>
      </c>
      <c r="G276" s="3" t="inlineStr">
        <is>
          <t>0011</t>
        </is>
      </c>
      <c r="H276" s="4" t="n">
        <v>45810</v>
      </c>
      <c r="I276" s="2" t="inlineStr">
        <is>
          <t>10:06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</row>
    <row r="277">
      <c r="A277" s="2" t="inlineStr">
        <is>
          <t>Z201_02A_052025_MATURIN.CSV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FILE201</t>
        </is>
      </c>
      <c r="F277" s="2" t="inlineStr">
        <is>
          <t>ZZ2</t>
        </is>
      </c>
      <c r="G277" s="3" t="inlineStr">
        <is>
          <t>0011</t>
        </is>
      </c>
      <c r="H277" s="4" t="n">
        <v>45810</v>
      </c>
      <c r="I277" s="2" t="inlineStr">
        <is>
          <t>10:06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</row>
    <row r="278">
      <c r="A278" s="2" t="inlineStr">
        <is>
          <t>Z201_02A_052025_MATURIN.CSV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FILE201</t>
        </is>
      </c>
      <c r="F278" s="2" t="inlineStr">
        <is>
          <t>ZZ2</t>
        </is>
      </c>
      <c r="G278" s="3" t="inlineStr">
        <is>
          <t>0011</t>
        </is>
      </c>
      <c r="H278" s="4" t="n">
        <v>45810</v>
      </c>
      <c r="I278" s="2" t="inlineStr">
        <is>
          <t>10:06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</row>
    <row r="279">
      <c r="A279" s="2" t="inlineStr">
        <is>
          <t>Z201_02A_052025_MATURIN.CSV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FILE201</t>
        </is>
      </c>
      <c r="F279" s="2" t="inlineStr">
        <is>
          <t>ZZ2</t>
        </is>
      </c>
      <c r="G279" s="3" t="inlineStr">
        <is>
          <t>0011</t>
        </is>
      </c>
      <c r="H279" s="4" t="n">
        <v>45810</v>
      </c>
      <c r="I279" s="2" t="inlineStr">
        <is>
          <t>10:06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</row>
    <row r="280">
      <c r="A280" s="2" t="inlineStr">
        <is>
          <t>Z201_02A_052025_MATURIN.CSV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FILE201</t>
        </is>
      </c>
      <c r="F280" s="2" t="inlineStr">
        <is>
          <t>ZZ2</t>
        </is>
      </c>
      <c r="G280" s="3" t="inlineStr">
        <is>
          <t>0011</t>
        </is>
      </c>
      <c r="H280" s="4" t="n">
        <v>45810</v>
      </c>
      <c r="I280" s="2" t="inlineStr">
        <is>
          <t>10:06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278582.64</v>
      </c>
    </row>
    <row r="281">
      <c r="A281" s="2" t="inlineStr">
        <is>
          <t>Z201_02A_052025_MATURIN.CSV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FILE201</t>
        </is>
      </c>
      <c r="F281" s="2" t="inlineStr">
        <is>
          <t>ZZ2</t>
        </is>
      </c>
      <c r="G281" s="3" t="inlineStr">
        <is>
          <t>0011</t>
        </is>
      </c>
      <c r="H281" s="4" t="n">
        <v>45810</v>
      </c>
      <c r="I281" s="2" t="inlineStr">
        <is>
          <t>10:06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55716.54</v>
      </c>
    </row>
    <row r="282">
      <c r="A282" s="2" t="inlineStr">
        <is>
          <t>Z201_02A_052025_MATURIN.CSV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FILE201</t>
        </is>
      </c>
      <c r="F282" s="2" t="inlineStr">
        <is>
          <t>ZZ2</t>
        </is>
      </c>
      <c r="G282" s="3" t="inlineStr">
        <is>
          <t>0011</t>
        </is>
      </c>
      <c r="H282" s="4" t="n">
        <v>45810</v>
      </c>
      <c r="I282" s="2" t="inlineStr">
        <is>
          <t>10:06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</row>
    <row r="283">
      <c r="A283" s="2" t="inlineStr">
        <is>
          <t>Z201_02A_052025_MATURIN.CSV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FILE201</t>
        </is>
      </c>
      <c r="F283" s="2" t="inlineStr">
        <is>
          <t>ZZ2</t>
        </is>
      </c>
      <c r="G283" s="3" t="inlineStr">
        <is>
          <t>0011</t>
        </is>
      </c>
      <c r="H283" s="4" t="n">
        <v>45810</v>
      </c>
      <c r="I283" s="2" t="inlineStr">
        <is>
          <t>10:06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</row>
    <row r="284">
      <c r="A284" s="2" t="inlineStr">
        <is>
          <t>Z201_02A_052025_MATURIN.CSV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FILE201</t>
        </is>
      </c>
      <c r="F284" s="2" t="inlineStr">
        <is>
          <t>ZZ2</t>
        </is>
      </c>
      <c r="G284" s="3" t="inlineStr">
        <is>
          <t>0011</t>
        </is>
      </c>
      <c r="H284" s="4" t="n">
        <v>45810</v>
      </c>
      <c r="I284" s="2" t="inlineStr">
        <is>
          <t>10:06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</row>
    <row r="285">
      <c r="A285" s="2" t="inlineStr">
        <is>
          <t>Z201_02A_052025_MATURIN.CSV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FILE201</t>
        </is>
      </c>
      <c r="F285" s="2" t="inlineStr">
        <is>
          <t>ZZ2</t>
        </is>
      </c>
      <c r="G285" s="3" t="inlineStr">
        <is>
          <t>0011</t>
        </is>
      </c>
      <c r="H285" s="4" t="n">
        <v>45810</v>
      </c>
      <c r="I285" s="2" t="inlineStr">
        <is>
          <t>10:06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</row>
    <row r="286">
      <c r="A286" s="2" t="inlineStr">
        <is>
          <t>Z201_02A_052025_MATURIN.CSV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FILE201</t>
        </is>
      </c>
      <c r="F286" s="2" t="inlineStr">
        <is>
          <t>ZZ2</t>
        </is>
      </c>
      <c r="G286" s="3" t="inlineStr">
        <is>
          <t>0011</t>
        </is>
      </c>
      <c r="H286" s="4" t="n">
        <v>45810</v>
      </c>
      <c r="I286" s="2" t="inlineStr">
        <is>
          <t>10:06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</row>
    <row r="287">
      <c r="A287" s="2" t="inlineStr">
        <is>
          <t>Z201_02A_052025_MATURIN.CSV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FILE201</t>
        </is>
      </c>
      <c r="F287" s="2" t="inlineStr">
        <is>
          <t>ZZ2</t>
        </is>
      </c>
      <c r="G287" s="3" t="inlineStr">
        <is>
          <t>0011</t>
        </is>
      </c>
      <c r="H287" s="4" t="n">
        <v>45810</v>
      </c>
      <c r="I287" s="2" t="inlineStr">
        <is>
          <t>10:06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</row>
    <row r="288">
      <c r="A288" s="2" t="inlineStr">
        <is>
          <t>Z201_02A_052025_MATURIN.CSV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FILE201</t>
        </is>
      </c>
      <c r="F288" s="2" t="inlineStr">
        <is>
          <t>ZZ2</t>
        </is>
      </c>
      <c r="G288" s="3" t="inlineStr">
        <is>
          <t>0011</t>
        </is>
      </c>
      <c r="H288" s="4" t="n">
        <v>45810</v>
      </c>
      <c r="I288" s="2" t="inlineStr">
        <is>
          <t>10:06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</row>
  </sheetData>
  <autoFilter ref="A1:M28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Z001_01_012025_MATURIN.CSV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0041</t>
        </is>
      </c>
      <c r="H2" s="4" t="n">
        <v>45689</v>
      </c>
      <c r="I2" s="2" t="inlineStr">
        <is>
          <t>15:53</t>
        </is>
      </c>
      <c r="J2" s="3" t="inlineStr">
        <is>
          <t>0001</t>
        </is>
      </c>
      <c r="K2" s="2" t="inlineStr">
        <is>
          <t>CA BRUT</t>
        </is>
      </c>
      <c r="L2" s="5" t="n">
        <v>31</v>
      </c>
      <c r="M2" s="6" t="n">
        <v>11680.3</v>
      </c>
      <c r="N2" s="5" t="n">
        <v>2025</v>
      </c>
      <c r="O2" s="6" t="inlineStr">
        <is>
          <t>2025-01</t>
        </is>
      </c>
    </row>
    <row r="3">
      <c r="A3" s="2" t="inlineStr">
        <is>
          <t>Z001_01_012025_MATURIN.CSV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0041</t>
        </is>
      </c>
      <c r="H3" s="4" t="n">
        <v>45689</v>
      </c>
      <c r="I3" s="2" t="inlineStr">
        <is>
          <t>15:53</t>
        </is>
      </c>
      <c r="J3" s="3" t="inlineStr">
        <is>
          <t>0002</t>
        </is>
      </c>
      <c r="K3" s="2" t="inlineStr">
        <is>
          <t>CA NET</t>
        </is>
      </c>
      <c r="L3" s="5" t="n">
        <v>19</v>
      </c>
      <c r="M3" s="6" t="n">
        <v>11680.3</v>
      </c>
      <c r="N3" s="5" t="n">
        <v>2025</v>
      </c>
      <c r="O3" s="6" t="inlineStr">
        <is>
          <t>2025-01</t>
        </is>
      </c>
    </row>
    <row r="4">
      <c r="A4" s="2" t="inlineStr">
        <is>
          <t>Z001_01_012025_MATURIN.CSV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0041</t>
        </is>
      </c>
      <c r="H4" s="4" t="n">
        <v>45689</v>
      </c>
      <c r="I4" s="2" t="inlineStr">
        <is>
          <t>15:53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2731.5</v>
      </c>
      <c r="N4" s="5" t="n">
        <v>2025</v>
      </c>
      <c r="O4" s="6" t="inlineStr">
        <is>
          <t>2025-01</t>
        </is>
      </c>
    </row>
    <row r="5">
      <c r="A5" s="2" t="inlineStr">
        <is>
          <t>Z001_01_012025_MATURIN.CSV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0041</t>
        </is>
      </c>
      <c r="H5" s="4" t="n">
        <v>45689</v>
      </c>
      <c r="I5" s="2" t="inlineStr">
        <is>
          <t>15:53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8948.799999999999</v>
      </c>
      <c r="N5" s="5" t="n">
        <v>2025</v>
      </c>
      <c r="O5" s="6" t="inlineStr">
        <is>
          <t>2025-01</t>
        </is>
      </c>
    </row>
    <row r="6">
      <c r="A6" s="2" t="inlineStr">
        <is>
          <t>Z001_01_012025_MATURIN.CSV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0041</t>
        </is>
      </c>
      <c r="H6" s="4" t="n">
        <v>45689</v>
      </c>
      <c r="I6" s="2" t="inlineStr">
        <is>
          <t>15:53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  <c r="N6" s="5" t="n">
        <v>2025</v>
      </c>
      <c r="O6" s="6" t="inlineStr">
        <is>
          <t>2025-01</t>
        </is>
      </c>
    </row>
    <row r="7">
      <c r="A7" s="2" t="inlineStr">
        <is>
          <t>Z001_01_012025_MATURIN.CSV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0041</t>
        </is>
      </c>
      <c r="H7" s="4" t="n">
        <v>45689</v>
      </c>
      <c r="I7" s="2" t="inlineStr">
        <is>
          <t>15:53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  <c r="N7" s="5" t="n">
        <v>2025</v>
      </c>
      <c r="O7" s="6" t="inlineStr">
        <is>
          <t>2025-01</t>
        </is>
      </c>
    </row>
    <row r="8">
      <c r="A8" s="2" t="inlineStr">
        <is>
          <t>Z001_01_012025_MATURIN.CSV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0041</t>
        </is>
      </c>
      <c r="H8" s="4" t="n">
        <v>45689</v>
      </c>
      <c r="I8" s="2" t="inlineStr">
        <is>
          <t>15:53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  <c r="N8" s="5" t="n">
        <v>2025</v>
      </c>
      <c r="O8" s="6" t="inlineStr">
        <is>
          <t>2025-01</t>
        </is>
      </c>
    </row>
    <row r="9">
      <c r="A9" s="2" t="inlineStr">
        <is>
          <t>Z001_01_012025_MATURIN.CSV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0041</t>
        </is>
      </c>
      <c r="H9" s="4" t="n">
        <v>45689</v>
      </c>
      <c r="I9" s="2" t="inlineStr">
        <is>
          <t>15:53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  <c r="N9" s="5" t="n">
        <v>2025</v>
      </c>
      <c r="O9" s="6" t="inlineStr">
        <is>
          <t>2025-01</t>
        </is>
      </c>
    </row>
    <row r="10">
      <c r="A10" s="2" t="inlineStr">
        <is>
          <t>Z001_01_012025_MATURIN.CSV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0041</t>
        </is>
      </c>
      <c r="H10" s="4" t="n">
        <v>45689</v>
      </c>
      <c r="I10" s="2" t="inlineStr">
        <is>
          <t>15:53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  <c r="N10" s="5" t="n">
        <v>2025</v>
      </c>
      <c r="O10" s="6" t="inlineStr">
        <is>
          <t>2025-01</t>
        </is>
      </c>
    </row>
    <row r="11">
      <c r="A11" s="2" t="inlineStr">
        <is>
          <t>Z001_01_012025_MATURIN.CSV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0041</t>
        </is>
      </c>
      <c r="H11" s="4" t="n">
        <v>45689</v>
      </c>
      <c r="I11" s="2" t="inlineStr">
        <is>
          <t>15:53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  <c r="N11" s="5" t="n">
        <v>2025</v>
      </c>
      <c r="O11" s="6" t="inlineStr">
        <is>
          <t>2025-01</t>
        </is>
      </c>
    </row>
    <row r="12">
      <c r="A12" s="2" t="inlineStr">
        <is>
          <t>Z001_01_012025_MATURIN.CSV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0041</t>
        </is>
      </c>
      <c r="H12" s="4" t="n">
        <v>45689</v>
      </c>
      <c r="I12" s="2" t="inlineStr">
        <is>
          <t>15:53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  <c r="N12" s="5" t="n">
        <v>2025</v>
      </c>
      <c r="O12" s="6" t="inlineStr">
        <is>
          <t>2025-01</t>
        </is>
      </c>
    </row>
    <row r="13">
      <c r="A13" s="2" t="inlineStr">
        <is>
          <t>Z001_01_012025_MATURIN.CSV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0041</t>
        </is>
      </c>
      <c r="H13" s="4" t="n">
        <v>45689</v>
      </c>
      <c r="I13" s="2" t="inlineStr">
        <is>
          <t>15:53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  <c r="N13" s="5" t="n">
        <v>2025</v>
      </c>
      <c r="O13" s="6" t="inlineStr">
        <is>
          <t>2025-01</t>
        </is>
      </c>
    </row>
    <row r="14">
      <c r="A14" s="2" t="inlineStr">
        <is>
          <t>Z001_01_012025_MATURIN.CSV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0041</t>
        </is>
      </c>
      <c r="H14" s="4" t="n">
        <v>45689</v>
      </c>
      <c r="I14" s="2" t="inlineStr">
        <is>
          <t>15:53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  <c r="N14" s="5" t="n">
        <v>2025</v>
      </c>
      <c r="O14" s="6" t="inlineStr">
        <is>
          <t>2025-01</t>
        </is>
      </c>
    </row>
    <row r="15">
      <c r="A15" s="2" t="inlineStr">
        <is>
          <t>Z001_01_012025_MATURIN.CSV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0041</t>
        </is>
      </c>
      <c r="H15" s="4" t="n">
        <v>45689</v>
      </c>
      <c r="I15" s="2" t="inlineStr">
        <is>
          <t>15:53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  <c r="N15" s="5" t="n">
        <v>2025</v>
      </c>
      <c r="O15" s="6" t="inlineStr">
        <is>
          <t>2025-01</t>
        </is>
      </c>
    </row>
    <row r="16">
      <c r="A16" s="2" t="inlineStr">
        <is>
          <t>Z001_01_012025_MATURIN.CSV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0041</t>
        </is>
      </c>
      <c r="H16" s="4" t="n">
        <v>45689</v>
      </c>
      <c r="I16" s="2" t="inlineStr">
        <is>
          <t>15:53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  <c r="N16" s="5" t="n">
        <v>2025</v>
      </c>
      <c r="O16" s="6" t="inlineStr">
        <is>
          <t>2025-01</t>
        </is>
      </c>
    </row>
    <row r="17">
      <c r="A17" s="2" t="inlineStr">
        <is>
          <t>Z001_01_012025_MATURIN.CSV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0041</t>
        </is>
      </c>
      <c r="H17" s="4" t="n">
        <v>45689</v>
      </c>
      <c r="I17" s="2" t="inlineStr">
        <is>
          <t>15:53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  <c r="N17" s="5" t="n">
        <v>2025</v>
      </c>
      <c r="O17" s="6" t="inlineStr">
        <is>
          <t>2025-01</t>
        </is>
      </c>
    </row>
    <row r="18">
      <c r="A18" s="2" t="inlineStr">
        <is>
          <t>Z001_01_012025_MATURIN.CSV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0041</t>
        </is>
      </c>
      <c r="H18" s="4" t="n">
        <v>45689</v>
      </c>
      <c r="I18" s="2" t="inlineStr">
        <is>
          <t>15:53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  <c r="N18" s="5" t="n">
        <v>2025</v>
      </c>
      <c r="O18" s="6" t="inlineStr">
        <is>
          <t>2025-01</t>
        </is>
      </c>
    </row>
    <row r="19">
      <c r="A19" s="2" t="inlineStr">
        <is>
          <t>Z001_01_012025_MATURIN.CSV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0041</t>
        </is>
      </c>
      <c r="H19" s="4" t="n">
        <v>45689</v>
      </c>
      <c r="I19" s="2" t="inlineStr">
        <is>
          <t>15:53</t>
        </is>
      </c>
      <c r="J19" s="3" t="inlineStr">
        <is>
          <t>0018</t>
        </is>
      </c>
      <c r="K19" s="2" t="inlineStr">
        <is>
          <t>CLIENTS</t>
        </is>
      </c>
      <c r="L19" s="5" t="n">
        <v>19</v>
      </c>
      <c r="M19" s="6" t="n">
        <v>0</v>
      </c>
      <c r="N19" s="5" t="n">
        <v>2025</v>
      </c>
      <c r="O19" s="6" t="inlineStr">
        <is>
          <t>2025-01</t>
        </is>
      </c>
    </row>
    <row r="20">
      <c r="A20" s="2" t="inlineStr">
        <is>
          <t>Z001_01_012025_MATURIN.CSV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0041</t>
        </is>
      </c>
      <c r="H20" s="4" t="n">
        <v>45689</v>
      </c>
      <c r="I20" s="2" t="inlineStr">
        <is>
          <t>15:53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  <c r="N20" s="5" t="n">
        <v>2025</v>
      </c>
      <c r="O20" s="6" t="inlineStr">
        <is>
          <t>2025-01</t>
        </is>
      </c>
    </row>
    <row r="21">
      <c r="A21" s="2" t="inlineStr">
        <is>
          <t>Z001_01_012025_MATURIN.CSV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0041</t>
        </is>
      </c>
      <c r="H21" s="4" t="n">
        <v>45689</v>
      </c>
      <c r="I21" s="2" t="inlineStr">
        <is>
          <t>15:53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  <c r="N21" s="5" t="n">
        <v>2025</v>
      </c>
      <c r="O21" s="6" t="inlineStr">
        <is>
          <t>2025-01</t>
        </is>
      </c>
    </row>
    <row r="22">
      <c r="A22" s="2" t="inlineStr">
        <is>
          <t>Z001_01_012025_MATURIN.CSV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0041</t>
        </is>
      </c>
      <c r="H22" s="4" t="n">
        <v>45689</v>
      </c>
      <c r="I22" s="2" t="inlineStr">
        <is>
          <t>15:53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  <c r="N22" s="5" t="n">
        <v>2025</v>
      </c>
      <c r="O22" s="6" t="inlineStr">
        <is>
          <t>2025-01</t>
        </is>
      </c>
    </row>
    <row r="23">
      <c r="A23" s="2" t="inlineStr">
        <is>
          <t>Z001_01_012025_MATURIN.CSV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0041</t>
        </is>
      </c>
      <c r="H23" s="4" t="n">
        <v>45689</v>
      </c>
      <c r="I23" s="2" t="inlineStr">
        <is>
          <t>15:53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  <c r="N23" s="5" t="n">
        <v>2025</v>
      </c>
      <c r="O23" s="6" t="inlineStr">
        <is>
          <t>2025-01</t>
        </is>
      </c>
    </row>
    <row r="24">
      <c r="A24" s="2" t="inlineStr">
        <is>
          <t>Z001_01_012025_MATURIN.CSV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0041</t>
        </is>
      </c>
      <c r="H24" s="4" t="n">
        <v>45689</v>
      </c>
      <c r="I24" s="2" t="inlineStr">
        <is>
          <t>15:53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  <c r="N24" s="5" t="n">
        <v>2025</v>
      </c>
      <c r="O24" s="6" t="inlineStr">
        <is>
          <t>2025-01</t>
        </is>
      </c>
    </row>
    <row r="25">
      <c r="A25" s="2" t="inlineStr">
        <is>
          <t>Z001_01_012025_MATURIN.CSV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0041</t>
        </is>
      </c>
      <c r="H25" s="4" t="n">
        <v>45689</v>
      </c>
      <c r="I25" s="2" t="inlineStr">
        <is>
          <t>15:53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  <c r="N25" s="5" t="n">
        <v>2025</v>
      </c>
      <c r="O25" s="6" t="inlineStr">
        <is>
          <t>2025-01</t>
        </is>
      </c>
    </row>
    <row r="26">
      <c r="A26" s="2" t="inlineStr">
        <is>
          <t>Z001_01_012025_MATURIN.CSV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0041</t>
        </is>
      </c>
      <c r="H26" s="4" t="n">
        <v>45689</v>
      </c>
      <c r="I26" s="2" t="inlineStr">
        <is>
          <t>15:53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  <c r="N26" s="5" t="n">
        <v>2025</v>
      </c>
      <c r="O26" s="6" t="inlineStr">
        <is>
          <t>2025-01</t>
        </is>
      </c>
    </row>
    <row r="27">
      <c r="A27" s="2" t="inlineStr">
        <is>
          <t>Z001_01_012025_MATURIN.CSV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0041</t>
        </is>
      </c>
      <c r="H27" s="4" t="n">
        <v>45689</v>
      </c>
      <c r="I27" s="2" t="inlineStr">
        <is>
          <t>15:53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  <c r="N27" s="5" t="n">
        <v>2025</v>
      </c>
      <c r="O27" s="6" t="inlineStr">
        <is>
          <t>2025-01</t>
        </is>
      </c>
    </row>
    <row r="28">
      <c r="A28" s="2" t="inlineStr">
        <is>
          <t>Z001_01_012025_MATURIN.CSV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0041</t>
        </is>
      </c>
      <c r="H28" s="4" t="n">
        <v>45689</v>
      </c>
      <c r="I28" s="2" t="inlineStr">
        <is>
          <t>15:53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  <c r="N28" s="5" t="n">
        <v>2025</v>
      </c>
      <c r="O28" s="6" t="inlineStr">
        <is>
          <t>2025-01</t>
        </is>
      </c>
    </row>
    <row r="29">
      <c r="A29" s="2" t="inlineStr">
        <is>
          <t>Z001_01_012025_MATURIN.CSV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0041</t>
        </is>
      </c>
      <c r="H29" s="4" t="n">
        <v>45689</v>
      </c>
      <c r="I29" s="2" t="inlineStr">
        <is>
          <t>15:53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  <c r="N29" s="5" t="n">
        <v>2025</v>
      </c>
      <c r="O29" s="6" t="inlineStr">
        <is>
          <t>2025-01</t>
        </is>
      </c>
    </row>
    <row r="30">
      <c r="A30" s="2" t="inlineStr">
        <is>
          <t>Z001_01_012025_MATURIN.CSV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0041</t>
        </is>
      </c>
      <c r="H30" s="4" t="n">
        <v>45689</v>
      </c>
      <c r="I30" s="2" t="inlineStr">
        <is>
          <t>15:53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  <c r="N30" s="5" t="n">
        <v>2025</v>
      </c>
      <c r="O30" s="6" t="inlineStr">
        <is>
          <t>2025-01</t>
        </is>
      </c>
    </row>
    <row r="31">
      <c r="A31" s="2" t="inlineStr">
        <is>
          <t>Z001_01_012025_MATURIN.CSV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0041</t>
        </is>
      </c>
      <c r="H31" s="4" t="n">
        <v>45689</v>
      </c>
      <c r="I31" s="2" t="inlineStr">
        <is>
          <t>15:53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  <c r="N31" s="5" t="n">
        <v>2025</v>
      </c>
      <c r="O31" s="6" t="inlineStr">
        <is>
          <t>2025-01</t>
        </is>
      </c>
    </row>
    <row r="32">
      <c r="A32" s="2" t="inlineStr">
        <is>
          <t>Z001_01_012025_MATURIN.CSV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0041</t>
        </is>
      </c>
      <c r="H32" s="4" t="n">
        <v>45689</v>
      </c>
      <c r="I32" s="2" t="inlineStr">
        <is>
          <t>15:53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  <c r="N32" s="5" t="n">
        <v>2025</v>
      </c>
      <c r="O32" s="6" t="inlineStr">
        <is>
          <t>2025-01</t>
        </is>
      </c>
    </row>
    <row r="33">
      <c r="A33" s="2" t="inlineStr">
        <is>
          <t>Z001_01_012025_MATURIN.CSV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0041</t>
        </is>
      </c>
      <c r="H33" s="4" t="n">
        <v>45689</v>
      </c>
      <c r="I33" s="2" t="inlineStr">
        <is>
          <t>15:53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  <c r="N33" s="5" t="n">
        <v>2025</v>
      </c>
      <c r="O33" s="6" t="inlineStr">
        <is>
          <t>2025-01</t>
        </is>
      </c>
    </row>
    <row r="34">
      <c r="A34" s="2" t="inlineStr">
        <is>
          <t>Z001_01_012025_MATURIN.CSV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0041</t>
        </is>
      </c>
      <c r="H34" s="4" t="n">
        <v>45689</v>
      </c>
      <c r="I34" s="2" t="inlineStr">
        <is>
          <t>15:53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9733.59</v>
      </c>
      <c r="N34" s="5" t="n">
        <v>2025</v>
      </c>
      <c r="O34" s="6" t="inlineStr">
        <is>
          <t>2025-01</t>
        </is>
      </c>
    </row>
    <row r="35">
      <c r="A35" s="2" t="inlineStr">
        <is>
          <t>Z001_01_012025_MATURIN.CSV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0041</t>
        </is>
      </c>
      <c r="H35" s="4" t="n">
        <v>45689</v>
      </c>
      <c r="I35" s="2" t="inlineStr">
        <is>
          <t>15:53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1946.71</v>
      </c>
      <c r="N35" s="5" t="n">
        <v>2025</v>
      </c>
      <c r="O35" s="6" t="inlineStr">
        <is>
          <t>2025-01</t>
        </is>
      </c>
    </row>
    <row r="36">
      <c r="A36" s="2" t="inlineStr">
        <is>
          <t>Z001_01_012025_MATURIN.CSV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0041</t>
        </is>
      </c>
      <c r="H36" s="4" t="n">
        <v>45689</v>
      </c>
      <c r="I36" s="2" t="inlineStr">
        <is>
          <t>15:53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  <c r="N36" s="5" t="n">
        <v>2025</v>
      </c>
      <c r="O36" s="6" t="inlineStr">
        <is>
          <t>2025-01</t>
        </is>
      </c>
    </row>
    <row r="37">
      <c r="A37" s="2" t="inlineStr">
        <is>
          <t>Z001_01_012025_MATURIN.CSV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0041</t>
        </is>
      </c>
      <c r="H37" s="4" t="n">
        <v>45689</v>
      </c>
      <c r="I37" s="2" t="inlineStr">
        <is>
          <t>15:53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  <c r="N37" s="5" t="n">
        <v>2025</v>
      </c>
      <c r="O37" s="6" t="inlineStr">
        <is>
          <t>2025-01</t>
        </is>
      </c>
    </row>
    <row r="38">
      <c r="A38" s="2" t="inlineStr">
        <is>
          <t>Z001_01_012025_MATURIN.CSV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0041</t>
        </is>
      </c>
      <c r="H38" s="4" t="n">
        <v>45689</v>
      </c>
      <c r="I38" s="2" t="inlineStr">
        <is>
          <t>15:53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  <c r="N38" s="5" t="n">
        <v>2025</v>
      </c>
      <c r="O38" s="6" t="inlineStr">
        <is>
          <t>2025-01</t>
        </is>
      </c>
    </row>
    <row r="39">
      <c r="A39" s="2" t="inlineStr">
        <is>
          <t>Z001_01_012025_MATURIN.CSV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0041</t>
        </is>
      </c>
      <c r="H39" s="4" t="n">
        <v>45689</v>
      </c>
      <c r="I39" s="2" t="inlineStr">
        <is>
          <t>15:53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  <c r="N39" s="5" t="n">
        <v>2025</v>
      </c>
      <c r="O39" s="6" t="inlineStr">
        <is>
          <t>2025-01</t>
        </is>
      </c>
    </row>
    <row r="40">
      <c r="A40" s="2" t="inlineStr">
        <is>
          <t>Z001_01_012025_MATURIN.CSV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0041</t>
        </is>
      </c>
      <c r="H40" s="4" t="n">
        <v>45689</v>
      </c>
      <c r="I40" s="2" t="inlineStr">
        <is>
          <t>15:53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  <c r="N40" s="5" t="n">
        <v>2025</v>
      </c>
      <c r="O40" s="6" t="inlineStr">
        <is>
          <t>2025-01</t>
        </is>
      </c>
    </row>
    <row r="41">
      <c r="A41" s="2" t="inlineStr">
        <is>
          <t>Z001_01_012025_MATURIN.CSV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0041</t>
        </is>
      </c>
      <c r="H41" s="4" t="n">
        <v>45689</v>
      </c>
      <c r="I41" s="2" t="inlineStr">
        <is>
          <t>15:53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  <c r="N41" s="5" t="n">
        <v>2025</v>
      </c>
      <c r="O41" s="6" t="inlineStr">
        <is>
          <t>2025-01</t>
        </is>
      </c>
    </row>
    <row r="42">
      <c r="A42" s="2" t="inlineStr">
        <is>
          <t>Z001_01_012025_MATURIN.CSV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0041</t>
        </is>
      </c>
      <c r="H42" s="4" t="n">
        <v>45689</v>
      </c>
      <c r="I42" s="2" t="inlineStr">
        <is>
          <t>15:53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  <c r="N42" s="5" t="n">
        <v>2025</v>
      </c>
      <c r="O42" s="6" t="inlineStr">
        <is>
          <t>2025-01</t>
        </is>
      </c>
    </row>
    <row r="43">
      <c r="A43" s="2" t="inlineStr">
        <is>
          <t>Z001_01_022025_MATURIN.CSV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0042</t>
        </is>
      </c>
      <c r="H43" s="4" t="n">
        <v>45717</v>
      </c>
      <c r="I43" s="2" t="inlineStr">
        <is>
          <t>13:36</t>
        </is>
      </c>
      <c r="J43" s="3" t="inlineStr">
        <is>
          <t>0001</t>
        </is>
      </c>
      <c r="K43" s="2" t="inlineStr">
        <is>
          <t>CA BRUT</t>
        </is>
      </c>
      <c r="L43" s="5" t="n">
        <v>16</v>
      </c>
      <c r="M43" s="6" t="n">
        <v>4578.8</v>
      </c>
      <c r="N43" s="5" t="n">
        <v>2025</v>
      </c>
      <c r="O43" s="6" t="inlineStr">
        <is>
          <t>2025-02</t>
        </is>
      </c>
    </row>
    <row r="44">
      <c r="A44" s="2" t="inlineStr">
        <is>
          <t>Z001_01_022025_MATURIN.CSV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0042</t>
        </is>
      </c>
      <c r="H44" s="4" t="n">
        <v>45717</v>
      </c>
      <c r="I44" s="2" t="inlineStr">
        <is>
          <t>13:36</t>
        </is>
      </c>
      <c r="J44" s="3" t="inlineStr">
        <is>
          <t>0002</t>
        </is>
      </c>
      <c r="K44" s="2" t="inlineStr">
        <is>
          <t>CA NET</t>
        </is>
      </c>
      <c r="L44" s="5" t="n">
        <v>13</v>
      </c>
      <c r="M44" s="6" t="n">
        <v>4578.8</v>
      </c>
      <c r="N44" s="5" t="n">
        <v>2025</v>
      </c>
      <c r="O44" s="6" t="inlineStr">
        <is>
          <t>2025-02</t>
        </is>
      </c>
    </row>
    <row r="45">
      <c r="A45" s="2" t="inlineStr">
        <is>
          <t>Z001_01_022025_MATURIN.CSV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0042</t>
        </is>
      </c>
      <c r="H45" s="4" t="n">
        <v>45717</v>
      </c>
      <c r="I45" s="2" t="inlineStr">
        <is>
          <t>13:36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2530</v>
      </c>
      <c r="N45" s="5" t="n">
        <v>2025</v>
      </c>
      <c r="O45" s="6" t="inlineStr">
        <is>
          <t>2025-02</t>
        </is>
      </c>
    </row>
    <row r="46">
      <c r="A46" s="2" t="inlineStr">
        <is>
          <t>Z001_01_022025_MATURIN.CSV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0042</t>
        </is>
      </c>
      <c r="H46" s="4" t="n">
        <v>45717</v>
      </c>
      <c r="I46" s="2" t="inlineStr">
        <is>
          <t>13:36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2048.8</v>
      </c>
      <c r="N46" s="5" t="n">
        <v>2025</v>
      </c>
      <c r="O46" s="6" t="inlineStr">
        <is>
          <t>2025-02</t>
        </is>
      </c>
    </row>
    <row r="47">
      <c r="A47" s="2" t="inlineStr">
        <is>
          <t>Z001_01_022025_MATURIN.CSV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0042</t>
        </is>
      </c>
      <c r="H47" s="4" t="n">
        <v>45717</v>
      </c>
      <c r="I47" s="2" t="inlineStr">
        <is>
          <t>13:36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  <c r="N47" s="5" t="n">
        <v>2025</v>
      </c>
      <c r="O47" s="6" t="inlineStr">
        <is>
          <t>2025-02</t>
        </is>
      </c>
    </row>
    <row r="48">
      <c r="A48" s="2" t="inlineStr">
        <is>
          <t>Z001_01_022025_MATURIN.CSV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0042</t>
        </is>
      </c>
      <c r="H48" s="4" t="n">
        <v>45717</v>
      </c>
      <c r="I48" s="2" t="inlineStr">
        <is>
          <t>13:36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  <c r="N48" s="5" t="n">
        <v>2025</v>
      </c>
      <c r="O48" s="6" t="inlineStr">
        <is>
          <t>2025-02</t>
        </is>
      </c>
    </row>
    <row r="49">
      <c r="A49" s="2" t="inlineStr">
        <is>
          <t>Z001_01_022025_MATURIN.CSV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0042</t>
        </is>
      </c>
      <c r="H49" s="4" t="n">
        <v>45717</v>
      </c>
      <c r="I49" s="2" t="inlineStr">
        <is>
          <t>13:36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  <c r="N49" s="5" t="n">
        <v>2025</v>
      </c>
      <c r="O49" s="6" t="inlineStr">
        <is>
          <t>2025-02</t>
        </is>
      </c>
    </row>
    <row r="50">
      <c r="A50" s="2" t="inlineStr">
        <is>
          <t>Z001_01_022025_MATURIN.CSV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0042</t>
        </is>
      </c>
      <c r="H50" s="4" t="n">
        <v>45717</v>
      </c>
      <c r="I50" s="2" t="inlineStr">
        <is>
          <t>13:36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  <c r="N50" s="5" t="n">
        <v>2025</v>
      </c>
      <c r="O50" s="6" t="inlineStr">
        <is>
          <t>2025-02</t>
        </is>
      </c>
    </row>
    <row r="51">
      <c r="A51" s="2" t="inlineStr">
        <is>
          <t>Z001_01_022025_MATURIN.CSV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0042</t>
        </is>
      </c>
      <c r="H51" s="4" t="n">
        <v>45717</v>
      </c>
      <c r="I51" s="2" t="inlineStr">
        <is>
          <t>13:36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  <c r="N51" s="5" t="n">
        <v>2025</v>
      </c>
      <c r="O51" s="6" t="inlineStr">
        <is>
          <t>2025-02</t>
        </is>
      </c>
    </row>
    <row r="52">
      <c r="A52" s="2" t="inlineStr">
        <is>
          <t>Z001_01_022025_MATURIN.CSV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0042</t>
        </is>
      </c>
      <c r="H52" s="4" t="n">
        <v>45717</v>
      </c>
      <c r="I52" s="2" t="inlineStr">
        <is>
          <t>13:36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  <c r="N52" s="5" t="n">
        <v>2025</v>
      </c>
      <c r="O52" s="6" t="inlineStr">
        <is>
          <t>2025-02</t>
        </is>
      </c>
    </row>
    <row r="53">
      <c r="A53" s="2" t="inlineStr">
        <is>
          <t>Z001_01_022025_MATURIN.CSV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0042</t>
        </is>
      </c>
      <c r="H53" s="4" t="n">
        <v>45717</v>
      </c>
      <c r="I53" s="2" t="inlineStr">
        <is>
          <t>13:36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  <c r="N53" s="5" t="n">
        <v>2025</v>
      </c>
      <c r="O53" s="6" t="inlineStr">
        <is>
          <t>2025-02</t>
        </is>
      </c>
    </row>
    <row r="54">
      <c r="A54" s="2" t="inlineStr">
        <is>
          <t>Z001_01_022025_MATURIN.CSV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0042</t>
        </is>
      </c>
      <c r="H54" s="4" t="n">
        <v>45717</v>
      </c>
      <c r="I54" s="2" t="inlineStr">
        <is>
          <t>13:36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  <c r="N54" s="5" t="n">
        <v>2025</v>
      </c>
      <c r="O54" s="6" t="inlineStr">
        <is>
          <t>2025-02</t>
        </is>
      </c>
    </row>
    <row r="55">
      <c r="A55" s="2" t="inlineStr">
        <is>
          <t>Z001_01_022025_MATURIN.CSV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0042</t>
        </is>
      </c>
      <c r="H55" s="4" t="n">
        <v>45717</v>
      </c>
      <c r="I55" s="2" t="inlineStr">
        <is>
          <t>13:36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  <c r="N55" s="5" t="n">
        <v>2025</v>
      </c>
      <c r="O55" s="6" t="inlineStr">
        <is>
          <t>2025-02</t>
        </is>
      </c>
    </row>
    <row r="56">
      <c r="A56" s="2" t="inlineStr">
        <is>
          <t>Z001_01_022025_MATURIN.CSV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0042</t>
        </is>
      </c>
      <c r="H56" s="4" t="n">
        <v>45717</v>
      </c>
      <c r="I56" s="2" t="inlineStr">
        <is>
          <t>13:36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  <c r="N56" s="5" t="n">
        <v>2025</v>
      </c>
      <c r="O56" s="6" t="inlineStr">
        <is>
          <t>2025-02</t>
        </is>
      </c>
    </row>
    <row r="57">
      <c r="A57" s="2" t="inlineStr">
        <is>
          <t>Z001_01_022025_MATURIN.CSV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0042</t>
        </is>
      </c>
      <c r="H57" s="4" t="n">
        <v>45717</v>
      </c>
      <c r="I57" s="2" t="inlineStr">
        <is>
          <t>13:36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  <c r="N57" s="5" t="n">
        <v>2025</v>
      </c>
      <c r="O57" s="6" t="inlineStr">
        <is>
          <t>2025-02</t>
        </is>
      </c>
    </row>
    <row r="58">
      <c r="A58" s="2" t="inlineStr">
        <is>
          <t>Z001_01_022025_MATURIN.CSV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0042</t>
        </is>
      </c>
      <c r="H58" s="4" t="n">
        <v>45717</v>
      </c>
      <c r="I58" s="2" t="inlineStr">
        <is>
          <t>13:36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  <c r="N58" s="5" t="n">
        <v>2025</v>
      </c>
      <c r="O58" s="6" t="inlineStr">
        <is>
          <t>2025-02</t>
        </is>
      </c>
    </row>
    <row r="59">
      <c r="A59" s="2" t="inlineStr">
        <is>
          <t>Z001_01_022025_MATURIN.CSV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0042</t>
        </is>
      </c>
      <c r="H59" s="4" t="n">
        <v>45717</v>
      </c>
      <c r="I59" s="2" t="inlineStr">
        <is>
          <t>13:36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  <c r="N59" s="5" t="n">
        <v>2025</v>
      </c>
      <c r="O59" s="6" t="inlineStr">
        <is>
          <t>2025-02</t>
        </is>
      </c>
    </row>
    <row r="60">
      <c r="A60" s="2" t="inlineStr">
        <is>
          <t>Z001_01_022025_MATURIN.CSV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0042</t>
        </is>
      </c>
      <c r="H60" s="4" t="n">
        <v>45717</v>
      </c>
      <c r="I60" s="2" t="inlineStr">
        <is>
          <t>13:36</t>
        </is>
      </c>
      <c r="J60" s="3" t="inlineStr">
        <is>
          <t>0018</t>
        </is>
      </c>
      <c r="K60" s="2" t="inlineStr">
        <is>
          <t>CLIENTS</t>
        </is>
      </c>
      <c r="L60" s="5" t="n">
        <v>13</v>
      </c>
      <c r="M60" s="6" t="n">
        <v>0</v>
      </c>
      <c r="N60" s="5" t="n">
        <v>2025</v>
      </c>
      <c r="O60" s="6" t="inlineStr">
        <is>
          <t>2025-02</t>
        </is>
      </c>
    </row>
    <row r="61">
      <c r="A61" s="2" t="inlineStr">
        <is>
          <t>Z001_01_022025_MATURIN.CSV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0042</t>
        </is>
      </c>
      <c r="H61" s="4" t="n">
        <v>45717</v>
      </c>
      <c r="I61" s="2" t="inlineStr">
        <is>
          <t>13:36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  <c r="N61" s="5" t="n">
        <v>2025</v>
      </c>
      <c r="O61" s="6" t="inlineStr">
        <is>
          <t>2025-02</t>
        </is>
      </c>
    </row>
    <row r="62">
      <c r="A62" s="2" t="inlineStr">
        <is>
          <t>Z001_01_022025_MATURIN.CSV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0042</t>
        </is>
      </c>
      <c r="H62" s="4" t="n">
        <v>45717</v>
      </c>
      <c r="I62" s="2" t="inlineStr">
        <is>
          <t>13:36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  <c r="N62" s="5" t="n">
        <v>2025</v>
      </c>
      <c r="O62" s="6" t="inlineStr">
        <is>
          <t>2025-02</t>
        </is>
      </c>
    </row>
    <row r="63">
      <c r="A63" s="2" t="inlineStr">
        <is>
          <t>Z001_01_022025_MATURIN.CSV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0042</t>
        </is>
      </c>
      <c r="H63" s="4" t="n">
        <v>45717</v>
      </c>
      <c r="I63" s="2" t="inlineStr">
        <is>
          <t>13:36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  <c r="N63" s="5" t="n">
        <v>2025</v>
      </c>
      <c r="O63" s="6" t="inlineStr">
        <is>
          <t>2025-02</t>
        </is>
      </c>
    </row>
    <row r="64">
      <c r="A64" s="2" t="inlineStr">
        <is>
          <t>Z001_01_022025_MATURIN.CSV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0042</t>
        </is>
      </c>
      <c r="H64" s="4" t="n">
        <v>45717</v>
      </c>
      <c r="I64" s="2" t="inlineStr">
        <is>
          <t>13:36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  <c r="N64" s="5" t="n">
        <v>2025</v>
      </c>
      <c r="O64" s="6" t="inlineStr">
        <is>
          <t>2025-02</t>
        </is>
      </c>
    </row>
    <row r="65">
      <c r="A65" s="2" t="inlineStr">
        <is>
          <t>Z001_01_022025_MATURIN.CSV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0042</t>
        </is>
      </c>
      <c r="H65" s="4" t="n">
        <v>45717</v>
      </c>
      <c r="I65" s="2" t="inlineStr">
        <is>
          <t>13:36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  <c r="N65" s="5" t="n">
        <v>2025</v>
      </c>
      <c r="O65" s="6" t="inlineStr">
        <is>
          <t>2025-02</t>
        </is>
      </c>
    </row>
    <row r="66">
      <c r="A66" s="2" t="inlineStr">
        <is>
          <t>Z001_01_022025_MATURIN.CSV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0042</t>
        </is>
      </c>
      <c r="H66" s="4" t="n">
        <v>45717</v>
      </c>
      <c r="I66" s="2" t="inlineStr">
        <is>
          <t>13:36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  <c r="N66" s="5" t="n">
        <v>2025</v>
      </c>
      <c r="O66" s="6" t="inlineStr">
        <is>
          <t>2025-02</t>
        </is>
      </c>
    </row>
    <row r="67">
      <c r="A67" s="2" t="inlineStr">
        <is>
          <t>Z001_01_022025_MATURIN.CSV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0042</t>
        </is>
      </c>
      <c r="H67" s="4" t="n">
        <v>45717</v>
      </c>
      <c r="I67" s="2" t="inlineStr">
        <is>
          <t>13:36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  <c r="N67" s="5" t="n">
        <v>2025</v>
      </c>
      <c r="O67" s="6" t="inlineStr">
        <is>
          <t>2025-02</t>
        </is>
      </c>
    </row>
    <row r="68">
      <c r="A68" s="2" t="inlineStr">
        <is>
          <t>Z001_01_022025_MATURIN.CSV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0042</t>
        </is>
      </c>
      <c r="H68" s="4" t="n">
        <v>45717</v>
      </c>
      <c r="I68" s="2" t="inlineStr">
        <is>
          <t>13:36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  <c r="N68" s="5" t="n">
        <v>2025</v>
      </c>
      <c r="O68" s="6" t="inlineStr">
        <is>
          <t>2025-02</t>
        </is>
      </c>
    </row>
    <row r="69">
      <c r="A69" s="2" t="inlineStr">
        <is>
          <t>Z001_01_022025_MATURIN.CSV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0042</t>
        </is>
      </c>
      <c r="H69" s="4" t="n">
        <v>45717</v>
      </c>
      <c r="I69" s="2" t="inlineStr">
        <is>
          <t>13:36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  <c r="N69" s="5" t="n">
        <v>2025</v>
      </c>
      <c r="O69" s="6" t="inlineStr">
        <is>
          <t>2025-02</t>
        </is>
      </c>
    </row>
    <row r="70">
      <c r="A70" s="2" t="inlineStr">
        <is>
          <t>Z001_01_022025_MATURIN.CSV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0042</t>
        </is>
      </c>
      <c r="H70" s="4" t="n">
        <v>45717</v>
      </c>
      <c r="I70" s="2" t="inlineStr">
        <is>
          <t>13:36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  <c r="N70" s="5" t="n">
        <v>2025</v>
      </c>
      <c r="O70" s="6" t="inlineStr">
        <is>
          <t>2025-02</t>
        </is>
      </c>
    </row>
    <row r="71">
      <c r="A71" s="2" t="inlineStr">
        <is>
          <t>Z001_01_022025_MATURIN.CSV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0042</t>
        </is>
      </c>
      <c r="H71" s="4" t="n">
        <v>45717</v>
      </c>
      <c r="I71" s="2" t="inlineStr">
        <is>
          <t>13:36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  <c r="N71" s="5" t="n">
        <v>2025</v>
      </c>
      <c r="O71" s="6" t="inlineStr">
        <is>
          <t>2025-02</t>
        </is>
      </c>
    </row>
    <row r="72">
      <c r="A72" s="2" t="inlineStr">
        <is>
          <t>Z001_01_022025_MATURIN.CSV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0042</t>
        </is>
      </c>
      <c r="H72" s="4" t="n">
        <v>45717</v>
      </c>
      <c r="I72" s="2" t="inlineStr">
        <is>
          <t>13:36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  <c r="N72" s="5" t="n">
        <v>2025</v>
      </c>
      <c r="O72" s="6" t="inlineStr">
        <is>
          <t>2025-02</t>
        </is>
      </c>
    </row>
    <row r="73">
      <c r="A73" s="2" t="inlineStr">
        <is>
          <t>Z001_01_022025_MATURIN.CSV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0042</t>
        </is>
      </c>
      <c r="H73" s="4" t="n">
        <v>45717</v>
      </c>
      <c r="I73" s="2" t="inlineStr">
        <is>
          <t>13:36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  <c r="N73" s="5" t="n">
        <v>2025</v>
      </c>
      <c r="O73" s="6" t="inlineStr">
        <is>
          <t>2025-02</t>
        </is>
      </c>
    </row>
    <row r="74">
      <c r="A74" s="2" t="inlineStr">
        <is>
          <t>Z001_01_022025_MATURIN.CSV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0042</t>
        </is>
      </c>
      <c r="H74" s="4" t="n">
        <v>45717</v>
      </c>
      <c r="I74" s="2" t="inlineStr">
        <is>
          <t>13:36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  <c r="N74" s="5" t="n">
        <v>2025</v>
      </c>
      <c r="O74" s="6" t="inlineStr">
        <is>
          <t>2025-02</t>
        </is>
      </c>
    </row>
    <row r="75">
      <c r="A75" s="2" t="inlineStr">
        <is>
          <t>Z001_01_022025_MATURIN.CSV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0042</t>
        </is>
      </c>
      <c r="H75" s="4" t="n">
        <v>45717</v>
      </c>
      <c r="I75" s="2" t="inlineStr">
        <is>
          <t>13:36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3815.68</v>
      </c>
      <c r="N75" s="5" t="n">
        <v>2025</v>
      </c>
      <c r="O75" s="6" t="inlineStr">
        <is>
          <t>2025-02</t>
        </is>
      </c>
    </row>
    <row r="76">
      <c r="A76" s="2" t="inlineStr">
        <is>
          <t>Z001_01_022025_MATURIN.CSV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0042</t>
        </is>
      </c>
      <c r="H76" s="4" t="n">
        <v>45717</v>
      </c>
      <c r="I76" s="2" t="inlineStr">
        <is>
          <t>13:36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763.12</v>
      </c>
      <c r="N76" s="5" t="n">
        <v>2025</v>
      </c>
      <c r="O76" s="6" t="inlineStr">
        <is>
          <t>2025-02</t>
        </is>
      </c>
    </row>
    <row r="77">
      <c r="A77" s="2" t="inlineStr">
        <is>
          <t>Z001_01_022025_MATURIN.CSV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0042</t>
        </is>
      </c>
      <c r="H77" s="4" t="n">
        <v>45717</v>
      </c>
      <c r="I77" s="2" t="inlineStr">
        <is>
          <t>13:36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  <c r="N77" s="5" t="n">
        <v>2025</v>
      </c>
      <c r="O77" s="6" t="inlineStr">
        <is>
          <t>2025-02</t>
        </is>
      </c>
    </row>
    <row r="78">
      <c r="A78" s="2" t="inlineStr">
        <is>
          <t>Z001_01_022025_MATURIN.CSV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0042</t>
        </is>
      </c>
      <c r="H78" s="4" t="n">
        <v>45717</v>
      </c>
      <c r="I78" s="2" t="inlineStr">
        <is>
          <t>13:36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  <c r="N78" s="5" t="n">
        <v>2025</v>
      </c>
      <c r="O78" s="6" t="inlineStr">
        <is>
          <t>2025-02</t>
        </is>
      </c>
    </row>
    <row r="79">
      <c r="A79" s="2" t="inlineStr">
        <is>
          <t>Z001_01_022025_MATURIN.CSV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0042</t>
        </is>
      </c>
      <c r="H79" s="4" t="n">
        <v>45717</v>
      </c>
      <c r="I79" s="2" t="inlineStr">
        <is>
          <t>13:36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  <c r="N79" s="5" t="n">
        <v>2025</v>
      </c>
      <c r="O79" s="6" t="inlineStr">
        <is>
          <t>2025-02</t>
        </is>
      </c>
    </row>
    <row r="80">
      <c r="A80" s="2" t="inlineStr">
        <is>
          <t>Z001_01_022025_MATURIN.CSV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0042</t>
        </is>
      </c>
      <c r="H80" s="4" t="n">
        <v>45717</v>
      </c>
      <c r="I80" s="2" t="inlineStr">
        <is>
          <t>13:36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  <c r="N80" s="5" t="n">
        <v>2025</v>
      </c>
      <c r="O80" s="6" t="inlineStr">
        <is>
          <t>2025-02</t>
        </is>
      </c>
    </row>
    <row r="81">
      <c r="A81" s="2" t="inlineStr">
        <is>
          <t>Z001_01_022025_MATURIN.CSV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0042</t>
        </is>
      </c>
      <c r="H81" s="4" t="n">
        <v>45717</v>
      </c>
      <c r="I81" s="2" t="inlineStr">
        <is>
          <t>13:36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  <c r="N81" s="5" t="n">
        <v>2025</v>
      </c>
      <c r="O81" s="6" t="inlineStr">
        <is>
          <t>2025-02</t>
        </is>
      </c>
    </row>
    <row r="82">
      <c r="A82" s="2" t="inlineStr">
        <is>
          <t>Z001_01_022025_MATURIN.CSV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0042</t>
        </is>
      </c>
      <c r="H82" s="4" t="n">
        <v>45717</v>
      </c>
      <c r="I82" s="2" t="inlineStr">
        <is>
          <t>13:36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  <c r="N82" s="5" t="n">
        <v>2025</v>
      </c>
      <c r="O82" s="6" t="inlineStr">
        <is>
          <t>2025-02</t>
        </is>
      </c>
    </row>
    <row r="83">
      <c r="A83" s="2" t="inlineStr">
        <is>
          <t>Z001_01_022025_MATURIN.CSV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0042</t>
        </is>
      </c>
      <c r="H83" s="4" t="n">
        <v>45717</v>
      </c>
      <c r="I83" s="2" t="inlineStr">
        <is>
          <t>13:36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  <c r="N83" s="5" t="n">
        <v>2025</v>
      </c>
      <c r="O83" s="6" t="inlineStr">
        <is>
          <t>2025-02</t>
        </is>
      </c>
    </row>
    <row r="84">
      <c r="A84" s="2" t="inlineStr">
        <is>
          <t>Z001_01_032025_MATURIN.CSV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0043</t>
        </is>
      </c>
      <c r="H84" s="4" t="n">
        <v>45748</v>
      </c>
      <c r="I84" s="2" t="inlineStr">
        <is>
          <t>09:43</t>
        </is>
      </c>
      <c r="J84" s="3" t="inlineStr">
        <is>
          <t>0001</t>
        </is>
      </c>
      <c r="K84" s="2" t="inlineStr">
        <is>
          <t>CA BRUT</t>
        </is>
      </c>
      <c r="L84" s="5" t="n">
        <v>17</v>
      </c>
      <c r="M84" s="6" t="n">
        <v>3853.7</v>
      </c>
      <c r="N84" s="5" t="n">
        <v>2025</v>
      </c>
      <c r="O84" s="6" t="inlineStr">
        <is>
          <t>2025-03</t>
        </is>
      </c>
    </row>
    <row r="85">
      <c r="A85" s="2" t="inlineStr">
        <is>
          <t>Z001_01_032025_MATURIN.CSV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0043</t>
        </is>
      </c>
      <c r="H85" s="4" t="n">
        <v>45748</v>
      </c>
      <c r="I85" s="2" t="inlineStr">
        <is>
          <t>09:43</t>
        </is>
      </c>
      <c r="J85" s="3" t="inlineStr">
        <is>
          <t>0002</t>
        </is>
      </c>
      <c r="K85" s="2" t="inlineStr">
        <is>
          <t>CA NET</t>
        </is>
      </c>
      <c r="L85" s="5" t="n">
        <v>12</v>
      </c>
      <c r="M85" s="6" t="n">
        <v>3853.7</v>
      </c>
      <c r="N85" s="5" t="n">
        <v>2025</v>
      </c>
      <c r="O85" s="6" t="inlineStr">
        <is>
          <t>2025-03</t>
        </is>
      </c>
    </row>
    <row r="86">
      <c r="A86" s="2" t="inlineStr">
        <is>
          <t>Z001_01_032025_MATURIN.CSV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0043</t>
        </is>
      </c>
      <c r="H86" s="4" t="n">
        <v>45748</v>
      </c>
      <c r="I86" s="2" t="inlineStr">
        <is>
          <t>09:43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505</v>
      </c>
      <c r="N86" s="5" t="n">
        <v>2025</v>
      </c>
      <c r="O86" s="6" t="inlineStr">
        <is>
          <t>2025-03</t>
        </is>
      </c>
    </row>
    <row r="87">
      <c r="A87" s="2" t="inlineStr">
        <is>
          <t>Z001_01_032025_MATURIN.CSV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0043</t>
        </is>
      </c>
      <c r="H87" s="4" t="n">
        <v>45748</v>
      </c>
      <c r="I87" s="2" t="inlineStr">
        <is>
          <t>09:43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3348.7</v>
      </c>
      <c r="N87" s="5" t="n">
        <v>2025</v>
      </c>
      <c r="O87" s="6" t="inlineStr">
        <is>
          <t>2025-03</t>
        </is>
      </c>
    </row>
    <row r="88">
      <c r="A88" s="2" t="inlineStr">
        <is>
          <t>Z001_01_032025_MATURIN.CSV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0043</t>
        </is>
      </c>
      <c r="H88" s="4" t="n">
        <v>45748</v>
      </c>
      <c r="I88" s="2" t="inlineStr">
        <is>
          <t>09:43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  <c r="N88" s="5" t="n">
        <v>2025</v>
      </c>
      <c r="O88" s="6" t="inlineStr">
        <is>
          <t>2025-03</t>
        </is>
      </c>
    </row>
    <row r="89">
      <c r="A89" s="2" t="inlineStr">
        <is>
          <t>Z001_01_032025_MATURIN.CSV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0043</t>
        </is>
      </c>
      <c r="H89" s="4" t="n">
        <v>45748</v>
      </c>
      <c r="I89" s="2" t="inlineStr">
        <is>
          <t>09:43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  <c r="N89" s="5" t="n">
        <v>2025</v>
      </c>
      <c r="O89" s="6" t="inlineStr">
        <is>
          <t>2025-03</t>
        </is>
      </c>
    </row>
    <row r="90">
      <c r="A90" s="2" t="inlineStr">
        <is>
          <t>Z001_01_032025_MATURIN.CSV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0043</t>
        </is>
      </c>
      <c r="H90" s="4" t="n">
        <v>45748</v>
      </c>
      <c r="I90" s="2" t="inlineStr">
        <is>
          <t>09:43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  <c r="N90" s="5" t="n">
        <v>2025</v>
      </c>
      <c r="O90" s="6" t="inlineStr">
        <is>
          <t>2025-03</t>
        </is>
      </c>
    </row>
    <row r="91">
      <c r="A91" s="2" t="inlineStr">
        <is>
          <t>Z001_01_032025_MATURIN.CSV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0043</t>
        </is>
      </c>
      <c r="H91" s="4" t="n">
        <v>45748</v>
      </c>
      <c r="I91" s="2" t="inlineStr">
        <is>
          <t>09:43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  <c r="N91" s="5" t="n">
        <v>2025</v>
      </c>
      <c r="O91" s="6" t="inlineStr">
        <is>
          <t>2025-03</t>
        </is>
      </c>
    </row>
    <row r="92">
      <c r="A92" s="2" t="inlineStr">
        <is>
          <t>Z001_01_032025_MATURIN.CSV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0043</t>
        </is>
      </c>
      <c r="H92" s="4" t="n">
        <v>45748</v>
      </c>
      <c r="I92" s="2" t="inlineStr">
        <is>
          <t>09:43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  <c r="N92" s="5" t="n">
        <v>2025</v>
      </c>
      <c r="O92" s="6" t="inlineStr">
        <is>
          <t>2025-03</t>
        </is>
      </c>
    </row>
    <row r="93">
      <c r="A93" s="2" t="inlineStr">
        <is>
          <t>Z001_01_032025_MATURIN.CSV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0043</t>
        </is>
      </c>
      <c r="H93" s="4" t="n">
        <v>45748</v>
      </c>
      <c r="I93" s="2" t="inlineStr">
        <is>
          <t>09:43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  <c r="N93" s="5" t="n">
        <v>2025</v>
      </c>
      <c r="O93" s="6" t="inlineStr">
        <is>
          <t>2025-03</t>
        </is>
      </c>
    </row>
    <row r="94">
      <c r="A94" s="2" t="inlineStr">
        <is>
          <t>Z001_01_032025_MATURIN.CSV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0043</t>
        </is>
      </c>
      <c r="H94" s="4" t="n">
        <v>45748</v>
      </c>
      <c r="I94" s="2" t="inlineStr">
        <is>
          <t>09:43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  <c r="N94" s="5" t="n">
        <v>2025</v>
      </c>
      <c r="O94" s="6" t="inlineStr">
        <is>
          <t>2025-03</t>
        </is>
      </c>
    </row>
    <row r="95">
      <c r="A95" s="2" t="inlineStr">
        <is>
          <t>Z001_01_032025_MATURIN.CSV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0043</t>
        </is>
      </c>
      <c r="H95" s="4" t="n">
        <v>45748</v>
      </c>
      <c r="I95" s="2" t="inlineStr">
        <is>
          <t>09:43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  <c r="N95" s="5" t="n">
        <v>2025</v>
      </c>
      <c r="O95" s="6" t="inlineStr">
        <is>
          <t>2025-03</t>
        </is>
      </c>
    </row>
    <row r="96">
      <c r="A96" s="2" t="inlineStr">
        <is>
          <t>Z001_01_032025_MATURIN.CSV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0043</t>
        </is>
      </c>
      <c r="H96" s="4" t="n">
        <v>45748</v>
      </c>
      <c r="I96" s="2" t="inlineStr">
        <is>
          <t>09:43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  <c r="N96" s="5" t="n">
        <v>2025</v>
      </c>
      <c r="O96" s="6" t="inlineStr">
        <is>
          <t>2025-03</t>
        </is>
      </c>
    </row>
    <row r="97">
      <c r="A97" s="2" t="inlineStr">
        <is>
          <t>Z001_01_032025_MATURIN.CSV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0043</t>
        </is>
      </c>
      <c r="H97" s="4" t="n">
        <v>45748</v>
      </c>
      <c r="I97" s="2" t="inlineStr">
        <is>
          <t>09:43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  <c r="N97" s="5" t="n">
        <v>2025</v>
      </c>
      <c r="O97" s="6" t="inlineStr">
        <is>
          <t>2025-03</t>
        </is>
      </c>
    </row>
    <row r="98">
      <c r="A98" s="2" t="inlineStr">
        <is>
          <t>Z001_01_032025_MATURIN.CSV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0043</t>
        </is>
      </c>
      <c r="H98" s="4" t="n">
        <v>45748</v>
      </c>
      <c r="I98" s="2" t="inlineStr">
        <is>
          <t>09:43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  <c r="N98" s="5" t="n">
        <v>2025</v>
      </c>
      <c r="O98" s="6" t="inlineStr">
        <is>
          <t>2025-03</t>
        </is>
      </c>
    </row>
    <row r="99">
      <c r="A99" s="2" t="inlineStr">
        <is>
          <t>Z001_01_032025_MATURIN.CSV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0043</t>
        </is>
      </c>
      <c r="H99" s="4" t="n">
        <v>45748</v>
      </c>
      <c r="I99" s="2" t="inlineStr">
        <is>
          <t>09:43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  <c r="N99" s="5" t="n">
        <v>2025</v>
      </c>
      <c r="O99" s="6" t="inlineStr">
        <is>
          <t>2025-03</t>
        </is>
      </c>
    </row>
    <row r="100">
      <c r="A100" s="2" t="inlineStr">
        <is>
          <t>Z001_01_032025_MATURIN.CSV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0043</t>
        </is>
      </c>
      <c r="H100" s="4" t="n">
        <v>45748</v>
      </c>
      <c r="I100" s="2" t="inlineStr">
        <is>
          <t>09:43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  <c r="N100" s="5" t="n">
        <v>2025</v>
      </c>
      <c r="O100" s="6" t="inlineStr">
        <is>
          <t>2025-03</t>
        </is>
      </c>
    </row>
    <row r="101">
      <c r="A101" s="2" t="inlineStr">
        <is>
          <t>Z001_01_032025_MATURIN.CSV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0043</t>
        </is>
      </c>
      <c r="H101" s="4" t="n">
        <v>45748</v>
      </c>
      <c r="I101" s="2" t="inlineStr">
        <is>
          <t>09:43</t>
        </is>
      </c>
      <c r="J101" s="3" t="inlineStr">
        <is>
          <t>0018</t>
        </is>
      </c>
      <c r="K101" s="2" t="inlineStr">
        <is>
          <t>CLIENTS</t>
        </is>
      </c>
      <c r="L101" s="5" t="n">
        <v>12</v>
      </c>
      <c r="M101" s="6" t="n">
        <v>0</v>
      </c>
      <c r="N101" s="5" t="n">
        <v>2025</v>
      </c>
      <c r="O101" s="6" t="inlineStr">
        <is>
          <t>2025-03</t>
        </is>
      </c>
    </row>
    <row r="102">
      <c r="A102" s="2" t="inlineStr">
        <is>
          <t>Z001_01_032025_MATURIN.CSV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0043</t>
        </is>
      </c>
      <c r="H102" s="4" t="n">
        <v>45748</v>
      </c>
      <c r="I102" s="2" t="inlineStr">
        <is>
          <t>09:43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  <c r="N102" s="5" t="n">
        <v>2025</v>
      </c>
      <c r="O102" s="6" t="inlineStr">
        <is>
          <t>2025-03</t>
        </is>
      </c>
    </row>
    <row r="103">
      <c r="A103" s="2" t="inlineStr">
        <is>
          <t>Z001_01_032025_MATURIN.CSV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0043</t>
        </is>
      </c>
      <c r="H103" s="4" t="n">
        <v>45748</v>
      </c>
      <c r="I103" s="2" t="inlineStr">
        <is>
          <t>09:43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  <c r="N103" s="5" t="n">
        <v>2025</v>
      </c>
      <c r="O103" s="6" t="inlineStr">
        <is>
          <t>2025-03</t>
        </is>
      </c>
    </row>
    <row r="104">
      <c r="A104" s="2" t="inlineStr">
        <is>
          <t>Z001_01_032025_MATURIN.CSV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0043</t>
        </is>
      </c>
      <c r="H104" s="4" t="n">
        <v>45748</v>
      </c>
      <c r="I104" s="2" t="inlineStr">
        <is>
          <t>09:43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  <c r="N104" s="5" t="n">
        <v>2025</v>
      </c>
      <c r="O104" s="6" t="inlineStr">
        <is>
          <t>2025-03</t>
        </is>
      </c>
    </row>
    <row r="105">
      <c r="A105" s="2" t="inlineStr">
        <is>
          <t>Z001_01_032025_MATURIN.CSV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0043</t>
        </is>
      </c>
      <c r="H105" s="4" t="n">
        <v>45748</v>
      </c>
      <c r="I105" s="2" t="inlineStr">
        <is>
          <t>09:43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  <c r="N105" s="5" t="n">
        <v>2025</v>
      </c>
      <c r="O105" s="6" t="inlineStr">
        <is>
          <t>2025-03</t>
        </is>
      </c>
    </row>
    <row r="106">
      <c r="A106" s="2" t="inlineStr">
        <is>
          <t>Z001_01_032025_MATURIN.CSV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0043</t>
        </is>
      </c>
      <c r="H106" s="4" t="n">
        <v>45748</v>
      </c>
      <c r="I106" s="2" t="inlineStr">
        <is>
          <t>09:43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  <c r="N106" s="5" t="n">
        <v>2025</v>
      </c>
      <c r="O106" s="6" t="inlineStr">
        <is>
          <t>2025-03</t>
        </is>
      </c>
    </row>
    <row r="107">
      <c r="A107" s="2" t="inlineStr">
        <is>
          <t>Z001_01_032025_MATURIN.CSV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0043</t>
        </is>
      </c>
      <c r="H107" s="4" t="n">
        <v>45748</v>
      </c>
      <c r="I107" s="2" t="inlineStr">
        <is>
          <t>09:43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  <c r="N107" s="5" t="n">
        <v>2025</v>
      </c>
      <c r="O107" s="6" t="inlineStr">
        <is>
          <t>2025-03</t>
        </is>
      </c>
    </row>
    <row r="108">
      <c r="A108" s="2" t="inlineStr">
        <is>
          <t>Z001_01_032025_MATURIN.CSV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0043</t>
        </is>
      </c>
      <c r="H108" s="4" t="n">
        <v>45748</v>
      </c>
      <c r="I108" s="2" t="inlineStr">
        <is>
          <t>09:43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  <c r="N108" s="5" t="n">
        <v>2025</v>
      </c>
      <c r="O108" s="6" t="inlineStr">
        <is>
          <t>2025-03</t>
        </is>
      </c>
    </row>
    <row r="109">
      <c r="A109" s="2" t="inlineStr">
        <is>
          <t>Z001_01_032025_MATURIN.CSV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0043</t>
        </is>
      </c>
      <c r="H109" s="4" t="n">
        <v>45748</v>
      </c>
      <c r="I109" s="2" t="inlineStr">
        <is>
          <t>09:43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  <c r="N109" s="5" t="n">
        <v>2025</v>
      </c>
      <c r="O109" s="6" t="inlineStr">
        <is>
          <t>2025-03</t>
        </is>
      </c>
    </row>
    <row r="110">
      <c r="A110" s="2" t="inlineStr">
        <is>
          <t>Z001_01_032025_MATURIN.CSV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0043</t>
        </is>
      </c>
      <c r="H110" s="4" t="n">
        <v>45748</v>
      </c>
      <c r="I110" s="2" t="inlineStr">
        <is>
          <t>09:43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  <c r="N110" s="5" t="n">
        <v>2025</v>
      </c>
      <c r="O110" s="6" t="inlineStr">
        <is>
          <t>2025-03</t>
        </is>
      </c>
    </row>
    <row r="111">
      <c r="A111" s="2" t="inlineStr">
        <is>
          <t>Z001_01_032025_MATURIN.CSV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0043</t>
        </is>
      </c>
      <c r="H111" s="4" t="n">
        <v>45748</v>
      </c>
      <c r="I111" s="2" t="inlineStr">
        <is>
          <t>09:43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  <c r="N111" s="5" t="n">
        <v>2025</v>
      </c>
      <c r="O111" s="6" t="inlineStr">
        <is>
          <t>2025-03</t>
        </is>
      </c>
    </row>
    <row r="112">
      <c r="A112" s="2" t="inlineStr">
        <is>
          <t>Z001_01_032025_MATURIN.CSV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0043</t>
        </is>
      </c>
      <c r="H112" s="4" t="n">
        <v>45748</v>
      </c>
      <c r="I112" s="2" t="inlineStr">
        <is>
          <t>09:43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  <c r="N112" s="5" t="n">
        <v>2025</v>
      </c>
      <c r="O112" s="6" t="inlineStr">
        <is>
          <t>2025-03</t>
        </is>
      </c>
    </row>
    <row r="113">
      <c r="A113" s="2" t="inlineStr">
        <is>
          <t>Z001_01_032025_MATURIN.CSV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0043</t>
        </is>
      </c>
      <c r="H113" s="4" t="n">
        <v>45748</v>
      </c>
      <c r="I113" s="2" t="inlineStr">
        <is>
          <t>09:43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  <c r="N113" s="5" t="n">
        <v>2025</v>
      </c>
      <c r="O113" s="6" t="inlineStr">
        <is>
          <t>2025-03</t>
        </is>
      </c>
    </row>
    <row r="114">
      <c r="A114" s="2" t="inlineStr">
        <is>
          <t>Z001_01_032025_MATURIN.CSV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0043</t>
        </is>
      </c>
      <c r="H114" s="4" t="n">
        <v>45748</v>
      </c>
      <c r="I114" s="2" t="inlineStr">
        <is>
          <t>09:43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  <c r="N114" s="5" t="n">
        <v>2025</v>
      </c>
      <c r="O114" s="6" t="inlineStr">
        <is>
          <t>2025-03</t>
        </is>
      </c>
    </row>
    <row r="115">
      <c r="A115" s="2" t="inlineStr">
        <is>
          <t>Z001_01_032025_MATURIN.CSV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0043</t>
        </is>
      </c>
      <c r="H115" s="4" t="n">
        <v>45748</v>
      </c>
      <c r="I115" s="2" t="inlineStr">
        <is>
          <t>09:43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  <c r="N115" s="5" t="n">
        <v>2025</v>
      </c>
      <c r="O115" s="6" t="inlineStr">
        <is>
          <t>2025-03</t>
        </is>
      </c>
    </row>
    <row r="116">
      <c r="A116" s="2" t="inlineStr">
        <is>
          <t>Z001_01_032025_MATURIN.CSV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0043</t>
        </is>
      </c>
      <c r="H116" s="4" t="n">
        <v>45748</v>
      </c>
      <c r="I116" s="2" t="inlineStr">
        <is>
          <t>09:43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3211.42</v>
      </c>
      <c r="N116" s="5" t="n">
        <v>2025</v>
      </c>
      <c r="O116" s="6" t="inlineStr">
        <is>
          <t>2025-03</t>
        </is>
      </c>
    </row>
    <row r="117">
      <c r="A117" s="2" t="inlineStr">
        <is>
          <t>Z001_01_032025_MATURIN.CSV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0043</t>
        </is>
      </c>
      <c r="H117" s="4" t="n">
        <v>45748</v>
      </c>
      <c r="I117" s="2" t="inlineStr">
        <is>
          <t>09:43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642.28</v>
      </c>
      <c r="N117" s="5" t="n">
        <v>2025</v>
      </c>
      <c r="O117" s="6" t="inlineStr">
        <is>
          <t>2025-03</t>
        </is>
      </c>
    </row>
    <row r="118">
      <c r="A118" s="2" t="inlineStr">
        <is>
          <t>Z001_01_032025_MATURIN.CSV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0043</t>
        </is>
      </c>
      <c r="H118" s="4" t="n">
        <v>45748</v>
      </c>
      <c r="I118" s="2" t="inlineStr">
        <is>
          <t>09:43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  <c r="N118" s="5" t="n">
        <v>2025</v>
      </c>
      <c r="O118" s="6" t="inlineStr">
        <is>
          <t>2025-03</t>
        </is>
      </c>
    </row>
    <row r="119">
      <c r="A119" s="2" t="inlineStr">
        <is>
          <t>Z001_01_032025_MATURIN.CSV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0043</t>
        </is>
      </c>
      <c r="H119" s="4" t="n">
        <v>45748</v>
      </c>
      <c r="I119" s="2" t="inlineStr">
        <is>
          <t>09:43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  <c r="N119" s="5" t="n">
        <v>2025</v>
      </c>
      <c r="O119" s="6" t="inlineStr">
        <is>
          <t>2025-03</t>
        </is>
      </c>
    </row>
    <row r="120">
      <c r="A120" s="2" t="inlineStr">
        <is>
          <t>Z001_01_032025_MATURIN.CSV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0043</t>
        </is>
      </c>
      <c r="H120" s="4" t="n">
        <v>45748</v>
      </c>
      <c r="I120" s="2" t="inlineStr">
        <is>
          <t>09:43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  <c r="N120" s="5" t="n">
        <v>2025</v>
      </c>
      <c r="O120" s="6" t="inlineStr">
        <is>
          <t>2025-03</t>
        </is>
      </c>
    </row>
    <row r="121">
      <c r="A121" s="2" t="inlineStr">
        <is>
          <t>Z001_01_032025_MATURIN.CSV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0043</t>
        </is>
      </c>
      <c r="H121" s="4" t="n">
        <v>45748</v>
      </c>
      <c r="I121" s="2" t="inlineStr">
        <is>
          <t>09:43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  <c r="N121" s="5" t="n">
        <v>2025</v>
      </c>
      <c r="O121" s="6" t="inlineStr">
        <is>
          <t>2025-03</t>
        </is>
      </c>
    </row>
    <row r="122">
      <c r="A122" s="2" t="inlineStr">
        <is>
          <t>Z001_01_032025_MATURIN.CSV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0043</t>
        </is>
      </c>
      <c r="H122" s="4" t="n">
        <v>45748</v>
      </c>
      <c r="I122" s="2" t="inlineStr">
        <is>
          <t>09:43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  <c r="N122" s="5" t="n">
        <v>2025</v>
      </c>
      <c r="O122" s="6" t="inlineStr">
        <is>
          <t>2025-03</t>
        </is>
      </c>
    </row>
    <row r="123">
      <c r="A123" s="2" t="inlineStr">
        <is>
          <t>Z001_01_032025_MATURIN.CSV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0043</t>
        </is>
      </c>
      <c r="H123" s="4" t="n">
        <v>45748</v>
      </c>
      <c r="I123" s="2" t="inlineStr">
        <is>
          <t>09:43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  <c r="N123" s="5" t="n">
        <v>2025</v>
      </c>
      <c r="O123" s="6" t="inlineStr">
        <is>
          <t>2025-03</t>
        </is>
      </c>
    </row>
    <row r="124">
      <c r="A124" s="2" t="inlineStr">
        <is>
          <t>Z001_01_032025_MATURIN.CSV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0043</t>
        </is>
      </c>
      <c r="H124" s="4" t="n">
        <v>45748</v>
      </c>
      <c r="I124" s="2" t="inlineStr">
        <is>
          <t>09:43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  <c r="N124" s="5" t="n">
        <v>2025</v>
      </c>
      <c r="O124" s="6" t="inlineStr">
        <is>
          <t>2025-03</t>
        </is>
      </c>
    </row>
    <row r="125">
      <c r="A125" s="2" t="inlineStr">
        <is>
          <t>Z001_01_062025_072025_MATURIN.CSV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0044</t>
        </is>
      </c>
      <c r="H125" s="4" t="n">
        <v>45870</v>
      </c>
      <c r="I125" s="2" t="inlineStr">
        <is>
          <t>09:38</t>
        </is>
      </c>
      <c r="J125" s="3" t="inlineStr">
        <is>
          <t>0001</t>
        </is>
      </c>
      <c r="K125" s="2" t="inlineStr">
        <is>
          <t>CA BRUT</t>
        </is>
      </c>
      <c r="L125" s="5" t="n">
        <v>84</v>
      </c>
      <c r="M125" s="6" t="n">
        <v>27074.6</v>
      </c>
      <c r="N125" s="5" t="n">
        <v>2025</v>
      </c>
      <c r="O125" s="6" t="inlineStr">
        <is>
          <t>2025-06|2025-07</t>
        </is>
      </c>
    </row>
    <row r="126">
      <c r="A126" s="2" t="inlineStr">
        <is>
          <t>Z001_01_062025_072025_MATURIN.CSV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0044</t>
        </is>
      </c>
      <c r="H126" s="4" t="n">
        <v>45870</v>
      </c>
      <c r="I126" s="2" t="inlineStr">
        <is>
          <t>09:38</t>
        </is>
      </c>
      <c r="J126" s="3" t="inlineStr">
        <is>
          <t>0002</t>
        </is>
      </c>
      <c r="K126" s="2" t="inlineStr">
        <is>
          <t>CA NET</t>
        </is>
      </c>
      <c r="L126" s="5" t="n">
        <v>55</v>
      </c>
      <c r="M126" s="6" t="n">
        <v>27074.6</v>
      </c>
      <c r="N126" s="5" t="n">
        <v>2025</v>
      </c>
      <c r="O126" s="6" t="inlineStr">
        <is>
          <t>2025-06|2025-07</t>
        </is>
      </c>
    </row>
    <row r="127">
      <c r="A127" s="2" t="inlineStr">
        <is>
          <t>Z001_01_062025_072025_MATURIN.CSV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0044</t>
        </is>
      </c>
      <c r="H127" s="4" t="n">
        <v>45870</v>
      </c>
      <c r="I127" s="2" t="inlineStr">
        <is>
          <t>09:38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17043</v>
      </c>
      <c r="N127" s="5" t="n">
        <v>2025</v>
      </c>
      <c r="O127" s="6" t="inlineStr">
        <is>
          <t>2025-06|2025-07</t>
        </is>
      </c>
    </row>
    <row r="128">
      <c r="A128" s="2" t="inlineStr">
        <is>
          <t>Z001_01_062025_072025_MATURIN.CSV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0044</t>
        </is>
      </c>
      <c r="H128" s="4" t="n">
        <v>45870</v>
      </c>
      <c r="I128" s="2" t="inlineStr">
        <is>
          <t>09:38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9991.6</v>
      </c>
      <c r="N128" s="5" t="n">
        <v>2025</v>
      </c>
      <c r="O128" s="6" t="inlineStr">
        <is>
          <t>2025-06|2025-07</t>
        </is>
      </c>
    </row>
    <row r="129">
      <c r="A129" s="2" t="inlineStr">
        <is>
          <t>Z001_01_062025_072025_MATURIN.CSV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0044</t>
        </is>
      </c>
      <c r="H129" s="4" t="n">
        <v>45870</v>
      </c>
      <c r="I129" s="2" t="inlineStr">
        <is>
          <t>09:38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40</v>
      </c>
      <c r="N129" s="5" t="n">
        <v>2025</v>
      </c>
      <c r="O129" s="6" t="inlineStr">
        <is>
          <t>2025-06|2025-07</t>
        </is>
      </c>
    </row>
    <row r="130">
      <c r="A130" s="2" t="inlineStr">
        <is>
          <t>Z001_01_062025_072025_MATURIN.CSV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0044</t>
        </is>
      </c>
      <c r="H130" s="4" t="n">
        <v>45870</v>
      </c>
      <c r="I130" s="2" t="inlineStr">
        <is>
          <t>09:38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  <c r="N130" s="5" t="n">
        <v>2025</v>
      </c>
      <c r="O130" s="6" t="inlineStr">
        <is>
          <t>2025-06|2025-07</t>
        </is>
      </c>
    </row>
    <row r="131">
      <c r="A131" s="2" t="inlineStr">
        <is>
          <t>Z001_01_062025_072025_MATURIN.CSV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0044</t>
        </is>
      </c>
      <c r="H131" s="4" t="n">
        <v>45870</v>
      </c>
      <c r="I131" s="2" t="inlineStr">
        <is>
          <t>09:38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  <c r="N131" s="5" t="n">
        <v>2025</v>
      </c>
      <c r="O131" s="6" t="inlineStr">
        <is>
          <t>2025-06|2025-07</t>
        </is>
      </c>
    </row>
    <row r="132">
      <c r="A132" s="2" t="inlineStr">
        <is>
          <t>Z001_01_062025_072025_MATURIN.CSV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0044</t>
        </is>
      </c>
      <c r="H132" s="4" t="n">
        <v>45870</v>
      </c>
      <c r="I132" s="2" t="inlineStr">
        <is>
          <t>09:38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  <c r="N132" s="5" t="n">
        <v>2025</v>
      </c>
      <c r="O132" s="6" t="inlineStr">
        <is>
          <t>2025-06|2025-07</t>
        </is>
      </c>
    </row>
    <row r="133">
      <c r="A133" s="2" t="inlineStr">
        <is>
          <t>Z001_01_062025_072025_MATURIN.CSV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0044</t>
        </is>
      </c>
      <c r="H133" s="4" t="n">
        <v>45870</v>
      </c>
      <c r="I133" s="2" t="inlineStr">
        <is>
          <t>09:38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  <c r="N133" s="5" t="n">
        <v>2025</v>
      </c>
      <c r="O133" s="6" t="inlineStr">
        <is>
          <t>2025-06|2025-07</t>
        </is>
      </c>
    </row>
    <row r="134">
      <c r="A134" s="2" t="inlineStr">
        <is>
          <t>Z001_01_062025_072025_MATURIN.CSV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0044</t>
        </is>
      </c>
      <c r="H134" s="4" t="n">
        <v>45870</v>
      </c>
      <c r="I134" s="2" t="inlineStr">
        <is>
          <t>09:38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  <c r="N134" s="5" t="n">
        <v>2025</v>
      </c>
      <c r="O134" s="6" t="inlineStr">
        <is>
          <t>2025-06|2025-07</t>
        </is>
      </c>
    </row>
    <row r="135">
      <c r="A135" s="2" t="inlineStr">
        <is>
          <t>Z001_01_062025_072025_MATURIN.CSV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0044</t>
        </is>
      </c>
      <c r="H135" s="4" t="n">
        <v>45870</v>
      </c>
      <c r="I135" s="2" t="inlineStr">
        <is>
          <t>09:38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  <c r="N135" s="5" t="n">
        <v>2025</v>
      </c>
      <c r="O135" s="6" t="inlineStr">
        <is>
          <t>2025-06|2025-07</t>
        </is>
      </c>
    </row>
    <row r="136">
      <c r="A136" s="2" t="inlineStr">
        <is>
          <t>Z001_01_062025_072025_MATURIN.CSV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0044</t>
        </is>
      </c>
      <c r="H136" s="4" t="n">
        <v>45870</v>
      </c>
      <c r="I136" s="2" t="inlineStr">
        <is>
          <t>09:38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  <c r="N136" s="5" t="n">
        <v>2025</v>
      </c>
      <c r="O136" s="6" t="inlineStr">
        <is>
          <t>2025-06|2025-07</t>
        </is>
      </c>
    </row>
    <row r="137">
      <c r="A137" s="2" t="inlineStr">
        <is>
          <t>Z001_01_062025_072025_MATURIN.CSV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0044</t>
        </is>
      </c>
      <c r="H137" s="4" t="n">
        <v>45870</v>
      </c>
      <c r="I137" s="2" t="inlineStr">
        <is>
          <t>09:38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  <c r="N137" s="5" t="n">
        <v>2025</v>
      </c>
      <c r="O137" s="6" t="inlineStr">
        <is>
          <t>2025-06|2025-07</t>
        </is>
      </c>
    </row>
    <row r="138">
      <c r="A138" s="2" t="inlineStr">
        <is>
          <t>Z001_01_062025_072025_MATURIN.CSV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0044</t>
        </is>
      </c>
      <c r="H138" s="4" t="n">
        <v>45870</v>
      </c>
      <c r="I138" s="2" t="inlineStr">
        <is>
          <t>09:38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  <c r="N138" s="5" t="n">
        <v>2025</v>
      </c>
      <c r="O138" s="6" t="inlineStr">
        <is>
          <t>2025-06|2025-07</t>
        </is>
      </c>
    </row>
    <row r="139">
      <c r="A139" s="2" t="inlineStr">
        <is>
          <t>Z001_01_062025_072025_MATURIN.CSV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0044</t>
        </is>
      </c>
      <c r="H139" s="4" t="n">
        <v>45870</v>
      </c>
      <c r="I139" s="2" t="inlineStr">
        <is>
          <t>09:38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  <c r="N139" s="5" t="n">
        <v>2025</v>
      </c>
      <c r="O139" s="6" t="inlineStr">
        <is>
          <t>2025-06|2025-07</t>
        </is>
      </c>
    </row>
    <row r="140">
      <c r="A140" s="2" t="inlineStr">
        <is>
          <t>Z001_01_062025_072025_MATURIN.CSV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0044</t>
        </is>
      </c>
      <c r="H140" s="4" t="n">
        <v>45870</v>
      </c>
      <c r="I140" s="2" t="inlineStr">
        <is>
          <t>09:38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  <c r="N140" s="5" t="n">
        <v>2025</v>
      </c>
      <c r="O140" s="6" t="inlineStr">
        <is>
          <t>2025-06|2025-07</t>
        </is>
      </c>
    </row>
    <row r="141">
      <c r="A141" s="2" t="inlineStr">
        <is>
          <t>Z001_01_062025_072025_MATURIN.CSV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0044</t>
        </is>
      </c>
      <c r="H141" s="4" t="n">
        <v>45870</v>
      </c>
      <c r="I141" s="2" t="inlineStr">
        <is>
          <t>09:38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  <c r="N141" s="5" t="n">
        <v>2025</v>
      </c>
      <c r="O141" s="6" t="inlineStr">
        <is>
          <t>2025-06|2025-07</t>
        </is>
      </c>
    </row>
    <row r="142">
      <c r="A142" s="2" t="inlineStr">
        <is>
          <t>Z001_01_062025_072025_MATURIN.CSV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0044</t>
        </is>
      </c>
      <c r="H142" s="4" t="n">
        <v>45870</v>
      </c>
      <c r="I142" s="2" t="inlineStr">
        <is>
          <t>09:38</t>
        </is>
      </c>
      <c r="J142" s="3" t="inlineStr">
        <is>
          <t>0018</t>
        </is>
      </c>
      <c r="K142" s="2" t="inlineStr">
        <is>
          <t>CLIENTS</t>
        </is>
      </c>
      <c r="L142" s="5" t="n">
        <v>55</v>
      </c>
      <c r="M142" s="6" t="n">
        <v>0</v>
      </c>
      <c r="N142" s="5" t="n">
        <v>2025</v>
      </c>
      <c r="O142" s="6" t="inlineStr">
        <is>
          <t>2025-06|2025-07</t>
        </is>
      </c>
    </row>
    <row r="143">
      <c r="A143" s="2" t="inlineStr">
        <is>
          <t>Z001_01_062025_072025_MATURIN.CSV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0044</t>
        </is>
      </c>
      <c r="H143" s="4" t="n">
        <v>45870</v>
      </c>
      <c r="I143" s="2" t="inlineStr">
        <is>
          <t>09:38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  <c r="N143" s="5" t="n">
        <v>2025</v>
      </c>
      <c r="O143" s="6" t="inlineStr">
        <is>
          <t>2025-06|2025-07</t>
        </is>
      </c>
    </row>
    <row r="144">
      <c r="A144" s="2" t="inlineStr">
        <is>
          <t>Z001_01_062025_072025_MATURIN.CSV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0044</t>
        </is>
      </c>
      <c r="H144" s="4" t="n">
        <v>45870</v>
      </c>
      <c r="I144" s="2" t="inlineStr">
        <is>
          <t>09:38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  <c r="N144" s="5" t="n">
        <v>2025</v>
      </c>
      <c r="O144" s="6" t="inlineStr">
        <is>
          <t>2025-06|2025-07</t>
        </is>
      </c>
    </row>
    <row r="145">
      <c r="A145" s="2" t="inlineStr">
        <is>
          <t>Z001_01_062025_072025_MATURIN.CSV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0044</t>
        </is>
      </c>
      <c r="H145" s="4" t="n">
        <v>45870</v>
      </c>
      <c r="I145" s="2" t="inlineStr">
        <is>
          <t>09:38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  <c r="N145" s="5" t="n">
        <v>2025</v>
      </c>
      <c r="O145" s="6" t="inlineStr">
        <is>
          <t>2025-06|2025-07</t>
        </is>
      </c>
    </row>
    <row r="146">
      <c r="A146" s="2" t="inlineStr">
        <is>
          <t>Z001_01_062025_072025_MATURIN.CSV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0044</t>
        </is>
      </c>
      <c r="H146" s="4" t="n">
        <v>45870</v>
      </c>
      <c r="I146" s="2" t="inlineStr">
        <is>
          <t>09:38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  <c r="N146" s="5" t="n">
        <v>2025</v>
      </c>
      <c r="O146" s="6" t="inlineStr">
        <is>
          <t>2025-06|2025-07</t>
        </is>
      </c>
    </row>
    <row r="147">
      <c r="A147" s="2" t="inlineStr">
        <is>
          <t>Z001_01_062025_072025_MATURIN.CSV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0044</t>
        </is>
      </c>
      <c r="H147" s="4" t="n">
        <v>45870</v>
      </c>
      <c r="I147" s="2" t="inlineStr">
        <is>
          <t>09:38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  <c r="N147" s="5" t="n">
        <v>2025</v>
      </c>
      <c r="O147" s="6" t="inlineStr">
        <is>
          <t>2025-06|2025-07</t>
        </is>
      </c>
    </row>
    <row r="148">
      <c r="A148" s="2" t="inlineStr">
        <is>
          <t>Z001_01_062025_072025_MATURIN.CSV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0044</t>
        </is>
      </c>
      <c r="H148" s="4" t="n">
        <v>45870</v>
      </c>
      <c r="I148" s="2" t="inlineStr">
        <is>
          <t>09:38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  <c r="N148" s="5" t="n">
        <v>2025</v>
      </c>
      <c r="O148" s="6" t="inlineStr">
        <is>
          <t>2025-06|2025-07</t>
        </is>
      </c>
    </row>
    <row r="149">
      <c r="A149" s="2" t="inlineStr">
        <is>
          <t>Z001_01_062025_072025_MATURIN.CSV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0044</t>
        </is>
      </c>
      <c r="H149" s="4" t="n">
        <v>45870</v>
      </c>
      <c r="I149" s="2" t="inlineStr">
        <is>
          <t>09:38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  <c r="N149" s="5" t="n">
        <v>2025</v>
      </c>
      <c r="O149" s="6" t="inlineStr">
        <is>
          <t>2025-06|2025-07</t>
        </is>
      </c>
    </row>
    <row r="150">
      <c r="A150" s="2" t="inlineStr">
        <is>
          <t>Z001_01_062025_072025_MATURIN.CSV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0044</t>
        </is>
      </c>
      <c r="H150" s="4" t="n">
        <v>45870</v>
      </c>
      <c r="I150" s="2" t="inlineStr">
        <is>
          <t>09:38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  <c r="N150" s="5" t="n">
        <v>2025</v>
      </c>
      <c r="O150" s="6" t="inlineStr">
        <is>
          <t>2025-06|2025-07</t>
        </is>
      </c>
    </row>
    <row r="151">
      <c r="A151" s="2" t="inlineStr">
        <is>
          <t>Z001_01_062025_072025_MATURIN.CSV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0044</t>
        </is>
      </c>
      <c r="H151" s="4" t="n">
        <v>45870</v>
      </c>
      <c r="I151" s="2" t="inlineStr">
        <is>
          <t>09:38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  <c r="N151" s="5" t="n">
        <v>2025</v>
      </c>
      <c r="O151" s="6" t="inlineStr">
        <is>
          <t>2025-06|2025-07</t>
        </is>
      </c>
    </row>
    <row r="152">
      <c r="A152" s="2" t="inlineStr">
        <is>
          <t>Z001_01_062025_072025_MATURIN.CSV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0044</t>
        </is>
      </c>
      <c r="H152" s="4" t="n">
        <v>45870</v>
      </c>
      <c r="I152" s="2" t="inlineStr">
        <is>
          <t>09:38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  <c r="N152" s="5" t="n">
        <v>2025</v>
      </c>
      <c r="O152" s="6" t="inlineStr">
        <is>
          <t>2025-06|2025-07</t>
        </is>
      </c>
    </row>
    <row r="153">
      <c r="A153" s="2" t="inlineStr">
        <is>
          <t>Z001_01_062025_072025_MATURIN.CSV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0044</t>
        </is>
      </c>
      <c r="H153" s="4" t="n">
        <v>45870</v>
      </c>
      <c r="I153" s="2" t="inlineStr">
        <is>
          <t>09:38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  <c r="N153" s="5" t="n">
        <v>2025</v>
      </c>
      <c r="O153" s="6" t="inlineStr">
        <is>
          <t>2025-06|2025-07</t>
        </is>
      </c>
    </row>
    <row r="154">
      <c r="A154" s="2" t="inlineStr">
        <is>
          <t>Z001_01_062025_072025_MATURIN.CSV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0044</t>
        </is>
      </c>
      <c r="H154" s="4" t="n">
        <v>45870</v>
      </c>
      <c r="I154" s="2" t="inlineStr">
        <is>
          <t>09:38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  <c r="N154" s="5" t="n">
        <v>2025</v>
      </c>
      <c r="O154" s="6" t="inlineStr">
        <is>
          <t>2025-06|2025-07</t>
        </is>
      </c>
    </row>
    <row r="155">
      <c r="A155" s="2" t="inlineStr">
        <is>
          <t>Z001_01_062025_072025_MATURIN.CSV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0044</t>
        </is>
      </c>
      <c r="H155" s="4" t="n">
        <v>45870</v>
      </c>
      <c r="I155" s="2" t="inlineStr">
        <is>
          <t>09:38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  <c r="N155" s="5" t="n">
        <v>2025</v>
      </c>
      <c r="O155" s="6" t="inlineStr">
        <is>
          <t>2025-06|2025-07</t>
        </is>
      </c>
    </row>
    <row r="156">
      <c r="A156" s="2" t="inlineStr">
        <is>
          <t>Z001_01_062025_072025_MATURIN.CSV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0044</t>
        </is>
      </c>
      <c r="H156" s="4" t="n">
        <v>45870</v>
      </c>
      <c r="I156" s="2" t="inlineStr">
        <is>
          <t>09:38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  <c r="N156" s="5" t="n">
        <v>2025</v>
      </c>
      <c r="O156" s="6" t="inlineStr">
        <is>
          <t>2025-06|2025-07</t>
        </is>
      </c>
    </row>
    <row r="157">
      <c r="A157" s="2" t="inlineStr">
        <is>
          <t>Z001_01_062025_072025_MATURIN.CSV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0044</t>
        </is>
      </c>
      <c r="H157" s="4" t="n">
        <v>45870</v>
      </c>
      <c r="I157" s="2" t="inlineStr">
        <is>
          <t>09:38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22562.17</v>
      </c>
      <c r="N157" s="5" t="n">
        <v>2025</v>
      </c>
      <c r="O157" s="6" t="inlineStr">
        <is>
          <t>2025-06|2025-07</t>
        </is>
      </c>
    </row>
    <row r="158">
      <c r="A158" s="2" t="inlineStr">
        <is>
          <t>Z001_01_062025_072025_MATURIN.CSV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0044</t>
        </is>
      </c>
      <c r="H158" s="4" t="n">
        <v>45870</v>
      </c>
      <c r="I158" s="2" t="inlineStr">
        <is>
          <t>09:38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4512.43</v>
      </c>
      <c r="N158" s="5" t="n">
        <v>2025</v>
      </c>
      <c r="O158" s="6" t="inlineStr">
        <is>
          <t>2025-06|2025-07</t>
        </is>
      </c>
    </row>
    <row r="159">
      <c r="A159" s="2" t="inlineStr">
        <is>
          <t>Z001_01_062025_072025_MATURIN.CSV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0044</t>
        </is>
      </c>
      <c r="H159" s="4" t="n">
        <v>45870</v>
      </c>
      <c r="I159" s="2" t="inlineStr">
        <is>
          <t>09:38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  <c r="N159" s="5" t="n">
        <v>2025</v>
      </c>
      <c r="O159" s="6" t="inlineStr">
        <is>
          <t>2025-06|2025-07</t>
        </is>
      </c>
    </row>
    <row r="160">
      <c r="A160" s="2" t="inlineStr">
        <is>
          <t>Z001_01_062025_072025_MATURIN.CSV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0044</t>
        </is>
      </c>
      <c r="H160" s="4" t="n">
        <v>45870</v>
      </c>
      <c r="I160" s="2" t="inlineStr">
        <is>
          <t>09:38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  <c r="N160" s="5" t="n">
        <v>2025</v>
      </c>
      <c r="O160" s="6" t="inlineStr">
        <is>
          <t>2025-06|2025-07</t>
        </is>
      </c>
    </row>
    <row r="161">
      <c r="A161" s="2" t="inlineStr">
        <is>
          <t>Z001_01_062025_072025_MATURIN.CSV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0044</t>
        </is>
      </c>
      <c r="H161" s="4" t="n">
        <v>45870</v>
      </c>
      <c r="I161" s="2" t="inlineStr">
        <is>
          <t>09:38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  <c r="N161" s="5" t="n">
        <v>2025</v>
      </c>
      <c r="O161" s="6" t="inlineStr">
        <is>
          <t>2025-06|2025-07</t>
        </is>
      </c>
    </row>
    <row r="162">
      <c r="A162" s="2" t="inlineStr">
        <is>
          <t>Z001_01_062025_072025_MATURIN.CSV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0044</t>
        </is>
      </c>
      <c r="H162" s="4" t="n">
        <v>45870</v>
      </c>
      <c r="I162" s="2" t="inlineStr">
        <is>
          <t>09:38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  <c r="N162" s="5" t="n">
        <v>2025</v>
      </c>
      <c r="O162" s="6" t="inlineStr">
        <is>
          <t>2025-06|2025-07</t>
        </is>
      </c>
    </row>
    <row r="163">
      <c r="A163" s="2" t="inlineStr">
        <is>
          <t>Z001_01_062025_072025_MATURIN.CSV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0044</t>
        </is>
      </c>
      <c r="H163" s="4" t="n">
        <v>45870</v>
      </c>
      <c r="I163" s="2" t="inlineStr">
        <is>
          <t>09:38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  <c r="N163" s="5" t="n">
        <v>2025</v>
      </c>
      <c r="O163" s="6" t="inlineStr">
        <is>
          <t>2025-06|2025-07</t>
        </is>
      </c>
    </row>
    <row r="164">
      <c r="A164" s="2" t="inlineStr">
        <is>
          <t>Z001_01_062025_072025_MATURIN.CSV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0044</t>
        </is>
      </c>
      <c r="H164" s="4" t="n">
        <v>45870</v>
      </c>
      <c r="I164" s="2" t="inlineStr">
        <is>
          <t>09:38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  <c r="N164" s="5" t="n">
        <v>2025</v>
      </c>
      <c r="O164" s="6" t="inlineStr">
        <is>
          <t>2025-06|2025-07</t>
        </is>
      </c>
    </row>
    <row r="165">
      <c r="A165" s="2" t="inlineStr">
        <is>
          <t>Z001_01_062025_072025_MATURIN.CSV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0044</t>
        </is>
      </c>
      <c r="H165" s="4" t="n">
        <v>45870</v>
      </c>
      <c r="I165" s="2" t="inlineStr">
        <is>
          <t>09:38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  <c r="N165" s="5" t="n">
        <v>2025</v>
      </c>
      <c r="O165" s="6" t="inlineStr">
        <is>
          <t>2025-06|2025-07</t>
        </is>
      </c>
    </row>
    <row r="166">
      <c r="A166" s="2" t="inlineStr">
        <is>
          <t>Z001_01_082025_MATURIN.CSV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0045</t>
        </is>
      </c>
      <c r="H166" s="4" t="n">
        <v>45901</v>
      </c>
      <c r="I166" s="2" t="inlineStr">
        <is>
          <t>09:02</t>
        </is>
      </c>
      <c r="J166" s="3" t="inlineStr">
        <is>
          <t>0001</t>
        </is>
      </c>
      <c r="K166" s="2" t="inlineStr">
        <is>
          <t>CA BRUT</t>
        </is>
      </c>
      <c r="L166" s="5" t="n">
        <v>8</v>
      </c>
      <c r="M166" s="6" t="n">
        <v>2176</v>
      </c>
      <c r="N166" s="5" t="n">
        <v>2025</v>
      </c>
      <c r="O166" s="6" t="inlineStr">
        <is>
          <t>2025-08</t>
        </is>
      </c>
    </row>
    <row r="167">
      <c r="A167" s="2" t="inlineStr">
        <is>
          <t>Z001_01_082025_MATURIN.CSV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0045</t>
        </is>
      </c>
      <c r="H167" s="4" t="n">
        <v>45901</v>
      </c>
      <c r="I167" s="2" t="inlineStr">
        <is>
          <t>09:02</t>
        </is>
      </c>
      <c r="J167" s="3" t="inlineStr">
        <is>
          <t>0002</t>
        </is>
      </c>
      <c r="K167" s="2" t="inlineStr">
        <is>
          <t>CA NET</t>
        </is>
      </c>
      <c r="L167" s="5" t="n">
        <v>6</v>
      </c>
      <c r="M167" s="6" t="n">
        <v>2176</v>
      </c>
      <c r="N167" s="5" t="n">
        <v>2025</v>
      </c>
      <c r="O167" s="6" t="inlineStr">
        <is>
          <t>2025-08</t>
        </is>
      </c>
    </row>
    <row r="168">
      <c r="A168" s="2" t="inlineStr">
        <is>
          <t>Z001_01_082025_MATURIN.CSV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0045</t>
        </is>
      </c>
      <c r="H168" s="4" t="n">
        <v>45901</v>
      </c>
      <c r="I168" s="2" t="inlineStr">
        <is>
          <t>09:02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1432</v>
      </c>
      <c r="N168" s="5" t="n">
        <v>2025</v>
      </c>
      <c r="O168" s="6" t="inlineStr">
        <is>
          <t>2025-08</t>
        </is>
      </c>
    </row>
    <row r="169">
      <c r="A169" s="2" t="inlineStr">
        <is>
          <t>Z001_01_082025_MATURIN.CSV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0045</t>
        </is>
      </c>
      <c r="H169" s="4" t="n">
        <v>45901</v>
      </c>
      <c r="I169" s="2" t="inlineStr">
        <is>
          <t>09:02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744</v>
      </c>
      <c r="N169" s="5" t="n">
        <v>2025</v>
      </c>
      <c r="O169" s="6" t="inlineStr">
        <is>
          <t>2025-08</t>
        </is>
      </c>
    </row>
    <row r="170">
      <c r="A170" s="2" t="inlineStr">
        <is>
          <t>Z001_01_082025_MATURIN.CSV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0045</t>
        </is>
      </c>
      <c r="H170" s="4" t="n">
        <v>45901</v>
      </c>
      <c r="I170" s="2" t="inlineStr">
        <is>
          <t>09:02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  <c r="N170" s="5" t="n">
        <v>2025</v>
      </c>
      <c r="O170" s="6" t="inlineStr">
        <is>
          <t>2025-08</t>
        </is>
      </c>
    </row>
    <row r="171">
      <c r="A171" s="2" t="inlineStr">
        <is>
          <t>Z001_01_082025_MATURIN.CSV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0045</t>
        </is>
      </c>
      <c r="H171" s="4" t="n">
        <v>45901</v>
      </c>
      <c r="I171" s="2" t="inlineStr">
        <is>
          <t>09:02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  <c r="N171" s="5" t="n">
        <v>2025</v>
      </c>
      <c r="O171" s="6" t="inlineStr">
        <is>
          <t>2025-08</t>
        </is>
      </c>
    </row>
    <row r="172">
      <c r="A172" s="2" t="inlineStr">
        <is>
          <t>Z001_01_082025_MATURIN.CSV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0045</t>
        </is>
      </c>
      <c r="H172" s="4" t="n">
        <v>45901</v>
      </c>
      <c r="I172" s="2" t="inlineStr">
        <is>
          <t>09:02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  <c r="N172" s="5" t="n">
        <v>2025</v>
      </c>
      <c r="O172" s="6" t="inlineStr">
        <is>
          <t>2025-08</t>
        </is>
      </c>
    </row>
    <row r="173">
      <c r="A173" s="2" t="inlineStr">
        <is>
          <t>Z001_01_082025_MATURIN.CSV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0045</t>
        </is>
      </c>
      <c r="H173" s="4" t="n">
        <v>45901</v>
      </c>
      <c r="I173" s="2" t="inlineStr">
        <is>
          <t>09:02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  <c r="N173" s="5" t="n">
        <v>2025</v>
      </c>
      <c r="O173" s="6" t="inlineStr">
        <is>
          <t>2025-08</t>
        </is>
      </c>
    </row>
    <row r="174">
      <c r="A174" s="2" t="inlineStr">
        <is>
          <t>Z001_01_082025_MATURIN.CSV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0045</t>
        </is>
      </c>
      <c r="H174" s="4" t="n">
        <v>45901</v>
      </c>
      <c r="I174" s="2" t="inlineStr">
        <is>
          <t>09:02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  <c r="N174" s="5" t="n">
        <v>2025</v>
      </c>
      <c r="O174" s="6" t="inlineStr">
        <is>
          <t>2025-08</t>
        </is>
      </c>
    </row>
    <row r="175">
      <c r="A175" s="2" t="inlineStr">
        <is>
          <t>Z001_01_082025_MATURIN.CSV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0045</t>
        </is>
      </c>
      <c r="H175" s="4" t="n">
        <v>45901</v>
      </c>
      <c r="I175" s="2" t="inlineStr">
        <is>
          <t>09:02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  <c r="N175" s="5" t="n">
        <v>2025</v>
      </c>
      <c r="O175" s="6" t="inlineStr">
        <is>
          <t>2025-08</t>
        </is>
      </c>
    </row>
    <row r="176">
      <c r="A176" s="2" t="inlineStr">
        <is>
          <t>Z001_01_082025_MATURIN.CSV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0045</t>
        </is>
      </c>
      <c r="H176" s="4" t="n">
        <v>45901</v>
      </c>
      <c r="I176" s="2" t="inlineStr">
        <is>
          <t>09:02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  <c r="N176" s="5" t="n">
        <v>2025</v>
      </c>
      <c r="O176" s="6" t="inlineStr">
        <is>
          <t>2025-08</t>
        </is>
      </c>
    </row>
    <row r="177">
      <c r="A177" s="2" t="inlineStr">
        <is>
          <t>Z001_01_082025_MATURIN.CSV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0045</t>
        </is>
      </c>
      <c r="H177" s="4" t="n">
        <v>45901</v>
      </c>
      <c r="I177" s="2" t="inlineStr">
        <is>
          <t>09:02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  <c r="N177" s="5" t="n">
        <v>2025</v>
      </c>
      <c r="O177" s="6" t="inlineStr">
        <is>
          <t>2025-08</t>
        </is>
      </c>
    </row>
    <row r="178">
      <c r="A178" s="2" t="inlineStr">
        <is>
          <t>Z001_01_082025_MATURIN.CSV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0045</t>
        </is>
      </c>
      <c r="H178" s="4" t="n">
        <v>45901</v>
      </c>
      <c r="I178" s="2" t="inlineStr">
        <is>
          <t>09:02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  <c r="N178" s="5" t="n">
        <v>2025</v>
      </c>
      <c r="O178" s="6" t="inlineStr">
        <is>
          <t>2025-08</t>
        </is>
      </c>
    </row>
    <row r="179">
      <c r="A179" s="2" t="inlineStr">
        <is>
          <t>Z001_01_082025_MATURIN.CSV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0045</t>
        </is>
      </c>
      <c r="H179" s="4" t="n">
        <v>45901</v>
      </c>
      <c r="I179" s="2" t="inlineStr">
        <is>
          <t>09:02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  <c r="N179" s="5" t="n">
        <v>2025</v>
      </c>
      <c r="O179" s="6" t="inlineStr">
        <is>
          <t>2025-08</t>
        </is>
      </c>
    </row>
    <row r="180">
      <c r="A180" s="2" t="inlineStr">
        <is>
          <t>Z001_01_082025_MATURIN.CSV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0045</t>
        </is>
      </c>
      <c r="H180" s="4" t="n">
        <v>45901</v>
      </c>
      <c r="I180" s="2" t="inlineStr">
        <is>
          <t>09:02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  <c r="N180" s="5" t="n">
        <v>2025</v>
      </c>
      <c r="O180" s="6" t="inlineStr">
        <is>
          <t>2025-08</t>
        </is>
      </c>
    </row>
    <row r="181">
      <c r="A181" s="2" t="inlineStr">
        <is>
          <t>Z001_01_082025_MATURIN.CSV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0045</t>
        </is>
      </c>
      <c r="H181" s="4" t="n">
        <v>45901</v>
      </c>
      <c r="I181" s="2" t="inlineStr">
        <is>
          <t>09:02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  <c r="N181" s="5" t="n">
        <v>2025</v>
      </c>
      <c r="O181" s="6" t="inlineStr">
        <is>
          <t>2025-08</t>
        </is>
      </c>
    </row>
    <row r="182">
      <c r="A182" s="2" t="inlineStr">
        <is>
          <t>Z001_01_082025_MATURIN.CSV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0045</t>
        </is>
      </c>
      <c r="H182" s="4" t="n">
        <v>45901</v>
      </c>
      <c r="I182" s="2" t="inlineStr">
        <is>
          <t>09:02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  <c r="N182" s="5" t="n">
        <v>2025</v>
      </c>
      <c r="O182" s="6" t="inlineStr">
        <is>
          <t>2025-08</t>
        </is>
      </c>
    </row>
    <row r="183">
      <c r="A183" s="2" t="inlineStr">
        <is>
          <t>Z001_01_082025_MATURIN.CSV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0045</t>
        </is>
      </c>
      <c r="H183" s="4" t="n">
        <v>45901</v>
      </c>
      <c r="I183" s="2" t="inlineStr">
        <is>
          <t>09:02</t>
        </is>
      </c>
      <c r="J183" s="3" t="inlineStr">
        <is>
          <t>0018</t>
        </is>
      </c>
      <c r="K183" s="2" t="inlineStr">
        <is>
          <t>CLIENTS</t>
        </is>
      </c>
      <c r="L183" s="5" t="n">
        <v>6</v>
      </c>
      <c r="M183" s="6" t="n">
        <v>0</v>
      </c>
      <c r="N183" s="5" t="n">
        <v>2025</v>
      </c>
      <c r="O183" s="6" t="inlineStr">
        <is>
          <t>2025-08</t>
        </is>
      </c>
    </row>
    <row r="184">
      <c r="A184" s="2" t="inlineStr">
        <is>
          <t>Z001_01_082025_MATURIN.CSV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0045</t>
        </is>
      </c>
      <c r="H184" s="4" t="n">
        <v>45901</v>
      </c>
      <c r="I184" s="2" t="inlineStr">
        <is>
          <t>09:02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  <c r="N184" s="5" t="n">
        <v>2025</v>
      </c>
      <c r="O184" s="6" t="inlineStr">
        <is>
          <t>2025-08</t>
        </is>
      </c>
    </row>
    <row r="185">
      <c r="A185" s="2" t="inlineStr">
        <is>
          <t>Z001_01_082025_MATURIN.CSV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0045</t>
        </is>
      </c>
      <c r="H185" s="4" t="n">
        <v>45901</v>
      </c>
      <c r="I185" s="2" t="inlineStr">
        <is>
          <t>09:02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  <c r="N185" s="5" t="n">
        <v>2025</v>
      </c>
      <c r="O185" s="6" t="inlineStr">
        <is>
          <t>2025-08</t>
        </is>
      </c>
    </row>
    <row r="186">
      <c r="A186" s="2" t="inlineStr">
        <is>
          <t>Z001_01_082025_MATURIN.CSV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0045</t>
        </is>
      </c>
      <c r="H186" s="4" t="n">
        <v>45901</v>
      </c>
      <c r="I186" s="2" t="inlineStr">
        <is>
          <t>09:02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  <c r="N186" s="5" t="n">
        <v>2025</v>
      </c>
      <c r="O186" s="6" t="inlineStr">
        <is>
          <t>2025-08</t>
        </is>
      </c>
    </row>
    <row r="187">
      <c r="A187" s="2" t="inlineStr">
        <is>
          <t>Z001_01_082025_MATURIN.CSV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0045</t>
        </is>
      </c>
      <c r="H187" s="4" t="n">
        <v>45901</v>
      </c>
      <c r="I187" s="2" t="inlineStr">
        <is>
          <t>09:02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  <c r="N187" s="5" t="n">
        <v>2025</v>
      </c>
      <c r="O187" s="6" t="inlineStr">
        <is>
          <t>2025-08</t>
        </is>
      </c>
    </row>
    <row r="188">
      <c r="A188" s="2" t="inlineStr">
        <is>
          <t>Z001_01_082025_MATURIN.CSV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0045</t>
        </is>
      </c>
      <c r="H188" s="4" t="n">
        <v>45901</v>
      </c>
      <c r="I188" s="2" t="inlineStr">
        <is>
          <t>09:02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  <c r="N188" s="5" t="n">
        <v>2025</v>
      </c>
      <c r="O188" s="6" t="inlineStr">
        <is>
          <t>2025-08</t>
        </is>
      </c>
    </row>
    <row r="189">
      <c r="A189" s="2" t="inlineStr">
        <is>
          <t>Z001_01_082025_MATURIN.CSV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0045</t>
        </is>
      </c>
      <c r="H189" s="4" t="n">
        <v>45901</v>
      </c>
      <c r="I189" s="2" t="inlineStr">
        <is>
          <t>09:02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  <c r="N189" s="5" t="n">
        <v>2025</v>
      </c>
      <c r="O189" s="6" t="inlineStr">
        <is>
          <t>2025-08</t>
        </is>
      </c>
    </row>
    <row r="190">
      <c r="A190" s="2" t="inlineStr">
        <is>
          <t>Z001_01_082025_MATURIN.CSV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0045</t>
        </is>
      </c>
      <c r="H190" s="4" t="n">
        <v>45901</v>
      </c>
      <c r="I190" s="2" t="inlineStr">
        <is>
          <t>09:02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  <c r="N190" s="5" t="n">
        <v>2025</v>
      </c>
      <c r="O190" s="6" t="inlineStr">
        <is>
          <t>2025-08</t>
        </is>
      </c>
    </row>
    <row r="191">
      <c r="A191" s="2" t="inlineStr">
        <is>
          <t>Z001_01_082025_MATURIN.CSV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0045</t>
        </is>
      </c>
      <c r="H191" s="4" t="n">
        <v>45901</v>
      </c>
      <c r="I191" s="2" t="inlineStr">
        <is>
          <t>09:02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  <c r="N191" s="5" t="n">
        <v>2025</v>
      </c>
      <c r="O191" s="6" t="inlineStr">
        <is>
          <t>2025-08</t>
        </is>
      </c>
    </row>
    <row r="192">
      <c r="A192" s="2" t="inlineStr">
        <is>
          <t>Z001_01_082025_MATURIN.CSV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0045</t>
        </is>
      </c>
      <c r="H192" s="4" t="n">
        <v>45901</v>
      </c>
      <c r="I192" s="2" t="inlineStr">
        <is>
          <t>09:02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  <c r="N192" s="5" t="n">
        <v>2025</v>
      </c>
      <c r="O192" s="6" t="inlineStr">
        <is>
          <t>2025-08</t>
        </is>
      </c>
    </row>
    <row r="193">
      <c r="A193" s="2" t="inlineStr">
        <is>
          <t>Z001_01_082025_MATURIN.CSV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0045</t>
        </is>
      </c>
      <c r="H193" s="4" t="n">
        <v>45901</v>
      </c>
      <c r="I193" s="2" t="inlineStr">
        <is>
          <t>09:02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  <c r="N193" s="5" t="n">
        <v>2025</v>
      </c>
      <c r="O193" s="6" t="inlineStr">
        <is>
          <t>2025-08</t>
        </is>
      </c>
    </row>
    <row r="194">
      <c r="A194" s="2" t="inlineStr">
        <is>
          <t>Z001_01_082025_MATURIN.CSV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0045</t>
        </is>
      </c>
      <c r="H194" s="4" t="n">
        <v>45901</v>
      </c>
      <c r="I194" s="2" t="inlineStr">
        <is>
          <t>09:02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  <c r="N194" s="5" t="n">
        <v>2025</v>
      </c>
      <c r="O194" s="6" t="inlineStr">
        <is>
          <t>2025-08</t>
        </is>
      </c>
    </row>
    <row r="195">
      <c r="A195" s="2" t="inlineStr">
        <is>
          <t>Z001_01_082025_MATURIN.CSV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0045</t>
        </is>
      </c>
      <c r="H195" s="4" t="n">
        <v>45901</v>
      </c>
      <c r="I195" s="2" t="inlineStr">
        <is>
          <t>09:02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  <c r="N195" s="5" t="n">
        <v>2025</v>
      </c>
      <c r="O195" s="6" t="inlineStr">
        <is>
          <t>2025-08</t>
        </is>
      </c>
    </row>
    <row r="196">
      <c r="A196" s="2" t="inlineStr">
        <is>
          <t>Z001_01_082025_MATURIN.CSV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0045</t>
        </is>
      </c>
      <c r="H196" s="4" t="n">
        <v>45901</v>
      </c>
      <c r="I196" s="2" t="inlineStr">
        <is>
          <t>09:02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  <c r="N196" s="5" t="n">
        <v>2025</v>
      </c>
      <c r="O196" s="6" t="inlineStr">
        <is>
          <t>2025-08</t>
        </is>
      </c>
    </row>
    <row r="197">
      <c r="A197" s="2" t="inlineStr">
        <is>
          <t>Z001_01_082025_MATURIN.CSV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0045</t>
        </is>
      </c>
      <c r="H197" s="4" t="n">
        <v>45901</v>
      </c>
      <c r="I197" s="2" t="inlineStr">
        <is>
          <t>09:02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  <c r="N197" s="5" t="n">
        <v>2025</v>
      </c>
      <c r="O197" s="6" t="inlineStr">
        <is>
          <t>2025-08</t>
        </is>
      </c>
    </row>
    <row r="198">
      <c r="A198" s="2" t="inlineStr">
        <is>
          <t>Z001_01_082025_MATURIN.CSV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0045</t>
        </is>
      </c>
      <c r="H198" s="4" t="n">
        <v>45901</v>
      </c>
      <c r="I198" s="2" t="inlineStr">
        <is>
          <t>09:02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1813.33</v>
      </c>
      <c r="N198" s="5" t="n">
        <v>2025</v>
      </c>
      <c r="O198" s="6" t="inlineStr">
        <is>
          <t>2025-08</t>
        </is>
      </c>
    </row>
    <row r="199">
      <c r="A199" s="2" t="inlineStr">
        <is>
          <t>Z001_01_082025_MATURIN.CSV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0045</t>
        </is>
      </c>
      <c r="H199" s="4" t="n">
        <v>45901</v>
      </c>
      <c r="I199" s="2" t="inlineStr">
        <is>
          <t>09:02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362.67</v>
      </c>
      <c r="N199" s="5" t="n">
        <v>2025</v>
      </c>
      <c r="O199" s="6" t="inlineStr">
        <is>
          <t>2025-08</t>
        </is>
      </c>
    </row>
    <row r="200">
      <c r="A200" s="2" t="inlineStr">
        <is>
          <t>Z001_01_082025_MATURIN.CSV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0045</t>
        </is>
      </c>
      <c r="H200" s="4" t="n">
        <v>45901</v>
      </c>
      <c r="I200" s="2" t="inlineStr">
        <is>
          <t>09:02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  <c r="N200" s="5" t="n">
        <v>2025</v>
      </c>
      <c r="O200" s="6" t="inlineStr">
        <is>
          <t>2025-08</t>
        </is>
      </c>
    </row>
    <row r="201">
      <c r="A201" s="2" t="inlineStr">
        <is>
          <t>Z001_01_082025_MATURIN.CSV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0045</t>
        </is>
      </c>
      <c r="H201" s="4" t="n">
        <v>45901</v>
      </c>
      <c r="I201" s="2" t="inlineStr">
        <is>
          <t>09:02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  <c r="N201" s="5" t="n">
        <v>2025</v>
      </c>
      <c r="O201" s="6" t="inlineStr">
        <is>
          <t>2025-08</t>
        </is>
      </c>
    </row>
    <row r="202">
      <c r="A202" s="2" t="inlineStr">
        <is>
          <t>Z001_01_082025_MATURIN.CSV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0045</t>
        </is>
      </c>
      <c r="H202" s="4" t="n">
        <v>45901</v>
      </c>
      <c r="I202" s="2" t="inlineStr">
        <is>
          <t>09:02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  <c r="N202" s="5" t="n">
        <v>2025</v>
      </c>
      <c r="O202" s="6" t="inlineStr">
        <is>
          <t>2025-08</t>
        </is>
      </c>
    </row>
    <row r="203">
      <c r="A203" s="2" t="inlineStr">
        <is>
          <t>Z001_01_082025_MATURIN.CSV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0045</t>
        </is>
      </c>
      <c r="H203" s="4" t="n">
        <v>45901</v>
      </c>
      <c r="I203" s="2" t="inlineStr">
        <is>
          <t>09:02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  <c r="N203" s="5" t="n">
        <v>2025</v>
      </c>
      <c r="O203" s="6" t="inlineStr">
        <is>
          <t>2025-08</t>
        </is>
      </c>
    </row>
    <row r="204">
      <c r="A204" s="2" t="inlineStr">
        <is>
          <t>Z001_01_082025_MATURIN.CSV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0045</t>
        </is>
      </c>
      <c r="H204" s="4" t="n">
        <v>45901</v>
      </c>
      <c r="I204" s="2" t="inlineStr">
        <is>
          <t>09:02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  <c r="N204" s="5" t="n">
        <v>2025</v>
      </c>
      <c r="O204" s="6" t="inlineStr">
        <is>
          <t>2025-08</t>
        </is>
      </c>
    </row>
    <row r="205">
      <c r="A205" s="2" t="inlineStr">
        <is>
          <t>Z001_01_082025_MATURIN.CSV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0045</t>
        </is>
      </c>
      <c r="H205" s="4" t="n">
        <v>45901</v>
      </c>
      <c r="I205" s="2" t="inlineStr">
        <is>
          <t>09:02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  <c r="N205" s="5" t="n">
        <v>2025</v>
      </c>
      <c r="O205" s="6" t="inlineStr">
        <is>
          <t>2025-08</t>
        </is>
      </c>
    </row>
    <row r="206">
      <c r="A206" s="2" t="inlineStr">
        <is>
          <t>Z001_01_082025_MATURIN.CSV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0045</t>
        </is>
      </c>
      <c r="H206" s="4" t="n">
        <v>45901</v>
      </c>
      <c r="I206" s="2" t="inlineStr">
        <is>
          <t>09:02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  <c r="N206" s="5" t="n">
        <v>2025</v>
      </c>
      <c r="O206" s="6" t="inlineStr">
        <is>
          <t>2025-08</t>
        </is>
      </c>
    </row>
    <row r="207">
      <c r="A207" s="2" t="inlineStr">
        <is>
          <t>Z101_02_052025_MATURIN.CSV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0023</t>
        </is>
      </c>
      <c r="H207" s="4" t="n">
        <v>45810</v>
      </c>
      <c r="I207" s="2" t="inlineStr">
        <is>
          <t>10:05</t>
        </is>
      </c>
      <c r="J207" s="3" t="inlineStr">
        <is>
          <t>0001</t>
        </is>
      </c>
      <c r="K207" s="2" t="inlineStr">
        <is>
          <t>CA BRUT</t>
        </is>
      </c>
      <c r="L207" s="5" t="n">
        <v>802</v>
      </c>
      <c r="M207" s="6" t="n">
        <v>334299.18</v>
      </c>
      <c r="N207" s="5" t="n">
        <v>2025</v>
      </c>
      <c r="O207" s="6" t="inlineStr">
        <is>
          <t>2025-05</t>
        </is>
      </c>
    </row>
    <row r="208">
      <c r="A208" s="2" t="inlineStr">
        <is>
          <t>Z101_02_052025_MATURIN.CSV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0023</t>
        </is>
      </c>
      <c r="H208" s="4" t="n">
        <v>45810</v>
      </c>
      <c r="I208" s="2" t="inlineStr">
        <is>
          <t>10:05</t>
        </is>
      </c>
      <c r="J208" s="3" t="inlineStr">
        <is>
          <t>0002</t>
        </is>
      </c>
      <c r="K208" s="2" t="inlineStr">
        <is>
          <t>CA NET</t>
        </is>
      </c>
      <c r="L208" s="5" t="n">
        <v>365</v>
      </c>
      <c r="M208" s="6" t="n">
        <v>334299.18</v>
      </c>
      <c r="N208" s="5" t="n">
        <v>2025</v>
      </c>
      <c r="O208" s="6" t="inlineStr">
        <is>
          <t>2025-05</t>
        </is>
      </c>
    </row>
    <row r="209">
      <c r="A209" s="2" t="inlineStr">
        <is>
          <t>Z101_02_052025_MATURIN.CSV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0023</t>
        </is>
      </c>
      <c r="H209" s="4" t="n">
        <v>45810</v>
      </c>
      <c r="I209" s="2" t="inlineStr">
        <is>
          <t>10:05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65807.7</v>
      </c>
      <c r="N209" s="5" t="n">
        <v>2025</v>
      </c>
      <c r="O209" s="6" t="inlineStr">
        <is>
          <t>2025-05</t>
        </is>
      </c>
    </row>
    <row r="210">
      <c r="A210" s="2" t="inlineStr">
        <is>
          <t>Z101_02_052025_MATURIN.CSV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0023</t>
        </is>
      </c>
      <c r="H210" s="4" t="n">
        <v>45810</v>
      </c>
      <c r="I210" s="2" t="inlineStr">
        <is>
          <t>10:05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268451.48</v>
      </c>
      <c r="N210" s="5" t="n">
        <v>2025</v>
      </c>
      <c r="O210" s="6" t="inlineStr">
        <is>
          <t>2025-05</t>
        </is>
      </c>
    </row>
    <row r="211">
      <c r="A211" s="2" t="inlineStr">
        <is>
          <t>Z101_02_052025_MATURIN.CSV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0023</t>
        </is>
      </c>
      <c r="H211" s="4" t="n">
        <v>45810</v>
      </c>
      <c r="I211" s="2" t="inlineStr">
        <is>
          <t>10:05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40</v>
      </c>
      <c r="N211" s="5" t="n">
        <v>2025</v>
      </c>
      <c r="O211" s="6" t="inlineStr">
        <is>
          <t>2025-05</t>
        </is>
      </c>
    </row>
    <row r="212">
      <c r="A212" s="2" t="inlineStr">
        <is>
          <t>Z101_02_052025_MATURIN.CSV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0023</t>
        </is>
      </c>
      <c r="H212" s="4" t="n">
        <v>45810</v>
      </c>
      <c r="I212" s="2" t="inlineStr">
        <is>
          <t>10:05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  <c r="N212" s="5" t="n">
        <v>2025</v>
      </c>
      <c r="O212" s="6" t="inlineStr">
        <is>
          <t>2025-05</t>
        </is>
      </c>
    </row>
    <row r="213">
      <c r="A213" s="2" t="inlineStr">
        <is>
          <t>Z101_02_052025_MATURIN.CSV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0023</t>
        </is>
      </c>
      <c r="H213" s="4" t="n">
        <v>45810</v>
      </c>
      <c r="I213" s="2" t="inlineStr">
        <is>
          <t>10:05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  <c r="N213" s="5" t="n">
        <v>2025</v>
      </c>
      <c r="O213" s="6" t="inlineStr">
        <is>
          <t>2025-05</t>
        </is>
      </c>
    </row>
    <row r="214">
      <c r="A214" s="2" t="inlineStr">
        <is>
          <t>Z101_02_052025_MATURIN.CSV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0023</t>
        </is>
      </c>
      <c r="H214" s="4" t="n">
        <v>45810</v>
      </c>
      <c r="I214" s="2" t="inlineStr">
        <is>
          <t>10:05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  <c r="N214" s="5" t="n">
        <v>2025</v>
      </c>
      <c r="O214" s="6" t="inlineStr">
        <is>
          <t>2025-05</t>
        </is>
      </c>
    </row>
    <row r="215">
      <c r="A215" s="2" t="inlineStr">
        <is>
          <t>Z101_02_052025_MATURIN.CSV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0023</t>
        </is>
      </c>
      <c r="H215" s="4" t="n">
        <v>45810</v>
      </c>
      <c r="I215" s="2" t="inlineStr">
        <is>
          <t>10:05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  <c r="N215" s="5" t="n">
        <v>2025</v>
      </c>
      <c r="O215" s="6" t="inlineStr">
        <is>
          <t>2025-05</t>
        </is>
      </c>
    </row>
    <row r="216">
      <c r="A216" s="2" t="inlineStr">
        <is>
          <t>Z101_02_052025_MATURIN.CSV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0023</t>
        </is>
      </c>
      <c r="H216" s="4" t="n">
        <v>45810</v>
      </c>
      <c r="I216" s="2" t="inlineStr">
        <is>
          <t>10:05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  <c r="N216" s="5" t="n">
        <v>2025</v>
      </c>
      <c r="O216" s="6" t="inlineStr">
        <is>
          <t>2025-05</t>
        </is>
      </c>
    </row>
    <row r="217">
      <c r="A217" s="2" t="inlineStr">
        <is>
          <t>Z101_02_052025_MATURIN.CSV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0023</t>
        </is>
      </c>
      <c r="H217" s="4" t="n">
        <v>45810</v>
      </c>
      <c r="I217" s="2" t="inlineStr">
        <is>
          <t>10:05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  <c r="N217" s="5" t="n">
        <v>2025</v>
      </c>
      <c r="O217" s="6" t="inlineStr">
        <is>
          <t>2025-05</t>
        </is>
      </c>
    </row>
    <row r="218">
      <c r="A218" s="2" t="inlineStr">
        <is>
          <t>Z101_02_052025_MATURIN.CSV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0023</t>
        </is>
      </c>
      <c r="H218" s="4" t="n">
        <v>45810</v>
      </c>
      <c r="I218" s="2" t="inlineStr">
        <is>
          <t>10:05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  <c r="N218" s="5" t="n">
        <v>2025</v>
      </c>
      <c r="O218" s="6" t="inlineStr">
        <is>
          <t>2025-05</t>
        </is>
      </c>
    </row>
    <row r="219">
      <c r="A219" s="2" t="inlineStr">
        <is>
          <t>Z101_02_052025_MATURIN.CSV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0023</t>
        </is>
      </c>
      <c r="H219" s="4" t="n">
        <v>45810</v>
      </c>
      <c r="I219" s="2" t="inlineStr">
        <is>
          <t>10:05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  <c r="N219" s="5" t="n">
        <v>2025</v>
      </c>
      <c r="O219" s="6" t="inlineStr">
        <is>
          <t>2025-05</t>
        </is>
      </c>
    </row>
    <row r="220">
      <c r="A220" s="2" t="inlineStr">
        <is>
          <t>Z101_02_052025_MATURIN.CSV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0023</t>
        </is>
      </c>
      <c r="H220" s="4" t="n">
        <v>45810</v>
      </c>
      <c r="I220" s="2" t="inlineStr">
        <is>
          <t>10:05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  <c r="N220" s="5" t="n">
        <v>2025</v>
      </c>
      <c r="O220" s="6" t="inlineStr">
        <is>
          <t>2025-05</t>
        </is>
      </c>
    </row>
    <row r="221">
      <c r="A221" s="2" t="inlineStr">
        <is>
          <t>Z101_02_052025_MATURIN.CSV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0023</t>
        </is>
      </c>
      <c r="H221" s="4" t="n">
        <v>45810</v>
      </c>
      <c r="I221" s="2" t="inlineStr">
        <is>
          <t>10:05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  <c r="N221" s="5" t="n">
        <v>2025</v>
      </c>
      <c r="O221" s="6" t="inlineStr">
        <is>
          <t>2025-05</t>
        </is>
      </c>
    </row>
    <row r="222">
      <c r="A222" s="2" t="inlineStr">
        <is>
          <t>Z101_02_052025_MATURIN.CSV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0023</t>
        </is>
      </c>
      <c r="H222" s="4" t="n">
        <v>45810</v>
      </c>
      <c r="I222" s="2" t="inlineStr">
        <is>
          <t>10:05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  <c r="N222" s="5" t="n">
        <v>2025</v>
      </c>
      <c r="O222" s="6" t="inlineStr">
        <is>
          <t>2025-05</t>
        </is>
      </c>
    </row>
    <row r="223">
      <c r="A223" s="2" t="inlineStr">
        <is>
          <t>Z101_02_052025_MATURIN.CSV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0023</t>
        </is>
      </c>
      <c r="H223" s="4" t="n">
        <v>45810</v>
      </c>
      <c r="I223" s="2" t="inlineStr">
        <is>
          <t>10:05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  <c r="N223" s="5" t="n">
        <v>2025</v>
      </c>
      <c r="O223" s="6" t="inlineStr">
        <is>
          <t>2025-05</t>
        </is>
      </c>
    </row>
    <row r="224">
      <c r="A224" s="2" t="inlineStr">
        <is>
          <t>Z101_02_052025_MATURIN.CSV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0023</t>
        </is>
      </c>
      <c r="H224" s="4" t="n">
        <v>45810</v>
      </c>
      <c r="I224" s="2" t="inlineStr">
        <is>
          <t>10:05</t>
        </is>
      </c>
      <c r="J224" s="3" t="inlineStr">
        <is>
          <t>0018</t>
        </is>
      </c>
      <c r="K224" s="2" t="inlineStr">
        <is>
          <t>CLIENTS</t>
        </is>
      </c>
      <c r="L224" s="5" t="n">
        <v>365</v>
      </c>
      <c r="M224" s="6" t="n">
        <v>0</v>
      </c>
      <c r="N224" s="5" t="n">
        <v>2025</v>
      </c>
      <c r="O224" s="6" t="inlineStr">
        <is>
          <t>2025-05</t>
        </is>
      </c>
    </row>
    <row r="225">
      <c r="A225" s="2" t="inlineStr">
        <is>
          <t>Z101_02_052025_MATURIN.CSV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0023</t>
        </is>
      </c>
      <c r="H225" s="4" t="n">
        <v>45810</v>
      </c>
      <c r="I225" s="2" t="inlineStr">
        <is>
          <t>10:05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  <c r="N225" s="5" t="n">
        <v>2025</v>
      </c>
      <c r="O225" s="6" t="inlineStr">
        <is>
          <t>2025-05</t>
        </is>
      </c>
    </row>
    <row r="226">
      <c r="A226" s="2" t="inlineStr">
        <is>
          <t>Z101_02_052025_MATURIN.CSV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0023</t>
        </is>
      </c>
      <c r="H226" s="4" t="n">
        <v>45810</v>
      </c>
      <c r="I226" s="2" t="inlineStr">
        <is>
          <t>10:05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  <c r="N226" s="5" t="n">
        <v>2025</v>
      </c>
      <c r="O226" s="6" t="inlineStr">
        <is>
          <t>2025-05</t>
        </is>
      </c>
    </row>
    <row r="227">
      <c r="A227" s="2" t="inlineStr">
        <is>
          <t>Z101_02_052025_MATURIN.CSV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0023</t>
        </is>
      </c>
      <c r="H227" s="4" t="n">
        <v>45810</v>
      </c>
      <c r="I227" s="2" t="inlineStr">
        <is>
          <t>10:05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  <c r="N227" s="5" t="n">
        <v>2025</v>
      </c>
      <c r="O227" s="6" t="inlineStr">
        <is>
          <t>2025-05</t>
        </is>
      </c>
    </row>
    <row r="228">
      <c r="A228" s="2" t="inlineStr">
        <is>
          <t>Z101_02_052025_MATURIN.CSV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0023</t>
        </is>
      </c>
      <c r="H228" s="4" t="n">
        <v>45810</v>
      </c>
      <c r="I228" s="2" t="inlineStr">
        <is>
          <t>10:05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  <c r="N228" s="5" t="n">
        <v>2025</v>
      </c>
      <c r="O228" s="6" t="inlineStr">
        <is>
          <t>2025-05</t>
        </is>
      </c>
    </row>
    <row r="229">
      <c r="A229" s="2" t="inlineStr">
        <is>
          <t>Z101_02_052025_MATURIN.CSV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0023</t>
        </is>
      </c>
      <c r="H229" s="4" t="n">
        <v>45810</v>
      </c>
      <c r="I229" s="2" t="inlineStr">
        <is>
          <t>10:05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  <c r="N229" s="5" t="n">
        <v>2025</v>
      </c>
      <c r="O229" s="6" t="inlineStr">
        <is>
          <t>2025-05</t>
        </is>
      </c>
    </row>
    <row r="230">
      <c r="A230" s="2" t="inlineStr">
        <is>
          <t>Z101_02_052025_MATURIN.CSV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0023</t>
        </is>
      </c>
      <c r="H230" s="4" t="n">
        <v>45810</v>
      </c>
      <c r="I230" s="2" t="inlineStr">
        <is>
          <t>10:05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  <c r="N230" s="5" t="n">
        <v>2025</v>
      </c>
      <c r="O230" s="6" t="inlineStr">
        <is>
          <t>2025-05</t>
        </is>
      </c>
    </row>
    <row r="231">
      <c r="A231" s="2" t="inlineStr">
        <is>
          <t>Z101_02_052025_MATURIN.CSV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0023</t>
        </is>
      </c>
      <c r="H231" s="4" t="n">
        <v>45810</v>
      </c>
      <c r="I231" s="2" t="inlineStr">
        <is>
          <t>10:05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  <c r="N231" s="5" t="n">
        <v>2025</v>
      </c>
      <c r="O231" s="6" t="inlineStr">
        <is>
          <t>2025-05</t>
        </is>
      </c>
    </row>
    <row r="232">
      <c r="A232" s="2" t="inlineStr">
        <is>
          <t>Z101_02_052025_MATURIN.CSV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0023</t>
        </is>
      </c>
      <c r="H232" s="4" t="n">
        <v>45810</v>
      </c>
      <c r="I232" s="2" t="inlineStr">
        <is>
          <t>10:05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  <c r="N232" s="5" t="n">
        <v>2025</v>
      </c>
      <c r="O232" s="6" t="inlineStr">
        <is>
          <t>2025-05</t>
        </is>
      </c>
    </row>
    <row r="233">
      <c r="A233" s="2" t="inlineStr">
        <is>
          <t>Z101_02_052025_MATURIN.CSV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0023</t>
        </is>
      </c>
      <c r="H233" s="4" t="n">
        <v>45810</v>
      </c>
      <c r="I233" s="2" t="inlineStr">
        <is>
          <t>10:05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  <c r="N233" s="5" t="n">
        <v>2025</v>
      </c>
      <c r="O233" s="6" t="inlineStr">
        <is>
          <t>2025-05</t>
        </is>
      </c>
    </row>
    <row r="234">
      <c r="A234" s="2" t="inlineStr">
        <is>
          <t>Z101_02_052025_MATURIN.CSV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0023</t>
        </is>
      </c>
      <c r="H234" s="4" t="n">
        <v>45810</v>
      </c>
      <c r="I234" s="2" t="inlineStr">
        <is>
          <t>10:05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  <c r="N234" s="5" t="n">
        <v>2025</v>
      </c>
      <c r="O234" s="6" t="inlineStr">
        <is>
          <t>2025-05</t>
        </is>
      </c>
    </row>
    <row r="235">
      <c r="A235" s="2" t="inlineStr">
        <is>
          <t>Z101_02_052025_MATURIN.CSV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0023</t>
        </is>
      </c>
      <c r="H235" s="4" t="n">
        <v>45810</v>
      </c>
      <c r="I235" s="2" t="inlineStr">
        <is>
          <t>10:05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  <c r="N235" s="5" t="n">
        <v>2025</v>
      </c>
      <c r="O235" s="6" t="inlineStr">
        <is>
          <t>2025-05</t>
        </is>
      </c>
    </row>
    <row r="236">
      <c r="A236" s="2" t="inlineStr">
        <is>
          <t>Z101_02_052025_MATURIN.CSV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0023</t>
        </is>
      </c>
      <c r="H236" s="4" t="n">
        <v>45810</v>
      </c>
      <c r="I236" s="2" t="inlineStr">
        <is>
          <t>10:05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  <c r="N236" s="5" t="n">
        <v>2025</v>
      </c>
      <c r="O236" s="6" t="inlineStr">
        <is>
          <t>2025-05</t>
        </is>
      </c>
    </row>
    <row r="237">
      <c r="A237" s="2" t="inlineStr">
        <is>
          <t>Z101_02_052025_MATURIN.CSV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0023</t>
        </is>
      </c>
      <c r="H237" s="4" t="n">
        <v>45810</v>
      </c>
      <c r="I237" s="2" t="inlineStr">
        <is>
          <t>10:05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  <c r="N237" s="5" t="n">
        <v>2025</v>
      </c>
      <c r="O237" s="6" t="inlineStr">
        <is>
          <t>2025-05</t>
        </is>
      </c>
    </row>
    <row r="238">
      <c r="A238" s="2" t="inlineStr">
        <is>
          <t>Z101_02_052025_MATURIN.CSV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0023</t>
        </is>
      </c>
      <c r="H238" s="4" t="n">
        <v>45810</v>
      </c>
      <c r="I238" s="2" t="inlineStr">
        <is>
          <t>10:05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  <c r="N238" s="5" t="n">
        <v>2025</v>
      </c>
      <c r="O238" s="6" t="inlineStr">
        <is>
          <t>2025-05</t>
        </is>
      </c>
    </row>
    <row r="239">
      <c r="A239" s="2" t="inlineStr">
        <is>
          <t>Z101_02_052025_MATURIN.CSV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0023</t>
        </is>
      </c>
      <c r="H239" s="4" t="n">
        <v>45810</v>
      </c>
      <c r="I239" s="2" t="inlineStr">
        <is>
          <t>10:05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278582.64</v>
      </c>
      <c r="N239" s="5" t="n">
        <v>2025</v>
      </c>
      <c r="O239" s="6" t="inlineStr">
        <is>
          <t>2025-05</t>
        </is>
      </c>
    </row>
    <row r="240">
      <c r="A240" s="2" t="inlineStr">
        <is>
          <t>Z101_02_052025_MATURIN.CSV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0023</t>
        </is>
      </c>
      <c r="H240" s="4" t="n">
        <v>45810</v>
      </c>
      <c r="I240" s="2" t="inlineStr">
        <is>
          <t>10:05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55716.54</v>
      </c>
      <c r="N240" s="5" t="n">
        <v>2025</v>
      </c>
      <c r="O240" s="6" t="inlineStr">
        <is>
          <t>2025-05</t>
        </is>
      </c>
    </row>
    <row r="241">
      <c r="A241" s="2" t="inlineStr">
        <is>
          <t>Z101_02_052025_MATURIN.CSV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0023</t>
        </is>
      </c>
      <c r="H241" s="4" t="n">
        <v>45810</v>
      </c>
      <c r="I241" s="2" t="inlineStr">
        <is>
          <t>10:05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  <c r="N241" s="5" t="n">
        <v>2025</v>
      </c>
      <c r="O241" s="6" t="inlineStr">
        <is>
          <t>2025-05</t>
        </is>
      </c>
    </row>
    <row r="242">
      <c r="A242" s="2" t="inlineStr">
        <is>
          <t>Z101_02_052025_MATURIN.CSV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0023</t>
        </is>
      </c>
      <c r="H242" s="4" t="n">
        <v>45810</v>
      </c>
      <c r="I242" s="2" t="inlineStr">
        <is>
          <t>10:05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  <c r="N242" s="5" t="n">
        <v>2025</v>
      </c>
      <c r="O242" s="6" t="inlineStr">
        <is>
          <t>2025-05</t>
        </is>
      </c>
    </row>
    <row r="243">
      <c r="A243" s="2" t="inlineStr">
        <is>
          <t>Z101_02_052025_MATURIN.CSV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0023</t>
        </is>
      </c>
      <c r="H243" s="4" t="n">
        <v>45810</v>
      </c>
      <c r="I243" s="2" t="inlineStr">
        <is>
          <t>10:05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  <c r="N243" s="5" t="n">
        <v>2025</v>
      </c>
      <c r="O243" s="6" t="inlineStr">
        <is>
          <t>2025-05</t>
        </is>
      </c>
    </row>
    <row r="244">
      <c r="A244" s="2" t="inlineStr">
        <is>
          <t>Z101_02_052025_MATURIN.CSV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0023</t>
        </is>
      </c>
      <c r="H244" s="4" t="n">
        <v>45810</v>
      </c>
      <c r="I244" s="2" t="inlineStr">
        <is>
          <t>10:05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  <c r="N244" s="5" t="n">
        <v>2025</v>
      </c>
      <c r="O244" s="6" t="inlineStr">
        <is>
          <t>2025-05</t>
        </is>
      </c>
    </row>
    <row r="245">
      <c r="A245" s="2" t="inlineStr">
        <is>
          <t>Z101_02_052025_MATURIN.CSV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0023</t>
        </is>
      </c>
      <c r="H245" s="4" t="n">
        <v>45810</v>
      </c>
      <c r="I245" s="2" t="inlineStr">
        <is>
          <t>10:05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  <c r="N245" s="5" t="n">
        <v>2025</v>
      </c>
      <c r="O245" s="6" t="inlineStr">
        <is>
          <t>2025-05</t>
        </is>
      </c>
    </row>
    <row r="246">
      <c r="A246" s="2" t="inlineStr">
        <is>
          <t>Z101_02_052025_MATURIN.CSV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0023</t>
        </is>
      </c>
      <c r="H246" s="4" t="n">
        <v>45810</v>
      </c>
      <c r="I246" s="2" t="inlineStr">
        <is>
          <t>10:05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  <c r="N246" s="5" t="n">
        <v>2025</v>
      </c>
      <c r="O246" s="6" t="inlineStr">
        <is>
          <t>2025-05</t>
        </is>
      </c>
    </row>
    <row r="247">
      <c r="A247" s="2" t="inlineStr">
        <is>
          <t>Z101_02_052025_MATURIN.CSV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0023</t>
        </is>
      </c>
      <c r="H247" s="4" t="n">
        <v>45810</v>
      </c>
      <c r="I247" s="2" t="inlineStr">
        <is>
          <t>10:05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  <c r="N247" s="5" t="n">
        <v>2025</v>
      </c>
      <c r="O247" s="6" t="inlineStr">
        <is>
          <t>2025-05</t>
        </is>
      </c>
    </row>
    <row r="248">
      <c r="A248" s="2" t="inlineStr">
        <is>
          <t>Z201_02A_052025_MATURIN.CSV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FILE201</t>
        </is>
      </c>
      <c r="F248" s="2" t="inlineStr">
        <is>
          <t>ZZ2</t>
        </is>
      </c>
      <c r="G248" s="3" t="inlineStr">
        <is>
          <t>0011</t>
        </is>
      </c>
      <c r="H248" s="4" t="n">
        <v>45810</v>
      </c>
      <c r="I248" s="2" t="inlineStr">
        <is>
          <t>10:06</t>
        </is>
      </c>
      <c r="J248" s="3" t="inlineStr">
        <is>
          <t>0001</t>
        </is>
      </c>
      <c r="K248" s="2" t="inlineStr">
        <is>
          <t>CA BRUT</t>
        </is>
      </c>
      <c r="L248" s="5" t="n">
        <v>802</v>
      </c>
      <c r="M248" s="6" t="n">
        <v>334299.18</v>
      </c>
      <c r="N248" s="5" t="n">
        <v>2025</v>
      </c>
      <c r="O248" s="6" t="inlineStr">
        <is>
          <t>2025-05</t>
        </is>
      </c>
    </row>
    <row r="249">
      <c r="A249" s="2" t="inlineStr">
        <is>
          <t>Z201_02A_052025_MATURIN.CSV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FILE201</t>
        </is>
      </c>
      <c r="F249" s="2" t="inlineStr">
        <is>
          <t>ZZ2</t>
        </is>
      </c>
      <c r="G249" s="3" t="inlineStr">
        <is>
          <t>0011</t>
        </is>
      </c>
      <c r="H249" s="4" t="n">
        <v>45810</v>
      </c>
      <c r="I249" s="2" t="inlineStr">
        <is>
          <t>10:06</t>
        </is>
      </c>
      <c r="J249" s="3" t="inlineStr">
        <is>
          <t>0002</t>
        </is>
      </c>
      <c r="K249" s="2" t="inlineStr">
        <is>
          <t>CA NET</t>
        </is>
      </c>
      <c r="L249" s="5" t="n">
        <v>365</v>
      </c>
      <c r="M249" s="6" t="n">
        <v>334299.18</v>
      </c>
      <c r="N249" s="5" t="n">
        <v>2025</v>
      </c>
      <c r="O249" s="6" t="inlineStr">
        <is>
          <t>2025-05</t>
        </is>
      </c>
    </row>
    <row r="250">
      <c r="A250" s="2" t="inlineStr">
        <is>
          <t>Z201_02A_052025_MATURIN.CSV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FILE201</t>
        </is>
      </c>
      <c r="F250" s="2" t="inlineStr">
        <is>
          <t>ZZ2</t>
        </is>
      </c>
      <c r="G250" s="3" t="inlineStr">
        <is>
          <t>0011</t>
        </is>
      </c>
      <c r="H250" s="4" t="n">
        <v>45810</v>
      </c>
      <c r="I250" s="2" t="inlineStr">
        <is>
          <t>10:06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65807.7</v>
      </c>
      <c r="N250" s="5" t="n">
        <v>2025</v>
      </c>
      <c r="O250" s="6" t="inlineStr">
        <is>
          <t>2025-05</t>
        </is>
      </c>
    </row>
    <row r="251">
      <c r="A251" s="2" t="inlineStr">
        <is>
          <t>Z201_02A_052025_MATURIN.CSV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FILE201</t>
        </is>
      </c>
      <c r="F251" s="2" t="inlineStr">
        <is>
          <t>ZZ2</t>
        </is>
      </c>
      <c r="G251" s="3" t="inlineStr">
        <is>
          <t>0011</t>
        </is>
      </c>
      <c r="H251" s="4" t="n">
        <v>45810</v>
      </c>
      <c r="I251" s="2" t="inlineStr">
        <is>
          <t>10:06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268451.48</v>
      </c>
      <c r="N251" s="5" t="n">
        <v>2025</v>
      </c>
      <c r="O251" s="6" t="inlineStr">
        <is>
          <t>2025-05</t>
        </is>
      </c>
    </row>
    <row r="252">
      <c r="A252" s="2" t="inlineStr">
        <is>
          <t>Z201_02A_052025_MATURIN.CSV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FILE201</t>
        </is>
      </c>
      <c r="F252" s="2" t="inlineStr">
        <is>
          <t>ZZ2</t>
        </is>
      </c>
      <c r="G252" s="3" t="inlineStr">
        <is>
          <t>0011</t>
        </is>
      </c>
      <c r="H252" s="4" t="n">
        <v>45810</v>
      </c>
      <c r="I252" s="2" t="inlineStr">
        <is>
          <t>10:06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40</v>
      </c>
      <c r="N252" s="5" t="n">
        <v>2025</v>
      </c>
      <c r="O252" s="6" t="inlineStr">
        <is>
          <t>2025-05</t>
        </is>
      </c>
    </row>
    <row r="253">
      <c r="A253" s="2" t="inlineStr">
        <is>
          <t>Z201_02A_052025_MATURIN.CSV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FILE201</t>
        </is>
      </c>
      <c r="F253" s="2" t="inlineStr">
        <is>
          <t>ZZ2</t>
        </is>
      </c>
      <c r="G253" s="3" t="inlineStr">
        <is>
          <t>0011</t>
        </is>
      </c>
      <c r="H253" s="4" t="n">
        <v>45810</v>
      </c>
      <c r="I253" s="2" t="inlineStr">
        <is>
          <t>10:06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  <c r="N253" s="5" t="n">
        <v>2025</v>
      </c>
      <c r="O253" s="6" t="inlineStr">
        <is>
          <t>2025-05</t>
        </is>
      </c>
    </row>
    <row r="254">
      <c r="A254" s="2" t="inlineStr">
        <is>
          <t>Z201_02A_052025_MATURIN.CSV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FILE201</t>
        </is>
      </c>
      <c r="F254" s="2" t="inlineStr">
        <is>
          <t>ZZ2</t>
        </is>
      </c>
      <c r="G254" s="3" t="inlineStr">
        <is>
          <t>0011</t>
        </is>
      </c>
      <c r="H254" s="4" t="n">
        <v>45810</v>
      </c>
      <c r="I254" s="2" t="inlineStr">
        <is>
          <t>10:06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  <c r="N254" s="5" t="n">
        <v>2025</v>
      </c>
      <c r="O254" s="6" t="inlineStr">
        <is>
          <t>2025-05</t>
        </is>
      </c>
    </row>
    <row r="255">
      <c r="A255" s="2" t="inlineStr">
        <is>
          <t>Z201_02A_052025_MATURIN.CSV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FILE201</t>
        </is>
      </c>
      <c r="F255" s="2" t="inlineStr">
        <is>
          <t>ZZ2</t>
        </is>
      </c>
      <c r="G255" s="3" t="inlineStr">
        <is>
          <t>0011</t>
        </is>
      </c>
      <c r="H255" s="4" t="n">
        <v>45810</v>
      </c>
      <c r="I255" s="2" t="inlineStr">
        <is>
          <t>10:06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  <c r="N255" s="5" t="n">
        <v>2025</v>
      </c>
      <c r="O255" s="6" t="inlineStr">
        <is>
          <t>2025-05</t>
        </is>
      </c>
    </row>
    <row r="256">
      <c r="A256" s="2" t="inlineStr">
        <is>
          <t>Z201_02A_052025_MATURIN.CSV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FILE201</t>
        </is>
      </c>
      <c r="F256" s="2" t="inlineStr">
        <is>
          <t>ZZ2</t>
        </is>
      </c>
      <c r="G256" s="3" t="inlineStr">
        <is>
          <t>0011</t>
        </is>
      </c>
      <c r="H256" s="4" t="n">
        <v>45810</v>
      </c>
      <c r="I256" s="2" t="inlineStr">
        <is>
          <t>10:06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  <c r="N256" s="5" t="n">
        <v>2025</v>
      </c>
      <c r="O256" s="6" t="inlineStr">
        <is>
          <t>2025-05</t>
        </is>
      </c>
    </row>
    <row r="257">
      <c r="A257" s="2" t="inlineStr">
        <is>
          <t>Z201_02A_052025_MATURIN.CSV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FILE201</t>
        </is>
      </c>
      <c r="F257" s="2" t="inlineStr">
        <is>
          <t>ZZ2</t>
        </is>
      </c>
      <c r="G257" s="3" t="inlineStr">
        <is>
          <t>0011</t>
        </is>
      </c>
      <c r="H257" s="4" t="n">
        <v>45810</v>
      </c>
      <c r="I257" s="2" t="inlineStr">
        <is>
          <t>10:06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  <c r="N257" s="5" t="n">
        <v>2025</v>
      </c>
      <c r="O257" s="6" t="inlineStr">
        <is>
          <t>2025-05</t>
        </is>
      </c>
    </row>
    <row r="258">
      <c r="A258" s="2" t="inlineStr">
        <is>
          <t>Z201_02A_052025_MATURIN.CSV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FILE201</t>
        </is>
      </c>
      <c r="F258" s="2" t="inlineStr">
        <is>
          <t>ZZ2</t>
        </is>
      </c>
      <c r="G258" s="3" t="inlineStr">
        <is>
          <t>0011</t>
        </is>
      </c>
      <c r="H258" s="4" t="n">
        <v>45810</v>
      </c>
      <c r="I258" s="2" t="inlineStr">
        <is>
          <t>10:06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  <c r="N258" s="5" t="n">
        <v>2025</v>
      </c>
      <c r="O258" s="6" t="inlineStr">
        <is>
          <t>2025-05</t>
        </is>
      </c>
    </row>
    <row r="259">
      <c r="A259" s="2" t="inlineStr">
        <is>
          <t>Z201_02A_052025_MATURIN.CSV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FILE201</t>
        </is>
      </c>
      <c r="F259" s="2" t="inlineStr">
        <is>
          <t>ZZ2</t>
        </is>
      </c>
      <c r="G259" s="3" t="inlineStr">
        <is>
          <t>0011</t>
        </is>
      </c>
      <c r="H259" s="4" t="n">
        <v>45810</v>
      </c>
      <c r="I259" s="2" t="inlineStr">
        <is>
          <t>10:06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  <c r="N259" s="5" t="n">
        <v>2025</v>
      </c>
      <c r="O259" s="6" t="inlineStr">
        <is>
          <t>2025-05</t>
        </is>
      </c>
    </row>
    <row r="260">
      <c r="A260" s="2" t="inlineStr">
        <is>
          <t>Z201_02A_052025_MATURIN.CSV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FILE201</t>
        </is>
      </c>
      <c r="F260" s="2" t="inlineStr">
        <is>
          <t>ZZ2</t>
        </is>
      </c>
      <c r="G260" s="3" t="inlineStr">
        <is>
          <t>0011</t>
        </is>
      </c>
      <c r="H260" s="4" t="n">
        <v>45810</v>
      </c>
      <c r="I260" s="2" t="inlineStr">
        <is>
          <t>10:06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  <c r="N260" s="5" t="n">
        <v>2025</v>
      </c>
      <c r="O260" s="6" t="inlineStr">
        <is>
          <t>2025-05</t>
        </is>
      </c>
    </row>
    <row r="261">
      <c r="A261" s="2" t="inlineStr">
        <is>
          <t>Z201_02A_052025_MATURIN.CSV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FILE201</t>
        </is>
      </c>
      <c r="F261" s="2" t="inlineStr">
        <is>
          <t>ZZ2</t>
        </is>
      </c>
      <c r="G261" s="3" t="inlineStr">
        <is>
          <t>0011</t>
        </is>
      </c>
      <c r="H261" s="4" t="n">
        <v>45810</v>
      </c>
      <c r="I261" s="2" t="inlineStr">
        <is>
          <t>10:06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  <c r="N261" s="5" t="n">
        <v>2025</v>
      </c>
      <c r="O261" s="6" t="inlineStr">
        <is>
          <t>2025-05</t>
        </is>
      </c>
    </row>
    <row r="262">
      <c r="A262" s="2" t="inlineStr">
        <is>
          <t>Z201_02A_052025_MATURIN.CSV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FILE201</t>
        </is>
      </c>
      <c r="F262" s="2" t="inlineStr">
        <is>
          <t>ZZ2</t>
        </is>
      </c>
      <c r="G262" s="3" t="inlineStr">
        <is>
          <t>0011</t>
        </is>
      </c>
      <c r="H262" s="4" t="n">
        <v>45810</v>
      </c>
      <c r="I262" s="2" t="inlineStr">
        <is>
          <t>10:06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  <c r="N262" s="5" t="n">
        <v>2025</v>
      </c>
      <c r="O262" s="6" t="inlineStr">
        <is>
          <t>2025-05</t>
        </is>
      </c>
    </row>
    <row r="263">
      <c r="A263" s="2" t="inlineStr">
        <is>
          <t>Z201_02A_052025_MATURIN.CSV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FILE201</t>
        </is>
      </c>
      <c r="F263" s="2" t="inlineStr">
        <is>
          <t>ZZ2</t>
        </is>
      </c>
      <c r="G263" s="3" t="inlineStr">
        <is>
          <t>0011</t>
        </is>
      </c>
      <c r="H263" s="4" t="n">
        <v>45810</v>
      </c>
      <c r="I263" s="2" t="inlineStr">
        <is>
          <t>10:06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  <c r="N263" s="5" t="n">
        <v>2025</v>
      </c>
      <c r="O263" s="6" t="inlineStr">
        <is>
          <t>2025-05</t>
        </is>
      </c>
    </row>
    <row r="264">
      <c r="A264" s="2" t="inlineStr">
        <is>
          <t>Z201_02A_052025_MATURIN.CSV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FILE201</t>
        </is>
      </c>
      <c r="F264" s="2" t="inlineStr">
        <is>
          <t>ZZ2</t>
        </is>
      </c>
      <c r="G264" s="3" t="inlineStr">
        <is>
          <t>0011</t>
        </is>
      </c>
      <c r="H264" s="4" t="n">
        <v>45810</v>
      </c>
      <c r="I264" s="2" t="inlineStr">
        <is>
          <t>10:06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  <c r="N264" s="5" t="n">
        <v>2025</v>
      </c>
      <c r="O264" s="6" t="inlineStr">
        <is>
          <t>2025-05</t>
        </is>
      </c>
    </row>
    <row r="265">
      <c r="A265" s="2" t="inlineStr">
        <is>
          <t>Z201_02A_052025_MATURIN.CSV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FILE201</t>
        </is>
      </c>
      <c r="F265" s="2" t="inlineStr">
        <is>
          <t>ZZ2</t>
        </is>
      </c>
      <c r="G265" s="3" t="inlineStr">
        <is>
          <t>0011</t>
        </is>
      </c>
      <c r="H265" s="4" t="n">
        <v>45810</v>
      </c>
      <c r="I265" s="2" t="inlineStr">
        <is>
          <t>10:06</t>
        </is>
      </c>
      <c r="J265" s="3" t="inlineStr">
        <is>
          <t>0018</t>
        </is>
      </c>
      <c r="K265" s="2" t="inlineStr">
        <is>
          <t>CLIENTS</t>
        </is>
      </c>
      <c r="L265" s="5" t="n">
        <v>365</v>
      </c>
      <c r="M265" s="6" t="n">
        <v>0</v>
      </c>
      <c r="N265" s="5" t="n">
        <v>2025</v>
      </c>
      <c r="O265" s="6" t="inlineStr">
        <is>
          <t>2025-05</t>
        </is>
      </c>
    </row>
    <row r="266">
      <c r="A266" s="2" t="inlineStr">
        <is>
          <t>Z201_02A_052025_MATURIN.CSV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FILE201</t>
        </is>
      </c>
      <c r="F266" s="2" t="inlineStr">
        <is>
          <t>ZZ2</t>
        </is>
      </c>
      <c r="G266" s="3" t="inlineStr">
        <is>
          <t>0011</t>
        </is>
      </c>
      <c r="H266" s="4" t="n">
        <v>45810</v>
      </c>
      <c r="I266" s="2" t="inlineStr">
        <is>
          <t>10:06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  <c r="N266" s="5" t="n">
        <v>2025</v>
      </c>
      <c r="O266" s="6" t="inlineStr">
        <is>
          <t>2025-05</t>
        </is>
      </c>
    </row>
    <row r="267">
      <c r="A267" s="2" t="inlineStr">
        <is>
          <t>Z201_02A_052025_MATURIN.CSV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FILE201</t>
        </is>
      </c>
      <c r="F267" s="2" t="inlineStr">
        <is>
          <t>ZZ2</t>
        </is>
      </c>
      <c r="G267" s="3" t="inlineStr">
        <is>
          <t>0011</t>
        </is>
      </c>
      <c r="H267" s="4" t="n">
        <v>45810</v>
      </c>
      <c r="I267" s="2" t="inlineStr">
        <is>
          <t>10:06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  <c r="N267" s="5" t="n">
        <v>2025</v>
      </c>
      <c r="O267" s="6" t="inlineStr">
        <is>
          <t>2025-05</t>
        </is>
      </c>
    </row>
    <row r="268">
      <c r="A268" s="2" t="inlineStr">
        <is>
          <t>Z201_02A_052025_MATURIN.CSV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FILE201</t>
        </is>
      </c>
      <c r="F268" s="2" t="inlineStr">
        <is>
          <t>ZZ2</t>
        </is>
      </c>
      <c r="G268" s="3" t="inlineStr">
        <is>
          <t>0011</t>
        </is>
      </c>
      <c r="H268" s="4" t="n">
        <v>45810</v>
      </c>
      <c r="I268" s="2" t="inlineStr">
        <is>
          <t>10:06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  <c r="N268" s="5" t="n">
        <v>2025</v>
      </c>
      <c r="O268" s="6" t="inlineStr">
        <is>
          <t>2025-05</t>
        </is>
      </c>
    </row>
    <row r="269">
      <c r="A269" s="2" t="inlineStr">
        <is>
          <t>Z201_02A_052025_MATURIN.CSV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FILE201</t>
        </is>
      </c>
      <c r="F269" s="2" t="inlineStr">
        <is>
          <t>ZZ2</t>
        </is>
      </c>
      <c r="G269" s="3" t="inlineStr">
        <is>
          <t>0011</t>
        </is>
      </c>
      <c r="H269" s="4" t="n">
        <v>45810</v>
      </c>
      <c r="I269" s="2" t="inlineStr">
        <is>
          <t>10:06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  <c r="N269" s="5" t="n">
        <v>2025</v>
      </c>
      <c r="O269" s="6" t="inlineStr">
        <is>
          <t>2025-05</t>
        </is>
      </c>
    </row>
    <row r="270">
      <c r="A270" s="2" t="inlineStr">
        <is>
          <t>Z201_02A_052025_MATURIN.CSV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FILE201</t>
        </is>
      </c>
      <c r="F270" s="2" t="inlineStr">
        <is>
          <t>ZZ2</t>
        </is>
      </c>
      <c r="G270" s="3" t="inlineStr">
        <is>
          <t>0011</t>
        </is>
      </c>
      <c r="H270" s="4" t="n">
        <v>45810</v>
      </c>
      <c r="I270" s="2" t="inlineStr">
        <is>
          <t>10:06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  <c r="N270" s="5" t="n">
        <v>2025</v>
      </c>
      <c r="O270" s="6" t="inlineStr">
        <is>
          <t>2025-05</t>
        </is>
      </c>
    </row>
    <row r="271">
      <c r="A271" s="2" t="inlineStr">
        <is>
          <t>Z201_02A_052025_MATURIN.CSV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FILE201</t>
        </is>
      </c>
      <c r="F271" s="2" t="inlineStr">
        <is>
          <t>ZZ2</t>
        </is>
      </c>
      <c r="G271" s="3" t="inlineStr">
        <is>
          <t>0011</t>
        </is>
      </c>
      <c r="H271" s="4" t="n">
        <v>45810</v>
      </c>
      <c r="I271" s="2" t="inlineStr">
        <is>
          <t>10:06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  <c r="N271" s="5" t="n">
        <v>2025</v>
      </c>
      <c r="O271" s="6" t="inlineStr">
        <is>
          <t>2025-05</t>
        </is>
      </c>
    </row>
    <row r="272">
      <c r="A272" s="2" t="inlineStr">
        <is>
          <t>Z201_02A_052025_MATURIN.CSV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FILE201</t>
        </is>
      </c>
      <c r="F272" s="2" t="inlineStr">
        <is>
          <t>ZZ2</t>
        </is>
      </c>
      <c r="G272" s="3" t="inlineStr">
        <is>
          <t>0011</t>
        </is>
      </c>
      <c r="H272" s="4" t="n">
        <v>45810</v>
      </c>
      <c r="I272" s="2" t="inlineStr">
        <is>
          <t>10:06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  <c r="N272" s="5" t="n">
        <v>2025</v>
      </c>
      <c r="O272" s="6" t="inlineStr">
        <is>
          <t>2025-05</t>
        </is>
      </c>
    </row>
    <row r="273">
      <c r="A273" s="2" t="inlineStr">
        <is>
          <t>Z201_02A_052025_MATURIN.CSV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FILE201</t>
        </is>
      </c>
      <c r="F273" s="2" t="inlineStr">
        <is>
          <t>ZZ2</t>
        </is>
      </c>
      <c r="G273" s="3" t="inlineStr">
        <is>
          <t>0011</t>
        </is>
      </c>
      <c r="H273" s="4" t="n">
        <v>45810</v>
      </c>
      <c r="I273" s="2" t="inlineStr">
        <is>
          <t>10:06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  <c r="N273" s="5" t="n">
        <v>2025</v>
      </c>
      <c r="O273" s="6" t="inlineStr">
        <is>
          <t>2025-05</t>
        </is>
      </c>
    </row>
    <row r="274">
      <c r="A274" s="2" t="inlineStr">
        <is>
          <t>Z201_02A_052025_MATURIN.CSV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FILE201</t>
        </is>
      </c>
      <c r="F274" s="2" t="inlineStr">
        <is>
          <t>ZZ2</t>
        </is>
      </c>
      <c r="G274" s="3" t="inlineStr">
        <is>
          <t>0011</t>
        </is>
      </c>
      <c r="H274" s="4" t="n">
        <v>45810</v>
      </c>
      <c r="I274" s="2" t="inlineStr">
        <is>
          <t>10:06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  <c r="N274" s="5" t="n">
        <v>2025</v>
      </c>
      <c r="O274" s="6" t="inlineStr">
        <is>
          <t>2025-05</t>
        </is>
      </c>
    </row>
    <row r="275">
      <c r="A275" s="2" t="inlineStr">
        <is>
          <t>Z201_02A_052025_MATURIN.CSV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FILE201</t>
        </is>
      </c>
      <c r="F275" s="2" t="inlineStr">
        <is>
          <t>ZZ2</t>
        </is>
      </c>
      <c r="G275" s="3" t="inlineStr">
        <is>
          <t>0011</t>
        </is>
      </c>
      <c r="H275" s="4" t="n">
        <v>45810</v>
      </c>
      <c r="I275" s="2" t="inlineStr">
        <is>
          <t>10:06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  <c r="N275" s="5" t="n">
        <v>2025</v>
      </c>
      <c r="O275" s="6" t="inlineStr">
        <is>
          <t>2025-05</t>
        </is>
      </c>
    </row>
    <row r="276">
      <c r="A276" s="2" t="inlineStr">
        <is>
          <t>Z201_02A_052025_MATURIN.CSV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FILE201</t>
        </is>
      </c>
      <c r="F276" s="2" t="inlineStr">
        <is>
          <t>ZZ2</t>
        </is>
      </c>
      <c r="G276" s="3" t="inlineStr">
        <is>
          <t>0011</t>
        </is>
      </c>
      <c r="H276" s="4" t="n">
        <v>45810</v>
      </c>
      <c r="I276" s="2" t="inlineStr">
        <is>
          <t>10:06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  <c r="N276" s="5" t="n">
        <v>2025</v>
      </c>
      <c r="O276" s="6" t="inlineStr">
        <is>
          <t>2025-05</t>
        </is>
      </c>
    </row>
    <row r="277">
      <c r="A277" s="2" t="inlineStr">
        <is>
          <t>Z201_02A_052025_MATURIN.CSV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FILE201</t>
        </is>
      </c>
      <c r="F277" s="2" t="inlineStr">
        <is>
          <t>ZZ2</t>
        </is>
      </c>
      <c r="G277" s="3" t="inlineStr">
        <is>
          <t>0011</t>
        </is>
      </c>
      <c r="H277" s="4" t="n">
        <v>45810</v>
      </c>
      <c r="I277" s="2" t="inlineStr">
        <is>
          <t>10:06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  <c r="N277" s="5" t="n">
        <v>2025</v>
      </c>
      <c r="O277" s="6" t="inlineStr">
        <is>
          <t>2025-05</t>
        </is>
      </c>
    </row>
    <row r="278">
      <c r="A278" s="2" t="inlineStr">
        <is>
          <t>Z201_02A_052025_MATURIN.CSV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FILE201</t>
        </is>
      </c>
      <c r="F278" s="2" t="inlineStr">
        <is>
          <t>ZZ2</t>
        </is>
      </c>
      <c r="G278" s="3" t="inlineStr">
        <is>
          <t>0011</t>
        </is>
      </c>
      <c r="H278" s="4" t="n">
        <v>45810</v>
      </c>
      <c r="I278" s="2" t="inlineStr">
        <is>
          <t>10:06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  <c r="N278" s="5" t="n">
        <v>2025</v>
      </c>
      <c r="O278" s="6" t="inlineStr">
        <is>
          <t>2025-05</t>
        </is>
      </c>
    </row>
    <row r="279">
      <c r="A279" s="2" t="inlineStr">
        <is>
          <t>Z201_02A_052025_MATURIN.CSV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FILE201</t>
        </is>
      </c>
      <c r="F279" s="2" t="inlineStr">
        <is>
          <t>ZZ2</t>
        </is>
      </c>
      <c r="G279" s="3" t="inlineStr">
        <is>
          <t>0011</t>
        </is>
      </c>
      <c r="H279" s="4" t="n">
        <v>45810</v>
      </c>
      <c r="I279" s="2" t="inlineStr">
        <is>
          <t>10:06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  <c r="N279" s="5" t="n">
        <v>2025</v>
      </c>
      <c r="O279" s="6" t="inlineStr">
        <is>
          <t>2025-05</t>
        </is>
      </c>
    </row>
    <row r="280">
      <c r="A280" s="2" t="inlineStr">
        <is>
          <t>Z201_02A_052025_MATURIN.CSV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FILE201</t>
        </is>
      </c>
      <c r="F280" s="2" t="inlineStr">
        <is>
          <t>ZZ2</t>
        </is>
      </c>
      <c r="G280" s="3" t="inlineStr">
        <is>
          <t>0011</t>
        </is>
      </c>
      <c r="H280" s="4" t="n">
        <v>45810</v>
      </c>
      <c r="I280" s="2" t="inlineStr">
        <is>
          <t>10:06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278582.64</v>
      </c>
      <c r="N280" s="5" t="n">
        <v>2025</v>
      </c>
      <c r="O280" s="6" t="inlineStr">
        <is>
          <t>2025-05</t>
        </is>
      </c>
    </row>
    <row r="281">
      <c r="A281" s="2" t="inlineStr">
        <is>
          <t>Z201_02A_052025_MATURIN.CSV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FILE201</t>
        </is>
      </c>
      <c r="F281" s="2" t="inlineStr">
        <is>
          <t>ZZ2</t>
        </is>
      </c>
      <c r="G281" s="3" t="inlineStr">
        <is>
          <t>0011</t>
        </is>
      </c>
      <c r="H281" s="4" t="n">
        <v>45810</v>
      </c>
      <c r="I281" s="2" t="inlineStr">
        <is>
          <t>10:06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55716.54</v>
      </c>
      <c r="N281" s="5" t="n">
        <v>2025</v>
      </c>
      <c r="O281" s="6" t="inlineStr">
        <is>
          <t>2025-05</t>
        </is>
      </c>
    </row>
    <row r="282">
      <c r="A282" s="2" t="inlineStr">
        <is>
          <t>Z201_02A_052025_MATURIN.CSV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FILE201</t>
        </is>
      </c>
      <c r="F282" s="2" t="inlineStr">
        <is>
          <t>ZZ2</t>
        </is>
      </c>
      <c r="G282" s="3" t="inlineStr">
        <is>
          <t>0011</t>
        </is>
      </c>
      <c r="H282" s="4" t="n">
        <v>45810</v>
      </c>
      <c r="I282" s="2" t="inlineStr">
        <is>
          <t>10:06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  <c r="N282" s="5" t="n">
        <v>2025</v>
      </c>
      <c r="O282" s="6" t="inlineStr">
        <is>
          <t>2025-05</t>
        </is>
      </c>
    </row>
    <row r="283">
      <c r="A283" s="2" t="inlineStr">
        <is>
          <t>Z201_02A_052025_MATURIN.CSV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FILE201</t>
        </is>
      </c>
      <c r="F283" s="2" t="inlineStr">
        <is>
          <t>ZZ2</t>
        </is>
      </c>
      <c r="G283" s="3" t="inlineStr">
        <is>
          <t>0011</t>
        </is>
      </c>
      <c r="H283" s="4" t="n">
        <v>45810</v>
      </c>
      <c r="I283" s="2" t="inlineStr">
        <is>
          <t>10:06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  <c r="N283" s="5" t="n">
        <v>2025</v>
      </c>
      <c r="O283" s="6" t="inlineStr">
        <is>
          <t>2025-05</t>
        </is>
      </c>
    </row>
    <row r="284">
      <c r="A284" s="2" t="inlineStr">
        <is>
          <t>Z201_02A_052025_MATURIN.CSV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FILE201</t>
        </is>
      </c>
      <c r="F284" s="2" t="inlineStr">
        <is>
          <t>ZZ2</t>
        </is>
      </c>
      <c r="G284" s="3" t="inlineStr">
        <is>
          <t>0011</t>
        </is>
      </c>
      <c r="H284" s="4" t="n">
        <v>45810</v>
      </c>
      <c r="I284" s="2" t="inlineStr">
        <is>
          <t>10:06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  <c r="N284" s="5" t="n">
        <v>2025</v>
      </c>
      <c r="O284" s="6" t="inlineStr">
        <is>
          <t>2025-05</t>
        </is>
      </c>
    </row>
    <row r="285">
      <c r="A285" s="2" t="inlineStr">
        <is>
          <t>Z201_02A_052025_MATURIN.CSV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FILE201</t>
        </is>
      </c>
      <c r="F285" s="2" t="inlineStr">
        <is>
          <t>ZZ2</t>
        </is>
      </c>
      <c r="G285" s="3" t="inlineStr">
        <is>
          <t>0011</t>
        </is>
      </c>
      <c r="H285" s="4" t="n">
        <v>45810</v>
      </c>
      <c r="I285" s="2" t="inlineStr">
        <is>
          <t>10:06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  <c r="N285" s="5" t="n">
        <v>2025</v>
      </c>
      <c r="O285" s="6" t="inlineStr">
        <is>
          <t>2025-05</t>
        </is>
      </c>
    </row>
    <row r="286">
      <c r="A286" s="2" t="inlineStr">
        <is>
          <t>Z201_02A_052025_MATURIN.CSV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FILE201</t>
        </is>
      </c>
      <c r="F286" s="2" t="inlineStr">
        <is>
          <t>ZZ2</t>
        </is>
      </c>
      <c r="G286" s="3" t="inlineStr">
        <is>
          <t>0011</t>
        </is>
      </c>
      <c r="H286" s="4" t="n">
        <v>45810</v>
      </c>
      <c r="I286" s="2" t="inlineStr">
        <is>
          <t>10:06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  <c r="N286" s="5" t="n">
        <v>2025</v>
      </c>
      <c r="O286" s="6" t="inlineStr">
        <is>
          <t>2025-05</t>
        </is>
      </c>
    </row>
    <row r="287">
      <c r="A287" s="2" t="inlineStr">
        <is>
          <t>Z201_02A_052025_MATURIN.CSV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FILE201</t>
        </is>
      </c>
      <c r="F287" s="2" t="inlineStr">
        <is>
          <t>ZZ2</t>
        </is>
      </c>
      <c r="G287" s="3" t="inlineStr">
        <is>
          <t>0011</t>
        </is>
      </c>
      <c r="H287" s="4" t="n">
        <v>45810</v>
      </c>
      <c r="I287" s="2" t="inlineStr">
        <is>
          <t>10:06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  <c r="N287" s="5" t="n">
        <v>2025</v>
      </c>
      <c r="O287" s="6" t="inlineStr">
        <is>
          <t>2025-05</t>
        </is>
      </c>
    </row>
    <row r="288">
      <c r="A288" s="2" t="inlineStr">
        <is>
          <t>Z201_02A_052025_MATURIN.CSV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FILE201</t>
        </is>
      </c>
      <c r="F288" s="2" t="inlineStr">
        <is>
          <t>ZZ2</t>
        </is>
      </c>
      <c r="G288" s="3" t="inlineStr">
        <is>
          <t>0011</t>
        </is>
      </c>
      <c r="H288" s="4" t="n">
        <v>45810</v>
      </c>
      <c r="I288" s="2" t="inlineStr">
        <is>
          <t>10:06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  <c r="N288" s="5" t="n">
        <v>2025</v>
      </c>
      <c r="O288" s="6" t="inlineStr">
        <is>
          <t>2025-05</t>
        </is>
      </c>
    </row>
  </sheetData>
  <autoFilter ref="A1:O28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5" t="n">
        <v>2025</v>
      </c>
      <c r="B2" s="6" t="inlineStr">
        <is>
          <t>2025-01</t>
        </is>
      </c>
      <c r="C2" s="4" t="n">
        <v>45689</v>
      </c>
      <c r="D2" s="2" t="inlineStr">
        <is>
          <t>FILE001</t>
        </is>
      </c>
      <c r="E2" s="2" t="inlineStr">
        <is>
          <t>Z</t>
        </is>
      </c>
      <c r="F2" s="5">
        <f>COUNTIFS('Z1_CplteAnneeMois'!$O$2:$O$288,B2,'Z1_CplteAnneeMois'!$H$2:$H$288,C2,'Z1_CplteAnneeMois'!$E$2:$E$288,D2,'Z1_CplteAnneeMois'!$F$2:$F$288,E2)</f>
        <v/>
      </c>
    </row>
    <row r="3">
      <c r="A3" s="5" t="n">
        <v>2025</v>
      </c>
      <c r="B3" s="6" t="inlineStr">
        <is>
          <t>2025-02</t>
        </is>
      </c>
      <c r="C3" s="4" t="n">
        <v>45717</v>
      </c>
      <c r="D3" s="2" t="inlineStr">
        <is>
          <t>FILE001</t>
        </is>
      </c>
      <c r="E3" s="2" t="inlineStr">
        <is>
          <t>Z</t>
        </is>
      </c>
      <c r="F3" s="5">
        <f>COUNTIFS('Z1_CplteAnneeMois'!$O$2:$O$288,B3,'Z1_CplteAnneeMois'!$H$2:$H$288,C3,'Z1_CplteAnneeMois'!$E$2:$E$288,D3,'Z1_CplteAnneeMois'!$F$2:$F$288,E3)</f>
        <v/>
      </c>
    </row>
    <row r="4">
      <c r="A4" s="5" t="n">
        <v>2025</v>
      </c>
      <c r="B4" s="6" t="inlineStr">
        <is>
          <t>2025-03</t>
        </is>
      </c>
      <c r="C4" s="4" t="n">
        <v>45748</v>
      </c>
      <c r="D4" s="2" t="inlineStr">
        <is>
          <t>FILE001</t>
        </is>
      </c>
      <c r="E4" s="2" t="inlineStr">
        <is>
          <t>Z</t>
        </is>
      </c>
      <c r="F4" s="5">
        <f>COUNTIFS('Z1_CplteAnneeMois'!$O$2:$O$288,B4,'Z1_CplteAnneeMois'!$H$2:$H$288,C4,'Z1_CplteAnneeMois'!$E$2:$E$288,D4,'Z1_CplteAnneeMois'!$F$2:$F$288,E4)</f>
        <v/>
      </c>
    </row>
    <row r="5">
      <c r="A5" s="5" t="n">
        <v>2025</v>
      </c>
      <c r="B5" s="6" t="inlineStr">
        <is>
          <t>2025-05</t>
        </is>
      </c>
      <c r="C5" s="4" t="n">
        <v>45810</v>
      </c>
      <c r="D5" s="2" t="inlineStr">
        <is>
          <t>FILE101</t>
        </is>
      </c>
      <c r="E5" s="2" t="inlineStr">
        <is>
          <t>ZZ1</t>
        </is>
      </c>
      <c r="F5" s="5">
        <f>COUNTIFS('Z1_CplteAnneeMois'!$O$2:$O$288,B5,'Z1_CplteAnneeMois'!$H$2:$H$288,C5,'Z1_CplteAnneeMois'!$E$2:$E$288,D5,'Z1_CplteAnneeMois'!$F$2:$F$288,E5)</f>
        <v/>
      </c>
    </row>
    <row r="6">
      <c r="A6" s="5" t="n">
        <v>2025</v>
      </c>
      <c r="B6" s="6" t="inlineStr">
        <is>
          <t>2025-05</t>
        </is>
      </c>
      <c r="C6" s="4" t="n">
        <v>45810</v>
      </c>
      <c r="D6" s="2" t="inlineStr">
        <is>
          <t>FILE201</t>
        </is>
      </c>
      <c r="E6" s="2" t="inlineStr">
        <is>
          <t>ZZ2</t>
        </is>
      </c>
      <c r="F6" s="5">
        <f>COUNTIFS('Z1_CplteAnneeMois'!$O$2:$O$288,B6,'Z1_CplteAnneeMois'!$H$2:$H$288,C6,'Z1_CplteAnneeMois'!$E$2:$E$288,D6,'Z1_CplteAnneeMois'!$F$2:$F$288,E6)</f>
        <v/>
      </c>
    </row>
    <row r="7">
      <c r="A7" s="5" t="n">
        <v>2025</v>
      </c>
      <c r="B7" s="6" t="inlineStr">
        <is>
          <t>2025-06|2025-07</t>
        </is>
      </c>
      <c r="C7" s="4" t="n">
        <v>45870</v>
      </c>
      <c r="D7" s="2" t="inlineStr">
        <is>
          <t>FILE001</t>
        </is>
      </c>
      <c r="E7" s="2" t="inlineStr">
        <is>
          <t>Z</t>
        </is>
      </c>
      <c r="F7" s="5">
        <f>COUNTIFS('Z1_CplteAnneeMois'!$O$2:$O$288,B7,'Z1_CplteAnneeMois'!$H$2:$H$288,C7,'Z1_CplteAnneeMois'!$E$2:$E$288,D7,'Z1_CplteAnneeMois'!$F$2:$F$288,E7)</f>
        <v/>
      </c>
    </row>
    <row r="8">
      <c r="A8" s="5" t="n">
        <v>2025</v>
      </c>
      <c r="B8" s="6" t="inlineStr">
        <is>
          <t>2025-08</t>
        </is>
      </c>
      <c r="C8" s="4" t="n">
        <v>45901</v>
      </c>
      <c r="D8" s="2" t="inlineStr">
        <is>
          <t>FILE001</t>
        </is>
      </c>
      <c r="E8" s="2" t="inlineStr">
        <is>
          <t>Z</t>
        </is>
      </c>
      <c r="F8" s="5">
        <f>COUNTIFS('Z1_CplteAnneeMois'!$O$2:$O$288,B8,'Z1_CplteAnneeMois'!$H$2:$H$288,C8,'Z1_CplteAnneeMois'!$E$2:$E$288,D8,'Z1_CplteAnneeMois'!$F$2:$F$288,E8)</f>
        <v/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5" t="n">
        <v>2025</v>
      </c>
      <c r="B2" s="6" t="inlineStr">
        <is>
          <t>2025-01</t>
        </is>
      </c>
      <c r="C2" s="2" t="inlineStr">
        <is>
          <t>Z</t>
        </is>
      </c>
      <c r="D2" s="2" t="inlineStr">
        <is>
          <t>CA BRUT</t>
        </is>
      </c>
      <c r="E2" s="6">
        <f>SUMIFS('Z1_CplteAnneeMois'!$M$2:$M$288,'Z1_CplteAnneeMois'!$O$2:$O$288,B2,'Z1_CplteAnneeMois'!$F$2:$F$288,C2,'Z1_CplteAnneeMois'!$K$2:$K$288,D2)</f>
        <v/>
      </c>
    </row>
    <row r="3">
      <c r="A3" s="5" t="n">
        <v>2025</v>
      </c>
      <c r="B3" s="6" t="inlineStr">
        <is>
          <t>2025-01</t>
        </is>
      </c>
      <c r="C3" s="2" t="inlineStr">
        <is>
          <t>Z</t>
        </is>
      </c>
      <c r="D3" s="2" t="inlineStr">
        <is>
          <t>CA NET</t>
        </is>
      </c>
      <c r="E3" s="6">
        <f>SUMIFS('Z1_CplteAnneeMois'!$M$2:$M$288,'Z1_CplteAnneeMois'!$O$2:$O$288,B3,'Z1_CplteAnneeMois'!$F$2:$F$288,C3,'Z1_CplteAnneeMois'!$K$2:$K$288,D3)</f>
        <v/>
      </c>
    </row>
    <row r="4">
      <c r="A4" s="5" t="n">
        <v>2025</v>
      </c>
      <c r="B4" s="6" t="inlineStr">
        <is>
          <t>2025-01</t>
        </is>
      </c>
      <c r="C4" s="2" t="inlineStr">
        <is>
          <t>Z</t>
        </is>
      </c>
      <c r="D4" s="2" t="inlineStr">
        <is>
          <t>CB.TIROIR</t>
        </is>
      </c>
      <c r="E4" s="6">
        <f>SUMIFS('Z1_CplteAnneeMois'!$M$2:$M$288,'Z1_CplteAnneeMois'!$O$2:$O$288,B4,'Z1_CplteAnneeMois'!$F$2:$F$288,C4,'Z1_CplteAnneeMois'!$K$2:$K$288,D4)</f>
        <v/>
      </c>
    </row>
    <row r="5">
      <c r="A5" s="5" t="n">
        <v>2025</v>
      </c>
      <c r="B5" s="6" t="inlineStr">
        <is>
          <t>2025-01</t>
        </is>
      </c>
      <c r="C5" s="2" t="inlineStr">
        <is>
          <t>Z</t>
        </is>
      </c>
      <c r="D5" s="2" t="inlineStr">
        <is>
          <t>CHQ.TIROIR</t>
        </is>
      </c>
      <c r="E5" s="6">
        <f>SUMIFS('Z1_CplteAnneeMois'!$M$2:$M$288,'Z1_CplteAnneeMois'!$O$2:$O$288,B5,'Z1_CplteAnneeMois'!$F$2:$F$288,C5,'Z1_CplteAnneeMois'!$K$2:$K$288,D5)</f>
        <v/>
      </c>
    </row>
    <row r="6">
      <c r="A6" s="5" t="n">
        <v>2025</v>
      </c>
      <c r="B6" s="6" t="inlineStr">
        <is>
          <t>2025-01</t>
        </is>
      </c>
      <c r="C6" s="2" t="inlineStr">
        <is>
          <t>Z</t>
        </is>
      </c>
      <c r="D6" s="2" t="inlineStr">
        <is>
          <t>ESP.TIROIR</t>
        </is>
      </c>
      <c r="E6" s="6">
        <f>SUMIFS('Z1_CplteAnneeMois'!$M$2:$M$288,'Z1_CplteAnneeMois'!$O$2:$O$288,B6,'Z1_CplteAnneeMois'!$F$2:$F$288,C6,'Z1_CplteAnneeMois'!$K$2:$K$288,D6)</f>
        <v/>
      </c>
    </row>
    <row r="7">
      <c r="A7" s="5" t="n">
        <v>2025</v>
      </c>
      <c r="B7" s="6" t="inlineStr">
        <is>
          <t>2025-01</t>
        </is>
      </c>
      <c r="C7" s="2" t="inlineStr">
        <is>
          <t>Z</t>
        </is>
      </c>
      <c r="D7" s="2" t="inlineStr">
        <is>
          <t>HORS TAXE 1</t>
        </is>
      </c>
      <c r="E7" s="6">
        <f>SUMIFS('Z1_CplteAnneeMois'!$M$2:$M$288,'Z1_CplteAnneeMois'!$O$2:$O$288,B7,'Z1_CplteAnneeMois'!$F$2:$F$288,C7,'Z1_CplteAnneeMois'!$K$2:$K$288,D7)</f>
        <v/>
      </c>
    </row>
    <row r="8">
      <c r="A8" s="5" t="n">
        <v>2025</v>
      </c>
      <c r="B8" s="6" t="inlineStr">
        <is>
          <t>2025-01</t>
        </is>
      </c>
      <c r="C8" s="2" t="inlineStr">
        <is>
          <t>Z</t>
        </is>
      </c>
      <c r="D8" s="2" t="inlineStr">
        <is>
          <t>TVA 1</t>
        </is>
      </c>
      <c r="E8" s="6">
        <f>SUMIFS('Z1_CplteAnneeMois'!$M$2:$M$288,'Z1_CplteAnneeMois'!$O$2:$O$288,B8,'Z1_CplteAnneeMois'!$F$2:$F$288,C8,'Z1_CplteAnneeMois'!$K$2:$K$288,D8)</f>
        <v/>
      </c>
    </row>
    <row r="9">
      <c r="A9" s="5" t="n">
        <v>2025</v>
      </c>
      <c r="B9" s="6" t="inlineStr">
        <is>
          <t>2025-01</t>
        </is>
      </c>
      <c r="C9" s="2" t="inlineStr">
        <is>
          <t>ZZ1</t>
        </is>
      </c>
      <c r="D9" s="2" t="inlineStr">
        <is>
          <t>CA BRUT</t>
        </is>
      </c>
      <c r="E9" s="6">
        <f>SUMIFS('Z1_CplteAnneeMois'!$M$2:$M$288,'Z1_CplteAnneeMois'!$O$2:$O$288,B9,'Z1_CplteAnneeMois'!$F$2:$F$288,C9,'Z1_CplteAnneeMois'!$K$2:$K$288,D9)</f>
        <v/>
      </c>
    </row>
    <row r="10">
      <c r="A10" s="5" t="n">
        <v>2025</v>
      </c>
      <c r="B10" s="6" t="inlineStr">
        <is>
          <t>2025-01</t>
        </is>
      </c>
      <c r="C10" s="2" t="inlineStr">
        <is>
          <t>ZZ1</t>
        </is>
      </c>
      <c r="D10" s="2" t="inlineStr">
        <is>
          <t>CA NET</t>
        </is>
      </c>
      <c r="E10" s="6">
        <f>SUMIFS('Z1_CplteAnneeMois'!$M$2:$M$288,'Z1_CplteAnneeMois'!$O$2:$O$288,B10,'Z1_CplteAnneeMois'!$F$2:$F$288,C10,'Z1_CplteAnneeMois'!$K$2:$K$288,D10)</f>
        <v/>
      </c>
    </row>
    <row r="11">
      <c r="A11" s="5" t="n">
        <v>2025</v>
      </c>
      <c r="B11" s="6" t="inlineStr">
        <is>
          <t>2025-01</t>
        </is>
      </c>
      <c r="C11" s="2" t="inlineStr">
        <is>
          <t>ZZ1</t>
        </is>
      </c>
      <c r="D11" s="2" t="inlineStr">
        <is>
          <t>CB.TIROIR</t>
        </is>
      </c>
      <c r="E11" s="6">
        <f>SUMIFS('Z1_CplteAnneeMois'!$M$2:$M$288,'Z1_CplteAnneeMois'!$O$2:$O$288,B11,'Z1_CplteAnneeMois'!$F$2:$F$288,C11,'Z1_CplteAnneeMois'!$K$2:$K$288,D11)</f>
        <v/>
      </c>
    </row>
    <row r="12">
      <c r="A12" s="5" t="n">
        <v>2025</v>
      </c>
      <c r="B12" s="6" t="inlineStr">
        <is>
          <t>2025-01</t>
        </is>
      </c>
      <c r="C12" s="2" t="inlineStr">
        <is>
          <t>ZZ1</t>
        </is>
      </c>
      <c r="D12" s="2" t="inlineStr">
        <is>
          <t>CHQ.TIROIR</t>
        </is>
      </c>
      <c r="E12" s="6">
        <f>SUMIFS('Z1_CplteAnneeMois'!$M$2:$M$288,'Z1_CplteAnneeMois'!$O$2:$O$288,B12,'Z1_CplteAnneeMois'!$F$2:$F$288,C12,'Z1_CplteAnneeMois'!$K$2:$K$288,D12)</f>
        <v/>
      </c>
    </row>
    <row r="13">
      <c r="A13" s="5" t="n">
        <v>2025</v>
      </c>
      <c r="B13" s="6" t="inlineStr">
        <is>
          <t>2025-01</t>
        </is>
      </c>
      <c r="C13" s="2" t="inlineStr">
        <is>
          <t>ZZ1</t>
        </is>
      </c>
      <c r="D13" s="2" t="inlineStr">
        <is>
          <t>ESP.TIROIR</t>
        </is>
      </c>
      <c r="E13" s="6">
        <f>SUMIFS('Z1_CplteAnneeMois'!$M$2:$M$288,'Z1_CplteAnneeMois'!$O$2:$O$288,B13,'Z1_CplteAnneeMois'!$F$2:$F$288,C13,'Z1_CplteAnneeMois'!$K$2:$K$288,D13)</f>
        <v/>
      </c>
    </row>
    <row r="14">
      <c r="A14" s="5" t="n">
        <v>2025</v>
      </c>
      <c r="B14" s="6" t="inlineStr">
        <is>
          <t>2025-01</t>
        </is>
      </c>
      <c r="C14" s="2" t="inlineStr">
        <is>
          <t>ZZ1</t>
        </is>
      </c>
      <c r="D14" s="2" t="inlineStr">
        <is>
          <t>HORS TAXE 1</t>
        </is>
      </c>
      <c r="E14" s="6">
        <f>SUMIFS('Z1_CplteAnneeMois'!$M$2:$M$288,'Z1_CplteAnneeMois'!$O$2:$O$288,B14,'Z1_CplteAnneeMois'!$F$2:$F$288,C14,'Z1_CplteAnneeMois'!$K$2:$K$288,D14)</f>
        <v/>
      </c>
    </row>
    <row r="15">
      <c r="A15" s="5" t="n">
        <v>2025</v>
      </c>
      <c r="B15" s="6" t="inlineStr">
        <is>
          <t>2025-01</t>
        </is>
      </c>
      <c r="C15" s="2" t="inlineStr">
        <is>
          <t>ZZ1</t>
        </is>
      </c>
      <c r="D15" s="2" t="inlineStr">
        <is>
          <t>TVA 1</t>
        </is>
      </c>
      <c r="E15" s="6">
        <f>SUMIFS('Z1_CplteAnneeMois'!$M$2:$M$288,'Z1_CplteAnneeMois'!$O$2:$O$288,B15,'Z1_CplteAnneeMois'!$F$2:$F$288,C15,'Z1_CplteAnneeMois'!$K$2:$K$288,D15)</f>
        <v/>
      </c>
    </row>
    <row r="16">
      <c r="A16" s="5" t="n">
        <v>2025</v>
      </c>
      <c r="B16" s="6" t="inlineStr">
        <is>
          <t>2025-01</t>
        </is>
      </c>
      <c r="C16" s="2" t="inlineStr">
        <is>
          <t>ZZ2</t>
        </is>
      </c>
      <c r="D16" s="2" t="inlineStr">
        <is>
          <t>CA BRUT</t>
        </is>
      </c>
      <c r="E16" s="6">
        <f>SUMIFS('Z1_CplteAnneeMois'!$M$2:$M$288,'Z1_CplteAnneeMois'!$O$2:$O$288,B16,'Z1_CplteAnneeMois'!$F$2:$F$288,C16,'Z1_CplteAnneeMois'!$K$2:$K$288,D16)</f>
        <v/>
      </c>
    </row>
    <row r="17">
      <c r="A17" s="5" t="n">
        <v>2025</v>
      </c>
      <c r="B17" s="6" t="inlineStr">
        <is>
          <t>2025-01</t>
        </is>
      </c>
      <c r="C17" s="2" t="inlineStr">
        <is>
          <t>ZZ2</t>
        </is>
      </c>
      <c r="D17" s="2" t="inlineStr">
        <is>
          <t>CA NET</t>
        </is>
      </c>
      <c r="E17" s="6">
        <f>SUMIFS('Z1_CplteAnneeMois'!$M$2:$M$288,'Z1_CplteAnneeMois'!$O$2:$O$288,B17,'Z1_CplteAnneeMois'!$F$2:$F$288,C17,'Z1_CplteAnneeMois'!$K$2:$K$288,D17)</f>
        <v/>
      </c>
    </row>
    <row r="18">
      <c r="A18" s="5" t="n">
        <v>2025</v>
      </c>
      <c r="B18" s="6" t="inlineStr">
        <is>
          <t>2025-01</t>
        </is>
      </c>
      <c r="C18" s="2" t="inlineStr">
        <is>
          <t>ZZ2</t>
        </is>
      </c>
      <c r="D18" s="2" t="inlineStr">
        <is>
          <t>CB.TIROIR</t>
        </is>
      </c>
      <c r="E18" s="6">
        <f>SUMIFS('Z1_CplteAnneeMois'!$M$2:$M$288,'Z1_CplteAnneeMois'!$O$2:$O$288,B18,'Z1_CplteAnneeMois'!$F$2:$F$288,C18,'Z1_CplteAnneeMois'!$K$2:$K$288,D18)</f>
        <v/>
      </c>
    </row>
    <row r="19">
      <c r="A19" s="5" t="n">
        <v>2025</v>
      </c>
      <c r="B19" s="6" t="inlineStr">
        <is>
          <t>2025-01</t>
        </is>
      </c>
      <c r="C19" s="2" t="inlineStr">
        <is>
          <t>ZZ2</t>
        </is>
      </c>
      <c r="D19" s="2" t="inlineStr">
        <is>
          <t>CHQ.TIROIR</t>
        </is>
      </c>
      <c r="E19" s="6">
        <f>SUMIFS('Z1_CplteAnneeMois'!$M$2:$M$288,'Z1_CplteAnneeMois'!$O$2:$O$288,B19,'Z1_CplteAnneeMois'!$F$2:$F$288,C19,'Z1_CplteAnneeMois'!$K$2:$K$288,D19)</f>
        <v/>
      </c>
    </row>
    <row r="20">
      <c r="A20" s="5" t="n">
        <v>2025</v>
      </c>
      <c r="B20" s="6" t="inlineStr">
        <is>
          <t>2025-01</t>
        </is>
      </c>
      <c r="C20" s="2" t="inlineStr">
        <is>
          <t>ZZ2</t>
        </is>
      </c>
      <c r="D20" s="2" t="inlineStr">
        <is>
          <t>ESP.TIROIR</t>
        </is>
      </c>
      <c r="E20" s="6">
        <f>SUMIFS('Z1_CplteAnneeMois'!$M$2:$M$288,'Z1_CplteAnneeMois'!$O$2:$O$288,B20,'Z1_CplteAnneeMois'!$F$2:$F$288,C20,'Z1_CplteAnneeMois'!$K$2:$K$288,D20)</f>
        <v/>
      </c>
    </row>
    <row r="21">
      <c r="A21" s="5" t="n">
        <v>2025</v>
      </c>
      <c r="B21" s="6" t="inlineStr">
        <is>
          <t>2025-01</t>
        </is>
      </c>
      <c r="C21" s="2" t="inlineStr">
        <is>
          <t>ZZ2</t>
        </is>
      </c>
      <c r="D21" s="2" t="inlineStr">
        <is>
          <t>HORS TAXE 1</t>
        </is>
      </c>
      <c r="E21" s="6">
        <f>SUMIFS('Z1_CplteAnneeMois'!$M$2:$M$288,'Z1_CplteAnneeMois'!$O$2:$O$288,B21,'Z1_CplteAnneeMois'!$F$2:$F$288,C21,'Z1_CplteAnneeMois'!$K$2:$K$288,D21)</f>
        <v/>
      </c>
    </row>
    <row r="22">
      <c r="A22" s="5" t="n">
        <v>2025</v>
      </c>
      <c r="B22" s="6" t="inlineStr">
        <is>
          <t>2025-01</t>
        </is>
      </c>
      <c r="C22" s="2" t="inlineStr">
        <is>
          <t>ZZ2</t>
        </is>
      </c>
      <c r="D22" s="2" t="inlineStr">
        <is>
          <t>TVA 1</t>
        </is>
      </c>
      <c r="E22" s="6">
        <f>SUMIFS('Z1_CplteAnneeMois'!$M$2:$M$288,'Z1_CplteAnneeMois'!$O$2:$O$288,B22,'Z1_CplteAnneeMois'!$F$2:$F$288,C22,'Z1_CplteAnneeMois'!$K$2:$K$288,D22)</f>
        <v/>
      </c>
    </row>
    <row r="23">
      <c r="A23" s="5" t="n">
        <v>2025</v>
      </c>
      <c r="B23" s="6" t="inlineStr">
        <is>
          <t>2025-02</t>
        </is>
      </c>
      <c r="C23" s="2" t="inlineStr">
        <is>
          <t>Z</t>
        </is>
      </c>
      <c r="D23" s="2" t="inlineStr">
        <is>
          <t>CA BRUT</t>
        </is>
      </c>
      <c r="E23" s="6">
        <f>SUMIFS('Z1_CplteAnneeMois'!$M$2:$M$288,'Z1_CplteAnneeMois'!$O$2:$O$288,B23,'Z1_CplteAnneeMois'!$F$2:$F$288,C23,'Z1_CplteAnneeMois'!$K$2:$K$288,D23)</f>
        <v/>
      </c>
    </row>
    <row r="24">
      <c r="A24" s="5" t="n">
        <v>2025</v>
      </c>
      <c r="B24" s="6" t="inlineStr">
        <is>
          <t>2025-02</t>
        </is>
      </c>
      <c r="C24" s="2" t="inlineStr">
        <is>
          <t>Z</t>
        </is>
      </c>
      <c r="D24" s="2" t="inlineStr">
        <is>
          <t>CA NET</t>
        </is>
      </c>
      <c r="E24" s="6">
        <f>SUMIFS('Z1_CplteAnneeMois'!$M$2:$M$288,'Z1_CplteAnneeMois'!$O$2:$O$288,B24,'Z1_CplteAnneeMois'!$F$2:$F$288,C24,'Z1_CplteAnneeMois'!$K$2:$K$288,D24)</f>
        <v/>
      </c>
    </row>
    <row r="25">
      <c r="A25" s="5" t="n">
        <v>2025</v>
      </c>
      <c r="B25" s="6" t="inlineStr">
        <is>
          <t>2025-02</t>
        </is>
      </c>
      <c r="C25" s="2" t="inlineStr">
        <is>
          <t>Z</t>
        </is>
      </c>
      <c r="D25" s="2" t="inlineStr">
        <is>
          <t>CB.TIROIR</t>
        </is>
      </c>
      <c r="E25" s="6">
        <f>SUMIFS('Z1_CplteAnneeMois'!$M$2:$M$288,'Z1_CplteAnneeMois'!$O$2:$O$288,B25,'Z1_CplteAnneeMois'!$F$2:$F$288,C25,'Z1_CplteAnneeMois'!$K$2:$K$288,D25)</f>
        <v/>
      </c>
    </row>
    <row r="26">
      <c r="A26" s="5" t="n">
        <v>2025</v>
      </c>
      <c r="B26" s="6" t="inlineStr">
        <is>
          <t>2025-02</t>
        </is>
      </c>
      <c r="C26" s="2" t="inlineStr">
        <is>
          <t>Z</t>
        </is>
      </c>
      <c r="D26" s="2" t="inlineStr">
        <is>
          <t>CHQ.TIROIR</t>
        </is>
      </c>
      <c r="E26" s="6">
        <f>SUMIFS('Z1_CplteAnneeMois'!$M$2:$M$288,'Z1_CplteAnneeMois'!$O$2:$O$288,B26,'Z1_CplteAnneeMois'!$F$2:$F$288,C26,'Z1_CplteAnneeMois'!$K$2:$K$288,D26)</f>
        <v/>
      </c>
    </row>
    <row r="27">
      <c r="A27" s="5" t="n">
        <v>2025</v>
      </c>
      <c r="B27" s="6" t="inlineStr">
        <is>
          <t>2025-02</t>
        </is>
      </c>
      <c r="C27" s="2" t="inlineStr">
        <is>
          <t>Z</t>
        </is>
      </c>
      <c r="D27" s="2" t="inlineStr">
        <is>
          <t>ESP.TIROIR</t>
        </is>
      </c>
      <c r="E27" s="6">
        <f>SUMIFS('Z1_CplteAnneeMois'!$M$2:$M$288,'Z1_CplteAnneeMois'!$O$2:$O$288,B27,'Z1_CplteAnneeMois'!$F$2:$F$288,C27,'Z1_CplteAnneeMois'!$K$2:$K$288,D27)</f>
        <v/>
      </c>
    </row>
    <row r="28">
      <c r="A28" s="5" t="n">
        <v>2025</v>
      </c>
      <c r="B28" s="6" t="inlineStr">
        <is>
          <t>2025-02</t>
        </is>
      </c>
      <c r="C28" s="2" t="inlineStr">
        <is>
          <t>Z</t>
        </is>
      </c>
      <c r="D28" s="2" t="inlineStr">
        <is>
          <t>HORS TAXE 1</t>
        </is>
      </c>
      <c r="E28" s="6">
        <f>SUMIFS('Z1_CplteAnneeMois'!$M$2:$M$288,'Z1_CplteAnneeMois'!$O$2:$O$288,B28,'Z1_CplteAnneeMois'!$F$2:$F$288,C28,'Z1_CplteAnneeMois'!$K$2:$K$288,D28)</f>
        <v/>
      </c>
    </row>
    <row r="29">
      <c r="A29" s="5" t="n">
        <v>2025</v>
      </c>
      <c r="B29" s="6" t="inlineStr">
        <is>
          <t>2025-02</t>
        </is>
      </c>
      <c r="C29" s="2" t="inlineStr">
        <is>
          <t>Z</t>
        </is>
      </c>
      <c r="D29" s="2" t="inlineStr">
        <is>
          <t>TVA 1</t>
        </is>
      </c>
      <c r="E29" s="6">
        <f>SUMIFS('Z1_CplteAnneeMois'!$M$2:$M$288,'Z1_CplteAnneeMois'!$O$2:$O$288,B29,'Z1_CplteAnneeMois'!$F$2:$F$288,C29,'Z1_CplteAnneeMois'!$K$2:$K$288,D29)</f>
        <v/>
      </c>
    </row>
    <row r="30">
      <c r="A30" s="5" t="n">
        <v>2025</v>
      </c>
      <c r="B30" s="6" t="inlineStr">
        <is>
          <t>2025-02</t>
        </is>
      </c>
      <c r="C30" s="2" t="inlineStr">
        <is>
          <t>ZZ1</t>
        </is>
      </c>
      <c r="D30" s="2" t="inlineStr">
        <is>
          <t>CA BRUT</t>
        </is>
      </c>
      <c r="E30" s="6">
        <f>SUMIFS('Z1_CplteAnneeMois'!$M$2:$M$288,'Z1_CplteAnneeMois'!$O$2:$O$288,B30,'Z1_CplteAnneeMois'!$F$2:$F$288,C30,'Z1_CplteAnneeMois'!$K$2:$K$288,D30)</f>
        <v/>
      </c>
    </row>
    <row r="31">
      <c r="A31" s="5" t="n">
        <v>2025</v>
      </c>
      <c r="B31" s="6" t="inlineStr">
        <is>
          <t>2025-02</t>
        </is>
      </c>
      <c r="C31" s="2" t="inlineStr">
        <is>
          <t>ZZ1</t>
        </is>
      </c>
      <c r="D31" s="2" t="inlineStr">
        <is>
          <t>CA NET</t>
        </is>
      </c>
      <c r="E31" s="6">
        <f>SUMIFS('Z1_CplteAnneeMois'!$M$2:$M$288,'Z1_CplteAnneeMois'!$O$2:$O$288,B31,'Z1_CplteAnneeMois'!$F$2:$F$288,C31,'Z1_CplteAnneeMois'!$K$2:$K$288,D31)</f>
        <v/>
      </c>
    </row>
    <row r="32">
      <c r="A32" s="5" t="n">
        <v>2025</v>
      </c>
      <c r="B32" s="6" t="inlineStr">
        <is>
          <t>2025-02</t>
        </is>
      </c>
      <c r="C32" s="2" t="inlineStr">
        <is>
          <t>ZZ1</t>
        </is>
      </c>
      <c r="D32" s="2" t="inlineStr">
        <is>
          <t>CB.TIROIR</t>
        </is>
      </c>
      <c r="E32" s="6">
        <f>SUMIFS('Z1_CplteAnneeMois'!$M$2:$M$288,'Z1_CplteAnneeMois'!$O$2:$O$288,B32,'Z1_CplteAnneeMois'!$F$2:$F$288,C32,'Z1_CplteAnneeMois'!$K$2:$K$288,D32)</f>
        <v/>
      </c>
    </row>
    <row r="33">
      <c r="A33" s="5" t="n">
        <v>2025</v>
      </c>
      <c r="B33" s="6" t="inlineStr">
        <is>
          <t>2025-02</t>
        </is>
      </c>
      <c r="C33" s="2" t="inlineStr">
        <is>
          <t>ZZ1</t>
        </is>
      </c>
      <c r="D33" s="2" t="inlineStr">
        <is>
          <t>CHQ.TIROIR</t>
        </is>
      </c>
      <c r="E33" s="6">
        <f>SUMIFS('Z1_CplteAnneeMois'!$M$2:$M$288,'Z1_CplteAnneeMois'!$O$2:$O$288,B33,'Z1_CplteAnneeMois'!$F$2:$F$288,C33,'Z1_CplteAnneeMois'!$K$2:$K$288,D33)</f>
        <v/>
      </c>
    </row>
    <row r="34">
      <c r="A34" s="5" t="n">
        <v>2025</v>
      </c>
      <c r="B34" s="6" t="inlineStr">
        <is>
          <t>2025-02</t>
        </is>
      </c>
      <c r="C34" s="2" t="inlineStr">
        <is>
          <t>ZZ1</t>
        </is>
      </c>
      <c r="D34" s="2" t="inlineStr">
        <is>
          <t>ESP.TIROIR</t>
        </is>
      </c>
      <c r="E34" s="6">
        <f>SUMIFS('Z1_CplteAnneeMois'!$M$2:$M$288,'Z1_CplteAnneeMois'!$O$2:$O$288,B34,'Z1_CplteAnneeMois'!$F$2:$F$288,C34,'Z1_CplteAnneeMois'!$K$2:$K$288,D34)</f>
        <v/>
      </c>
    </row>
    <row r="35">
      <c r="A35" s="5" t="n">
        <v>2025</v>
      </c>
      <c r="B35" s="6" t="inlineStr">
        <is>
          <t>2025-02</t>
        </is>
      </c>
      <c r="C35" s="2" t="inlineStr">
        <is>
          <t>ZZ1</t>
        </is>
      </c>
      <c r="D35" s="2" t="inlineStr">
        <is>
          <t>HORS TAXE 1</t>
        </is>
      </c>
      <c r="E35" s="6">
        <f>SUMIFS('Z1_CplteAnneeMois'!$M$2:$M$288,'Z1_CplteAnneeMois'!$O$2:$O$288,B35,'Z1_CplteAnneeMois'!$F$2:$F$288,C35,'Z1_CplteAnneeMois'!$K$2:$K$288,D35)</f>
        <v/>
      </c>
    </row>
    <row r="36">
      <c r="A36" s="5" t="n">
        <v>2025</v>
      </c>
      <c r="B36" s="6" t="inlineStr">
        <is>
          <t>2025-02</t>
        </is>
      </c>
      <c r="C36" s="2" t="inlineStr">
        <is>
          <t>ZZ1</t>
        </is>
      </c>
      <c r="D36" s="2" t="inlineStr">
        <is>
          <t>TVA 1</t>
        </is>
      </c>
      <c r="E36" s="6">
        <f>SUMIFS('Z1_CplteAnneeMois'!$M$2:$M$288,'Z1_CplteAnneeMois'!$O$2:$O$288,B36,'Z1_CplteAnneeMois'!$F$2:$F$288,C36,'Z1_CplteAnneeMois'!$K$2:$K$288,D36)</f>
        <v/>
      </c>
    </row>
    <row r="37">
      <c r="A37" s="5" t="n">
        <v>2025</v>
      </c>
      <c r="B37" s="6" t="inlineStr">
        <is>
          <t>2025-02</t>
        </is>
      </c>
      <c r="C37" s="2" t="inlineStr">
        <is>
          <t>ZZ2</t>
        </is>
      </c>
      <c r="D37" s="2" t="inlineStr">
        <is>
          <t>CA BRUT</t>
        </is>
      </c>
      <c r="E37" s="6">
        <f>SUMIFS('Z1_CplteAnneeMois'!$M$2:$M$288,'Z1_CplteAnneeMois'!$O$2:$O$288,B37,'Z1_CplteAnneeMois'!$F$2:$F$288,C37,'Z1_CplteAnneeMois'!$K$2:$K$288,D37)</f>
        <v/>
      </c>
    </row>
    <row r="38">
      <c r="A38" s="5" t="n">
        <v>2025</v>
      </c>
      <c r="B38" s="6" t="inlineStr">
        <is>
          <t>2025-02</t>
        </is>
      </c>
      <c r="C38" s="2" t="inlineStr">
        <is>
          <t>ZZ2</t>
        </is>
      </c>
      <c r="D38" s="2" t="inlineStr">
        <is>
          <t>CA NET</t>
        </is>
      </c>
      <c r="E38" s="6">
        <f>SUMIFS('Z1_CplteAnneeMois'!$M$2:$M$288,'Z1_CplteAnneeMois'!$O$2:$O$288,B38,'Z1_CplteAnneeMois'!$F$2:$F$288,C38,'Z1_CplteAnneeMois'!$K$2:$K$288,D38)</f>
        <v/>
      </c>
    </row>
    <row r="39">
      <c r="A39" s="5" t="n">
        <v>2025</v>
      </c>
      <c r="B39" s="6" t="inlineStr">
        <is>
          <t>2025-02</t>
        </is>
      </c>
      <c r="C39" s="2" t="inlineStr">
        <is>
          <t>ZZ2</t>
        </is>
      </c>
      <c r="D39" s="2" t="inlineStr">
        <is>
          <t>CB.TIROIR</t>
        </is>
      </c>
      <c r="E39" s="6">
        <f>SUMIFS('Z1_CplteAnneeMois'!$M$2:$M$288,'Z1_CplteAnneeMois'!$O$2:$O$288,B39,'Z1_CplteAnneeMois'!$F$2:$F$288,C39,'Z1_CplteAnneeMois'!$K$2:$K$288,D39)</f>
        <v/>
      </c>
    </row>
    <row r="40">
      <c r="A40" s="5" t="n">
        <v>2025</v>
      </c>
      <c r="B40" s="6" t="inlineStr">
        <is>
          <t>2025-02</t>
        </is>
      </c>
      <c r="C40" s="2" t="inlineStr">
        <is>
          <t>ZZ2</t>
        </is>
      </c>
      <c r="D40" s="2" t="inlineStr">
        <is>
          <t>CHQ.TIROIR</t>
        </is>
      </c>
      <c r="E40" s="6">
        <f>SUMIFS('Z1_CplteAnneeMois'!$M$2:$M$288,'Z1_CplteAnneeMois'!$O$2:$O$288,B40,'Z1_CplteAnneeMois'!$F$2:$F$288,C40,'Z1_CplteAnneeMois'!$K$2:$K$288,D40)</f>
        <v/>
      </c>
    </row>
    <row r="41">
      <c r="A41" s="5" t="n">
        <v>2025</v>
      </c>
      <c r="B41" s="6" t="inlineStr">
        <is>
          <t>2025-02</t>
        </is>
      </c>
      <c r="C41" s="2" t="inlineStr">
        <is>
          <t>ZZ2</t>
        </is>
      </c>
      <c r="D41" s="2" t="inlineStr">
        <is>
          <t>ESP.TIROIR</t>
        </is>
      </c>
      <c r="E41" s="6">
        <f>SUMIFS('Z1_CplteAnneeMois'!$M$2:$M$288,'Z1_CplteAnneeMois'!$O$2:$O$288,B41,'Z1_CplteAnneeMois'!$F$2:$F$288,C41,'Z1_CplteAnneeMois'!$K$2:$K$288,D41)</f>
        <v/>
      </c>
    </row>
    <row r="42">
      <c r="A42" s="5" t="n">
        <v>2025</v>
      </c>
      <c r="B42" s="6" t="inlineStr">
        <is>
          <t>2025-02</t>
        </is>
      </c>
      <c r="C42" s="2" t="inlineStr">
        <is>
          <t>ZZ2</t>
        </is>
      </c>
      <c r="D42" s="2" t="inlineStr">
        <is>
          <t>HORS TAXE 1</t>
        </is>
      </c>
      <c r="E42" s="6">
        <f>SUMIFS('Z1_CplteAnneeMois'!$M$2:$M$288,'Z1_CplteAnneeMois'!$O$2:$O$288,B42,'Z1_CplteAnneeMois'!$F$2:$F$288,C42,'Z1_CplteAnneeMois'!$K$2:$K$288,D42)</f>
        <v/>
      </c>
    </row>
    <row r="43">
      <c r="A43" s="5" t="n">
        <v>2025</v>
      </c>
      <c r="B43" s="6" t="inlineStr">
        <is>
          <t>2025-02</t>
        </is>
      </c>
      <c r="C43" s="2" t="inlineStr">
        <is>
          <t>ZZ2</t>
        </is>
      </c>
      <c r="D43" s="2" t="inlineStr">
        <is>
          <t>TVA 1</t>
        </is>
      </c>
      <c r="E43" s="6">
        <f>SUMIFS('Z1_CplteAnneeMois'!$M$2:$M$288,'Z1_CplteAnneeMois'!$O$2:$O$288,B43,'Z1_CplteAnneeMois'!$F$2:$F$288,C43,'Z1_CplteAnneeMois'!$K$2:$K$288,D43)</f>
        <v/>
      </c>
    </row>
    <row r="44">
      <c r="A44" s="5" t="n">
        <v>2025</v>
      </c>
      <c r="B44" s="6" t="inlineStr">
        <is>
          <t>2025-03</t>
        </is>
      </c>
      <c r="C44" s="2" t="inlineStr">
        <is>
          <t>Z</t>
        </is>
      </c>
      <c r="D44" s="2" t="inlineStr">
        <is>
          <t>CA BRUT</t>
        </is>
      </c>
      <c r="E44" s="6">
        <f>SUMIFS('Z1_CplteAnneeMois'!$M$2:$M$288,'Z1_CplteAnneeMois'!$O$2:$O$288,B44,'Z1_CplteAnneeMois'!$F$2:$F$288,C44,'Z1_CplteAnneeMois'!$K$2:$K$288,D44)</f>
        <v/>
      </c>
    </row>
    <row r="45">
      <c r="A45" s="5" t="n">
        <v>2025</v>
      </c>
      <c r="B45" s="6" t="inlineStr">
        <is>
          <t>2025-03</t>
        </is>
      </c>
      <c r="C45" s="2" t="inlineStr">
        <is>
          <t>Z</t>
        </is>
      </c>
      <c r="D45" s="2" t="inlineStr">
        <is>
          <t>CA NET</t>
        </is>
      </c>
      <c r="E45" s="6">
        <f>SUMIFS('Z1_CplteAnneeMois'!$M$2:$M$288,'Z1_CplteAnneeMois'!$O$2:$O$288,B45,'Z1_CplteAnneeMois'!$F$2:$F$288,C45,'Z1_CplteAnneeMois'!$K$2:$K$288,D45)</f>
        <v/>
      </c>
    </row>
    <row r="46">
      <c r="A46" s="5" t="n">
        <v>2025</v>
      </c>
      <c r="B46" s="6" t="inlineStr">
        <is>
          <t>2025-03</t>
        </is>
      </c>
      <c r="C46" s="2" t="inlineStr">
        <is>
          <t>Z</t>
        </is>
      </c>
      <c r="D46" s="2" t="inlineStr">
        <is>
          <t>CB.TIROIR</t>
        </is>
      </c>
      <c r="E46" s="6">
        <f>SUMIFS('Z1_CplteAnneeMois'!$M$2:$M$288,'Z1_CplteAnneeMois'!$O$2:$O$288,B46,'Z1_CplteAnneeMois'!$F$2:$F$288,C46,'Z1_CplteAnneeMois'!$K$2:$K$288,D46)</f>
        <v/>
      </c>
    </row>
    <row r="47">
      <c r="A47" s="5" t="n">
        <v>2025</v>
      </c>
      <c r="B47" s="6" t="inlineStr">
        <is>
          <t>2025-03</t>
        </is>
      </c>
      <c r="C47" s="2" t="inlineStr">
        <is>
          <t>Z</t>
        </is>
      </c>
      <c r="D47" s="2" t="inlineStr">
        <is>
          <t>CHQ.TIROIR</t>
        </is>
      </c>
      <c r="E47" s="6">
        <f>SUMIFS('Z1_CplteAnneeMois'!$M$2:$M$288,'Z1_CplteAnneeMois'!$O$2:$O$288,B47,'Z1_CplteAnneeMois'!$F$2:$F$288,C47,'Z1_CplteAnneeMois'!$K$2:$K$288,D47)</f>
        <v/>
      </c>
    </row>
    <row r="48">
      <c r="A48" s="5" t="n">
        <v>2025</v>
      </c>
      <c r="B48" s="6" t="inlineStr">
        <is>
          <t>2025-03</t>
        </is>
      </c>
      <c r="C48" s="2" t="inlineStr">
        <is>
          <t>Z</t>
        </is>
      </c>
      <c r="D48" s="2" t="inlineStr">
        <is>
          <t>ESP.TIROIR</t>
        </is>
      </c>
      <c r="E48" s="6">
        <f>SUMIFS('Z1_CplteAnneeMois'!$M$2:$M$288,'Z1_CplteAnneeMois'!$O$2:$O$288,B48,'Z1_CplteAnneeMois'!$F$2:$F$288,C48,'Z1_CplteAnneeMois'!$K$2:$K$288,D48)</f>
        <v/>
      </c>
    </row>
    <row r="49">
      <c r="A49" s="5" t="n">
        <v>2025</v>
      </c>
      <c r="B49" s="6" t="inlineStr">
        <is>
          <t>2025-03</t>
        </is>
      </c>
      <c r="C49" s="2" t="inlineStr">
        <is>
          <t>Z</t>
        </is>
      </c>
      <c r="D49" s="2" t="inlineStr">
        <is>
          <t>HORS TAXE 1</t>
        </is>
      </c>
      <c r="E49" s="6">
        <f>SUMIFS('Z1_CplteAnneeMois'!$M$2:$M$288,'Z1_CplteAnneeMois'!$O$2:$O$288,B49,'Z1_CplteAnneeMois'!$F$2:$F$288,C49,'Z1_CplteAnneeMois'!$K$2:$K$288,D49)</f>
        <v/>
      </c>
    </row>
    <row r="50">
      <c r="A50" s="5" t="n">
        <v>2025</v>
      </c>
      <c r="B50" s="6" t="inlineStr">
        <is>
          <t>2025-03</t>
        </is>
      </c>
      <c r="C50" s="2" t="inlineStr">
        <is>
          <t>Z</t>
        </is>
      </c>
      <c r="D50" s="2" t="inlineStr">
        <is>
          <t>TVA 1</t>
        </is>
      </c>
      <c r="E50" s="6">
        <f>SUMIFS('Z1_CplteAnneeMois'!$M$2:$M$288,'Z1_CplteAnneeMois'!$O$2:$O$288,B50,'Z1_CplteAnneeMois'!$F$2:$F$288,C50,'Z1_CplteAnneeMois'!$K$2:$K$288,D50)</f>
        <v/>
      </c>
    </row>
    <row r="51">
      <c r="A51" s="5" t="n">
        <v>2025</v>
      </c>
      <c r="B51" s="6" t="inlineStr">
        <is>
          <t>2025-03</t>
        </is>
      </c>
      <c r="C51" s="2" t="inlineStr">
        <is>
          <t>ZZ1</t>
        </is>
      </c>
      <c r="D51" s="2" t="inlineStr">
        <is>
          <t>CA BRUT</t>
        </is>
      </c>
      <c r="E51" s="6">
        <f>SUMIFS('Z1_CplteAnneeMois'!$M$2:$M$288,'Z1_CplteAnneeMois'!$O$2:$O$288,B51,'Z1_CplteAnneeMois'!$F$2:$F$288,C51,'Z1_CplteAnneeMois'!$K$2:$K$288,D51)</f>
        <v/>
      </c>
    </row>
    <row r="52">
      <c r="A52" s="5" t="n">
        <v>2025</v>
      </c>
      <c r="B52" s="6" t="inlineStr">
        <is>
          <t>2025-03</t>
        </is>
      </c>
      <c r="C52" s="2" t="inlineStr">
        <is>
          <t>ZZ1</t>
        </is>
      </c>
      <c r="D52" s="2" t="inlineStr">
        <is>
          <t>CA NET</t>
        </is>
      </c>
      <c r="E52" s="6">
        <f>SUMIFS('Z1_CplteAnneeMois'!$M$2:$M$288,'Z1_CplteAnneeMois'!$O$2:$O$288,B52,'Z1_CplteAnneeMois'!$F$2:$F$288,C52,'Z1_CplteAnneeMois'!$K$2:$K$288,D52)</f>
        <v/>
      </c>
    </row>
    <row r="53">
      <c r="A53" s="5" t="n">
        <v>2025</v>
      </c>
      <c r="B53" s="6" t="inlineStr">
        <is>
          <t>2025-03</t>
        </is>
      </c>
      <c r="C53" s="2" t="inlineStr">
        <is>
          <t>ZZ1</t>
        </is>
      </c>
      <c r="D53" s="2" t="inlineStr">
        <is>
          <t>CB.TIROIR</t>
        </is>
      </c>
      <c r="E53" s="6">
        <f>SUMIFS('Z1_CplteAnneeMois'!$M$2:$M$288,'Z1_CplteAnneeMois'!$O$2:$O$288,B53,'Z1_CplteAnneeMois'!$F$2:$F$288,C53,'Z1_CplteAnneeMois'!$K$2:$K$288,D53)</f>
        <v/>
      </c>
    </row>
    <row r="54">
      <c r="A54" s="5" t="n">
        <v>2025</v>
      </c>
      <c r="B54" s="6" t="inlineStr">
        <is>
          <t>2025-03</t>
        </is>
      </c>
      <c r="C54" s="2" t="inlineStr">
        <is>
          <t>ZZ1</t>
        </is>
      </c>
      <c r="D54" s="2" t="inlineStr">
        <is>
          <t>CHQ.TIROIR</t>
        </is>
      </c>
      <c r="E54" s="6">
        <f>SUMIFS('Z1_CplteAnneeMois'!$M$2:$M$288,'Z1_CplteAnneeMois'!$O$2:$O$288,B54,'Z1_CplteAnneeMois'!$F$2:$F$288,C54,'Z1_CplteAnneeMois'!$K$2:$K$288,D54)</f>
        <v/>
      </c>
    </row>
    <row r="55">
      <c r="A55" s="5" t="n">
        <v>2025</v>
      </c>
      <c r="B55" s="6" t="inlineStr">
        <is>
          <t>2025-03</t>
        </is>
      </c>
      <c r="C55" s="2" t="inlineStr">
        <is>
          <t>ZZ1</t>
        </is>
      </c>
      <c r="D55" s="2" t="inlineStr">
        <is>
          <t>ESP.TIROIR</t>
        </is>
      </c>
      <c r="E55" s="6">
        <f>SUMIFS('Z1_CplteAnneeMois'!$M$2:$M$288,'Z1_CplteAnneeMois'!$O$2:$O$288,B55,'Z1_CplteAnneeMois'!$F$2:$F$288,C55,'Z1_CplteAnneeMois'!$K$2:$K$288,D55)</f>
        <v/>
      </c>
    </row>
    <row r="56">
      <c r="A56" s="5" t="n">
        <v>2025</v>
      </c>
      <c r="B56" s="6" t="inlineStr">
        <is>
          <t>2025-03</t>
        </is>
      </c>
      <c r="C56" s="2" t="inlineStr">
        <is>
          <t>ZZ1</t>
        </is>
      </c>
      <c r="D56" s="2" t="inlineStr">
        <is>
          <t>HORS TAXE 1</t>
        </is>
      </c>
      <c r="E56" s="6">
        <f>SUMIFS('Z1_CplteAnneeMois'!$M$2:$M$288,'Z1_CplteAnneeMois'!$O$2:$O$288,B56,'Z1_CplteAnneeMois'!$F$2:$F$288,C56,'Z1_CplteAnneeMois'!$K$2:$K$288,D56)</f>
        <v/>
      </c>
    </row>
    <row r="57">
      <c r="A57" s="5" t="n">
        <v>2025</v>
      </c>
      <c r="B57" s="6" t="inlineStr">
        <is>
          <t>2025-03</t>
        </is>
      </c>
      <c r="C57" s="2" t="inlineStr">
        <is>
          <t>ZZ1</t>
        </is>
      </c>
      <c r="D57" s="2" t="inlineStr">
        <is>
          <t>TVA 1</t>
        </is>
      </c>
      <c r="E57" s="6">
        <f>SUMIFS('Z1_CplteAnneeMois'!$M$2:$M$288,'Z1_CplteAnneeMois'!$O$2:$O$288,B57,'Z1_CplteAnneeMois'!$F$2:$F$288,C57,'Z1_CplteAnneeMois'!$K$2:$K$288,D57)</f>
        <v/>
      </c>
    </row>
    <row r="58">
      <c r="A58" s="5" t="n">
        <v>2025</v>
      </c>
      <c r="B58" s="6" t="inlineStr">
        <is>
          <t>2025-03</t>
        </is>
      </c>
      <c r="C58" s="2" t="inlineStr">
        <is>
          <t>ZZ2</t>
        </is>
      </c>
      <c r="D58" s="2" t="inlineStr">
        <is>
          <t>CA BRUT</t>
        </is>
      </c>
      <c r="E58" s="6">
        <f>SUMIFS('Z1_CplteAnneeMois'!$M$2:$M$288,'Z1_CplteAnneeMois'!$O$2:$O$288,B58,'Z1_CplteAnneeMois'!$F$2:$F$288,C58,'Z1_CplteAnneeMois'!$K$2:$K$288,D58)</f>
        <v/>
      </c>
    </row>
    <row r="59">
      <c r="A59" s="5" t="n">
        <v>2025</v>
      </c>
      <c r="B59" s="6" t="inlineStr">
        <is>
          <t>2025-03</t>
        </is>
      </c>
      <c r="C59" s="2" t="inlineStr">
        <is>
          <t>ZZ2</t>
        </is>
      </c>
      <c r="D59" s="2" t="inlineStr">
        <is>
          <t>CA NET</t>
        </is>
      </c>
      <c r="E59" s="6">
        <f>SUMIFS('Z1_CplteAnneeMois'!$M$2:$M$288,'Z1_CplteAnneeMois'!$O$2:$O$288,B59,'Z1_CplteAnneeMois'!$F$2:$F$288,C59,'Z1_CplteAnneeMois'!$K$2:$K$288,D59)</f>
        <v/>
      </c>
    </row>
    <row r="60">
      <c r="A60" s="5" t="n">
        <v>2025</v>
      </c>
      <c r="B60" s="6" t="inlineStr">
        <is>
          <t>2025-03</t>
        </is>
      </c>
      <c r="C60" s="2" t="inlineStr">
        <is>
          <t>ZZ2</t>
        </is>
      </c>
      <c r="D60" s="2" t="inlineStr">
        <is>
          <t>CB.TIROIR</t>
        </is>
      </c>
      <c r="E60" s="6">
        <f>SUMIFS('Z1_CplteAnneeMois'!$M$2:$M$288,'Z1_CplteAnneeMois'!$O$2:$O$288,B60,'Z1_CplteAnneeMois'!$F$2:$F$288,C60,'Z1_CplteAnneeMois'!$K$2:$K$288,D60)</f>
        <v/>
      </c>
    </row>
    <row r="61">
      <c r="A61" s="5" t="n">
        <v>2025</v>
      </c>
      <c r="B61" s="6" t="inlineStr">
        <is>
          <t>2025-03</t>
        </is>
      </c>
      <c r="C61" s="2" t="inlineStr">
        <is>
          <t>ZZ2</t>
        </is>
      </c>
      <c r="D61" s="2" t="inlineStr">
        <is>
          <t>CHQ.TIROIR</t>
        </is>
      </c>
      <c r="E61" s="6">
        <f>SUMIFS('Z1_CplteAnneeMois'!$M$2:$M$288,'Z1_CplteAnneeMois'!$O$2:$O$288,B61,'Z1_CplteAnneeMois'!$F$2:$F$288,C61,'Z1_CplteAnneeMois'!$K$2:$K$288,D61)</f>
        <v/>
      </c>
    </row>
    <row r="62">
      <c r="A62" s="5" t="n">
        <v>2025</v>
      </c>
      <c r="B62" s="6" t="inlineStr">
        <is>
          <t>2025-03</t>
        </is>
      </c>
      <c r="C62" s="2" t="inlineStr">
        <is>
          <t>ZZ2</t>
        </is>
      </c>
      <c r="D62" s="2" t="inlineStr">
        <is>
          <t>ESP.TIROIR</t>
        </is>
      </c>
      <c r="E62" s="6">
        <f>SUMIFS('Z1_CplteAnneeMois'!$M$2:$M$288,'Z1_CplteAnneeMois'!$O$2:$O$288,B62,'Z1_CplteAnneeMois'!$F$2:$F$288,C62,'Z1_CplteAnneeMois'!$K$2:$K$288,D62)</f>
        <v/>
      </c>
    </row>
    <row r="63">
      <c r="A63" s="5" t="n">
        <v>2025</v>
      </c>
      <c r="B63" s="6" t="inlineStr">
        <is>
          <t>2025-03</t>
        </is>
      </c>
      <c r="C63" s="2" t="inlineStr">
        <is>
          <t>ZZ2</t>
        </is>
      </c>
      <c r="D63" s="2" t="inlineStr">
        <is>
          <t>HORS TAXE 1</t>
        </is>
      </c>
      <c r="E63" s="6">
        <f>SUMIFS('Z1_CplteAnneeMois'!$M$2:$M$288,'Z1_CplteAnneeMois'!$O$2:$O$288,B63,'Z1_CplteAnneeMois'!$F$2:$F$288,C63,'Z1_CplteAnneeMois'!$K$2:$K$288,D63)</f>
        <v/>
      </c>
    </row>
    <row r="64">
      <c r="A64" s="5" t="n">
        <v>2025</v>
      </c>
      <c r="B64" s="6" t="inlineStr">
        <is>
          <t>2025-03</t>
        </is>
      </c>
      <c r="C64" s="2" t="inlineStr">
        <is>
          <t>ZZ2</t>
        </is>
      </c>
      <c r="D64" s="2" t="inlineStr">
        <is>
          <t>TVA 1</t>
        </is>
      </c>
      <c r="E64" s="6">
        <f>SUMIFS('Z1_CplteAnneeMois'!$M$2:$M$288,'Z1_CplteAnneeMois'!$O$2:$O$288,B64,'Z1_CplteAnneeMois'!$F$2:$F$288,C64,'Z1_CplteAnneeMois'!$K$2:$K$288,D64)</f>
        <v/>
      </c>
    </row>
    <row r="65">
      <c r="A65" s="5" t="n">
        <v>2025</v>
      </c>
      <c r="B65" s="6" t="inlineStr">
        <is>
          <t>2025-04</t>
        </is>
      </c>
      <c r="C65" s="2" t="inlineStr">
        <is>
          <t>Z</t>
        </is>
      </c>
      <c r="D65" s="2" t="inlineStr">
        <is>
          <t>CA BRUT</t>
        </is>
      </c>
      <c r="E65" s="6">
        <f>SUMIFS('Z1_CplteAnneeMois'!$M$2:$M$288,'Z1_CplteAnneeMois'!$O$2:$O$288,B65,'Z1_CplteAnneeMois'!$F$2:$F$288,C65,'Z1_CplteAnneeMois'!$K$2:$K$288,D65)</f>
        <v/>
      </c>
    </row>
    <row r="66">
      <c r="A66" s="5" t="n">
        <v>2025</v>
      </c>
      <c r="B66" s="6" t="inlineStr">
        <is>
          <t>2025-04</t>
        </is>
      </c>
      <c r="C66" s="2" t="inlineStr">
        <is>
          <t>Z</t>
        </is>
      </c>
      <c r="D66" s="2" t="inlineStr">
        <is>
          <t>CA NET</t>
        </is>
      </c>
      <c r="E66" s="6">
        <f>SUMIFS('Z1_CplteAnneeMois'!$M$2:$M$288,'Z1_CplteAnneeMois'!$O$2:$O$288,B66,'Z1_CplteAnneeMois'!$F$2:$F$288,C66,'Z1_CplteAnneeMois'!$K$2:$K$288,D66)</f>
        <v/>
      </c>
    </row>
    <row r="67">
      <c r="A67" s="5" t="n">
        <v>2025</v>
      </c>
      <c r="B67" s="6" t="inlineStr">
        <is>
          <t>2025-04</t>
        </is>
      </c>
      <c r="C67" s="2" t="inlineStr">
        <is>
          <t>Z</t>
        </is>
      </c>
      <c r="D67" s="2" t="inlineStr">
        <is>
          <t>CB.TIROIR</t>
        </is>
      </c>
      <c r="E67" s="6">
        <f>SUMIFS('Z1_CplteAnneeMois'!$M$2:$M$288,'Z1_CplteAnneeMois'!$O$2:$O$288,B67,'Z1_CplteAnneeMois'!$F$2:$F$288,C67,'Z1_CplteAnneeMois'!$K$2:$K$288,D67)</f>
        <v/>
      </c>
    </row>
    <row r="68">
      <c r="A68" s="5" t="n">
        <v>2025</v>
      </c>
      <c r="B68" s="6" t="inlineStr">
        <is>
          <t>2025-04</t>
        </is>
      </c>
      <c r="C68" s="2" t="inlineStr">
        <is>
          <t>Z</t>
        </is>
      </c>
      <c r="D68" s="2" t="inlineStr">
        <is>
          <t>CHQ.TIROIR</t>
        </is>
      </c>
      <c r="E68" s="6">
        <f>SUMIFS('Z1_CplteAnneeMois'!$M$2:$M$288,'Z1_CplteAnneeMois'!$O$2:$O$288,B68,'Z1_CplteAnneeMois'!$F$2:$F$288,C68,'Z1_CplteAnneeMois'!$K$2:$K$288,D68)</f>
        <v/>
      </c>
    </row>
    <row r="69">
      <c r="A69" s="5" t="n">
        <v>2025</v>
      </c>
      <c r="B69" s="6" t="inlineStr">
        <is>
          <t>2025-04</t>
        </is>
      </c>
      <c r="C69" s="2" t="inlineStr">
        <is>
          <t>Z</t>
        </is>
      </c>
      <c r="D69" s="2" t="inlineStr">
        <is>
          <t>ESP.TIROIR</t>
        </is>
      </c>
      <c r="E69" s="6">
        <f>SUMIFS('Z1_CplteAnneeMois'!$M$2:$M$288,'Z1_CplteAnneeMois'!$O$2:$O$288,B69,'Z1_CplteAnneeMois'!$F$2:$F$288,C69,'Z1_CplteAnneeMois'!$K$2:$K$288,D69)</f>
        <v/>
      </c>
    </row>
    <row r="70">
      <c r="A70" s="5" t="n">
        <v>2025</v>
      </c>
      <c r="B70" s="6" t="inlineStr">
        <is>
          <t>2025-04</t>
        </is>
      </c>
      <c r="C70" s="2" t="inlineStr">
        <is>
          <t>Z</t>
        </is>
      </c>
      <c r="D70" s="2" t="inlineStr">
        <is>
          <t>HORS TAXE 1</t>
        </is>
      </c>
      <c r="E70" s="6">
        <f>SUMIFS('Z1_CplteAnneeMois'!$M$2:$M$288,'Z1_CplteAnneeMois'!$O$2:$O$288,B70,'Z1_CplteAnneeMois'!$F$2:$F$288,C70,'Z1_CplteAnneeMois'!$K$2:$K$288,D70)</f>
        <v/>
      </c>
    </row>
    <row r="71">
      <c r="A71" s="5" t="n">
        <v>2025</v>
      </c>
      <c r="B71" s="6" t="inlineStr">
        <is>
          <t>2025-04</t>
        </is>
      </c>
      <c r="C71" s="2" t="inlineStr">
        <is>
          <t>Z</t>
        </is>
      </c>
      <c r="D71" s="2" t="inlineStr">
        <is>
          <t>TVA 1</t>
        </is>
      </c>
      <c r="E71" s="6">
        <f>SUMIFS('Z1_CplteAnneeMois'!$M$2:$M$288,'Z1_CplteAnneeMois'!$O$2:$O$288,B71,'Z1_CplteAnneeMois'!$F$2:$F$288,C71,'Z1_CplteAnneeMois'!$K$2:$K$288,D71)</f>
        <v/>
      </c>
    </row>
    <row r="72">
      <c r="A72" s="5" t="n">
        <v>2025</v>
      </c>
      <c r="B72" s="6" t="inlineStr">
        <is>
          <t>2025-04</t>
        </is>
      </c>
      <c r="C72" s="2" t="inlineStr">
        <is>
          <t>ZZ1</t>
        </is>
      </c>
      <c r="D72" s="2" t="inlineStr">
        <is>
          <t>CA BRUT</t>
        </is>
      </c>
      <c r="E72" s="6">
        <f>SUMIFS('Z1_CplteAnneeMois'!$M$2:$M$288,'Z1_CplteAnneeMois'!$O$2:$O$288,B72,'Z1_CplteAnneeMois'!$F$2:$F$288,C72,'Z1_CplteAnneeMois'!$K$2:$K$288,D72)</f>
        <v/>
      </c>
    </row>
    <row r="73">
      <c r="A73" s="5" t="n">
        <v>2025</v>
      </c>
      <c r="B73" s="6" t="inlineStr">
        <is>
          <t>2025-04</t>
        </is>
      </c>
      <c r="C73" s="2" t="inlineStr">
        <is>
          <t>ZZ1</t>
        </is>
      </c>
      <c r="D73" s="2" t="inlineStr">
        <is>
          <t>CA NET</t>
        </is>
      </c>
      <c r="E73" s="6">
        <f>SUMIFS('Z1_CplteAnneeMois'!$M$2:$M$288,'Z1_CplteAnneeMois'!$O$2:$O$288,B73,'Z1_CplteAnneeMois'!$F$2:$F$288,C73,'Z1_CplteAnneeMois'!$K$2:$K$288,D73)</f>
        <v/>
      </c>
    </row>
    <row r="74">
      <c r="A74" s="5" t="n">
        <v>2025</v>
      </c>
      <c r="B74" s="6" t="inlineStr">
        <is>
          <t>2025-04</t>
        </is>
      </c>
      <c r="C74" s="2" t="inlineStr">
        <is>
          <t>ZZ1</t>
        </is>
      </c>
      <c r="D74" s="2" t="inlineStr">
        <is>
          <t>CB.TIROIR</t>
        </is>
      </c>
      <c r="E74" s="6">
        <f>SUMIFS('Z1_CplteAnneeMois'!$M$2:$M$288,'Z1_CplteAnneeMois'!$O$2:$O$288,B74,'Z1_CplteAnneeMois'!$F$2:$F$288,C74,'Z1_CplteAnneeMois'!$K$2:$K$288,D74)</f>
        <v/>
      </c>
    </row>
    <row r="75">
      <c r="A75" s="5" t="n">
        <v>2025</v>
      </c>
      <c r="B75" s="6" t="inlineStr">
        <is>
          <t>2025-04</t>
        </is>
      </c>
      <c r="C75" s="2" t="inlineStr">
        <is>
          <t>ZZ1</t>
        </is>
      </c>
      <c r="D75" s="2" t="inlineStr">
        <is>
          <t>CHQ.TIROIR</t>
        </is>
      </c>
      <c r="E75" s="6">
        <f>SUMIFS('Z1_CplteAnneeMois'!$M$2:$M$288,'Z1_CplteAnneeMois'!$O$2:$O$288,B75,'Z1_CplteAnneeMois'!$F$2:$F$288,C75,'Z1_CplteAnneeMois'!$K$2:$K$288,D75)</f>
        <v/>
      </c>
    </row>
    <row r="76">
      <c r="A76" s="5" t="n">
        <v>2025</v>
      </c>
      <c r="B76" s="6" t="inlineStr">
        <is>
          <t>2025-04</t>
        </is>
      </c>
      <c r="C76" s="2" t="inlineStr">
        <is>
          <t>ZZ1</t>
        </is>
      </c>
      <c r="D76" s="2" t="inlineStr">
        <is>
          <t>ESP.TIROIR</t>
        </is>
      </c>
      <c r="E76" s="6">
        <f>SUMIFS('Z1_CplteAnneeMois'!$M$2:$M$288,'Z1_CplteAnneeMois'!$O$2:$O$288,B76,'Z1_CplteAnneeMois'!$F$2:$F$288,C76,'Z1_CplteAnneeMois'!$K$2:$K$288,D76)</f>
        <v/>
      </c>
    </row>
    <row r="77">
      <c r="A77" s="5" t="n">
        <v>2025</v>
      </c>
      <c r="B77" s="6" t="inlineStr">
        <is>
          <t>2025-04</t>
        </is>
      </c>
      <c r="C77" s="2" t="inlineStr">
        <is>
          <t>ZZ1</t>
        </is>
      </c>
      <c r="D77" s="2" t="inlineStr">
        <is>
          <t>HORS TAXE 1</t>
        </is>
      </c>
      <c r="E77" s="6">
        <f>SUMIFS('Z1_CplteAnneeMois'!$M$2:$M$288,'Z1_CplteAnneeMois'!$O$2:$O$288,B77,'Z1_CplteAnneeMois'!$F$2:$F$288,C77,'Z1_CplteAnneeMois'!$K$2:$K$288,D77)</f>
        <v/>
      </c>
    </row>
    <row r="78">
      <c r="A78" s="5" t="n">
        <v>2025</v>
      </c>
      <c r="B78" s="6" t="inlineStr">
        <is>
          <t>2025-04</t>
        </is>
      </c>
      <c r="C78" s="2" t="inlineStr">
        <is>
          <t>ZZ1</t>
        </is>
      </c>
      <c r="D78" s="2" t="inlineStr">
        <is>
          <t>TVA 1</t>
        </is>
      </c>
      <c r="E78" s="6">
        <f>SUMIFS('Z1_CplteAnneeMois'!$M$2:$M$288,'Z1_CplteAnneeMois'!$O$2:$O$288,B78,'Z1_CplteAnneeMois'!$F$2:$F$288,C78,'Z1_CplteAnneeMois'!$K$2:$K$288,D78)</f>
        <v/>
      </c>
    </row>
    <row r="79">
      <c r="A79" s="5" t="n">
        <v>2025</v>
      </c>
      <c r="B79" s="6" t="inlineStr">
        <is>
          <t>2025-04</t>
        </is>
      </c>
      <c r="C79" s="2" t="inlineStr">
        <is>
          <t>ZZ2</t>
        </is>
      </c>
      <c r="D79" s="2" t="inlineStr">
        <is>
          <t>CA BRUT</t>
        </is>
      </c>
      <c r="E79" s="6">
        <f>SUMIFS('Z1_CplteAnneeMois'!$M$2:$M$288,'Z1_CplteAnneeMois'!$O$2:$O$288,B79,'Z1_CplteAnneeMois'!$F$2:$F$288,C79,'Z1_CplteAnneeMois'!$K$2:$K$288,D79)</f>
        <v/>
      </c>
    </row>
    <row r="80">
      <c r="A80" s="5" t="n">
        <v>2025</v>
      </c>
      <c r="B80" s="6" t="inlineStr">
        <is>
          <t>2025-04</t>
        </is>
      </c>
      <c r="C80" s="2" t="inlineStr">
        <is>
          <t>ZZ2</t>
        </is>
      </c>
      <c r="D80" s="2" t="inlineStr">
        <is>
          <t>CA NET</t>
        </is>
      </c>
      <c r="E80" s="6">
        <f>SUMIFS('Z1_CplteAnneeMois'!$M$2:$M$288,'Z1_CplteAnneeMois'!$O$2:$O$288,B80,'Z1_CplteAnneeMois'!$F$2:$F$288,C80,'Z1_CplteAnneeMois'!$K$2:$K$288,D80)</f>
        <v/>
      </c>
    </row>
    <row r="81">
      <c r="A81" s="5" t="n">
        <v>2025</v>
      </c>
      <c r="B81" s="6" t="inlineStr">
        <is>
          <t>2025-04</t>
        </is>
      </c>
      <c r="C81" s="2" t="inlineStr">
        <is>
          <t>ZZ2</t>
        </is>
      </c>
      <c r="D81" s="2" t="inlineStr">
        <is>
          <t>CB.TIROIR</t>
        </is>
      </c>
      <c r="E81" s="6">
        <f>SUMIFS('Z1_CplteAnneeMois'!$M$2:$M$288,'Z1_CplteAnneeMois'!$O$2:$O$288,B81,'Z1_CplteAnneeMois'!$F$2:$F$288,C81,'Z1_CplteAnneeMois'!$K$2:$K$288,D81)</f>
        <v/>
      </c>
    </row>
    <row r="82">
      <c r="A82" s="5" t="n">
        <v>2025</v>
      </c>
      <c r="B82" s="6" t="inlineStr">
        <is>
          <t>2025-04</t>
        </is>
      </c>
      <c r="C82" s="2" t="inlineStr">
        <is>
          <t>ZZ2</t>
        </is>
      </c>
      <c r="D82" s="2" t="inlineStr">
        <is>
          <t>CHQ.TIROIR</t>
        </is>
      </c>
      <c r="E82" s="6">
        <f>SUMIFS('Z1_CplteAnneeMois'!$M$2:$M$288,'Z1_CplteAnneeMois'!$O$2:$O$288,B82,'Z1_CplteAnneeMois'!$F$2:$F$288,C82,'Z1_CplteAnneeMois'!$K$2:$K$288,D82)</f>
        <v/>
      </c>
    </row>
    <row r="83">
      <c r="A83" s="5" t="n">
        <v>2025</v>
      </c>
      <c r="B83" s="6" t="inlineStr">
        <is>
          <t>2025-04</t>
        </is>
      </c>
      <c r="C83" s="2" t="inlineStr">
        <is>
          <t>ZZ2</t>
        </is>
      </c>
      <c r="D83" s="2" t="inlineStr">
        <is>
          <t>ESP.TIROIR</t>
        </is>
      </c>
      <c r="E83" s="6">
        <f>SUMIFS('Z1_CplteAnneeMois'!$M$2:$M$288,'Z1_CplteAnneeMois'!$O$2:$O$288,B83,'Z1_CplteAnneeMois'!$F$2:$F$288,C83,'Z1_CplteAnneeMois'!$K$2:$K$288,D83)</f>
        <v/>
      </c>
    </row>
    <row r="84">
      <c r="A84" s="5" t="n">
        <v>2025</v>
      </c>
      <c r="B84" s="6" t="inlineStr">
        <is>
          <t>2025-04</t>
        </is>
      </c>
      <c r="C84" s="2" t="inlineStr">
        <is>
          <t>ZZ2</t>
        </is>
      </c>
      <c r="D84" s="2" t="inlineStr">
        <is>
          <t>HORS TAXE 1</t>
        </is>
      </c>
      <c r="E84" s="6">
        <f>SUMIFS('Z1_CplteAnneeMois'!$M$2:$M$288,'Z1_CplteAnneeMois'!$O$2:$O$288,B84,'Z1_CplteAnneeMois'!$F$2:$F$288,C84,'Z1_CplteAnneeMois'!$K$2:$K$288,D84)</f>
        <v/>
      </c>
    </row>
    <row r="85">
      <c r="A85" s="5" t="n">
        <v>2025</v>
      </c>
      <c r="B85" s="6" t="inlineStr">
        <is>
          <t>2025-04</t>
        </is>
      </c>
      <c r="C85" s="2" t="inlineStr">
        <is>
          <t>ZZ2</t>
        </is>
      </c>
      <c r="D85" s="2" t="inlineStr">
        <is>
          <t>TVA 1</t>
        </is>
      </c>
      <c r="E85" s="6">
        <f>SUMIFS('Z1_CplteAnneeMois'!$M$2:$M$288,'Z1_CplteAnneeMois'!$O$2:$O$288,B85,'Z1_CplteAnneeMois'!$F$2:$F$288,C85,'Z1_CplteAnneeMois'!$K$2:$K$288,D85)</f>
        <v/>
      </c>
    </row>
    <row r="86">
      <c r="A86" s="5" t="n">
        <v>2025</v>
      </c>
      <c r="B86" s="6" t="inlineStr">
        <is>
          <t>2025-05</t>
        </is>
      </c>
      <c r="C86" s="2" t="inlineStr">
        <is>
          <t>Z</t>
        </is>
      </c>
      <c r="D86" s="2" t="inlineStr">
        <is>
          <t>CA BRUT</t>
        </is>
      </c>
      <c r="E86" s="6">
        <f>SUMIFS('Z1_CplteAnneeMois'!$M$2:$M$288,'Z1_CplteAnneeMois'!$O$2:$O$288,B86,'Z1_CplteAnneeMois'!$F$2:$F$288,C86,'Z1_CplteAnneeMois'!$K$2:$K$288,D86)</f>
        <v/>
      </c>
    </row>
    <row r="87">
      <c r="A87" s="5" t="n">
        <v>2025</v>
      </c>
      <c r="B87" s="6" t="inlineStr">
        <is>
          <t>2025-05</t>
        </is>
      </c>
      <c r="C87" s="2" t="inlineStr">
        <is>
          <t>Z</t>
        </is>
      </c>
      <c r="D87" s="2" t="inlineStr">
        <is>
          <t>CA NET</t>
        </is>
      </c>
      <c r="E87" s="6">
        <f>SUMIFS('Z1_CplteAnneeMois'!$M$2:$M$288,'Z1_CplteAnneeMois'!$O$2:$O$288,B87,'Z1_CplteAnneeMois'!$F$2:$F$288,C87,'Z1_CplteAnneeMois'!$K$2:$K$288,D87)</f>
        <v/>
      </c>
    </row>
    <row r="88">
      <c r="A88" s="5" t="n">
        <v>2025</v>
      </c>
      <c r="B88" s="6" t="inlineStr">
        <is>
          <t>2025-05</t>
        </is>
      </c>
      <c r="C88" s="2" t="inlineStr">
        <is>
          <t>Z</t>
        </is>
      </c>
      <c r="D88" s="2" t="inlineStr">
        <is>
          <t>CB.TIROIR</t>
        </is>
      </c>
      <c r="E88" s="6">
        <f>SUMIFS('Z1_CplteAnneeMois'!$M$2:$M$288,'Z1_CplteAnneeMois'!$O$2:$O$288,B88,'Z1_CplteAnneeMois'!$F$2:$F$288,C88,'Z1_CplteAnneeMois'!$K$2:$K$288,D88)</f>
        <v/>
      </c>
    </row>
    <row r="89">
      <c r="A89" s="5" t="n">
        <v>2025</v>
      </c>
      <c r="B89" s="6" t="inlineStr">
        <is>
          <t>2025-05</t>
        </is>
      </c>
      <c r="C89" s="2" t="inlineStr">
        <is>
          <t>Z</t>
        </is>
      </c>
      <c r="D89" s="2" t="inlineStr">
        <is>
          <t>CHQ.TIROIR</t>
        </is>
      </c>
      <c r="E89" s="6">
        <f>SUMIFS('Z1_CplteAnneeMois'!$M$2:$M$288,'Z1_CplteAnneeMois'!$O$2:$O$288,B89,'Z1_CplteAnneeMois'!$F$2:$F$288,C89,'Z1_CplteAnneeMois'!$K$2:$K$288,D89)</f>
        <v/>
      </c>
    </row>
    <row r="90">
      <c r="A90" s="5" t="n">
        <v>2025</v>
      </c>
      <c r="B90" s="6" t="inlineStr">
        <is>
          <t>2025-05</t>
        </is>
      </c>
      <c r="C90" s="2" t="inlineStr">
        <is>
          <t>Z</t>
        </is>
      </c>
      <c r="D90" s="2" t="inlineStr">
        <is>
          <t>ESP.TIROIR</t>
        </is>
      </c>
      <c r="E90" s="6">
        <f>SUMIFS('Z1_CplteAnneeMois'!$M$2:$M$288,'Z1_CplteAnneeMois'!$O$2:$O$288,B90,'Z1_CplteAnneeMois'!$F$2:$F$288,C90,'Z1_CplteAnneeMois'!$K$2:$K$288,D90)</f>
        <v/>
      </c>
    </row>
    <row r="91">
      <c r="A91" s="5" t="n">
        <v>2025</v>
      </c>
      <c r="B91" s="6" t="inlineStr">
        <is>
          <t>2025-05</t>
        </is>
      </c>
      <c r="C91" s="2" t="inlineStr">
        <is>
          <t>Z</t>
        </is>
      </c>
      <c r="D91" s="2" t="inlineStr">
        <is>
          <t>HORS TAXE 1</t>
        </is>
      </c>
      <c r="E91" s="6">
        <f>SUMIFS('Z1_CplteAnneeMois'!$M$2:$M$288,'Z1_CplteAnneeMois'!$O$2:$O$288,B91,'Z1_CplteAnneeMois'!$F$2:$F$288,C91,'Z1_CplteAnneeMois'!$K$2:$K$288,D91)</f>
        <v/>
      </c>
    </row>
    <row r="92">
      <c r="A92" s="5" t="n">
        <v>2025</v>
      </c>
      <c r="B92" s="6" t="inlineStr">
        <is>
          <t>2025-05</t>
        </is>
      </c>
      <c r="C92" s="2" t="inlineStr">
        <is>
          <t>Z</t>
        </is>
      </c>
      <c r="D92" s="2" t="inlineStr">
        <is>
          <t>TVA 1</t>
        </is>
      </c>
      <c r="E92" s="6">
        <f>SUMIFS('Z1_CplteAnneeMois'!$M$2:$M$288,'Z1_CplteAnneeMois'!$O$2:$O$288,B92,'Z1_CplteAnneeMois'!$F$2:$F$288,C92,'Z1_CplteAnneeMois'!$K$2:$K$288,D92)</f>
        <v/>
      </c>
    </row>
    <row r="93">
      <c r="A93" s="5" t="n">
        <v>2025</v>
      </c>
      <c r="B93" s="6" t="inlineStr">
        <is>
          <t>2025-05</t>
        </is>
      </c>
      <c r="C93" s="2" t="inlineStr">
        <is>
          <t>ZZ1</t>
        </is>
      </c>
      <c r="D93" s="2" t="inlineStr">
        <is>
          <t>CA BRUT</t>
        </is>
      </c>
      <c r="E93" s="6">
        <f>SUMIFS('Z1_CplteAnneeMois'!$M$2:$M$288,'Z1_CplteAnneeMois'!$O$2:$O$288,B93,'Z1_CplteAnneeMois'!$F$2:$F$288,C93,'Z1_CplteAnneeMois'!$K$2:$K$288,D93)</f>
        <v/>
      </c>
    </row>
    <row r="94">
      <c r="A94" s="5" t="n">
        <v>2025</v>
      </c>
      <c r="B94" s="6" t="inlineStr">
        <is>
          <t>2025-05</t>
        </is>
      </c>
      <c r="C94" s="2" t="inlineStr">
        <is>
          <t>ZZ1</t>
        </is>
      </c>
      <c r="D94" s="2" t="inlineStr">
        <is>
          <t>CA NET</t>
        </is>
      </c>
      <c r="E94" s="6">
        <f>SUMIFS('Z1_CplteAnneeMois'!$M$2:$M$288,'Z1_CplteAnneeMois'!$O$2:$O$288,B94,'Z1_CplteAnneeMois'!$F$2:$F$288,C94,'Z1_CplteAnneeMois'!$K$2:$K$288,D94)</f>
        <v/>
      </c>
    </row>
    <row r="95">
      <c r="A95" s="5" t="n">
        <v>2025</v>
      </c>
      <c r="B95" s="6" t="inlineStr">
        <is>
          <t>2025-05</t>
        </is>
      </c>
      <c r="C95" s="2" t="inlineStr">
        <is>
          <t>ZZ1</t>
        </is>
      </c>
      <c r="D95" s="2" t="inlineStr">
        <is>
          <t>CB.TIROIR</t>
        </is>
      </c>
      <c r="E95" s="6">
        <f>SUMIFS('Z1_CplteAnneeMois'!$M$2:$M$288,'Z1_CplteAnneeMois'!$O$2:$O$288,B95,'Z1_CplteAnneeMois'!$F$2:$F$288,C95,'Z1_CplteAnneeMois'!$K$2:$K$288,D95)</f>
        <v/>
      </c>
    </row>
    <row r="96">
      <c r="A96" s="5" t="n">
        <v>2025</v>
      </c>
      <c r="B96" s="6" t="inlineStr">
        <is>
          <t>2025-05</t>
        </is>
      </c>
      <c r="C96" s="2" t="inlineStr">
        <is>
          <t>ZZ1</t>
        </is>
      </c>
      <c r="D96" s="2" t="inlineStr">
        <is>
          <t>CHQ.TIROIR</t>
        </is>
      </c>
      <c r="E96" s="6">
        <f>SUMIFS('Z1_CplteAnneeMois'!$M$2:$M$288,'Z1_CplteAnneeMois'!$O$2:$O$288,B96,'Z1_CplteAnneeMois'!$F$2:$F$288,C96,'Z1_CplteAnneeMois'!$K$2:$K$288,D96)</f>
        <v/>
      </c>
    </row>
    <row r="97">
      <c r="A97" s="5" t="n">
        <v>2025</v>
      </c>
      <c r="B97" s="6" t="inlineStr">
        <is>
          <t>2025-05</t>
        </is>
      </c>
      <c r="C97" s="2" t="inlineStr">
        <is>
          <t>ZZ1</t>
        </is>
      </c>
      <c r="D97" s="2" t="inlineStr">
        <is>
          <t>ESP.TIROIR</t>
        </is>
      </c>
      <c r="E97" s="6">
        <f>SUMIFS('Z1_CplteAnneeMois'!$M$2:$M$288,'Z1_CplteAnneeMois'!$O$2:$O$288,B97,'Z1_CplteAnneeMois'!$F$2:$F$288,C97,'Z1_CplteAnneeMois'!$K$2:$K$288,D97)</f>
        <v/>
      </c>
    </row>
    <row r="98">
      <c r="A98" s="5" t="n">
        <v>2025</v>
      </c>
      <c r="B98" s="6" t="inlineStr">
        <is>
          <t>2025-05</t>
        </is>
      </c>
      <c r="C98" s="2" t="inlineStr">
        <is>
          <t>ZZ1</t>
        </is>
      </c>
      <c r="D98" s="2" t="inlineStr">
        <is>
          <t>HORS TAXE 1</t>
        </is>
      </c>
      <c r="E98" s="6">
        <f>SUMIFS('Z1_CplteAnneeMois'!$M$2:$M$288,'Z1_CplteAnneeMois'!$O$2:$O$288,B98,'Z1_CplteAnneeMois'!$F$2:$F$288,C98,'Z1_CplteAnneeMois'!$K$2:$K$288,D98)</f>
        <v/>
      </c>
    </row>
    <row r="99">
      <c r="A99" s="5" t="n">
        <v>2025</v>
      </c>
      <c r="B99" s="6" t="inlineStr">
        <is>
          <t>2025-05</t>
        </is>
      </c>
      <c r="C99" s="2" t="inlineStr">
        <is>
          <t>ZZ1</t>
        </is>
      </c>
      <c r="D99" s="2" t="inlineStr">
        <is>
          <t>TVA 1</t>
        </is>
      </c>
      <c r="E99" s="6">
        <f>SUMIFS('Z1_CplteAnneeMois'!$M$2:$M$288,'Z1_CplteAnneeMois'!$O$2:$O$288,B99,'Z1_CplteAnneeMois'!$F$2:$F$288,C99,'Z1_CplteAnneeMois'!$K$2:$K$288,D99)</f>
        <v/>
      </c>
    </row>
    <row r="100">
      <c r="A100" s="5" t="n">
        <v>2025</v>
      </c>
      <c r="B100" s="6" t="inlineStr">
        <is>
          <t>2025-05</t>
        </is>
      </c>
      <c r="C100" s="2" t="inlineStr">
        <is>
          <t>ZZ2</t>
        </is>
      </c>
      <c r="D100" s="2" t="inlineStr">
        <is>
          <t>CA BRUT</t>
        </is>
      </c>
      <c r="E100" s="6">
        <f>SUMIFS('Z1_CplteAnneeMois'!$M$2:$M$288,'Z1_CplteAnneeMois'!$O$2:$O$288,B100,'Z1_CplteAnneeMois'!$F$2:$F$288,C100,'Z1_CplteAnneeMois'!$K$2:$K$288,D100)</f>
        <v/>
      </c>
    </row>
    <row r="101">
      <c r="A101" s="5" t="n">
        <v>2025</v>
      </c>
      <c r="B101" s="6" t="inlineStr">
        <is>
          <t>2025-05</t>
        </is>
      </c>
      <c r="C101" s="2" t="inlineStr">
        <is>
          <t>ZZ2</t>
        </is>
      </c>
      <c r="D101" s="2" t="inlineStr">
        <is>
          <t>CA NET</t>
        </is>
      </c>
      <c r="E101" s="6">
        <f>SUMIFS('Z1_CplteAnneeMois'!$M$2:$M$288,'Z1_CplteAnneeMois'!$O$2:$O$288,B101,'Z1_CplteAnneeMois'!$F$2:$F$288,C101,'Z1_CplteAnneeMois'!$K$2:$K$288,D101)</f>
        <v/>
      </c>
    </row>
    <row r="102">
      <c r="A102" s="5" t="n">
        <v>2025</v>
      </c>
      <c r="B102" s="6" t="inlineStr">
        <is>
          <t>2025-05</t>
        </is>
      </c>
      <c r="C102" s="2" t="inlineStr">
        <is>
          <t>ZZ2</t>
        </is>
      </c>
      <c r="D102" s="2" t="inlineStr">
        <is>
          <t>CB.TIROIR</t>
        </is>
      </c>
      <c r="E102" s="6">
        <f>SUMIFS('Z1_CplteAnneeMois'!$M$2:$M$288,'Z1_CplteAnneeMois'!$O$2:$O$288,B102,'Z1_CplteAnneeMois'!$F$2:$F$288,C102,'Z1_CplteAnneeMois'!$K$2:$K$288,D102)</f>
        <v/>
      </c>
    </row>
    <row r="103">
      <c r="A103" s="5" t="n">
        <v>2025</v>
      </c>
      <c r="B103" s="6" t="inlineStr">
        <is>
          <t>2025-05</t>
        </is>
      </c>
      <c r="C103" s="2" t="inlineStr">
        <is>
          <t>ZZ2</t>
        </is>
      </c>
      <c r="D103" s="2" t="inlineStr">
        <is>
          <t>CHQ.TIROIR</t>
        </is>
      </c>
      <c r="E103" s="6">
        <f>SUMIFS('Z1_CplteAnneeMois'!$M$2:$M$288,'Z1_CplteAnneeMois'!$O$2:$O$288,B103,'Z1_CplteAnneeMois'!$F$2:$F$288,C103,'Z1_CplteAnneeMois'!$K$2:$K$288,D103)</f>
        <v/>
      </c>
    </row>
    <row r="104">
      <c r="A104" s="5" t="n">
        <v>2025</v>
      </c>
      <c r="B104" s="6" t="inlineStr">
        <is>
          <t>2025-05</t>
        </is>
      </c>
      <c r="C104" s="2" t="inlineStr">
        <is>
          <t>ZZ2</t>
        </is>
      </c>
      <c r="D104" s="2" t="inlineStr">
        <is>
          <t>ESP.TIROIR</t>
        </is>
      </c>
      <c r="E104" s="6">
        <f>SUMIFS('Z1_CplteAnneeMois'!$M$2:$M$288,'Z1_CplteAnneeMois'!$O$2:$O$288,B104,'Z1_CplteAnneeMois'!$F$2:$F$288,C104,'Z1_CplteAnneeMois'!$K$2:$K$288,D104)</f>
        <v/>
      </c>
    </row>
    <row r="105">
      <c r="A105" s="5" t="n">
        <v>2025</v>
      </c>
      <c r="B105" s="6" t="inlineStr">
        <is>
          <t>2025-05</t>
        </is>
      </c>
      <c r="C105" s="2" t="inlineStr">
        <is>
          <t>ZZ2</t>
        </is>
      </c>
      <c r="D105" s="2" t="inlineStr">
        <is>
          <t>HORS TAXE 1</t>
        </is>
      </c>
      <c r="E105" s="6">
        <f>SUMIFS('Z1_CplteAnneeMois'!$M$2:$M$288,'Z1_CplteAnneeMois'!$O$2:$O$288,B105,'Z1_CplteAnneeMois'!$F$2:$F$288,C105,'Z1_CplteAnneeMois'!$K$2:$K$288,D105)</f>
        <v/>
      </c>
    </row>
    <row r="106">
      <c r="A106" s="5" t="n">
        <v>2025</v>
      </c>
      <c r="B106" s="6" t="inlineStr">
        <is>
          <t>2025-05</t>
        </is>
      </c>
      <c r="C106" s="2" t="inlineStr">
        <is>
          <t>ZZ2</t>
        </is>
      </c>
      <c r="D106" s="2" t="inlineStr">
        <is>
          <t>TVA 1</t>
        </is>
      </c>
      <c r="E106" s="6">
        <f>SUMIFS('Z1_CplteAnneeMois'!$M$2:$M$288,'Z1_CplteAnneeMois'!$O$2:$O$288,B106,'Z1_CplteAnneeMois'!$F$2:$F$288,C106,'Z1_CplteAnneeMois'!$K$2:$K$288,D106)</f>
        <v/>
      </c>
    </row>
    <row r="107">
      <c r="A107" s="5" t="n">
        <v>2025</v>
      </c>
      <c r="B107" s="6" t="inlineStr">
        <is>
          <t>2025-06|2025-07</t>
        </is>
      </c>
      <c r="C107" s="2" t="inlineStr">
        <is>
          <t>Z</t>
        </is>
      </c>
      <c r="D107" s="2" t="inlineStr">
        <is>
          <t>CA BRUT</t>
        </is>
      </c>
      <c r="E107" s="6">
        <f>SUMIFS('Z1_CplteAnneeMois'!$M$2:$M$288,'Z1_CplteAnneeMois'!$O$2:$O$288,B107,'Z1_CplteAnneeMois'!$F$2:$F$288,C107,'Z1_CplteAnneeMois'!$K$2:$K$288,D107)</f>
        <v/>
      </c>
    </row>
    <row r="108">
      <c r="A108" s="5" t="n">
        <v>2025</v>
      </c>
      <c r="B108" s="6" t="inlineStr">
        <is>
          <t>2025-06|2025-07</t>
        </is>
      </c>
      <c r="C108" s="2" t="inlineStr">
        <is>
          <t>Z</t>
        </is>
      </c>
      <c r="D108" s="2" t="inlineStr">
        <is>
          <t>CA NET</t>
        </is>
      </c>
      <c r="E108" s="6">
        <f>SUMIFS('Z1_CplteAnneeMois'!$M$2:$M$288,'Z1_CplteAnneeMois'!$O$2:$O$288,B108,'Z1_CplteAnneeMois'!$F$2:$F$288,C108,'Z1_CplteAnneeMois'!$K$2:$K$288,D108)</f>
        <v/>
      </c>
    </row>
    <row r="109">
      <c r="A109" s="5" t="n">
        <v>2025</v>
      </c>
      <c r="B109" s="6" t="inlineStr">
        <is>
          <t>2025-06|2025-07</t>
        </is>
      </c>
      <c r="C109" s="2" t="inlineStr">
        <is>
          <t>Z</t>
        </is>
      </c>
      <c r="D109" s="2" t="inlineStr">
        <is>
          <t>CB.TIROIR</t>
        </is>
      </c>
      <c r="E109" s="6">
        <f>SUMIFS('Z1_CplteAnneeMois'!$M$2:$M$288,'Z1_CplteAnneeMois'!$O$2:$O$288,B109,'Z1_CplteAnneeMois'!$F$2:$F$288,C109,'Z1_CplteAnneeMois'!$K$2:$K$288,D109)</f>
        <v/>
      </c>
    </row>
    <row r="110">
      <c r="A110" s="5" t="n">
        <v>2025</v>
      </c>
      <c r="B110" s="6" t="inlineStr">
        <is>
          <t>2025-06|2025-07</t>
        </is>
      </c>
      <c r="C110" s="2" t="inlineStr">
        <is>
          <t>Z</t>
        </is>
      </c>
      <c r="D110" s="2" t="inlineStr">
        <is>
          <t>CHQ.TIROIR</t>
        </is>
      </c>
      <c r="E110" s="6">
        <f>SUMIFS('Z1_CplteAnneeMois'!$M$2:$M$288,'Z1_CplteAnneeMois'!$O$2:$O$288,B110,'Z1_CplteAnneeMois'!$F$2:$F$288,C110,'Z1_CplteAnneeMois'!$K$2:$K$288,D110)</f>
        <v/>
      </c>
    </row>
    <row r="111">
      <c r="A111" s="5" t="n">
        <v>2025</v>
      </c>
      <c r="B111" s="6" t="inlineStr">
        <is>
          <t>2025-06|2025-07</t>
        </is>
      </c>
      <c r="C111" s="2" t="inlineStr">
        <is>
          <t>Z</t>
        </is>
      </c>
      <c r="D111" s="2" t="inlineStr">
        <is>
          <t>ESP.TIROIR</t>
        </is>
      </c>
      <c r="E111" s="6">
        <f>SUMIFS('Z1_CplteAnneeMois'!$M$2:$M$288,'Z1_CplteAnneeMois'!$O$2:$O$288,B111,'Z1_CplteAnneeMois'!$F$2:$F$288,C111,'Z1_CplteAnneeMois'!$K$2:$K$288,D111)</f>
        <v/>
      </c>
    </row>
    <row r="112">
      <c r="A112" s="5" t="n">
        <v>2025</v>
      </c>
      <c r="B112" s="6" t="inlineStr">
        <is>
          <t>2025-06|2025-07</t>
        </is>
      </c>
      <c r="C112" s="2" t="inlineStr">
        <is>
          <t>Z</t>
        </is>
      </c>
      <c r="D112" s="2" t="inlineStr">
        <is>
          <t>HORS TAXE 1</t>
        </is>
      </c>
      <c r="E112" s="6">
        <f>SUMIFS('Z1_CplteAnneeMois'!$M$2:$M$288,'Z1_CplteAnneeMois'!$O$2:$O$288,B112,'Z1_CplteAnneeMois'!$F$2:$F$288,C112,'Z1_CplteAnneeMois'!$K$2:$K$288,D112)</f>
        <v/>
      </c>
    </row>
    <row r="113">
      <c r="A113" s="5" t="n">
        <v>2025</v>
      </c>
      <c r="B113" s="6" t="inlineStr">
        <is>
          <t>2025-06|2025-07</t>
        </is>
      </c>
      <c r="C113" s="2" t="inlineStr">
        <is>
          <t>Z</t>
        </is>
      </c>
      <c r="D113" s="2" t="inlineStr">
        <is>
          <t>TVA 1</t>
        </is>
      </c>
      <c r="E113" s="6">
        <f>SUMIFS('Z1_CplteAnneeMois'!$M$2:$M$288,'Z1_CplteAnneeMois'!$O$2:$O$288,B113,'Z1_CplteAnneeMois'!$F$2:$F$288,C113,'Z1_CplteAnneeMois'!$K$2:$K$288,D113)</f>
        <v/>
      </c>
    </row>
    <row r="114">
      <c r="A114" s="5" t="n">
        <v>2025</v>
      </c>
      <c r="B114" s="6" t="inlineStr">
        <is>
          <t>2025-06|2025-07</t>
        </is>
      </c>
      <c r="C114" s="2" t="inlineStr">
        <is>
          <t>ZZ1</t>
        </is>
      </c>
      <c r="D114" s="2" t="inlineStr">
        <is>
          <t>CA BRUT</t>
        </is>
      </c>
      <c r="E114" s="6">
        <f>SUMIFS('Z1_CplteAnneeMois'!$M$2:$M$288,'Z1_CplteAnneeMois'!$O$2:$O$288,B114,'Z1_CplteAnneeMois'!$F$2:$F$288,C114,'Z1_CplteAnneeMois'!$K$2:$K$288,D114)</f>
        <v/>
      </c>
    </row>
    <row r="115">
      <c r="A115" s="5" t="n">
        <v>2025</v>
      </c>
      <c r="B115" s="6" t="inlineStr">
        <is>
          <t>2025-06|2025-07</t>
        </is>
      </c>
      <c r="C115" s="2" t="inlineStr">
        <is>
          <t>ZZ1</t>
        </is>
      </c>
      <c r="D115" s="2" t="inlineStr">
        <is>
          <t>CA NET</t>
        </is>
      </c>
      <c r="E115" s="6">
        <f>SUMIFS('Z1_CplteAnneeMois'!$M$2:$M$288,'Z1_CplteAnneeMois'!$O$2:$O$288,B115,'Z1_CplteAnneeMois'!$F$2:$F$288,C115,'Z1_CplteAnneeMois'!$K$2:$K$288,D115)</f>
        <v/>
      </c>
    </row>
    <row r="116">
      <c r="A116" s="5" t="n">
        <v>2025</v>
      </c>
      <c r="B116" s="6" t="inlineStr">
        <is>
          <t>2025-06|2025-07</t>
        </is>
      </c>
      <c r="C116" s="2" t="inlineStr">
        <is>
          <t>ZZ1</t>
        </is>
      </c>
      <c r="D116" s="2" t="inlineStr">
        <is>
          <t>CB.TIROIR</t>
        </is>
      </c>
      <c r="E116" s="6">
        <f>SUMIFS('Z1_CplteAnneeMois'!$M$2:$M$288,'Z1_CplteAnneeMois'!$O$2:$O$288,B116,'Z1_CplteAnneeMois'!$F$2:$F$288,C116,'Z1_CplteAnneeMois'!$K$2:$K$288,D116)</f>
        <v/>
      </c>
    </row>
    <row r="117">
      <c r="A117" s="5" t="n">
        <v>2025</v>
      </c>
      <c r="B117" s="6" t="inlineStr">
        <is>
          <t>2025-06|2025-07</t>
        </is>
      </c>
      <c r="C117" s="2" t="inlineStr">
        <is>
          <t>ZZ1</t>
        </is>
      </c>
      <c r="D117" s="2" t="inlineStr">
        <is>
          <t>CHQ.TIROIR</t>
        </is>
      </c>
      <c r="E117" s="6">
        <f>SUMIFS('Z1_CplteAnneeMois'!$M$2:$M$288,'Z1_CplteAnneeMois'!$O$2:$O$288,B117,'Z1_CplteAnneeMois'!$F$2:$F$288,C117,'Z1_CplteAnneeMois'!$K$2:$K$288,D117)</f>
        <v/>
      </c>
    </row>
    <row r="118">
      <c r="A118" s="5" t="n">
        <v>2025</v>
      </c>
      <c r="B118" s="6" t="inlineStr">
        <is>
          <t>2025-06|2025-07</t>
        </is>
      </c>
      <c r="C118" s="2" t="inlineStr">
        <is>
          <t>ZZ1</t>
        </is>
      </c>
      <c r="D118" s="2" t="inlineStr">
        <is>
          <t>ESP.TIROIR</t>
        </is>
      </c>
      <c r="E118" s="6">
        <f>SUMIFS('Z1_CplteAnneeMois'!$M$2:$M$288,'Z1_CplteAnneeMois'!$O$2:$O$288,B118,'Z1_CplteAnneeMois'!$F$2:$F$288,C118,'Z1_CplteAnneeMois'!$K$2:$K$288,D118)</f>
        <v/>
      </c>
    </row>
    <row r="119">
      <c r="A119" s="5" t="n">
        <v>2025</v>
      </c>
      <c r="B119" s="6" t="inlineStr">
        <is>
          <t>2025-06|2025-07</t>
        </is>
      </c>
      <c r="C119" s="2" t="inlineStr">
        <is>
          <t>ZZ1</t>
        </is>
      </c>
      <c r="D119" s="2" t="inlineStr">
        <is>
          <t>HORS TAXE 1</t>
        </is>
      </c>
      <c r="E119" s="6">
        <f>SUMIFS('Z1_CplteAnneeMois'!$M$2:$M$288,'Z1_CplteAnneeMois'!$O$2:$O$288,B119,'Z1_CplteAnneeMois'!$F$2:$F$288,C119,'Z1_CplteAnneeMois'!$K$2:$K$288,D119)</f>
        <v/>
      </c>
    </row>
    <row r="120">
      <c r="A120" s="5" t="n">
        <v>2025</v>
      </c>
      <c r="B120" s="6" t="inlineStr">
        <is>
          <t>2025-06|2025-07</t>
        </is>
      </c>
      <c r="C120" s="2" t="inlineStr">
        <is>
          <t>ZZ1</t>
        </is>
      </c>
      <c r="D120" s="2" t="inlineStr">
        <is>
          <t>TVA 1</t>
        </is>
      </c>
      <c r="E120" s="6">
        <f>SUMIFS('Z1_CplteAnneeMois'!$M$2:$M$288,'Z1_CplteAnneeMois'!$O$2:$O$288,B120,'Z1_CplteAnneeMois'!$F$2:$F$288,C120,'Z1_CplteAnneeMois'!$K$2:$K$288,D120)</f>
        <v/>
      </c>
    </row>
    <row r="121">
      <c r="A121" s="5" t="n">
        <v>2025</v>
      </c>
      <c r="B121" s="6" t="inlineStr">
        <is>
          <t>2025-06|2025-07</t>
        </is>
      </c>
      <c r="C121" s="2" t="inlineStr">
        <is>
          <t>ZZ2</t>
        </is>
      </c>
      <c r="D121" s="2" t="inlineStr">
        <is>
          <t>CA BRUT</t>
        </is>
      </c>
      <c r="E121" s="6">
        <f>SUMIFS('Z1_CplteAnneeMois'!$M$2:$M$288,'Z1_CplteAnneeMois'!$O$2:$O$288,B121,'Z1_CplteAnneeMois'!$F$2:$F$288,C121,'Z1_CplteAnneeMois'!$K$2:$K$288,D121)</f>
        <v/>
      </c>
    </row>
    <row r="122">
      <c r="A122" s="5" t="n">
        <v>2025</v>
      </c>
      <c r="B122" s="6" t="inlineStr">
        <is>
          <t>2025-06|2025-07</t>
        </is>
      </c>
      <c r="C122" s="2" t="inlineStr">
        <is>
          <t>ZZ2</t>
        </is>
      </c>
      <c r="D122" s="2" t="inlineStr">
        <is>
          <t>CA NET</t>
        </is>
      </c>
      <c r="E122" s="6">
        <f>SUMIFS('Z1_CplteAnneeMois'!$M$2:$M$288,'Z1_CplteAnneeMois'!$O$2:$O$288,B122,'Z1_CplteAnneeMois'!$F$2:$F$288,C122,'Z1_CplteAnneeMois'!$K$2:$K$288,D122)</f>
        <v/>
      </c>
    </row>
    <row r="123">
      <c r="A123" s="5" t="n">
        <v>2025</v>
      </c>
      <c r="B123" s="6" t="inlineStr">
        <is>
          <t>2025-06|2025-07</t>
        </is>
      </c>
      <c r="C123" s="2" t="inlineStr">
        <is>
          <t>ZZ2</t>
        </is>
      </c>
      <c r="D123" s="2" t="inlineStr">
        <is>
          <t>CB.TIROIR</t>
        </is>
      </c>
      <c r="E123" s="6">
        <f>SUMIFS('Z1_CplteAnneeMois'!$M$2:$M$288,'Z1_CplteAnneeMois'!$O$2:$O$288,B123,'Z1_CplteAnneeMois'!$F$2:$F$288,C123,'Z1_CplteAnneeMois'!$K$2:$K$288,D123)</f>
        <v/>
      </c>
    </row>
    <row r="124">
      <c r="A124" s="5" t="n">
        <v>2025</v>
      </c>
      <c r="B124" s="6" t="inlineStr">
        <is>
          <t>2025-06|2025-07</t>
        </is>
      </c>
      <c r="C124" s="2" t="inlineStr">
        <is>
          <t>ZZ2</t>
        </is>
      </c>
      <c r="D124" s="2" t="inlineStr">
        <is>
          <t>CHQ.TIROIR</t>
        </is>
      </c>
      <c r="E124" s="6">
        <f>SUMIFS('Z1_CplteAnneeMois'!$M$2:$M$288,'Z1_CplteAnneeMois'!$O$2:$O$288,B124,'Z1_CplteAnneeMois'!$F$2:$F$288,C124,'Z1_CplteAnneeMois'!$K$2:$K$288,D124)</f>
        <v/>
      </c>
    </row>
    <row r="125">
      <c r="A125" s="5" t="n">
        <v>2025</v>
      </c>
      <c r="B125" s="6" t="inlineStr">
        <is>
          <t>2025-06|2025-07</t>
        </is>
      </c>
      <c r="C125" s="2" t="inlineStr">
        <is>
          <t>ZZ2</t>
        </is>
      </c>
      <c r="D125" s="2" t="inlineStr">
        <is>
          <t>ESP.TIROIR</t>
        </is>
      </c>
      <c r="E125" s="6">
        <f>SUMIFS('Z1_CplteAnneeMois'!$M$2:$M$288,'Z1_CplteAnneeMois'!$O$2:$O$288,B125,'Z1_CplteAnneeMois'!$F$2:$F$288,C125,'Z1_CplteAnneeMois'!$K$2:$K$288,D125)</f>
        <v/>
      </c>
    </row>
    <row r="126">
      <c r="A126" s="5" t="n">
        <v>2025</v>
      </c>
      <c r="B126" s="6" t="inlineStr">
        <is>
          <t>2025-06|2025-07</t>
        </is>
      </c>
      <c r="C126" s="2" t="inlineStr">
        <is>
          <t>ZZ2</t>
        </is>
      </c>
      <c r="D126" s="2" t="inlineStr">
        <is>
          <t>HORS TAXE 1</t>
        </is>
      </c>
      <c r="E126" s="6">
        <f>SUMIFS('Z1_CplteAnneeMois'!$M$2:$M$288,'Z1_CplteAnneeMois'!$O$2:$O$288,B126,'Z1_CplteAnneeMois'!$F$2:$F$288,C126,'Z1_CplteAnneeMois'!$K$2:$K$288,D126)</f>
        <v/>
      </c>
    </row>
    <row r="127">
      <c r="A127" s="5" t="n">
        <v>2025</v>
      </c>
      <c r="B127" s="6" t="inlineStr">
        <is>
          <t>2025-06|2025-07</t>
        </is>
      </c>
      <c r="C127" s="2" t="inlineStr">
        <is>
          <t>ZZ2</t>
        </is>
      </c>
      <c r="D127" s="2" t="inlineStr">
        <is>
          <t>TVA 1</t>
        </is>
      </c>
      <c r="E127" s="6">
        <f>SUMIFS('Z1_CplteAnneeMois'!$M$2:$M$288,'Z1_CplteAnneeMois'!$O$2:$O$288,B127,'Z1_CplteAnneeMois'!$F$2:$F$288,C127,'Z1_CplteAnneeMois'!$K$2:$K$288,D127)</f>
        <v/>
      </c>
    </row>
    <row r="128">
      <c r="A128" s="5" t="n">
        <v>2025</v>
      </c>
      <c r="B128" s="6" t="inlineStr">
        <is>
          <t>2025-08</t>
        </is>
      </c>
      <c r="C128" s="2" t="inlineStr">
        <is>
          <t>Z</t>
        </is>
      </c>
      <c r="D128" s="2" t="inlineStr">
        <is>
          <t>CA BRUT</t>
        </is>
      </c>
      <c r="E128" s="6">
        <f>SUMIFS('Z1_CplteAnneeMois'!$M$2:$M$288,'Z1_CplteAnneeMois'!$O$2:$O$288,B128,'Z1_CplteAnneeMois'!$F$2:$F$288,C128,'Z1_CplteAnneeMois'!$K$2:$K$288,D128)</f>
        <v/>
      </c>
    </row>
    <row r="129">
      <c r="A129" s="5" t="n">
        <v>2025</v>
      </c>
      <c r="B129" s="6" t="inlineStr">
        <is>
          <t>2025-08</t>
        </is>
      </c>
      <c r="C129" s="2" t="inlineStr">
        <is>
          <t>Z</t>
        </is>
      </c>
      <c r="D129" s="2" t="inlineStr">
        <is>
          <t>CA NET</t>
        </is>
      </c>
      <c r="E129" s="6">
        <f>SUMIFS('Z1_CplteAnneeMois'!$M$2:$M$288,'Z1_CplteAnneeMois'!$O$2:$O$288,B129,'Z1_CplteAnneeMois'!$F$2:$F$288,C129,'Z1_CplteAnneeMois'!$K$2:$K$288,D129)</f>
        <v/>
      </c>
    </row>
    <row r="130">
      <c r="A130" s="5" t="n">
        <v>2025</v>
      </c>
      <c r="B130" s="6" t="inlineStr">
        <is>
          <t>2025-08</t>
        </is>
      </c>
      <c r="C130" s="2" t="inlineStr">
        <is>
          <t>Z</t>
        </is>
      </c>
      <c r="D130" s="2" t="inlineStr">
        <is>
          <t>CB.TIROIR</t>
        </is>
      </c>
      <c r="E130" s="6">
        <f>SUMIFS('Z1_CplteAnneeMois'!$M$2:$M$288,'Z1_CplteAnneeMois'!$O$2:$O$288,B130,'Z1_CplteAnneeMois'!$F$2:$F$288,C130,'Z1_CplteAnneeMois'!$K$2:$K$288,D130)</f>
        <v/>
      </c>
    </row>
    <row r="131">
      <c r="A131" s="5" t="n">
        <v>2025</v>
      </c>
      <c r="B131" s="6" t="inlineStr">
        <is>
          <t>2025-08</t>
        </is>
      </c>
      <c r="C131" s="2" t="inlineStr">
        <is>
          <t>Z</t>
        </is>
      </c>
      <c r="D131" s="2" t="inlineStr">
        <is>
          <t>CHQ.TIROIR</t>
        </is>
      </c>
      <c r="E131" s="6">
        <f>SUMIFS('Z1_CplteAnneeMois'!$M$2:$M$288,'Z1_CplteAnneeMois'!$O$2:$O$288,B131,'Z1_CplteAnneeMois'!$F$2:$F$288,C131,'Z1_CplteAnneeMois'!$K$2:$K$288,D131)</f>
        <v/>
      </c>
    </row>
    <row r="132">
      <c r="A132" s="5" t="n">
        <v>2025</v>
      </c>
      <c r="B132" s="6" t="inlineStr">
        <is>
          <t>2025-08</t>
        </is>
      </c>
      <c r="C132" s="2" t="inlineStr">
        <is>
          <t>Z</t>
        </is>
      </c>
      <c r="D132" s="2" t="inlineStr">
        <is>
          <t>ESP.TIROIR</t>
        </is>
      </c>
      <c r="E132" s="6">
        <f>SUMIFS('Z1_CplteAnneeMois'!$M$2:$M$288,'Z1_CplteAnneeMois'!$O$2:$O$288,B132,'Z1_CplteAnneeMois'!$F$2:$F$288,C132,'Z1_CplteAnneeMois'!$K$2:$K$288,D132)</f>
        <v/>
      </c>
    </row>
    <row r="133">
      <c r="A133" s="5" t="n">
        <v>2025</v>
      </c>
      <c r="B133" s="6" t="inlineStr">
        <is>
          <t>2025-08</t>
        </is>
      </c>
      <c r="C133" s="2" t="inlineStr">
        <is>
          <t>Z</t>
        </is>
      </c>
      <c r="D133" s="2" t="inlineStr">
        <is>
          <t>HORS TAXE 1</t>
        </is>
      </c>
      <c r="E133" s="6">
        <f>SUMIFS('Z1_CplteAnneeMois'!$M$2:$M$288,'Z1_CplteAnneeMois'!$O$2:$O$288,B133,'Z1_CplteAnneeMois'!$F$2:$F$288,C133,'Z1_CplteAnneeMois'!$K$2:$K$288,D133)</f>
        <v/>
      </c>
    </row>
    <row r="134">
      <c r="A134" s="5" t="n">
        <v>2025</v>
      </c>
      <c r="B134" s="6" t="inlineStr">
        <is>
          <t>2025-08</t>
        </is>
      </c>
      <c r="C134" s="2" t="inlineStr">
        <is>
          <t>Z</t>
        </is>
      </c>
      <c r="D134" s="2" t="inlineStr">
        <is>
          <t>TVA 1</t>
        </is>
      </c>
      <c r="E134" s="6">
        <f>SUMIFS('Z1_CplteAnneeMois'!$M$2:$M$288,'Z1_CplteAnneeMois'!$O$2:$O$288,B134,'Z1_CplteAnneeMois'!$F$2:$F$288,C134,'Z1_CplteAnneeMois'!$K$2:$K$288,D134)</f>
        <v/>
      </c>
    </row>
    <row r="135">
      <c r="A135" s="5" t="n">
        <v>2025</v>
      </c>
      <c r="B135" s="6" t="inlineStr">
        <is>
          <t>2025-08</t>
        </is>
      </c>
      <c r="C135" s="2" t="inlineStr">
        <is>
          <t>ZZ1</t>
        </is>
      </c>
      <c r="D135" s="2" t="inlineStr">
        <is>
          <t>CA BRUT</t>
        </is>
      </c>
      <c r="E135" s="6">
        <f>SUMIFS('Z1_CplteAnneeMois'!$M$2:$M$288,'Z1_CplteAnneeMois'!$O$2:$O$288,B135,'Z1_CplteAnneeMois'!$F$2:$F$288,C135,'Z1_CplteAnneeMois'!$K$2:$K$288,D135)</f>
        <v/>
      </c>
    </row>
    <row r="136">
      <c r="A136" s="5" t="n">
        <v>2025</v>
      </c>
      <c r="B136" s="6" t="inlineStr">
        <is>
          <t>2025-08</t>
        </is>
      </c>
      <c r="C136" s="2" t="inlineStr">
        <is>
          <t>ZZ1</t>
        </is>
      </c>
      <c r="D136" s="2" t="inlineStr">
        <is>
          <t>CA NET</t>
        </is>
      </c>
      <c r="E136" s="6">
        <f>SUMIFS('Z1_CplteAnneeMois'!$M$2:$M$288,'Z1_CplteAnneeMois'!$O$2:$O$288,B136,'Z1_CplteAnneeMois'!$F$2:$F$288,C136,'Z1_CplteAnneeMois'!$K$2:$K$288,D136)</f>
        <v/>
      </c>
    </row>
    <row r="137">
      <c r="A137" s="5" t="n">
        <v>2025</v>
      </c>
      <c r="B137" s="6" t="inlineStr">
        <is>
          <t>2025-08</t>
        </is>
      </c>
      <c r="C137" s="2" t="inlineStr">
        <is>
          <t>ZZ1</t>
        </is>
      </c>
      <c r="D137" s="2" t="inlineStr">
        <is>
          <t>CB.TIROIR</t>
        </is>
      </c>
      <c r="E137" s="6">
        <f>SUMIFS('Z1_CplteAnneeMois'!$M$2:$M$288,'Z1_CplteAnneeMois'!$O$2:$O$288,B137,'Z1_CplteAnneeMois'!$F$2:$F$288,C137,'Z1_CplteAnneeMois'!$K$2:$K$288,D137)</f>
        <v/>
      </c>
    </row>
    <row r="138">
      <c r="A138" s="5" t="n">
        <v>2025</v>
      </c>
      <c r="B138" s="6" t="inlineStr">
        <is>
          <t>2025-08</t>
        </is>
      </c>
      <c r="C138" s="2" t="inlineStr">
        <is>
          <t>ZZ1</t>
        </is>
      </c>
      <c r="D138" s="2" t="inlineStr">
        <is>
          <t>CHQ.TIROIR</t>
        </is>
      </c>
      <c r="E138" s="6">
        <f>SUMIFS('Z1_CplteAnneeMois'!$M$2:$M$288,'Z1_CplteAnneeMois'!$O$2:$O$288,B138,'Z1_CplteAnneeMois'!$F$2:$F$288,C138,'Z1_CplteAnneeMois'!$K$2:$K$288,D138)</f>
        <v/>
      </c>
    </row>
    <row r="139">
      <c r="A139" s="5" t="n">
        <v>2025</v>
      </c>
      <c r="B139" s="6" t="inlineStr">
        <is>
          <t>2025-08</t>
        </is>
      </c>
      <c r="C139" s="2" t="inlineStr">
        <is>
          <t>ZZ1</t>
        </is>
      </c>
      <c r="D139" s="2" t="inlineStr">
        <is>
          <t>ESP.TIROIR</t>
        </is>
      </c>
      <c r="E139" s="6">
        <f>SUMIFS('Z1_CplteAnneeMois'!$M$2:$M$288,'Z1_CplteAnneeMois'!$O$2:$O$288,B139,'Z1_CplteAnneeMois'!$F$2:$F$288,C139,'Z1_CplteAnneeMois'!$K$2:$K$288,D139)</f>
        <v/>
      </c>
    </row>
    <row r="140">
      <c r="A140" s="5" t="n">
        <v>2025</v>
      </c>
      <c r="B140" s="6" t="inlineStr">
        <is>
          <t>2025-08</t>
        </is>
      </c>
      <c r="C140" s="2" t="inlineStr">
        <is>
          <t>ZZ1</t>
        </is>
      </c>
      <c r="D140" s="2" t="inlineStr">
        <is>
          <t>HORS TAXE 1</t>
        </is>
      </c>
      <c r="E140" s="6">
        <f>SUMIFS('Z1_CplteAnneeMois'!$M$2:$M$288,'Z1_CplteAnneeMois'!$O$2:$O$288,B140,'Z1_CplteAnneeMois'!$F$2:$F$288,C140,'Z1_CplteAnneeMois'!$K$2:$K$288,D140)</f>
        <v/>
      </c>
    </row>
    <row r="141">
      <c r="A141" s="5" t="n">
        <v>2025</v>
      </c>
      <c r="B141" s="6" t="inlineStr">
        <is>
          <t>2025-08</t>
        </is>
      </c>
      <c r="C141" s="2" t="inlineStr">
        <is>
          <t>ZZ1</t>
        </is>
      </c>
      <c r="D141" s="2" t="inlineStr">
        <is>
          <t>TVA 1</t>
        </is>
      </c>
      <c r="E141" s="6">
        <f>SUMIFS('Z1_CplteAnneeMois'!$M$2:$M$288,'Z1_CplteAnneeMois'!$O$2:$O$288,B141,'Z1_CplteAnneeMois'!$F$2:$F$288,C141,'Z1_CplteAnneeMois'!$K$2:$K$288,D141)</f>
        <v/>
      </c>
    </row>
    <row r="142">
      <c r="A142" s="5" t="n">
        <v>2025</v>
      </c>
      <c r="B142" s="6" t="inlineStr">
        <is>
          <t>2025-08</t>
        </is>
      </c>
      <c r="C142" s="2" t="inlineStr">
        <is>
          <t>ZZ2</t>
        </is>
      </c>
      <c r="D142" s="2" t="inlineStr">
        <is>
          <t>CA BRUT</t>
        </is>
      </c>
      <c r="E142" s="6">
        <f>SUMIFS('Z1_CplteAnneeMois'!$M$2:$M$288,'Z1_CplteAnneeMois'!$O$2:$O$288,B142,'Z1_CplteAnneeMois'!$F$2:$F$288,C142,'Z1_CplteAnneeMois'!$K$2:$K$288,D142)</f>
        <v/>
      </c>
    </row>
    <row r="143">
      <c r="A143" s="5" t="n">
        <v>2025</v>
      </c>
      <c r="B143" s="6" t="inlineStr">
        <is>
          <t>2025-08</t>
        </is>
      </c>
      <c r="C143" s="2" t="inlineStr">
        <is>
          <t>ZZ2</t>
        </is>
      </c>
      <c r="D143" s="2" t="inlineStr">
        <is>
          <t>CA NET</t>
        </is>
      </c>
      <c r="E143" s="6">
        <f>SUMIFS('Z1_CplteAnneeMois'!$M$2:$M$288,'Z1_CplteAnneeMois'!$O$2:$O$288,B143,'Z1_CplteAnneeMois'!$F$2:$F$288,C143,'Z1_CplteAnneeMois'!$K$2:$K$288,D143)</f>
        <v/>
      </c>
    </row>
    <row r="144">
      <c r="A144" s="5" t="n">
        <v>2025</v>
      </c>
      <c r="B144" s="6" t="inlineStr">
        <is>
          <t>2025-08</t>
        </is>
      </c>
      <c r="C144" s="2" t="inlineStr">
        <is>
          <t>ZZ2</t>
        </is>
      </c>
      <c r="D144" s="2" t="inlineStr">
        <is>
          <t>CB.TIROIR</t>
        </is>
      </c>
      <c r="E144" s="6">
        <f>SUMIFS('Z1_CplteAnneeMois'!$M$2:$M$288,'Z1_CplteAnneeMois'!$O$2:$O$288,B144,'Z1_CplteAnneeMois'!$F$2:$F$288,C144,'Z1_CplteAnneeMois'!$K$2:$K$288,D144)</f>
        <v/>
      </c>
    </row>
    <row r="145">
      <c r="A145" s="5" t="n">
        <v>2025</v>
      </c>
      <c r="B145" s="6" t="inlineStr">
        <is>
          <t>2025-08</t>
        </is>
      </c>
      <c r="C145" s="2" t="inlineStr">
        <is>
          <t>ZZ2</t>
        </is>
      </c>
      <c r="D145" s="2" t="inlineStr">
        <is>
          <t>CHQ.TIROIR</t>
        </is>
      </c>
      <c r="E145" s="6">
        <f>SUMIFS('Z1_CplteAnneeMois'!$M$2:$M$288,'Z1_CplteAnneeMois'!$O$2:$O$288,B145,'Z1_CplteAnneeMois'!$F$2:$F$288,C145,'Z1_CplteAnneeMois'!$K$2:$K$288,D145)</f>
        <v/>
      </c>
    </row>
    <row r="146">
      <c r="A146" s="5" t="n">
        <v>2025</v>
      </c>
      <c r="B146" s="6" t="inlineStr">
        <is>
          <t>2025-08</t>
        </is>
      </c>
      <c r="C146" s="2" t="inlineStr">
        <is>
          <t>ZZ2</t>
        </is>
      </c>
      <c r="D146" s="2" t="inlineStr">
        <is>
          <t>ESP.TIROIR</t>
        </is>
      </c>
      <c r="E146" s="6">
        <f>SUMIFS('Z1_CplteAnneeMois'!$M$2:$M$288,'Z1_CplteAnneeMois'!$O$2:$O$288,B146,'Z1_CplteAnneeMois'!$F$2:$F$288,C146,'Z1_CplteAnneeMois'!$K$2:$K$288,D146)</f>
        <v/>
      </c>
    </row>
    <row r="147">
      <c r="A147" s="5" t="n">
        <v>2025</v>
      </c>
      <c r="B147" s="6" t="inlineStr">
        <is>
          <t>2025-08</t>
        </is>
      </c>
      <c r="C147" s="2" t="inlineStr">
        <is>
          <t>ZZ2</t>
        </is>
      </c>
      <c r="D147" s="2" t="inlineStr">
        <is>
          <t>HORS TAXE 1</t>
        </is>
      </c>
      <c r="E147" s="6">
        <f>SUMIFS('Z1_CplteAnneeMois'!$M$2:$M$288,'Z1_CplteAnneeMois'!$O$2:$O$288,B147,'Z1_CplteAnneeMois'!$F$2:$F$288,C147,'Z1_CplteAnneeMois'!$K$2:$K$288,D147)</f>
        <v/>
      </c>
    </row>
    <row r="148">
      <c r="A148" s="5" t="n">
        <v>2025</v>
      </c>
      <c r="B148" s="6" t="inlineStr">
        <is>
          <t>2025-08</t>
        </is>
      </c>
      <c r="C148" s="2" t="inlineStr">
        <is>
          <t>ZZ2</t>
        </is>
      </c>
      <c r="D148" s="2" t="inlineStr">
        <is>
          <t>TVA 1</t>
        </is>
      </c>
      <c r="E148" s="6">
        <f>SUMIFS('Z1_CplteAnneeMois'!$M$2:$M$288,'Z1_CplteAnneeMois'!$O$2:$O$288,B148,'Z1_CplteAnneeMois'!$F$2:$F$288,C148,'Z1_CplteAnneeMois'!$K$2:$K$288,D148)</f>
        <v/>
      </c>
    </row>
  </sheetData>
  <autoFilter ref="A1:E1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>
        <f>SUMIFS('TD_Z1_TotalMontant'!$E$2:$E$148,'TD_Z1_TotalMontant'!$B$2:$B$148,B2,'TD_Z1_TotalMontant'!$C$2:$C$148,"ZZ1",'TD_Z1_TotalMontant'!$D$2:$D$148,"CA BRUT")</f>
        <v/>
      </c>
      <c r="D2" s="6">
        <f>SUMIFS('TD_Z1_TotalMontant'!$E$2:$E$148,'TD_Z1_TotalMontant'!$B$2:$B$148,B2,'TD_Z1_TotalMontant'!$C$2:$C$148,"ZZ1",'TD_Z1_TotalMontant'!$D$2:$D$148,"CA NET")</f>
        <v/>
      </c>
      <c r="E2" s="6">
        <f>SUMIFS('TD_Z1_TotalMontant'!$E$2:$E$148,'TD_Z1_TotalMontant'!$B$2:$B$148,B2,'TD_Z1_TotalMontant'!$C$2:$C$148,"ZZ1",'TD_Z1_TotalMontant'!$D$2:$D$148,"CB.TIROIR")</f>
        <v/>
      </c>
      <c r="F2" s="6">
        <f>SUMIFS('TD_Z1_TotalMontant'!$E$2:$E$148,'TD_Z1_TotalMontant'!$B$2:$B$148,B2,'TD_Z1_TotalMontant'!$C$2:$C$148,"ZZ1",'TD_Z1_TotalMontant'!$D$2:$D$148,"CHQ.TIROIR")</f>
        <v/>
      </c>
      <c r="G2" s="6">
        <f>SUMIFS('TD_Z1_TotalMontant'!$E$2:$E$148,'TD_Z1_TotalMontant'!$B$2:$B$148,B2,'TD_Z1_TotalMontant'!$C$2:$C$148,"ZZ1",'TD_Z1_TotalMontant'!$D$2:$D$148,"ESP.TIROIR")</f>
        <v/>
      </c>
      <c r="H2" s="6">
        <f>SUMIFS('TD_Z1_TotalMontant'!$E$2:$E$148,'TD_Z1_TotalMontant'!$B$2:$B$148,B2,'TD_Z1_TotalMontant'!$C$2:$C$148,"ZZ1",'TD_Z1_TotalMontant'!$D$2:$D$148,"HORS TAXE 1")</f>
        <v/>
      </c>
      <c r="I2" s="6">
        <f>SUMIFS('TD_Z1_TotalMontant'!$E$2:$E$148,'TD_Z1_TotalMontant'!$B$2:$B$148,B2,'TD_Z1_TotalMontant'!$C$2:$C$148,"ZZ1",'TD_Z1_TotalMontant'!$D$2:$D$148,"TVA 1")</f>
        <v/>
      </c>
    </row>
    <row r="3">
      <c r="A3" s="5" t="n">
        <v>2025</v>
      </c>
      <c r="B3" s="6" t="inlineStr">
        <is>
          <t>2025-02</t>
        </is>
      </c>
      <c r="C3" s="6">
        <f>SUMIFS('TD_Z1_TotalMontant'!$E$2:$E$148,'TD_Z1_TotalMontant'!$B$2:$B$148,B3,'TD_Z1_TotalMontant'!$C$2:$C$148,"ZZ1",'TD_Z1_TotalMontant'!$D$2:$D$148,"CA BRUT")</f>
        <v/>
      </c>
      <c r="D3" s="6">
        <f>SUMIFS('TD_Z1_TotalMontant'!$E$2:$E$148,'TD_Z1_TotalMontant'!$B$2:$B$148,B3,'TD_Z1_TotalMontant'!$C$2:$C$148,"ZZ1",'TD_Z1_TotalMontant'!$D$2:$D$148,"CA NET")</f>
        <v/>
      </c>
      <c r="E3" s="6">
        <f>SUMIFS('TD_Z1_TotalMontant'!$E$2:$E$148,'TD_Z1_TotalMontant'!$B$2:$B$148,B3,'TD_Z1_TotalMontant'!$C$2:$C$148,"ZZ1",'TD_Z1_TotalMontant'!$D$2:$D$148,"CB.TIROIR")</f>
        <v/>
      </c>
      <c r="F3" s="6">
        <f>SUMIFS('TD_Z1_TotalMontant'!$E$2:$E$148,'TD_Z1_TotalMontant'!$B$2:$B$148,B3,'TD_Z1_TotalMontant'!$C$2:$C$148,"ZZ1",'TD_Z1_TotalMontant'!$D$2:$D$148,"CHQ.TIROIR")</f>
        <v/>
      </c>
      <c r="G3" s="6">
        <f>SUMIFS('TD_Z1_TotalMontant'!$E$2:$E$148,'TD_Z1_TotalMontant'!$B$2:$B$148,B3,'TD_Z1_TotalMontant'!$C$2:$C$148,"ZZ1",'TD_Z1_TotalMontant'!$D$2:$D$148,"ESP.TIROIR")</f>
        <v/>
      </c>
      <c r="H3" s="6">
        <f>SUMIFS('TD_Z1_TotalMontant'!$E$2:$E$148,'TD_Z1_TotalMontant'!$B$2:$B$148,B3,'TD_Z1_TotalMontant'!$C$2:$C$148,"ZZ1",'TD_Z1_TotalMontant'!$D$2:$D$148,"HORS TAXE 1")</f>
        <v/>
      </c>
      <c r="I3" s="6">
        <f>SUMIFS('TD_Z1_TotalMontant'!$E$2:$E$148,'TD_Z1_TotalMontant'!$B$2:$B$148,B3,'TD_Z1_TotalMontant'!$C$2:$C$148,"ZZ1",'TD_Z1_TotalMontant'!$D$2:$D$148,"TVA 1")</f>
        <v/>
      </c>
    </row>
    <row r="4">
      <c r="A4" s="5" t="n">
        <v>2025</v>
      </c>
      <c r="B4" s="6" t="inlineStr">
        <is>
          <t>2025-03</t>
        </is>
      </c>
      <c r="C4" s="6">
        <f>SUMIFS('TD_Z1_TotalMontant'!$E$2:$E$148,'TD_Z1_TotalMontant'!$B$2:$B$148,B4,'TD_Z1_TotalMontant'!$C$2:$C$148,"ZZ1",'TD_Z1_TotalMontant'!$D$2:$D$148,"CA BRUT")</f>
        <v/>
      </c>
      <c r="D4" s="6">
        <f>SUMIFS('TD_Z1_TotalMontant'!$E$2:$E$148,'TD_Z1_TotalMontant'!$B$2:$B$148,B4,'TD_Z1_TotalMontant'!$C$2:$C$148,"ZZ1",'TD_Z1_TotalMontant'!$D$2:$D$148,"CA NET")</f>
        <v/>
      </c>
      <c r="E4" s="6">
        <f>SUMIFS('TD_Z1_TotalMontant'!$E$2:$E$148,'TD_Z1_TotalMontant'!$B$2:$B$148,B4,'TD_Z1_TotalMontant'!$C$2:$C$148,"ZZ1",'TD_Z1_TotalMontant'!$D$2:$D$148,"CB.TIROIR")</f>
        <v/>
      </c>
      <c r="F4" s="6">
        <f>SUMIFS('TD_Z1_TotalMontant'!$E$2:$E$148,'TD_Z1_TotalMontant'!$B$2:$B$148,B4,'TD_Z1_TotalMontant'!$C$2:$C$148,"ZZ1",'TD_Z1_TotalMontant'!$D$2:$D$148,"CHQ.TIROIR")</f>
        <v/>
      </c>
      <c r="G4" s="6">
        <f>SUMIFS('TD_Z1_TotalMontant'!$E$2:$E$148,'TD_Z1_TotalMontant'!$B$2:$B$148,B4,'TD_Z1_TotalMontant'!$C$2:$C$148,"ZZ1",'TD_Z1_TotalMontant'!$D$2:$D$148,"ESP.TIROIR")</f>
        <v/>
      </c>
      <c r="H4" s="6">
        <f>SUMIFS('TD_Z1_TotalMontant'!$E$2:$E$148,'TD_Z1_TotalMontant'!$B$2:$B$148,B4,'TD_Z1_TotalMontant'!$C$2:$C$148,"ZZ1",'TD_Z1_TotalMontant'!$D$2:$D$148,"HORS TAXE 1")</f>
        <v/>
      </c>
      <c r="I4" s="6">
        <f>SUMIFS('TD_Z1_TotalMontant'!$E$2:$E$148,'TD_Z1_TotalMontant'!$B$2:$B$148,B4,'TD_Z1_TotalMontant'!$C$2:$C$148,"ZZ1",'TD_Z1_TotalMontant'!$D$2:$D$148,"TVA 1")</f>
        <v/>
      </c>
    </row>
    <row r="5">
      <c r="A5" s="5" t="n">
        <v>2025</v>
      </c>
      <c r="B5" s="6" t="inlineStr">
        <is>
          <t>2025-04</t>
        </is>
      </c>
      <c r="C5" s="6">
        <f>SUMIFS('TD_Z1_TotalMontant'!$E$2:$E$148,'TD_Z1_TotalMontant'!$B$2:$B$148,B5,'TD_Z1_TotalMontant'!$C$2:$C$148,"ZZ1",'TD_Z1_TotalMontant'!$D$2:$D$148,"CA BRUT")</f>
        <v/>
      </c>
      <c r="D5" s="6">
        <f>SUMIFS('TD_Z1_TotalMontant'!$E$2:$E$148,'TD_Z1_TotalMontant'!$B$2:$B$148,B5,'TD_Z1_TotalMontant'!$C$2:$C$148,"ZZ1",'TD_Z1_TotalMontant'!$D$2:$D$148,"CA NET")</f>
        <v/>
      </c>
      <c r="E5" s="6">
        <f>SUMIFS('TD_Z1_TotalMontant'!$E$2:$E$148,'TD_Z1_TotalMontant'!$B$2:$B$148,B5,'TD_Z1_TotalMontant'!$C$2:$C$148,"ZZ1",'TD_Z1_TotalMontant'!$D$2:$D$148,"CB.TIROIR")</f>
        <v/>
      </c>
      <c r="F5" s="6">
        <f>SUMIFS('TD_Z1_TotalMontant'!$E$2:$E$148,'TD_Z1_TotalMontant'!$B$2:$B$148,B5,'TD_Z1_TotalMontant'!$C$2:$C$148,"ZZ1",'TD_Z1_TotalMontant'!$D$2:$D$148,"CHQ.TIROIR")</f>
        <v/>
      </c>
      <c r="G5" s="6">
        <f>SUMIFS('TD_Z1_TotalMontant'!$E$2:$E$148,'TD_Z1_TotalMontant'!$B$2:$B$148,B5,'TD_Z1_TotalMontant'!$C$2:$C$148,"ZZ1",'TD_Z1_TotalMontant'!$D$2:$D$148,"ESP.TIROIR")</f>
        <v/>
      </c>
      <c r="H5" s="6">
        <f>SUMIFS('TD_Z1_TotalMontant'!$E$2:$E$148,'TD_Z1_TotalMontant'!$B$2:$B$148,B5,'TD_Z1_TotalMontant'!$C$2:$C$148,"ZZ1",'TD_Z1_TotalMontant'!$D$2:$D$148,"HORS TAXE 1")</f>
        <v/>
      </c>
      <c r="I5" s="6">
        <f>SUMIFS('TD_Z1_TotalMontant'!$E$2:$E$148,'TD_Z1_TotalMontant'!$B$2:$B$148,B5,'TD_Z1_TotalMontant'!$C$2:$C$148,"ZZ1",'TD_Z1_TotalMontant'!$D$2:$D$148,"TVA 1")</f>
        <v/>
      </c>
    </row>
    <row r="6">
      <c r="A6" s="5" t="n">
        <v>2025</v>
      </c>
      <c r="B6" s="6" t="inlineStr">
        <is>
          <t>2025-05</t>
        </is>
      </c>
      <c r="C6" s="6">
        <f>SUMIFS('TD_Z1_TotalMontant'!$E$2:$E$148,'TD_Z1_TotalMontant'!$B$2:$B$148,B6,'TD_Z1_TotalMontant'!$C$2:$C$148,"ZZ1",'TD_Z1_TotalMontant'!$D$2:$D$148,"CA BRUT")</f>
        <v/>
      </c>
      <c r="D6" s="6">
        <f>SUMIFS('TD_Z1_TotalMontant'!$E$2:$E$148,'TD_Z1_TotalMontant'!$B$2:$B$148,B6,'TD_Z1_TotalMontant'!$C$2:$C$148,"ZZ1",'TD_Z1_TotalMontant'!$D$2:$D$148,"CA NET")</f>
        <v/>
      </c>
      <c r="E6" s="6">
        <f>SUMIFS('TD_Z1_TotalMontant'!$E$2:$E$148,'TD_Z1_TotalMontant'!$B$2:$B$148,B6,'TD_Z1_TotalMontant'!$C$2:$C$148,"ZZ1",'TD_Z1_TotalMontant'!$D$2:$D$148,"CB.TIROIR")</f>
        <v/>
      </c>
      <c r="F6" s="6">
        <f>SUMIFS('TD_Z1_TotalMontant'!$E$2:$E$148,'TD_Z1_TotalMontant'!$B$2:$B$148,B6,'TD_Z1_TotalMontant'!$C$2:$C$148,"ZZ1",'TD_Z1_TotalMontant'!$D$2:$D$148,"CHQ.TIROIR")</f>
        <v/>
      </c>
      <c r="G6" s="6">
        <f>SUMIFS('TD_Z1_TotalMontant'!$E$2:$E$148,'TD_Z1_TotalMontant'!$B$2:$B$148,B6,'TD_Z1_TotalMontant'!$C$2:$C$148,"ZZ1",'TD_Z1_TotalMontant'!$D$2:$D$148,"ESP.TIROIR")</f>
        <v/>
      </c>
      <c r="H6" s="6">
        <f>SUMIFS('TD_Z1_TotalMontant'!$E$2:$E$148,'TD_Z1_TotalMontant'!$B$2:$B$148,B6,'TD_Z1_TotalMontant'!$C$2:$C$148,"ZZ1",'TD_Z1_TotalMontant'!$D$2:$D$148,"HORS TAXE 1")</f>
        <v/>
      </c>
      <c r="I6" s="6">
        <f>SUMIFS('TD_Z1_TotalMontant'!$E$2:$E$148,'TD_Z1_TotalMontant'!$B$2:$B$148,B6,'TD_Z1_TotalMontant'!$C$2:$C$148,"ZZ1",'TD_Z1_TotalMontant'!$D$2:$D$148,"TVA 1")</f>
        <v/>
      </c>
    </row>
    <row r="7">
      <c r="A7" s="5" t="n">
        <v>2025</v>
      </c>
      <c r="B7" s="6" t="inlineStr">
        <is>
          <t>2025-06|2025-07</t>
        </is>
      </c>
      <c r="C7" s="6">
        <f>SUMIFS('TD_Z1_TotalMontant'!$E$2:$E$148,'TD_Z1_TotalMontant'!$B$2:$B$148,B7,'TD_Z1_TotalMontant'!$C$2:$C$148,"ZZ1",'TD_Z1_TotalMontant'!$D$2:$D$148,"CA BRUT")</f>
        <v/>
      </c>
      <c r="D7" s="6">
        <f>SUMIFS('TD_Z1_TotalMontant'!$E$2:$E$148,'TD_Z1_TotalMontant'!$B$2:$B$148,B7,'TD_Z1_TotalMontant'!$C$2:$C$148,"ZZ1",'TD_Z1_TotalMontant'!$D$2:$D$148,"CA NET")</f>
        <v/>
      </c>
      <c r="E7" s="6">
        <f>SUMIFS('TD_Z1_TotalMontant'!$E$2:$E$148,'TD_Z1_TotalMontant'!$B$2:$B$148,B7,'TD_Z1_TotalMontant'!$C$2:$C$148,"ZZ1",'TD_Z1_TotalMontant'!$D$2:$D$148,"CB.TIROIR")</f>
        <v/>
      </c>
      <c r="F7" s="6">
        <f>SUMIFS('TD_Z1_TotalMontant'!$E$2:$E$148,'TD_Z1_TotalMontant'!$B$2:$B$148,B7,'TD_Z1_TotalMontant'!$C$2:$C$148,"ZZ1",'TD_Z1_TotalMontant'!$D$2:$D$148,"CHQ.TIROIR")</f>
        <v/>
      </c>
      <c r="G7" s="6">
        <f>SUMIFS('TD_Z1_TotalMontant'!$E$2:$E$148,'TD_Z1_TotalMontant'!$B$2:$B$148,B7,'TD_Z1_TotalMontant'!$C$2:$C$148,"ZZ1",'TD_Z1_TotalMontant'!$D$2:$D$148,"ESP.TIROIR")</f>
        <v/>
      </c>
      <c r="H7" s="6">
        <f>SUMIFS('TD_Z1_TotalMontant'!$E$2:$E$148,'TD_Z1_TotalMontant'!$B$2:$B$148,B7,'TD_Z1_TotalMontant'!$C$2:$C$148,"ZZ1",'TD_Z1_TotalMontant'!$D$2:$D$148,"HORS TAXE 1")</f>
        <v/>
      </c>
      <c r="I7" s="6">
        <f>SUMIFS('TD_Z1_TotalMontant'!$E$2:$E$148,'TD_Z1_TotalMontant'!$B$2:$B$148,B7,'TD_Z1_TotalMontant'!$C$2:$C$148,"ZZ1",'TD_Z1_TotalMontant'!$D$2:$D$148,"TVA 1")</f>
        <v/>
      </c>
    </row>
    <row r="8">
      <c r="A8" s="5" t="n">
        <v>2025</v>
      </c>
      <c r="B8" s="6" t="inlineStr">
        <is>
          <t>2025-08</t>
        </is>
      </c>
      <c r="C8" s="6">
        <f>SUMIFS('TD_Z1_TotalMontant'!$E$2:$E$148,'TD_Z1_TotalMontant'!$B$2:$B$148,B8,'TD_Z1_TotalMontant'!$C$2:$C$148,"ZZ1",'TD_Z1_TotalMontant'!$D$2:$D$148,"CA BRUT")</f>
        <v/>
      </c>
      <c r="D8" s="6">
        <f>SUMIFS('TD_Z1_TotalMontant'!$E$2:$E$148,'TD_Z1_TotalMontant'!$B$2:$B$148,B8,'TD_Z1_TotalMontant'!$C$2:$C$148,"ZZ1",'TD_Z1_TotalMontant'!$D$2:$D$148,"CA NET")</f>
        <v/>
      </c>
      <c r="E8" s="6">
        <f>SUMIFS('TD_Z1_TotalMontant'!$E$2:$E$148,'TD_Z1_TotalMontant'!$B$2:$B$148,B8,'TD_Z1_TotalMontant'!$C$2:$C$148,"ZZ1",'TD_Z1_TotalMontant'!$D$2:$D$148,"CB.TIROIR")</f>
        <v/>
      </c>
      <c r="F8" s="6">
        <f>SUMIFS('TD_Z1_TotalMontant'!$E$2:$E$148,'TD_Z1_TotalMontant'!$B$2:$B$148,B8,'TD_Z1_TotalMontant'!$C$2:$C$148,"ZZ1",'TD_Z1_TotalMontant'!$D$2:$D$148,"CHQ.TIROIR")</f>
        <v/>
      </c>
      <c r="G8" s="6">
        <f>SUMIFS('TD_Z1_TotalMontant'!$E$2:$E$148,'TD_Z1_TotalMontant'!$B$2:$B$148,B8,'TD_Z1_TotalMontant'!$C$2:$C$148,"ZZ1",'TD_Z1_TotalMontant'!$D$2:$D$148,"ESP.TIROIR")</f>
        <v/>
      </c>
      <c r="H8" s="6">
        <f>SUMIFS('TD_Z1_TotalMontant'!$E$2:$E$148,'TD_Z1_TotalMontant'!$B$2:$B$148,B8,'TD_Z1_TotalMontant'!$C$2:$C$148,"ZZ1",'TD_Z1_TotalMontant'!$D$2:$D$148,"HORS TAXE 1")</f>
        <v/>
      </c>
      <c r="I8" s="6">
        <f>SUMIFS('TD_Z1_TotalMontant'!$E$2:$E$148,'TD_Z1_TotalMontant'!$B$2:$B$148,B8,'TD_Z1_TotalMontant'!$C$2:$C$148,"ZZ1",'TD_Z1_TotalMontant'!$D$2:$D$148,"TVA 1")</f>
        <v/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>
        <f>SUMIFS('TD_Z1_TotalMontant'!$E$2:$E$148,'TD_Z1_TotalMontant'!$B$2:$B$148,B2,'TD_Z1_TotalMontant'!$C$2:$C$148,"ZZ2",'TD_Z1_TotalMontant'!$D$2:$D$148,"CA BRUT")</f>
        <v/>
      </c>
      <c r="D2" s="6">
        <f>SUMIFS('TD_Z1_TotalMontant'!$E$2:$E$148,'TD_Z1_TotalMontant'!$B$2:$B$148,B2,'TD_Z1_TotalMontant'!$C$2:$C$148,"ZZ2",'TD_Z1_TotalMontant'!$D$2:$D$148,"CA NET")</f>
        <v/>
      </c>
      <c r="E2" s="6">
        <f>SUMIFS('TD_Z1_TotalMontant'!$E$2:$E$148,'TD_Z1_TotalMontant'!$B$2:$B$148,B2,'TD_Z1_TotalMontant'!$C$2:$C$148,"ZZ2",'TD_Z1_TotalMontant'!$D$2:$D$148,"CB.TIROIR")</f>
        <v/>
      </c>
      <c r="F2" s="6">
        <f>SUMIFS('TD_Z1_TotalMontant'!$E$2:$E$148,'TD_Z1_TotalMontant'!$B$2:$B$148,B2,'TD_Z1_TotalMontant'!$C$2:$C$148,"ZZ2",'TD_Z1_TotalMontant'!$D$2:$D$148,"CHQ.TIROIR")</f>
        <v/>
      </c>
      <c r="G2" s="6">
        <f>SUMIFS('TD_Z1_TotalMontant'!$E$2:$E$148,'TD_Z1_TotalMontant'!$B$2:$B$148,B2,'TD_Z1_TotalMontant'!$C$2:$C$148,"ZZ2",'TD_Z1_TotalMontant'!$D$2:$D$148,"ESP.TIROIR")</f>
        <v/>
      </c>
      <c r="H2" s="6">
        <f>SUMIFS('TD_Z1_TotalMontant'!$E$2:$E$148,'TD_Z1_TotalMontant'!$B$2:$B$148,B2,'TD_Z1_TotalMontant'!$C$2:$C$148,"ZZ2",'TD_Z1_TotalMontant'!$D$2:$D$148,"HORS TAXE 1")</f>
        <v/>
      </c>
      <c r="I2" s="6">
        <f>SUMIFS('TD_Z1_TotalMontant'!$E$2:$E$148,'TD_Z1_TotalMontant'!$B$2:$B$148,B2,'TD_Z1_TotalMontant'!$C$2:$C$148,"ZZ2",'TD_Z1_TotalMontant'!$D$2:$D$148,"TVA 1")</f>
        <v/>
      </c>
    </row>
    <row r="3">
      <c r="A3" s="5" t="n">
        <v>2025</v>
      </c>
      <c r="B3" s="6" t="inlineStr">
        <is>
          <t>2025-02</t>
        </is>
      </c>
      <c r="C3" s="6">
        <f>SUMIFS('TD_Z1_TotalMontant'!$E$2:$E$148,'TD_Z1_TotalMontant'!$B$2:$B$148,B3,'TD_Z1_TotalMontant'!$C$2:$C$148,"ZZ2",'TD_Z1_TotalMontant'!$D$2:$D$148,"CA BRUT")</f>
        <v/>
      </c>
      <c r="D3" s="6">
        <f>SUMIFS('TD_Z1_TotalMontant'!$E$2:$E$148,'TD_Z1_TotalMontant'!$B$2:$B$148,B3,'TD_Z1_TotalMontant'!$C$2:$C$148,"ZZ2",'TD_Z1_TotalMontant'!$D$2:$D$148,"CA NET")</f>
        <v/>
      </c>
      <c r="E3" s="6">
        <f>SUMIFS('TD_Z1_TotalMontant'!$E$2:$E$148,'TD_Z1_TotalMontant'!$B$2:$B$148,B3,'TD_Z1_TotalMontant'!$C$2:$C$148,"ZZ2",'TD_Z1_TotalMontant'!$D$2:$D$148,"CB.TIROIR")</f>
        <v/>
      </c>
      <c r="F3" s="6">
        <f>SUMIFS('TD_Z1_TotalMontant'!$E$2:$E$148,'TD_Z1_TotalMontant'!$B$2:$B$148,B3,'TD_Z1_TotalMontant'!$C$2:$C$148,"ZZ2",'TD_Z1_TotalMontant'!$D$2:$D$148,"CHQ.TIROIR")</f>
        <v/>
      </c>
      <c r="G3" s="6">
        <f>SUMIFS('TD_Z1_TotalMontant'!$E$2:$E$148,'TD_Z1_TotalMontant'!$B$2:$B$148,B3,'TD_Z1_TotalMontant'!$C$2:$C$148,"ZZ2",'TD_Z1_TotalMontant'!$D$2:$D$148,"ESP.TIROIR")</f>
        <v/>
      </c>
      <c r="H3" s="6">
        <f>SUMIFS('TD_Z1_TotalMontant'!$E$2:$E$148,'TD_Z1_TotalMontant'!$B$2:$B$148,B3,'TD_Z1_TotalMontant'!$C$2:$C$148,"ZZ2",'TD_Z1_TotalMontant'!$D$2:$D$148,"HORS TAXE 1")</f>
        <v/>
      </c>
      <c r="I3" s="6">
        <f>SUMIFS('TD_Z1_TotalMontant'!$E$2:$E$148,'TD_Z1_TotalMontant'!$B$2:$B$148,B3,'TD_Z1_TotalMontant'!$C$2:$C$148,"ZZ2",'TD_Z1_TotalMontant'!$D$2:$D$148,"TVA 1")</f>
        <v/>
      </c>
    </row>
    <row r="4">
      <c r="A4" s="5" t="n">
        <v>2025</v>
      </c>
      <c r="B4" s="6" t="inlineStr">
        <is>
          <t>2025-03</t>
        </is>
      </c>
      <c r="C4" s="6">
        <f>SUMIFS('TD_Z1_TotalMontant'!$E$2:$E$148,'TD_Z1_TotalMontant'!$B$2:$B$148,B4,'TD_Z1_TotalMontant'!$C$2:$C$148,"ZZ2",'TD_Z1_TotalMontant'!$D$2:$D$148,"CA BRUT")</f>
        <v/>
      </c>
      <c r="D4" s="6">
        <f>SUMIFS('TD_Z1_TotalMontant'!$E$2:$E$148,'TD_Z1_TotalMontant'!$B$2:$B$148,B4,'TD_Z1_TotalMontant'!$C$2:$C$148,"ZZ2",'TD_Z1_TotalMontant'!$D$2:$D$148,"CA NET")</f>
        <v/>
      </c>
      <c r="E4" s="6">
        <f>SUMIFS('TD_Z1_TotalMontant'!$E$2:$E$148,'TD_Z1_TotalMontant'!$B$2:$B$148,B4,'TD_Z1_TotalMontant'!$C$2:$C$148,"ZZ2",'TD_Z1_TotalMontant'!$D$2:$D$148,"CB.TIROIR")</f>
        <v/>
      </c>
      <c r="F4" s="6">
        <f>SUMIFS('TD_Z1_TotalMontant'!$E$2:$E$148,'TD_Z1_TotalMontant'!$B$2:$B$148,B4,'TD_Z1_TotalMontant'!$C$2:$C$148,"ZZ2",'TD_Z1_TotalMontant'!$D$2:$D$148,"CHQ.TIROIR")</f>
        <v/>
      </c>
      <c r="G4" s="6">
        <f>SUMIFS('TD_Z1_TotalMontant'!$E$2:$E$148,'TD_Z1_TotalMontant'!$B$2:$B$148,B4,'TD_Z1_TotalMontant'!$C$2:$C$148,"ZZ2",'TD_Z1_TotalMontant'!$D$2:$D$148,"ESP.TIROIR")</f>
        <v/>
      </c>
      <c r="H4" s="6">
        <f>SUMIFS('TD_Z1_TotalMontant'!$E$2:$E$148,'TD_Z1_TotalMontant'!$B$2:$B$148,B4,'TD_Z1_TotalMontant'!$C$2:$C$148,"ZZ2",'TD_Z1_TotalMontant'!$D$2:$D$148,"HORS TAXE 1")</f>
        <v/>
      </c>
      <c r="I4" s="6">
        <f>SUMIFS('TD_Z1_TotalMontant'!$E$2:$E$148,'TD_Z1_TotalMontant'!$B$2:$B$148,B4,'TD_Z1_TotalMontant'!$C$2:$C$148,"ZZ2",'TD_Z1_TotalMontant'!$D$2:$D$148,"TVA 1")</f>
        <v/>
      </c>
    </row>
    <row r="5">
      <c r="A5" s="5" t="n">
        <v>2025</v>
      </c>
      <c r="B5" s="6" t="inlineStr">
        <is>
          <t>2025-04</t>
        </is>
      </c>
      <c r="C5" s="6">
        <f>SUMIFS('TD_Z1_TotalMontant'!$E$2:$E$148,'TD_Z1_TotalMontant'!$B$2:$B$148,B5,'TD_Z1_TotalMontant'!$C$2:$C$148,"ZZ2",'TD_Z1_TotalMontant'!$D$2:$D$148,"CA BRUT")</f>
        <v/>
      </c>
      <c r="D5" s="6">
        <f>SUMIFS('TD_Z1_TotalMontant'!$E$2:$E$148,'TD_Z1_TotalMontant'!$B$2:$B$148,B5,'TD_Z1_TotalMontant'!$C$2:$C$148,"ZZ2",'TD_Z1_TotalMontant'!$D$2:$D$148,"CA NET")</f>
        <v/>
      </c>
      <c r="E5" s="6">
        <f>SUMIFS('TD_Z1_TotalMontant'!$E$2:$E$148,'TD_Z1_TotalMontant'!$B$2:$B$148,B5,'TD_Z1_TotalMontant'!$C$2:$C$148,"ZZ2",'TD_Z1_TotalMontant'!$D$2:$D$148,"CB.TIROIR")</f>
        <v/>
      </c>
      <c r="F5" s="6">
        <f>SUMIFS('TD_Z1_TotalMontant'!$E$2:$E$148,'TD_Z1_TotalMontant'!$B$2:$B$148,B5,'TD_Z1_TotalMontant'!$C$2:$C$148,"ZZ2",'TD_Z1_TotalMontant'!$D$2:$D$148,"CHQ.TIROIR")</f>
        <v/>
      </c>
      <c r="G5" s="6">
        <f>SUMIFS('TD_Z1_TotalMontant'!$E$2:$E$148,'TD_Z1_TotalMontant'!$B$2:$B$148,B5,'TD_Z1_TotalMontant'!$C$2:$C$148,"ZZ2",'TD_Z1_TotalMontant'!$D$2:$D$148,"ESP.TIROIR")</f>
        <v/>
      </c>
      <c r="H5" s="6">
        <f>SUMIFS('TD_Z1_TotalMontant'!$E$2:$E$148,'TD_Z1_TotalMontant'!$B$2:$B$148,B5,'TD_Z1_TotalMontant'!$C$2:$C$148,"ZZ2",'TD_Z1_TotalMontant'!$D$2:$D$148,"HORS TAXE 1")</f>
        <v/>
      </c>
      <c r="I5" s="6">
        <f>SUMIFS('TD_Z1_TotalMontant'!$E$2:$E$148,'TD_Z1_TotalMontant'!$B$2:$B$148,B5,'TD_Z1_TotalMontant'!$C$2:$C$148,"ZZ2",'TD_Z1_TotalMontant'!$D$2:$D$148,"TVA 1")</f>
        <v/>
      </c>
    </row>
    <row r="6">
      <c r="A6" s="5" t="n">
        <v>2025</v>
      </c>
      <c r="B6" s="6" t="inlineStr">
        <is>
          <t>2025-05</t>
        </is>
      </c>
      <c r="C6" s="6">
        <f>SUMIFS('TD_Z1_TotalMontant'!$E$2:$E$148,'TD_Z1_TotalMontant'!$B$2:$B$148,B6,'TD_Z1_TotalMontant'!$C$2:$C$148,"ZZ2",'TD_Z1_TotalMontant'!$D$2:$D$148,"CA BRUT")</f>
        <v/>
      </c>
      <c r="D6" s="6">
        <f>SUMIFS('TD_Z1_TotalMontant'!$E$2:$E$148,'TD_Z1_TotalMontant'!$B$2:$B$148,B6,'TD_Z1_TotalMontant'!$C$2:$C$148,"ZZ2",'TD_Z1_TotalMontant'!$D$2:$D$148,"CA NET")</f>
        <v/>
      </c>
      <c r="E6" s="6">
        <f>SUMIFS('TD_Z1_TotalMontant'!$E$2:$E$148,'TD_Z1_TotalMontant'!$B$2:$B$148,B6,'TD_Z1_TotalMontant'!$C$2:$C$148,"ZZ2",'TD_Z1_TotalMontant'!$D$2:$D$148,"CB.TIROIR")</f>
        <v/>
      </c>
      <c r="F6" s="6">
        <f>SUMIFS('TD_Z1_TotalMontant'!$E$2:$E$148,'TD_Z1_TotalMontant'!$B$2:$B$148,B6,'TD_Z1_TotalMontant'!$C$2:$C$148,"ZZ2",'TD_Z1_TotalMontant'!$D$2:$D$148,"CHQ.TIROIR")</f>
        <v/>
      </c>
      <c r="G6" s="6">
        <f>SUMIFS('TD_Z1_TotalMontant'!$E$2:$E$148,'TD_Z1_TotalMontant'!$B$2:$B$148,B6,'TD_Z1_TotalMontant'!$C$2:$C$148,"ZZ2",'TD_Z1_TotalMontant'!$D$2:$D$148,"ESP.TIROIR")</f>
        <v/>
      </c>
      <c r="H6" s="6">
        <f>SUMIFS('TD_Z1_TotalMontant'!$E$2:$E$148,'TD_Z1_TotalMontant'!$B$2:$B$148,B6,'TD_Z1_TotalMontant'!$C$2:$C$148,"ZZ2",'TD_Z1_TotalMontant'!$D$2:$D$148,"HORS TAXE 1")</f>
        <v/>
      </c>
      <c r="I6" s="6">
        <f>SUMIFS('TD_Z1_TotalMontant'!$E$2:$E$148,'TD_Z1_TotalMontant'!$B$2:$B$148,B6,'TD_Z1_TotalMontant'!$C$2:$C$148,"ZZ2",'TD_Z1_TotalMontant'!$D$2:$D$148,"TVA 1")</f>
        <v/>
      </c>
    </row>
    <row r="7">
      <c r="A7" s="5" t="n">
        <v>2025</v>
      </c>
      <c r="B7" s="6" t="inlineStr">
        <is>
          <t>2025-06|2025-07</t>
        </is>
      </c>
      <c r="C7" s="6">
        <f>SUMIFS('TD_Z1_TotalMontant'!$E$2:$E$148,'TD_Z1_TotalMontant'!$B$2:$B$148,B7,'TD_Z1_TotalMontant'!$C$2:$C$148,"ZZ2",'TD_Z1_TotalMontant'!$D$2:$D$148,"CA BRUT")</f>
        <v/>
      </c>
      <c r="D7" s="6">
        <f>SUMIFS('TD_Z1_TotalMontant'!$E$2:$E$148,'TD_Z1_TotalMontant'!$B$2:$B$148,B7,'TD_Z1_TotalMontant'!$C$2:$C$148,"ZZ2",'TD_Z1_TotalMontant'!$D$2:$D$148,"CA NET")</f>
        <v/>
      </c>
      <c r="E7" s="6">
        <f>SUMIFS('TD_Z1_TotalMontant'!$E$2:$E$148,'TD_Z1_TotalMontant'!$B$2:$B$148,B7,'TD_Z1_TotalMontant'!$C$2:$C$148,"ZZ2",'TD_Z1_TotalMontant'!$D$2:$D$148,"CB.TIROIR")</f>
        <v/>
      </c>
      <c r="F7" s="6">
        <f>SUMIFS('TD_Z1_TotalMontant'!$E$2:$E$148,'TD_Z1_TotalMontant'!$B$2:$B$148,B7,'TD_Z1_TotalMontant'!$C$2:$C$148,"ZZ2",'TD_Z1_TotalMontant'!$D$2:$D$148,"CHQ.TIROIR")</f>
        <v/>
      </c>
      <c r="G7" s="6">
        <f>SUMIFS('TD_Z1_TotalMontant'!$E$2:$E$148,'TD_Z1_TotalMontant'!$B$2:$B$148,B7,'TD_Z1_TotalMontant'!$C$2:$C$148,"ZZ2",'TD_Z1_TotalMontant'!$D$2:$D$148,"ESP.TIROIR")</f>
        <v/>
      </c>
      <c r="H7" s="6">
        <f>SUMIFS('TD_Z1_TotalMontant'!$E$2:$E$148,'TD_Z1_TotalMontant'!$B$2:$B$148,B7,'TD_Z1_TotalMontant'!$C$2:$C$148,"ZZ2",'TD_Z1_TotalMontant'!$D$2:$D$148,"HORS TAXE 1")</f>
        <v/>
      </c>
      <c r="I7" s="6">
        <f>SUMIFS('TD_Z1_TotalMontant'!$E$2:$E$148,'TD_Z1_TotalMontant'!$B$2:$B$148,B7,'TD_Z1_TotalMontant'!$C$2:$C$148,"ZZ2",'TD_Z1_TotalMontant'!$D$2:$D$148,"TVA 1")</f>
        <v/>
      </c>
    </row>
    <row r="8">
      <c r="A8" s="5" t="n">
        <v>2025</v>
      </c>
      <c r="B8" s="6" t="inlineStr">
        <is>
          <t>2025-08</t>
        </is>
      </c>
      <c r="C8" s="6">
        <f>SUMIFS('TD_Z1_TotalMontant'!$E$2:$E$148,'TD_Z1_TotalMontant'!$B$2:$B$148,B8,'TD_Z1_TotalMontant'!$C$2:$C$148,"ZZ2",'TD_Z1_TotalMontant'!$D$2:$D$148,"CA BRUT")</f>
        <v/>
      </c>
      <c r="D8" s="6">
        <f>SUMIFS('TD_Z1_TotalMontant'!$E$2:$E$148,'TD_Z1_TotalMontant'!$B$2:$B$148,B8,'TD_Z1_TotalMontant'!$C$2:$C$148,"ZZ2",'TD_Z1_TotalMontant'!$D$2:$D$148,"CA NET")</f>
        <v/>
      </c>
      <c r="E8" s="6">
        <f>SUMIFS('TD_Z1_TotalMontant'!$E$2:$E$148,'TD_Z1_TotalMontant'!$B$2:$B$148,B8,'TD_Z1_TotalMontant'!$C$2:$C$148,"ZZ2",'TD_Z1_TotalMontant'!$D$2:$D$148,"CB.TIROIR")</f>
        <v/>
      </c>
      <c r="F8" s="6">
        <f>SUMIFS('TD_Z1_TotalMontant'!$E$2:$E$148,'TD_Z1_TotalMontant'!$B$2:$B$148,B8,'TD_Z1_TotalMontant'!$C$2:$C$148,"ZZ2",'TD_Z1_TotalMontant'!$D$2:$D$148,"CHQ.TIROIR")</f>
        <v/>
      </c>
      <c r="G8" s="6">
        <f>SUMIFS('TD_Z1_TotalMontant'!$E$2:$E$148,'TD_Z1_TotalMontant'!$B$2:$B$148,B8,'TD_Z1_TotalMontant'!$C$2:$C$148,"ZZ2",'TD_Z1_TotalMontant'!$D$2:$D$148,"ESP.TIROIR")</f>
        <v/>
      </c>
      <c r="H8" s="6">
        <f>SUMIFS('TD_Z1_TotalMontant'!$E$2:$E$148,'TD_Z1_TotalMontant'!$B$2:$B$148,B8,'TD_Z1_TotalMontant'!$C$2:$C$148,"ZZ2",'TD_Z1_TotalMontant'!$D$2:$D$148,"HORS TAXE 1")</f>
        <v/>
      </c>
      <c r="I8" s="6">
        <f>SUMIFS('TD_Z1_TotalMontant'!$E$2:$E$148,'TD_Z1_TotalMontant'!$B$2:$B$148,B8,'TD_Z1_TotalMontant'!$C$2:$C$148,"ZZ2",'TD_Z1_TotalMontant'!$D$2:$D$148,"TVA 1")</f>
        <v/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>
        <f>SUMIFS('TD_Z1_TotalMontant'!$E$2:$E$148,'TD_Z1_TotalMontant'!$B$2:$B$148,B2,'TD_Z1_TotalMontant'!$C$2:$C$148,"Z",'TD_Z1_TotalMontant'!$D$2:$D$148,"CA BRUT")</f>
        <v/>
      </c>
      <c r="D2" s="6">
        <f>SUMIFS('TD_Z1_TotalMontant'!$E$2:$E$148,'TD_Z1_TotalMontant'!$B$2:$B$148,B2,'TD_Z1_TotalMontant'!$C$2:$C$148,"Z",'TD_Z1_TotalMontant'!$D$2:$D$148,"CA NET")</f>
        <v/>
      </c>
      <c r="E2" s="6">
        <f>SUMIFS('TD_Z1_TotalMontant'!$E$2:$E$148,'TD_Z1_TotalMontant'!$B$2:$B$148,B2,'TD_Z1_TotalMontant'!$C$2:$C$148,"Z",'TD_Z1_TotalMontant'!$D$2:$D$148,"CB.TIROIR")</f>
        <v/>
      </c>
      <c r="F2" s="6">
        <f>SUMIFS('TD_Z1_TotalMontant'!$E$2:$E$148,'TD_Z1_TotalMontant'!$B$2:$B$148,B2,'TD_Z1_TotalMontant'!$C$2:$C$148,"Z",'TD_Z1_TotalMontant'!$D$2:$D$148,"CHQ.TIROIR")</f>
        <v/>
      </c>
      <c r="G2" s="6">
        <f>SUMIFS('TD_Z1_TotalMontant'!$E$2:$E$148,'TD_Z1_TotalMontant'!$B$2:$B$148,B2,'TD_Z1_TotalMontant'!$C$2:$C$148,"Z",'TD_Z1_TotalMontant'!$D$2:$D$148,"ESP.TIROIR")</f>
        <v/>
      </c>
      <c r="H2" s="6">
        <f>SUMIFS('TD_Z1_TotalMontant'!$E$2:$E$148,'TD_Z1_TotalMontant'!$B$2:$B$148,B2,'TD_Z1_TotalMontant'!$C$2:$C$148,"Z",'TD_Z1_TotalMontant'!$D$2:$D$148,"HORS TAXE 1")</f>
        <v/>
      </c>
      <c r="I2" s="6">
        <f>SUMIFS('TD_Z1_TotalMontant'!$E$2:$E$148,'TD_Z1_TotalMontant'!$B$2:$B$148,B2,'TD_Z1_TotalMontant'!$C$2:$C$148,"Z",'TD_Z1_TotalMontant'!$D$2:$D$148,"TVA 1")</f>
        <v/>
      </c>
    </row>
    <row r="3">
      <c r="A3" s="5" t="n">
        <v>2025</v>
      </c>
      <c r="B3" s="6" t="inlineStr">
        <is>
          <t>2025-02</t>
        </is>
      </c>
      <c r="C3" s="6">
        <f>SUMIFS('TD_Z1_TotalMontant'!$E$2:$E$148,'TD_Z1_TotalMontant'!$B$2:$B$148,B3,'TD_Z1_TotalMontant'!$C$2:$C$148,"Z",'TD_Z1_TotalMontant'!$D$2:$D$148,"CA BRUT")</f>
        <v/>
      </c>
      <c r="D3" s="6">
        <f>SUMIFS('TD_Z1_TotalMontant'!$E$2:$E$148,'TD_Z1_TotalMontant'!$B$2:$B$148,B3,'TD_Z1_TotalMontant'!$C$2:$C$148,"Z",'TD_Z1_TotalMontant'!$D$2:$D$148,"CA NET")</f>
        <v/>
      </c>
      <c r="E3" s="6">
        <f>SUMIFS('TD_Z1_TotalMontant'!$E$2:$E$148,'TD_Z1_TotalMontant'!$B$2:$B$148,B3,'TD_Z1_TotalMontant'!$C$2:$C$148,"Z",'TD_Z1_TotalMontant'!$D$2:$D$148,"CB.TIROIR")</f>
        <v/>
      </c>
      <c r="F3" s="6">
        <f>SUMIFS('TD_Z1_TotalMontant'!$E$2:$E$148,'TD_Z1_TotalMontant'!$B$2:$B$148,B3,'TD_Z1_TotalMontant'!$C$2:$C$148,"Z",'TD_Z1_TotalMontant'!$D$2:$D$148,"CHQ.TIROIR")</f>
        <v/>
      </c>
      <c r="G3" s="6">
        <f>SUMIFS('TD_Z1_TotalMontant'!$E$2:$E$148,'TD_Z1_TotalMontant'!$B$2:$B$148,B3,'TD_Z1_TotalMontant'!$C$2:$C$148,"Z",'TD_Z1_TotalMontant'!$D$2:$D$148,"ESP.TIROIR")</f>
        <v/>
      </c>
      <c r="H3" s="6">
        <f>SUMIFS('TD_Z1_TotalMontant'!$E$2:$E$148,'TD_Z1_TotalMontant'!$B$2:$B$148,B3,'TD_Z1_TotalMontant'!$C$2:$C$148,"Z",'TD_Z1_TotalMontant'!$D$2:$D$148,"HORS TAXE 1")</f>
        <v/>
      </c>
      <c r="I3" s="6">
        <f>SUMIFS('TD_Z1_TotalMontant'!$E$2:$E$148,'TD_Z1_TotalMontant'!$B$2:$B$148,B3,'TD_Z1_TotalMontant'!$C$2:$C$148,"Z",'TD_Z1_TotalMontant'!$D$2:$D$148,"TVA 1")</f>
        <v/>
      </c>
    </row>
    <row r="4">
      <c r="A4" s="5" t="n">
        <v>2025</v>
      </c>
      <c r="B4" s="6" t="inlineStr">
        <is>
          <t>2025-03</t>
        </is>
      </c>
      <c r="C4" s="6">
        <f>SUMIFS('TD_Z1_TotalMontant'!$E$2:$E$148,'TD_Z1_TotalMontant'!$B$2:$B$148,B4,'TD_Z1_TotalMontant'!$C$2:$C$148,"Z",'TD_Z1_TotalMontant'!$D$2:$D$148,"CA BRUT")</f>
        <v/>
      </c>
      <c r="D4" s="6">
        <f>SUMIFS('TD_Z1_TotalMontant'!$E$2:$E$148,'TD_Z1_TotalMontant'!$B$2:$B$148,B4,'TD_Z1_TotalMontant'!$C$2:$C$148,"Z",'TD_Z1_TotalMontant'!$D$2:$D$148,"CA NET")</f>
        <v/>
      </c>
      <c r="E4" s="6">
        <f>SUMIFS('TD_Z1_TotalMontant'!$E$2:$E$148,'TD_Z1_TotalMontant'!$B$2:$B$148,B4,'TD_Z1_TotalMontant'!$C$2:$C$148,"Z",'TD_Z1_TotalMontant'!$D$2:$D$148,"CB.TIROIR")</f>
        <v/>
      </c>
      <c r="F4" s="6">
        <f>SUMIFS('TD_Z1_TotalMontant'!$E$2:$E$148,'TD_Z1_TotalMontant'!$B$2:$B$148,B4,'TD_Z1_TotalMontant'!$C$2:$C$148,"Z",'TD_Z1_TotalMontant'!$D$2:$D$148,"CHQ.TIROIR")</f>
        <v/>
      </c>
      <c r="G4" s="6">
        <f>SUMIFS('TD_Z1_TotalMontant'!$E$2:$E$148,'TD_Z1_TotalMontant'!$B$2:$B$148,B4,'TD_Z1_TotalMontant'!$C$2:$C$148,"Z",'TD_Z1_TotalMontant'!$D$2:$D$148,"ESP.TIROIR")</f>
        <v/>
      </c>
      <c r="H4" s="6">
        <f>SUMIFS('TD_Z1_TotalMontant'!$E$2:$E$148,'TD_Z1_TotalMontant'!$B$2:$B$148,B4,'TD_Z1_TotalMontant'!$C$2:$C$148,"Z",'TD_Z1_TotalMontant'!$D$2:$D$148,"HORS TAXE 1")</f>
        <v/>
      </c>
      <c r="I4" s="6">
        <f>SUMIFS('TD_Z1_TotalMontant'!$E$2:$E$148,'TD_Z1_TotalMontant'!$B$2:$B$148,B4,'TD_Z1_TotalMontant'!$C$2:$C$148,"Z",'TD_Z1_TotalMontant'!$D$2:$D$148,"TVA 1")</f>
        <v/>
      </c>
    </row>
    <row r="5">
      <c r="A5" s="5" t="n">
        <v>2025</v>
      </c>
      <c r="B5" s="6" t="inlineStr">
        <is>
          <t>2025-04</t>
        </is>
      </c>
      <c r="C5" s="6">
        <f>SUMIFS('TD_Z1_TotalMontant'!$E$2:$E$148,'TD_Z1_TotalMontant'!$B$2:$B$148,B5,'TD_Z1_TotalMontant'!$C$2:$C$148,"Z",'TD_Z1_TotalMontant'!$D$2:$D$148,"CA BRUT")</f>
        <v/>
      </c>
      <c r="D5" s="6">
        <f>SUMIFS('TD_Z1_TotalMontant'!$E$2:$E$148,'TD_Z1_TotalMontant'!$B$2:$B$148,B5,'TD_Z1_TotalMontant'!$C$2:$C$148,"Z",'TD_Z1_TotalMontant'!$D$2:$D$148,"CA NET")</f>
        <v/>
      </c>
      <c r="E5" s="6">
        <f>SUMIFS('TD_Z1_TotalMontant'!$E$2:$E$148,'TD_Z1_TotalMontant'!$B$2:$B$148,B5,'TD_Z1_TotalMontant'!$C$2:$C$148,"Z",'TD_Z1_TotalMontant'!$D$2:$D$148,"CB.TIROIR")</f>
        <v/>
      </c>
      <c r="F5" s="6">
        <f>SUMIFS('TD_Z1_TotalMontant'!$E$2:$E$148,'TD_Z1_TotalMontant'!$B$2:$B$148,B5,'TD_Z1_TotalMontant'!$C$2:$C$148,"Z",'TD_Z1_TotalMontant'!$D$2:$D$148,"CHQ.TIROIR")</f>
        <v/>
      </c>
      <c r="G5" s="6">
        <f>SUMIFS('TD_Z1_TotalMontant'!$E$2:$E$148,'TD_Z1_TotalMontant'!$B$2:$B$148,B5,'TD_Z1_TotalMontant'!$C$2:$C$148,"Z",'TD_Z1_TotalMontant'!$D$2:$D$148,"ESP.TIROIR")</f>
        <v/>
      </c>
      <c r="H5" s="6">
        <f>SUMIFS('TD_Z1_TotalMontant'!$E$2:$E$148,'TD_Z1_TotalMontant'!$B$2:$B$148,B5,'TD_Z1_TotalMontant'!$C$2:$C$148,"Z",'TD_Z1_TotalMontant'!$D$2:$D$148,"HORS TAXE 1")</f>
        <v/>
      </c>
      <c r="I5" s="6">
        <f>SUMIFS('TD_Z1_TotalMontant'!$E$2:$E$148,'TD_Z1_TotalMontant'!$B$2:$B$148,B5,'TD_Z1_TotalMontant'!$C$2:$C$148,"Z",'TD_Z1_TotalMontant'!$D$2:$D$148,"TVA 1")</f>
        <v/>
      </c>
    </row>
    <row r="6">
      <c r="A6" s="5" t="n">
        <v>2025</v>
      </c>
      <c r="B6" s="6" t="inlineStr">
        <is>
          <t>2025-05</t>
        </is>
      </c>
      <c r="C6" s="6">
        <f>SUMIFS('TD_Z1_TotalMontant'!$E$2:$E$148,'TD_Z1_TotalMontant'!$B$2:$B$148,B6,'TD_Z1_TotalMontant'!$C$2:$C$148,"Z",'TD_Z1_TotalMontant'!$D$2:$D$148,"CA BRUT")</f>
        <v/>
      </c>
      <c r="D6" s="6">
        <f>SUMIFS('TD_Z1_TotalMontant'!$E$2:$E$148,'TD_Z1_TotalMontant'!$B$2:$B$148,B6,'TD_Z1_TotalMontant'!$C$2:$C$148,"Z",'TD_Z1_TotalMontant'!$D$2:$D$148,"CA NET")</f>
        <v/>
      </c>
      <c r="E6" s="6">
        <f>SUMIFS('TD_Z1_TotalMontant'!$E$2:$E$148,'TD_Z1_TotalMontant'!$B$2:$B$148,B6,'TD_Z1_TotalMontant'!$C$2:$C$148,"Z",'TD_Z1_TotalMontant'!$D$2:$D$148,"CB.TIROIR")</f>
        <v/>
      </c>
      <c r="F6" s="6">
        <f>SUMIFS('TD_Z1_TotalMontant'!$E$2:$E$148,'TD_Z1_TotalMontant'!$B$2:$B$148,B6,'TD_Z1_TotalMontant'!$C$2:$C$148,"Z",'TD_Z1_TotalMontant'!$D$2:$D$148,"CHQ.TIROIR")</f>
        <v/>
      </c>
      <c r="G6" s="6">
        <f>SUMIFS('TD_Z1_TotalMontant'!$E$2:$E$148,'TD_Z1_TotalMontant'!$B$2:$B$148,B6,'TD_Z1_TotalMontant'!$C$2:$C$148,"Z",'TD_Z1_TotalMontant'!$D$2:$D$148,"ESP.TIROIR")</f>
        <v/>
      </c>
      <c r="H6" s="6">
        <f>SUMIFS('TD_Z1_TotalMontant'!$E$2:$E$148,'TD_Z1_TotalMontant'!$B$2:$B$148,B6,'TD_Z1_TotalMontant'!$C$2:$C$148,"Z",'TD_Z1_TotalMontant'!$D$2:$D$148,"HORS TAXE 1")</f>
        <v/>
      </c>
      <c r="I6" s="6">
        <f>SUMIFS('TD_Z1_TotalMontant'!$E$2:$E$148,'TD_Z1_TotalMontant'!$B$2:$B$148,B6,'TD_Z1_TotalMontant'!$C$2:$C$148,"Z",'TD_Z1_TotalMontant'!$D$2:$D$148,"TVA 1")</f>
        <v/>
      </c>
    </row>
    <row r="7">
      <c r="A7" s="5" t="n">
        <v>2025</v>
      </c>
      <c r="B7" s="6" t="inlineStr">
        <is>
          <t>2025-06|2025-07</t>
        </is>
      </c>
      <c r="C7" s="6">
        <f>SUMIFS('TD_Z1_TotalMontant'!$E$2:$E$148,'TD_Z1_TotalMontant'!$B$2:$B$148,B7,'TD_Z1_TotalMontant'!$C$2:$C$148,"Z",'TD_Z1_TotalMontant'!$D$2:$D$148,"CA BRUT")</f>
        <v/>
      </c>
      <c r="D7" s="6">
        <f>SUMIFS('TD_Z1_TotalMontant'!$E$2:$E$148,'TD_Z1_TotalMontant'!$B$2:$B$148,B7,'TD_Z1_TotalMontant'!$C$2:$C$148,"Z",'TD_Z1_TotalMontant'!$D$2:$D$148,"CA NET")</f>
        <v/>
      </c>
      <c r="E7" s="6">
        <f>SUMIFS('TD_Z1_TotalMontant'!$E$2:$E$148,'TD_Z1_TotalMontant'!$B$2:$B$148,B7,'TD_Z1_TotalMontant'!$C$2:$C$148,"Z",'TD_Z1_TotalMontant'!$D$2:$D$148,"CB.TIROIR")</f>
        <v/>
      </c>
      <c r="F7" s="6">
        <f>SUMIFS('TD_Z1_TotalMontant'!$E$2:$E$148,'TD_Z1_TotalMontant'!$B$2:$B$148,B7,'TD_Z1_TotalMontant'!$C$2:$C$148,"Z",'TD_Z1_TotalMontant'!$D$2:$D$148,"CHQ.TIROIR")</f>
        <v/>
      </c>
      <c r="G7" s="6">
        <f>SUMIFS('TD_Z1_TotalMontant'!$E$2:$E$148,'TD_Z1_TotalMontant'!$B$2:$B$148,B7,'TD_Z1_TotalMontant'!$C$2:$C$148,"Z",'TD_Z1_TotalMontant'!$D$2:$D$148,"ESP.TIROIR")</f>
        <v/>
      </c>
      <c r="H7" s="6">
        <f>SUMIFS('TD_Z1_TotalMontant'!$E$2:$E$148,'TD_Z1_TotalMontant'!$B$2:$B$148,B7,'TD_Z1_TotalMontant'!$C$2:$C$148,"Z",'TD_Z1_TotalMontant'!$D$2:$D$148,"HORS TAXE 1")</f>
        <v/>
      </c>
      <c r="I7" s="6">
        <f>SUMIFS('TD_Z1_TotalMontant'!$E$2:$E$148,'TD_Z1_TotalMontant'!$B$2:$B$148,B7,'TD_Z1_TotalMontant'!$C$2:$C$148,"Z",'TD_Z1_TotalMontant'!$D$2:$D$148,"TVA 1")</f>
        <v/>
      </c>
    </row>
    <row r="8">
      <c r="A8" s="5" t="n">
        <v>2025</v>
      </c>
      <c r="B8" s="6" t="inlineStr">
        <is>
          <t>2025-08</t>
        </is>
      </c>
      <c r="C8" s="6">
        <f>SUMIFS('TD_Z1_TotalMontant'!$E$2:$E$148,'TD_Z1_TotalMontant'!$B$2:$B$148,B8,'TD_Z1_TotalMontant'!$C$2:$C$148,"Z",'TD_Z1_TotalMontant'!$D$2:$D$148,"CA BRUT")</f>
        <v/>
      </c>
      <c r="D8" s="6">
        <f>SUMIFS('TD_Z1_TotalMontant'!$E$2:$E$148,'TD_Z1_TotalMontant'!$B$2:$B$148,B8,'TD_Z1_TotalMontant'!$C$2:$C$148,"Z",'TD_Z1_TotalMontant'!$D$2:$D$148,"CA NET")</f>
        <v/>
      </c>
      <c r="E8" s="6">
        <f>SUMIFS('TD_Z1_TotalMontant'!$E$2:$E$148,'TD_Z1_TotalMontant'!$B$2:$B$148,B8,'TD_Z1_TotalMontant'!$C$2:$C$148,"Z",'TD_Z1_TotalMontant'!$D$2:$D$148,"CB.TIROIR")</f>
        <v/>
      </c>
      <c r="F8" s="6">
        <f>SUMIFS('TD_Z1_TotalMontant'!$E$2:$E$148,'TD_Z1_TotalMontant'!$B$2:$B$148,B8,'TD_Z1_TotalMontant'!$C$2:$C$148,"Z",'TD_Z1_TotalMontant'!$D$2:$D$148,"CHQ.TIROIR")</f>
        <v/>
      </c>
      <c r="G8" s="6">
        <f>SUMIFS('TD_Z1_TotalMontant'!$E$2:$E$148,'TD_Z1_TotalMontant'!$B$2:$B$148,B8,'TD_Z1_TotalMontant'!$C$2:$C$148,"Z",'TD_Z1_TotalMontant'!$D$2:$D$148,"ESP.TIROIR")</f>
        <v/>
      </c>
      <c r="H8" s="6">
        <f>SUMIFS('TD_Z1_TotalMontant'!$E$2:$E$148,'TD_Z1_TotalMontant'!$B$2:$B$148,B8,'TD_Z1_TotalMontant'!$C$2:$C$148,"Z",'TD_Z1_TotalMontant'!$D$2:$D$148,"HORS TAXE 1")</f>
        <v/>
      </c>
      <c r="I8" s="6">
        <f>SUMIFS('TD_Z1_TotalMontant'!$E$2:$E$148,'TD_Z1_TotalMontant'!$B$2:$B$148,B8,'TD_Z1_TotalMontant'!$C$2:$C$148,"Z",'TD_Z1_TotalMontant'!$D$2:$D$148,"TVA 1")</f>
        <v/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5" t="n">
        <v>2025</v>
      </c>
      <c r="B2" s="6" t="inlineStr">
        <is>
          <t>2025-01</t>
        </is>
      </c>
      <c r="C2" s="2">
        <f>'Z1_Total_ModeZ'!C2</f>
        <v/>
      </c>
      <c r="D2" s="2" t="n">
        <v>11680.3</v>
      </c>
      <c r="E2" s="6">
        <f>C2-D2</f>
        <v/>
      </c>
      <c r="F2" s="2">
        <f>'Z1_Total_ModeZ'!H2</f>
        <v/>
      </c>
      <c r="G2" s="2" t="n">
        <v>9733.59</v>
      </c>
      <c r="H2" s="6">
        <f>F2-G2</f>
        <v/>
      </c>
      <c r="I2" s="2">
        <f>'Z1_Total_ModeZ'!I2</f>
        <v/>
      </c>
      <c r="J2" s="2" t="n">
        <v>1946.71</v>
      </c>
      <c r="K2" s="6">
        <f>I2-J2</f>
        <v/>
      </c>
    </row>
    <row r="3">
      <c r="A3" s="5" t="n">
        <v>2025</v>
      </c>
      <c r="B3" s="6" t="inlineStr">
        <is>
          <t>2025-02</t>
        </is>
      </c>
      <c r="C3" s="2">
        <f>'Z1_Total_ModeZ'!C3</f>
        <v/>
      </c>
      <c r="D3" s="2" t="n">
        <v>4578.8</v>
      </c>
      <c r="E3" s="6">
        <f>C3-D3</f>
        <v/>
      </c>
      <c r="F3" s="2">
        <f>'Z1_Total_ModeZ'!H3</f>
        <v/>
      </c>
      <c r="G3" s="2" t="n">
        <v>3815.68</v>
      </c>
      <c r="H3" s="6">
        <f>F3-G3</f>
        <v/>
      </c>
      <c r="I3" s="2">
        <f>'Z1_Total_ModeZ'!I3</f>
        <v/>
      </c>
      <c r="J3" s="2" t="n">
        <v>763.12</v>
      </c>
      <c r="K3" s="6">
        <f>I3-J3</f>
        <v/>
      </c>
    </row>
    <row r="4">
      <c r="A4" s="5" t="n">
        <v>2025</v>
      </c>
      <c r="B4" s="6" t="inlineStr">
        <is>
          <t>2025-03</t>
        </is>
      </c>
      <c r="C4" s="2">
        <f>'Z1_Total_ModeZ'!C4</f>
        <v/>
      </c>
      <c r="D4" s="2" t="n">
        <v>3853.7</v>
      </c>
      <c r="E4" s="6">
        <f>C4-D4</f>
        <v/>
      </c>
      <c r="F4" s="2">
        <f>'Z1_Total_ModeZ'!H4</f>
        <v/>
      </c>
      <c r="G4" s="2" t="n">
        <v>3211.42</v>
      </c>
      <c r="H4" s="6">
        <f>F4-G4</f>
        <v/>
      </c>
      <c r="I4" s="2">
        <f>'Z1_Total_ModeZ'!I4</f>
        <v/>
      </c>
      <c r="J4" s="2" t="n">
        <v>642.28</v>
      </c>
      <c r="K4" s="6">
        <f>I4-J4</f>
        <v/>
      </c>
    </row>
    <row r="5">
      <c r="A5" s="5" t="n">
        <v>2025</v>
      </c>
      <c r="B5" s="6" t="inlineStr">
        <is>
          <t>2025-04</t>
        </is>
      </c>
      <c r="C5" s="2">
        <f>'Z1_Total_ModeZ'!C5</f>
        <v/>
      </c>
      <c r="D5" s="2" t="n">
        <v>0</v>
      </c>
      <c r="E5" s="6">
        <f>C5-D5</f>
        <v/>
      </c>
      <c r="F5" s="2">
        <f>'Z1_Total_ModeZ'!H5</f>
        <v/>
      </c>
      <c r="G5" s="2" t="n">
        <v>0</v>
      </c>
      <c r="H5" s="6">
        <f>F5-G5</f>
        <v/>
      </c>
      <c r="I5" s="2">
        <f>'Z1_Total_ModeZ'!I5</f>
        <v/>
      </c>
      <c r="J5" s="2" t="n">
        <v>0</v>
      </c>
      <c r="K5" s="6">
        <f>I5-J5</f>
        <v/>
      </c>
    </row>
    <row r="6">
      <c r="A6" s="5" t="n">
        <v>2025</v>
      </c>
      <c r="B6" s="6" t="inlineStr">
        <is>
          <t>2025-05</t>
        </is>
      </c>
      <c r="C6" s="2">
        <f>'Z1_Total_ModeZ'!C6</f>
        <v/>
      </c>
      <c r="D6" s="2" t="n">
        <v>0</v>
      </c>
      <c r="E6" s="6">
        <f>C6-D6</f>
        <v/>
      </c>
      <c r="F6" s="2">
        <f>'Z1_Total_ModeZ'!H6</f>
        <v/>
      </c>
      <c r="G6" s="2" t="n">
        <v>0</v>
      </c>
      <c r="H6" s="6">
        <f>F6-G6</f>
        <v/>
      </c>
      <c r="I6" s="2">
        <f>'Z1_Total_ModeZ'!I6</f>
        <v/>
      </c>
      <c r="J6" s="2" t="n">
        <v>0</v>
      </c>
      <c r="K6" s="6">
        <f>I6-J6</f>
        <v/>
      </c>
    </row>
    <row r="7">
      <c r="A7" s="5" t="n">
        <v>2025</v>
      </c>
      <c r="B7" s="6" t="inlineStr">
        <is>
          <t>2025-06|2025-07</t>
        </is>
      </c>
      <c r="C7" s="2">
        <f>'Z1_Total_ModeZ'!C7</f>
        <v/>
      </c>
      <c r="D7" s="2" t="n">
        <v>27074.6</v>
      </c>
      <c r="E7" s="6">
        <f>C7-D7</f>
        <v/>
      </c>
      <c r="F7" s="2">
        <f>'Z1_Total_ModeZ'!H7</f>
        <v/>
      </c>
      <c r="G7" s="2" t="n">
        <v>22562.17</v>
      </c>
      <c r="H7" s="6">
        <f>F7-G7</f>
        <v/>
      </c>
      <c r="I7" s="2">
        <f>'Z1_Total_ModeZ'!I7</f>
        <v/>
      </c>
      <c r="J7" s="2" t="n">
        <v>4512.43</v>
      </c>
      <c r="K7" s="6">
        <f>I7-J7</f>
        <v/>
      </c>
    </row>
    <row r="8">
      <c r="A8" s="5" t="n">
        <v>2025</v>
      </c>
      <c r="B8" s="6" t="inlineStr">
        <is>
          <t>2025-08</t>
        </is>
      </c>
      <c r="C8" s="2">
        <f>'Z1_Total_ModeZ'!C8</f>
        <v/>
      </c>
      <c r="D8" s="2" t="n">
        <v>2176</v>
      </c>
      <c r="E8" s="6">
        <f>C8-D8</f>
        <v/>
      </c>
      <c r="F8" s="2">
        <f>'Z1_Total_ModeZ'!H8</f>
        <v/>
      </c>
      <c r="G8" s="2" t="n">
        <v>1813.33</v>
      </c>
      <c r="H8" s="6">
        <f>F8-G8</f>
        <v/>
      </c>
      <c r="I8" s="2">
        <f>'Z1_Total_ModeZ'!I8</f>
        <v/>
      </c>
      <c r="J8" s="2" t="n">
        <v>362.67</v>
      </c>
      <c r="K8" s="6">
        <f>I8-J8</f>
        <v/>
      </c>
    </row>
  </sheetData>
  <autoFilter ref="A1:K8"/>
  <conditionalFormatting sqref="E2:E8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8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8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2026-08-15T11:39:33Z</dcterms:created>
  <dcterms:modified xsi:type="dcterms:W3CDTF">2026-08-15T11:39:34Z</dcterms:modified>
</cp:coreProperties>
</file>
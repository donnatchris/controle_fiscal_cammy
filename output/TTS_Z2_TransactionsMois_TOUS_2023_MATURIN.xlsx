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3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'Z2_2023_MATURIN_0'!$A$1:$M$751</definedName>
    <definedName name="_xlnm._FilterDatabase" localSheetId="1" hidden="1">'Z2_CplteAnneeMois'!$A$1:$O$751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751" headerRowCount="1">
  <autoFilter ref="A1:M7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751" headerRowCount="1">
  <autoFilter ref="A1:O7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Z002_01_012023_MATURIN.CSV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ESPECES</t>
        </is>
      </c>
      <c r="L2" s="5" t="n">
        <v>10</v>
      </c>
      <c r="M2" s="5" t="n">
        <v>5248</v>
      </c>
    </row>
    <row r="3">
      <c r="A3" s="2" t="inlineStr">
        <is>
          <t>Z002_01_012023_MATURIN.CSV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</row>
    <row r="4">
      <c r="A4" s="2" t="inlineStr">
        <is>
          <t>Z002_01_012023_MATURIN.CSV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CARTES</t>
        </is>
      </c>
      <c r="L4" s="5" t="n">
        <v>22</v>
      </c>
      <c r="M4" s="5" t="n">
        <v>17964.6</v>
      </c>
    </row>
    <row r="5">
      <c r="A5" s="2" t="inlineStr">
        <is>
          <t>Z002_01_012023_MATURIN.CSV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</row>
    <row r="6">
      <c r="A6" s="2" t="inlineStr">
        <is>
          <t>Z002_01_012023_MATURIN.CSV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</row>
    <row r="7">
      <c r="A7" s="2" t="inlineStr">
        <is>
          <t>Z002_01_012023_MATURIN.CSV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</row>
    <row r="8">
      <c r="A8" s="2" t="inlineStr">
        <is>
          <t>Z002_01_012023_MATURIN.CSV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</row>
    <row r="9">
      <c r="A9" s="2" t="inlineStr">
        <is>
          <t>Z002_01_012023_MATURIN.CSV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</row>
    <row r="10">
      <c r="A10" s="2" t="inlineStr">
        <is>
          <t>Z002_01_012023_MATURIN.CSV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</row>
    <row r="11">
      <c r="A11" s="2" t="inlineStr">
        <is>
          <t>Z002_01_012023_MATURIN.CSV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</row>
    <row r="12">
      <c r="A12" s="2" t="inlineStr">
        <is>
          <t>Z002_01_012023_MATURIN.CSV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</row>
    <row r="13">
      <c r="A13" s="2" t="inlineStr">
        <is>
          <t>Z002_01_012023_MATURIN.CSV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</row>
    <row r="14">
      <c r="A14" s="2" t="inlineStr">
        <is>
          <t>Z002_01_012023_MATURIN.CSV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</row>
    <row r="15">
      <c r="A15" s="2" t="inlineStr">
        <is>
          <t>Z002_01_012023_MATURIN.CSV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</row>
    <row r="16">
      <c r="A16" s="2" t="inlineStr">
        <is>
          <t>Z002_01_012023_MATURIN.CSV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</row>
    <row r="17">
      <c r="A17" s="2" t="inlineStr">
        <is>
          <t>Z002_01_012023_MATURIN.CSV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</row>
    <row r="18">
      <c r="A18" s="2" t="inlineStr">
        <is>
          <t>Z002_01_012023_MATURIN.CSV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</row>
    <row r="19">
      <c r="A19" s="2" t="inlineStr">
        <is>
          <t>Z002_01_012023_MATURIN.CSV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5" t="n">
        <v>0.45</v>
      </c>
    </row>
    <row r="20">
      <c r="A20" s="2" t="inlineStr">
        <is>
          <t>Z002_01_012023_MATURIN.CSV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</row>
    <row r="21">
      <c r="A21" s="2" t="inlineStr">
        <is>
          <t>Z002_01_012023_MATURIN.CSV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</row>
    <row r="22">
      <c r="A22" s="2" t="inlineStr">
        <is>
          <t>Z002_01_012023_MATURIN.CSV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</row>
    <row r="23">
      <c r="A23" s="2" t="inlineStr">
        <is>
          <t>Z002_01_012023_MATURIN.CSV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</row>
    <row r="24">
      <c r="A24" s="2" t="inlineStr">
        <is>
          <t>Z002_01_012023_MATURIN.CSV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</row>
    <row r="25">
      <c r="A25" s="2" t="inlineStr">
        <is>
          <t>Z002_01_012023_MATURIN.CSV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</row>
    <row r="26">
      <c r="A26" s="2" t="inlineStr">
        <is>
          <t>Z002_01_012023_MATURIN.CSV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</row>
    <row r="27">
      <c r="A27" s="2" t="inlineStr">
        <is>
          <t>Z002_01_012023_MATURIN.CSV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</row>
    <row r="28">
      <c r="A28" s="2" t="inlineStr">
        <is>
          <t>Z002_01_012023_MATURIN.CSV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</row>
    <row r="29">
      <c r="A29" s="2" t="inlineStr">
        <is>
          <t>Z002_01_012023_MATURIN.CSV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</row>
    <row r="30">
      <c r="A30" s="2" t="inlineStr">
        <is>
          <t>Z002_01_012023_MATURIN.CSV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</row>
    <row r="31">
      <c r="A31" s="2" t="inlineStr">
        <is>
          <t>Z002_01_012023_MATURIN.CSV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</row>
    <row r="32">
      <c r="A32" s="2" t="inlineStr">
        <is>
          <t>Z002_01_012023_MATURIN.CSV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REF./TIROIR</t>
        </is>
      </c>
      <c r="L32" s="5" t="n">
        <v>2</v>
      </c>
      <c r="M32" s="5" t="n">
        <v>0</v>
      </c>
    </row>
    <row r="33">
      <c r="A33" s="2" t="inlineStr">
        <is>
          <t>Z002_01_012023_MATURIN.CSV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</row>
    <row r="34">
      <c r="A34" s="2" t="inlineStr">
        <is>
          <t>Z002_01_012023_MATURIN.CSV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</row>
    <row r="35">
      <c r="A35" s="2" t="inlineStr">
        <is>
          <t>Z002_01_012023_MATURIN.CSV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</row>
    <row r="36">
      <c r="A36" s="2" t="inlineStr">
        <is>
          <t>Z002_01_012023_MATURIN.CSV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</row>
    <row r="37">
      <c r="A37" s="2" t="inlineStr">
        <is>
          <t>Z002_01_012023_MATURIN.CSV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</row>
    <row r="38">
      <c r="A38" s="2" t="inlineStr">
        <is>
          <t>Z002_01_012023_MATURIN.CSV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</row>
    <row r="39">
      <c r="A39" s="2" t="inlineStr">
        <is>
          <t>Z002_01_012023_MATURIN.CSV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</row>
    <row r="40">
      <c r="A40" s="2" t="inlineStr">
        <is>
          <t>Z002_01_012023_MATURIN.CSV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</row>
    <row r="41">
      <c r="A41" s="2" t="inlineStr">
        <is>
          <t>Z002_01_012023_MATURIN.CSV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</row>
    <row r="42">
      <c r="A42" s="2" t="inlineStr">
        <is>
          <t>Z002_01_012023_MATURIN.CSV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</row>
    <row r="43">
      <c r="A43" s="2" t="inlineStr">
        <is>
          <t>Z002_01_012023_MATURIN.CSV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44958</v>
      </c>
      <c r="I43" s="2" t="inlineStr">
        <is>
          <t>10:06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</row>
    <row r="44">
      <c r="A44" s="2" t="inlineStr">
        <is>
          <t>Z002_01_012023_MATURIN.CSV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44958</v>
      </c>
      <c r="I44" s="2" t="inlineStr">
        <is>
          <t>10:06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</row>
    <row r="45">
      <c r="A45" s="2" t="inlineStr">
        <is>
          <t>Z002_01_012023_MATURIN.CSV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44958</v>
      </c>
      <c r="I45" s="2" t="inlineStr">
        <is>
          <t>10:06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</row>
    <row r="46">
      <c r="A46" s="2" t="inlineStr">
        <is>
          <t>Z002_01_012023_MATURIN.CSV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44958</v>
      </c>
      <c r="I46" s="2" t="inlineStr">
        <is>
          <t>10:06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</row>
    <row r="47">
      <c r="A47" s="2" t="inlineStr">
        <is>
          <t>Z002_01_012023_MATURIN.CSV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44958</v>
      </c>
      <c r="I47" s="2" t="inlineStr">
        <is>
          <t>10:06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</row>
    <row r="48">
      <c r="A48" s="2" t="inlineStr">
        <is>
          <t>Z002_01_012023_MATURIN.CSV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44958</v>
      </c>
      <c r="I48" s="2" t="inlineStr">
        <is>
          <t>10:06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</row>
    <row r="49">
      <c r="A49" s="2" t="inlineStr">
        <is>
          <t>Z002_01_012023_MATURIN.CSV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44958</v>
      </c>
      <c r="I49" s="2" t="inlineStr">
        <is>
          <t>10:06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</row>
    <row r="50">
      <c r="A50" s="2" t="inlineStr">
        <is>
          <t>Z002_01_012023_MATURIN.CSV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44958</v>
      </c>
      <c r="I50" s="2" t="inlineStr">
        <is>
          <t>10:06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</row>
    <row r="51">
      <c r="A51" s="2" t="inlineStr">
        <is>
          <t>Z002_01_012023_MATURIN.CSV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44958</v>
      </c>
      <c r="I51" s="2" t="inlineStr">
        <is>
          <t>10:06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</row>
    <row r="52">
      <c r="A52" s="2" t="inlineStr">
        <is>
          <t>Z002_01_022023_MATURIN.CSV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0001</t>
        </is>
      </c>
      <c r="K52" s="2" t="inlineStr">
        <is>
          <t>ESPECES</t>
        </is>
      </c>
      <c r="L52" s="5" t="n">
        <v>14</v>
      </c>
      <c r="M52" s="5" t="n">
        <v>8570.799999999999</v>
      </c>
    </row>
    <row r="53">
      <c r="A53" s="2" t="inlineStr">
        <is>
          <t>Z002_01_022023_MATURIN.CSV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</row>
    <row r="54">
      <c r="A54" s="2" t="inlineStr">
        <is>
          <t>Z002_01_022023_MATURIN.CSV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0003</t>
        </is>
      </c>
      <c r="K54" s="2" t="inlineStr">
        <is>
          <t>CARTES</t>
        </is>
      </c>
      <c r="L54" s="5" t="n">
        <v>13</v>
      </c>
      <c r="M54" s="5" t="n">
        <v>11477</v>
      </c>
    </row>
    <row r="55">
      <c r="A55" s="2" t="inlineStr">
        <is>
          <t>Z002_01_022023_MATURIN.CSV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0004</t>
        </is>
      </c>
      <c r="K55" s="2" t="inlineStr">
        <is>
          <t>CHEQUES</t>
        </is>
      </c>
      <c r="L55" s="5" t="n">
        <v>1</v>
      </c>
      <c r="M55" s="5" t="n">
        <v>329</v>
      </c>
    </row>
    <row r="56">
      <c r="A56" s="2" t="inlineStr">
        <is>
          <t>Z002_01_022023_MATURIN.CSV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</row>
    <row r="57">
      <c r="A57" s="2" t="inlineStr">
        <is>
          <t>Z002_01_022023_MATURIN.CSV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</row>
    <row r="58">
      <c r="A58" s="2" t="inlineStr">
        <is>
          <t>Z002_01_022023_MATURIN.CSV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</row>
    <row r="59">
      <c r="A59" s="2" t="inlineStr">
        <is>
          <t>Z002_01_022023_MATURIN.CSV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</row>
    <row r="60">
      <c r="A60" s="2" t="inlineStr">
        <is>
          <t>Z002_01_022023_MATURIN.CSV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</row>
    <row r="61">
      <c r="A61" s="2" t="inlineStr">
        <is>
          <t>Z002_01_022023_MATURIN.CSV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</row>
    <row r="62">
      <c r="A62" s="2" t="inlineStr">
        <is>
          <t>Z002_01_022023_MATURIN.CSV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</row>
    <row r="63">
      <c r="A63" s="2" t="inlineStr">
        <is>
          <t>Z002_01_022023_MATURIN.CSV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</row>
    <row r="64">
      <c r="A64" s="2" t="inlineStr">
        <is>
          <t>Z002_01_022023_MATURIN.CSV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</row>
    <row r="65">
      <c r="A65" s="2" t="inlineStr">
        <is>
          <t>Z002_01_022023_MATURIN.CSV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</row>
    <row r="66">
      <c r="A66" s="2" t="inlineStr">
        <is>
          <t>Z002_01_022023_MATURIN.CSV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</row>
    <row r="67">
      <c r="A67" s="2" t="inlineStr">
        <is>
          <t>Z002_01_022023_MATURIN.CSV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</row>
    <row r="68">
      <c r="A68" s="2" t="inlineStr">
        <is>
          <t>Z002_01_022023_MATURIN.CSV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</row>
    <row r="69">
      <c r="A69" s="2" t="inlineStr">
        <is>
          <t>Z002_01_022023_MATURIN.CSV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</row>
    <row r="70">
      <c r="A70" s="2" t="inlineStr">
        <is>
          <t>Z002_01_022023_MATURIN.CSV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</row>
    <row r="71">
      <c r="A71" s="2" t="inlineStr">
        <is>
          <t>Z002_01_022023_MATURIN.CSV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</row>
    <row r="72">
      <c r="A72" s="2" t="inlineStr">
        <is>
          <t>Z002_01_022023_MATURIN.CSV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</row>
    <row r="73">
      <c r="A73" s="2" t="inlineStr">
        <is>
          <t>Z002_01_022023_MATURIN.CSV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</row>
    <row r="74">
      <c r="A74" s="2" t="inlineStr">
        <is>
          <t>Z002_01_022023_MATURIN.CSV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</row>
    <row r="75">
      <c r="A75" s="2" t="inlineStr">
        <is>
          <t>Z002_01_022023_MATURIN.CSV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</row>
    <row r="76">
      <c r="A76" s="2" t="inlineStr">
        <is>
          <t>Z002_01_022023_MATURIN.CSV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</row>
    <row r="77">
      <c r="A77" s="2" t="inlineStr">
        <is>
          <t>Z002_01_022023_MATURIN.CSV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</row>
    <row r="78">
      <c r="A78" s="2" t="inlineStr">
        <is>
          <t>Z002_01_022023_MATURIN.CSV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</row>
    <row r="79">
      <c r="A79" s="2" t="inlineStr">
        <is>
          <t>Z002_01_022023_MATURIN.CSV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</row>
    <row r="80">
      <c r="A80" s="2" t="inlineStr">
        <is>
          <t>Z002_01_022023_MATURIN.CSV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</row>
    <row r="81">
      <c r="A81" s="2" t="inlineStr">
        <is>
          <t>Z002_01_022023_MATURIN.CSV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</row>
    <row r="82">
      <c r="A82" s="2" t="inlineStr">
        <is>
          <t>Z002_01_022023_MATURIN.CSV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0031</t>
        </is>
      </c>
      <c r="K82" s="2" t="inlineStr">
        <is>
          <t>REF./TIROIR</t>
        </is>
      </c>
      <c r="L82" s="5" t="n">
        <v>10</v>
      </c>
      <c r="M82" s="5" t="n">
        <v>0</v>
      </c>
    </row>
    <row r="83">
      <c r="A83" s="2" t="inlineStr">
        <is>
          <t>Z002_01_022023_MATURIN.CSV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</row>
    <row r="84">
      <c r="A84" s="2" t="inlineStr">
        <is>
          <t>Z002_01_022023_MATURIN.CSV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0020</t>
        </is>
      </c>
      <c r="H84" s="4" t="n">
        <v>44986</v>
      </c>
      <c r="I84" s="2" t="inlineStr">
        <is>
          <t>10:42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</row>
    <row r="85">
      <c r="A85" s="2" t="inlineStr">
        <is>
          <t>Z002_01_022023_MATURIN.CSV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0020</t>
        </is>
      </c>
      <c r="H85" s="4" t="n">
        <v>44986</v>
      </c>
      <c r="I85" s="2" t="inlineStr">
        <is>
          <t>10:42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</row>
    <row r="86">
      <c r="A86" s="2" t="inlineStr">
        <is>
          <t>Z002_01_022023_MATURIN.CSV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0020</t>
        </is>
      </c>
      <c r="H86" s="4" t="n">
        <v>44986</v>
      </c>
      <c r="I86" s="2" t="inlineStr">
        <is>
          <t>10:42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</row>
    <row r="87">
      <c r="A87" s="2" t="inlineStr">
        <is>
          <t>Z002_01_022023_MATURIN.CSV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0020</t>
        </is>
      </c>
      <c r="H87" s="4" t="n">
        <v>44986</v>
      </c>
      <c r="I87" s="2" t="inlineStr">
        <is>
          <t>10:42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</row>
    <row r="88">
      <c r="A88" s="2" t="inlineStr">
        <is>
          <t>Z002_01_022023_MATURIN.CSV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0020</t>
        </is>
      </c>
      <c r="H88" s="4" t="n">
        <v>44986</v>
      </c>
      <c r="I88" s="2" t="inlineStr">
        <is>
          <t>10:42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</row>
    <row r="89">
      <c r="A89" s="2" t="inlineStr">
        <is>
          <t>Z002_01_022023_MATURIN.CSV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0020</t>
        </is>
      </c>
      <c r="H89" s="4" t="n">
        <v>44986</v>
      </c>
      <c r="I89" s="2" t="inlineStr">
        <is>
          <t>10:42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</row>
    <row r="90">
      <c r="A90" s="2" t="inlineStr">
        <is>
          <t>Z002_01_022023_MATURIN.CSV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0020</t>
        </is>
      </c>
      <c r="H90" s="4" t="n">
        <v>44986</v>
      </c>
      <c r="I90" s="2" t="inlineStr">
        <is>
          <t>10:42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</row>
    <row r="91">
      <c r="A91" s="2" t="inlineStr">
        <is>
          <t>Z002_01_022023_MATURIN.CSV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0020</t>
        </is>
      </c>
      <c r="H91" s="4" t="n">
        <v>44986</v>
      </c>
      <c r="I91" s="2" t="inlineStr">
        <is>
          <t>10:42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</row>
    <row r="92">
      <c r="A92" s="2" t="inlineStr">
        <is>
          <t>Z002_01_022023_MATURIN.CSV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0020</t>
        </is>
      </c>
      <c r="H92" s="4" t="n">
        <v>44986</v>
      </c>
      <c r="I92" s="2" t="inlineStr">
        <is>
          <t>10:42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</row>
    <row r="93">
      <c r="A93" s="2" t="inlineStr">
        <is>
          <t>Z002_01_022023_MATURIN.CSV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0020</t>
        </is>
      </c>
      <c r="H93" s="4" t="n">
        <v>44986</v>
      </c>
      <c r="I93" s="2" t="inlineStr">
        <is>
          <t>10:42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</row>
    <row r="94">
      <c r="A94" s="2" t="inlineStr">
        <is>
          <t>Z002_01_022023_MATURIN.CSV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0020</t>
        </is>
      </c>
      <c r="H94" s="4" t="n">
        <v>44986</v>
      </c>
      <c r="I94" s="2" t="inlineStr">
        <is>
          <t>10:42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</row>
    <row r="95">
      <c r="A95" s="2" t="inlineStr">
        <is>
          <t>Z002_01_022023_MATURIN.CSV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0020</t>
        </is>
      </c>
      <c r="H95" s="4" t="n">
        <v>44986</v>
      </c>
      <c r="I95" s="2" t="inlineStr">
        <is>
          <t>10:42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</row>
    <row r="96">
      <c r="A96" s="2" t="inlineStr">
        <is>
          <t>Z002_01_022023_MATURIN.CSV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0020</t>
        </is>
      </c>
      <c r="H96" s="4" t="n">
        <v>44986</v>
      </c>
      <c r="I96" s="2" t="inlineStr">
        <is>
          <t>10:42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</row>
    <row r="97">
      <c r="A97" s="2" t="inlineStr">
        <is>
          <t>Z002_01_022023_MATURIN.CSV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0020</t>
        </is>
      </c>
      <c r="H97" s="4" t="n">
        <v>44986</v>
      </c>
      <c r="I97" s="2" t="inlineStr">
        <is>
          <t>10:42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</row>
    <row r="98">
      <c r="A98" s="2" t="inlineStr">
        <is>
          <t>Z002_01_022023_MATURIN.CSV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0020</t>
        </is>
      </c>
      <c r="H98" s="4" t="n">
        <v>44986</v>
      </c>
      <c r="I98" s="2" t="inlineStr">
        <is>
          <t>10:42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</row>
    <row r="99">
      <c r="A99" s="2" t="inlineStr">
        <is>
          <t>Z002_01_022023_MATURIN.CSV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0020</t>
        </is>
      </c>
      <c r="H99" s="4" t="n">
        <v>44986</v>
      </c>
      <c r="I99" s="2" t="inlineStr">
        <is>
          <t>10:42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</row>
    <row r="100">
      <c r="A100" s="2" t="inlineStr">
        <is>
          <t>Z002_01_022023_MATURIN.CSV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0020</t>
        </is>
      </c>
      <c r="H100" s="4" t="n">
        <v>44986</v>
      </c>
      <c r="I100" s="2" t="inlineStr">
        <is>
          <t>10:42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</row>
    <row r="101">
      <c r="A101" s="2" t="inlineStr">
        <is>
          <t>Z002_01_022023_MATURIN.CSV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0020</t>
        </is>
      </c>
      <c r="H101" s="4" t="n">
        <v>44986</v>
      </c>
      <c r="I101" s="2" t="inlineStr">
        <is>
          <t>10:42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</row>
    <row r="102">
      <c r="A102" s="2" t="inlineStr">
        <is>
          <t>Z002_01_032023_MATURIN.CSV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0001</t>
        </is>
      </c>
      <c r="K102" s="2" t="inlineStr">
        <is>
          <t>ESPECES</t>
        </is>
      </c>
      <c r="L102" s="5" t="n">
        <v>13</v>
      </c>
      <c r="M102" s="5" t="n">
        <v>9836</v>
      </c>
    </row>
    <row r="103">
      <c r="A103" s="2" t="inlineStr">
        <is>
          <t>Z002_01_032023_MATURIN.CSV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</row>
    <row r="104">
      <c r="A104" s="2" t="inlineStr">
        <is>
          <t>Z002_01_032023_MATURIN.CSV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0003</t>
        </is>
      </c>
      <c r="K104" s="2" t="inlineStr">
        <is>
          <t>CARTES</t>
        </is>
      </c>
      <c r="L104" s="5" t="n">
        <v>14</v>
      </c>
      <c r="M104" s="5" t="n">
        <v>15536</v>
      </c>
    </row>
    <row r="105">
      <c r="A105" s="2" t="inlineStr">
        <is>
          <t>Z002_01_032023_MATURIN.CSV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</row>
    <row r="106">
      <c r="A106" s="2" t="inlineStr">
        <is>
          <t>Z002_01_032023_MATURIN.CSV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</row>
    <row r="107">
      <c r="A107" s="2" t="inlineStr">
        <is>
          <t>Z002_01_032023_MATURIN.CSV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</row>
    <row r="108">
      <c r="A108" s="2" t="inlineStr">
        <is>
          <t>Z002_01_032023_MATURIN.CSV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</row>
    <row r="109">
      <c r="A109" s="2" t="inlineStr">
        <is>
          <t>Z002_01_032023_MATURIN.CSV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</row>
    <row r="110">
      <c r="A110" s="2" t="inlineStr">
        <is>
          <t>Z002_01_032023_MATURIN.CSV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</row>
    <row r="111">
      <c r="A111" s="2" t="inlineStr">
        <is>
          <t>Z002_01_032023_MATURIN.CSV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</row>
    <row r="112">
      <c r="A112" s="2" t="inlineStr">
        <is>
          <t>Z002_01_032023_MATURIN.CSV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</row>
    <row r="113">
      <c r="A113" s="2" t="inlineStr">
        <is>
          <t>Z002_01_032023_MATURIN.CSV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</row>
    <row r="114">
      <c r="A114" s="2" t="inlineStr">
        <is>
          <t>Z002_01_032023_MATURIN.CSV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</row>
    <row r="115">
      <c r="A115" s="2" t="inlineStr">
        <is>
          <t>Z002_01_032023_MATURIN.CSV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</row>
    <row r="116">
      <c r="A116" s="2" t="inlineStr">
        <is>
          <t>Z002_01_032023_MATURIN.CSV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</row>
    <row r="117">
      <c r="A117" s="2" t="inlineStr">
        <is>
          <t>Z002_01_032023_MATURIN.CSV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</row>
    <row r="118">
      <c r="A118" s="2" t="inlineStr">
        <is>
          <t>Z002_01_032023_MATURIN.CSV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</row>
    <row r="119">
      <c r="A119" s="2" t="inlineStr">
        <is>
          <t>Z002_01_032023_MATURIN.CSV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</row>
    <row r="120">
      <c r="A120" s="2" t="inlineStr">
        <is>
          <t>Z002_01_032023_MATURIN.CSV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</row>
    <row r="121">
      <c r="A121" s="2" t="inlineStr">
        <is>
          <t>Z002_01_032023_MATURIN.CSV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</row>
    <row r="122">
      <c r="A122" s="2" t="inlineStr">
        <is>
          <t>Z002_01_032023_MATURIN.CSV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</row>
    <row r="123">
      <c r="A123" s="2" t="inlineStr">
        <is>
          <t>Z002_01_032023_MATURIN.CSV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</row>
    <row r="124">
      <c r="A124" s="2" t="inlineStr">
        <is>
          <t>Z002_01_032023_MATURIN.CSV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</row>
    <row r="125">
      <c r="A125" s="2" t="inlineStr">
        <is>
          <t>Z002_01_032023_MATURIN.CSV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0021</t>
        </is>
      </c>
      <c r="H125" s="4" t="n">
        <v>45017</v>
      </c>
      <c r="I125" s="2" t="inlineStr">
        <is>
          <t>13:48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</row>
    <row r="126">
      <c r="A126" s="2" t="inlineStr">
        <is>
          <t>Z002_01_032023_MATURIN.CSV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0021</t>
        </is>
      </c>
      <c r="H126" s="4" t="n">
        <v>45017</v>
      </c>
      <c r="I126" s="2" t="inlineStr">
        <is>
          <t>13:48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</row>
    <row r="127">
      <c r="A127" s="2" t="inlineStr">
        <is>
          <t>Z002_01_032023_MATURIN.CSV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0021</t>
        </is>
      </c>
      <c r="H127" s="4" t="n">
        <v>45017</v>
      </c>
      <c r="I127" s="2" t="inlineStr">
        <is>
          <t>13:48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</row>
    <row r="128">
      <c r="A128" s="2" t="inlineStr">
        <is>
          <t>Z002_01_032023_MATURIN.CSV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0021</t>
        </is>
      </c>
      <c r="H128" s="4" t="n">
        <v>45017</v>
      </c>
      <c r="I128" s="2" t="inlineStr">
        <is>
          <t>13:48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</row>
    <row r="129">
      <c r="A129" s="2" t="inlineStr">
        <is>
          <t>Z002_01_032023_MATURIN.CSV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0021</t>
        </is>
      </c>
      <c r="H129" s="4" t="n">
        <v>45017</v>
      </c>
      <c r="I129" s="2" t="inlineStr">
        <is>
          <t>13:48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</row>
    <row r="130">
      <c r="A130" s="2" t="inlineStr">
        <is>
          <t>Z002_01_032023_MATURIN.CSV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0021</t>
        </is>
      </c>
      <c r="H130" s="4" t="n">
        <v>45017</v>
      </c>
      <c r="I130" s="2" t="inlineStr">
        <is>
          <t>13:48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</row>
    <row r="131">
      <c r="A131" s="2" t="inlineStr">
        <is>
          <t>Z002_01_032023_MATURIN.CSV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0021</t>
        </is>
      </c>
      <c r="H131" s="4" t="n">
        <v>45017</v>
      </c>
      <c r="I131" s="2" t="inlineStr">
        <is>
          <t>13:48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</row>
    <row r="132">
      <c r="A132" s="2" t="inlineStr">
        <is>
          <t>Z002_01_032023_MATURIN.CSV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0021</t>
        </is>
      </c>
      <c r="H132" s="4" t="n">
        <v>45017</v>
      </c>
      <c r="I132" s="2" t="inlineStr">
        <is>
          <t>13:48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5" t="n">
        <v>0</v>
      </c>
    </row>
    <row r="133">
      <c r="A133" s="2" t="inlineStr">
        <is>
          <t>Z002_01_032023_MATURIN.CSV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0021</t>
        </is>
      </c>
      <c r="H133" s="4" t="n">
        <v>45017</v>
      </c>
      <c r="I133" s="2" t="inlineStr">
        <is>
          <t>13:48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</row>
    <row r="134">
      <c r="A134" s="2" t="inlineStr">
        <is>
          <t>Z002_01_032023_MATURIN.CSV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0021</t>
        </is>
      </c>
      <c r="H134" s="4" t="n">
        <v>45017</v>
      </c>
      <c r="I134" s="2" t="inlineStr">
        <is>
          <t>13:48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</row>
    <row r="135">
      <c r="A135" s="2" t="inlineStr">
        <is>
          <t>Z002_01_032023_MATURIN.CSV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0021</t>
        </is>
      </c>
      <c r="H135" s="4" t="n">
        <v>45017</v>
      </c>
      <c r="I135" s="2" t="inlineStr">
        <is>
          <t>13:48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</row>
    <row r="136">
      <c r="A136" s="2" t="inlineStr">
        <is>
          <t>Z002_01_032023_MATURIN.CSV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0021</t>
        </is>
      </c>
      <c r="H136" s="4" t="n">
        <v>45017</v>
      </c>
      <c r="I136" s="2" t="inlineStr">
        <is>
          <t>13:48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</row>
    <row r="137">
      <c r="A137" s="2" t="inlineStr">
        <is>
          <t>Z002_01_032023_MATURIN.CSV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0021</t>
        </is>
      </c>
      <c r="H137" s="4" t="n">
        <v>45017</v>
      </c>
      <c r="I137" s="2" t="inlineStr">
        <is>
          <t>13:48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</row>
    <row r="138">
      <c r="A138" s="2" t="inlineStr">
        <is>
          <t>Z002_01_032023_MATURIN.CSV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0021</t>
        </is>
      </c>
      <c r="H138" s="4" t="n">
        <v>45017</v>
      </c>
      <c r="I138" s="2" t="inlineStr">
        <is>
          <t>13:48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</row>
    <row r="139">
      <c r="A139" s="2" t="inlineStr">
        <is>
          <t>Z002_01_032023_MATURIN.CSV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0021</t>
        </is>
      </c>
      <c r="H139" s="4" t="n">
        <v>45017</v>
      </c>
      <c r="I139" s="2" t="inlineStr">
        <is>
          <t>13:48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</row>
    <row r="140">
      <c r="A140" s="2" t="inlineStr">
        <is>
          <t>Z002_01_032023_MATURIN.CSV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0021</t>
        </is>
      </c>
      <c r="H140" s="4" t="n">
        <v>45017</v>
      </c>
      <c r="I140" s="2" t="inlineStr">
        <is>
          <t>13:48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</row>
    <row r="141">
      <c r="A141" s="2" t="inlineStr">
        <is>
          <t>Z002_01_032023_MATURIN.CSV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0021</t>
        </is>
      </c>
      <c r="H141" s="4" t="n">
        <v>45017</v>
      </c>
      <c r="I141" s="2" t="inlineStr">
        <is>
          <t>13:48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</row>
    <row r="142">
      <c r="A142" s="2" t="inlineStr">
        <is>
          <t>Z002_01_032023_MATURIN.CSV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0021</t>
        </is>
      </c>
      <c r="H142" s="4" t="n">
        <v>45017</v>
      </c>
      <c r="I142" s="2" t="inlineStr">
        <is>
          <t>13:48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</row>
    <row r="143">
      <c r="A143" s="2" t="inlineStr">
        <is>
          <t>Z002_01_032023_MATURIN.CSV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0021</t>
        </is>
      </c>
      <c r="H143" s="4" t="n">
        <v>45017</v>
      </c>
      <c r="I143" s="2" t="inlineStr">
        <is>
          <t>13:48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</row>
    <row r="144">
      <c r="A144" s="2" t="inlineStr">
        <is>
          <t>Z002_01_032023_MATURIN.CSV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0021</t>
        </is>
      </c>
      <c r="H144" s="4" t="n">
        <v>45017</v>
      </c>
      <c r="I144" s="2" t="inlineStr">
        <is>
          <t>13:48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</row>
    <row r="145">
      <c r="A145" s="2" t="inlineStr">
        <is>
          <t>Z002_01_032023_MATURIN.CSV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0021</t>
        </is>
      </c>
      <c r="H145" s="4" t="n">
        <v>45017</v>
      </c>
      <c r="I145" s="2" t="inlineStr">
        <is>
          <t>13:48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</row>
    <row r="146">
      <c r="A146" s="2" t="inlineStr">
        <is>
          <t>Z002_01_032023_MATURIN.CSV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0021</t>
        </is>
      </c>
      <c r="H146" s="4" t="n">
        <v>45017</v>
      </c>
      <c r="I146" s="2" t="inlineStr">
        <is>
          <t>13:48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</row>
    <row r="147">
      <c r="A147" s="2" t="inlineStr">
        <is>
          <t>Z002_01_032023_MATURIN.CSV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0021</t>
        </is>
      </c>
      <c r="H147" s="4" t="n">
        <v>45017</v>
      </c>
      <c r="I147" s="2" t="inlineStr">
        <is>
          <t>13:48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</row>
    <row r="148">
      <c r="A148" s="2" t="inlineStr">
        <is>
          <t>Z002_01_032023_MATURIN.CSV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0021</t>
        </is>
      </c>
      <c r="H148" s="4" t="n">
        <v>45017</v>
      </c>
      <c r="I148" s="2" t="inlineStr">
        <is>
          <t>13:48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</row>
    <row r="149">
      <c r="A149" s="2" t="inlineStr">
        <is>
          <t>Z002_01_032023_MATURIN.CSV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0021</t>
        </is>
      </c>
      <c r="H149" s="4" t="n">
        <v>45017</v>
      </c>
      <c r="I149" s="2" t="inlineStr">
        <is>
          <t>13:48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</row>
    <row r="150">
      <c r="A150" s="2" t="inlineStr">
        <is>
          <t>Z002_01_032023_MATURIN.CSV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0021</t>
        </is>
      </c>
      <c r="H150" s="4" t="n">
        <v>45017</v>
      </c>
      <c r="I150" s="2" t="inlineStr">
        <is>
          <t>13:48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</row>
    <row r="151">
      <c r="A151" s="2" t="inlineStr">
        <is>
          <t>Z002_01_032023_MATURIN.CSV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0021</t>
        </is>
      </c>
      <c r="H151" s="4" t="n">
        <v>45017</v>
      </c>
      <c r="I151" s="2" t="inlineStr">
        <is>
          <t>13:48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Z002_01_052023_MATURIN.CSV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0001</t>
        </is>
      </c>
      <c r="K152" s="2" t="inlineStr">
        <is>
          <t>ESPECES</t>
        </is>
      </c>
      <c r="L152" s="5" t="n">
        <v>4</v>
      </c>
      <c r="M152" s="5" t="n">
        <v>2961</v>
      </c>
    </row>
    <row r="153">
      <c r="A153" s="2" t="inlineStr">
        <is>
          <t>Z002_01_052023_MATURIN.CSV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</row>
    <row r="154">
      <c r="A154" s="2" t="inlineStr">
        <is>
          <t>Z002_01_052023_MATURIN.CSV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0003</t>
        </is>
      </c>
      <c r="K154" s="2" t="inlineStr">
        <is>
          <t>CARTES</t>
        </is>
      </c>
      <c r="L154" s="5" t="n">
        <v>20</v>
      </c>
      <c r="M154" s="5" t="n">
        <v>12585</v>
      </c>
    </row>
    <row r="155">
      <c r="A155" s="2" t="inlineStr">
        <is>
          <t>Z002_01_052023_MATURIN.CSV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</row>
    <row r="156">
      <c r="A156" s="2" t="inlineStr">
        <is>
          <t>Z002_01_052023_MATURIN.CSV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</row>
    <row r="157">
      <c r="A157" s="2" t="inlineStr">
        <is>
          <t>Z002_01_052023_MATURIN.CSV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</row>
    <row r="158">
      <c r="A158" s="2" t="inlineStr">
        <is>
          <t>Z002_01_052023_MATURIN.CSV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</row>
    <row r="159">
      <c r="A159" s="2" t="inlineStr">
        <is>
          <t>Z002_01_052023_MATURIN.CSV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</row>
    <row r="160">
      <c r="A160" s="2" t="inlineStr">
        <is>
          <t>Z002_01_052023_MATURIN.CSV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</row>
    <row r="161">
      <c r="A161" s="2" t="inlineStr">
        <is>
          <t>Z002_01_052023_MATURIN.CSV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</row>
    <row r="162">
      <c r="A162" s="2" t="inlineStr">
        <is>
          <t>Z002_01_052023_MATURIN.CSV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</row>
    <row r="163">
      <c r="A163" s="2" t="inlineStr">
        <is>
          <t>Z002_01_052023_MATURIN.CSV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</row>
    <row r="164">
      <c r="A164" s="2" t="inlineStr">
        <is>
          <t>Z002_01_052023_MATURIN.CSV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</row>
    <row r="165">
      <c r="A165" s="2" t="inlineStr">
        <is>
          <t>Z002_01_052023_MATURIN.CSV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</row>
    <row r="166">
      <c r="A166" s="2" t="inlineStr">
        <is>
          <t>Z002_01_052023_MATURIN.CSV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0023</t>
        </is>
      </c>
      <c r="H166" s="4" t="n">
        <v>45078</v>
      </c>
      <c r="I166" s="2" t="inlineStr">
        <is>
          <t>08:54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</row>
    <row r="167">
      <c r="A167" s="2" t="inlineStr">
        <is>
          <t>Z002_01_052023_MATURIN.CSV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0023</t>
        </is>
      </c>
      <c r="H167" s="4" t="n">
        <v>45078</v>
      </c>
      <c r="I167" s="2" t="inlineStr">
        <is>
          <t>08:54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</row>
    <row r="168">
      <c r="A168" s="2" t="inlineStr">
        <is>
          <t>Z002_01_052023_MATURIN.CSV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0023</t>
        </is>
      </c>
      <c r="H168" s="4" t="n">
        <v>45078</v>
      </c>
      <c r="I168" s="2" t="inlineStr">
        <is>
          <t>08:54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</row>
    <row r="169">
      <c r="A169" s="2" t="inlineStr">
        <is>
          <t>Z002_01_052023_MATURIN.CSV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0023</t>
        </is>
      </c>
      <c r="H169" s="4" t="n">
        <v>45078</v>
      </c>
      <c r="I169" s="2" t="inlineStr">
        <is>
          <t>08:54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</row>
    <row r="170">
      <c r="A170" s="2" t="inlineStr">
        <is>
          <t>Z002_01_052023_MATURIN.CSV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0023</t>
        </is>
      </c>
      <c r="H170" s="4" t="n">
        <v>45078</v>
      </c>
      <c r="I170" s="2" t="inlineStr">
        <is>
          <t>08:54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</row>
    <row r="171">
      <c r="A171" s="2" t="inlineStr">
        <is>
          <t>Z002_01_052023_MATURIN.CSV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0023</t>
        </is>
      </c>
      <c r="H171" s="4" t="n">
        <v>45078</v>
      </c>
      <c r="I171" s="2" t="inlineStr">
        <is>
          <t>08:54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</row>
    <row r="172">
      <c r="A172" s="2" t="inlineStr">
        <is>
          <t>Z002_01_052023_MATURIN.CSV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0023</t>
        </is>
      </c>
      <c r="H172" s="4" t="n">
        <v>45078</v>
      </c>
      <c r="I172" s="2" t="inlineStr">
        <is>
          <t>08:54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</row>
    <row r="173">
      <c r="A173" s="2" t="inlineStr">
        <is>
          <t>Z002_01_052023_MATURIN.CSV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0023</t>
        </is>
      </c>
      <c r="H173" s="4" t="n">
        <v>45078</v>
      </c>
      <c r="I173" s="2" t="inlineStr">
        <is>
          <t>08:54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</row>
    <row r="174">
      <c r="A174" s="2" t="inlineStr">
        <is>
          <t>Z002_01_052023_MATURIN.CSV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0023</t>
        </is>
      </c>
      <c r="H174" s="4" t="n">
        <v>45078</v>
      </c>
      <c r="I174" s="2" t="inlineStr">
        <is>
          <t>08:54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</row>
    <row r="175">
      <c r="A175" s="2" t="inlineStr">
        <is>
          <t>Z002_01_052023_MATURIN.CSV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0023</t>
        </is>
      </c>
      <c r="H175" s="4" t="n">
        <v>45078</v>
      </c>
      <c r="I175" s="2" t="inlineStr">
        <is>
          <t>08:54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</row>
    <row r="176">
      <c r="A176" s="2" t="inlineStr">
        <is>
          <t>Z002_01_052023_MATURIN.CSV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0023</t>
        </is>
      </c>
      <c r="H176" s="4" t="n">
        <v>45078</v>
      </c>
      <c r="I176" s="2" t="inlineStr">
        <is>
          <t>08:54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</row>
    <row r="177">
      <c r="A177" s="2" t="inlineStr">
        <is>
          <t>Z002_01_052023_MATURIN.CSV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0023</t>
        </is>
      </c>
      <c r="H177" s="4" t="n">
        <v>45078</v>
      </c>
      <c r="I177" s="2" t="inlineStr">
        <is>
          <t>08:54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</row>
    <row r="178">
      <c r="A178" s="2" t="inlineStr">
        <is>
          <t>Z002_01_052023_MATURIN.CSV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0023</t>
        </is>
      </c>
      <c r="H178" s="4" t="n">
        <v>45078</v>
      </c>
      <c r="I178" s="2" t="inlineStr">
        <is>
          <t>08:54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</row>
    <row r="179">
      <c r="A179" s="2" t="inlineStr">
        <is>
          <t>Z002_01_052023_MATURIN.CSV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0023</t>
        </is>
      </c>
      <c r="H179" s="4" t="n">
        <v>45078</v>
      </c>
      <c r="I179" s="2" t="inlineStr">
        <is>
          <t>08:54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</row>
    <row r="180">
      <c r="A180" s="2" t="inlineStr">
        <is>
          <t>Z002_01_052023_MATURIN.CSV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0023</t>
        </is>
      </c>
      <c r="H180" s="4" t="n">
        <v>45078</v>
      </c>
      <c r="I180" s="2" t="inlineStr">
        <is>
          <t>08:54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</row>
    <row r="181">
      <c r="A181" s="2" t="inlineStr">
        <is>
          <t>Z002_01_052023_MATURIN.CSV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0023</t>
        </is>
      </c>
      <c r="H181" s="4" t="n">
        <v>45078</v>
      </c>
      <c r="I181" s="2" t="inlineStr">
        <is>
          <t>08:54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</row>
    <row r="182">
      <c r="A182" s="2" t="inlineStr">
        <is>
          <t>Z002_01_052023_MATURIN.CSV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0023</t>
        </is>
      </c>
      <c r="H182" s="4" t="n">
        <v>45078</v>
      </c>
      <c r="I182" s="2" t="inlineStr">
        <is>
          <t>08:54</t>
        </is>
      </c>
      <c r="J182" s="3" t="inlineStr">
        <is>
          <t>0031</t>
        </is>
      </c>
      <c r="K182" s="2" t="inlineStr">
        <is>
          <t>REF./TIROIR</t>
        </is>
      </c>
      <c r="L182" s="5" t="n">
        <v>7</v>
      </c>
      <c r="M182" s="5" t="n">
        <v>0</v>
      </c>
    </row>
    <row r="183">
      <c r="A183" s="2" t="inlineStr">
        <is>
          <t>Z002_01_052023_MATURIN.CSV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0023</t>
        </is>
      </c>
      <c r="H183" s="4" t="n">
        <v>45078</v>
      </c>
      <c r="I183" s="2" t="inlineStr">
        <is>
          <t>08:54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</row>
    <row r="184">
      <c r="A184" s="2" t="inlineStr">
        <is>
          <t>Z002_01_052023_MATURIN.CSV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0023</t>
        </is>
      </c>
      <c r="H184" s="4" t="n">
        <v>45078</v>
      </c>
      <c r="I184" s="2" t="inlineStr">
        <is>
          <t>08:54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</row>
    <row r="185">
      <c r="A185" s="2" t="inlineStr">
        <is>
          <t>Z002_01_052023_MATURIN.CSV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0023</t>
        </is>
      </c>
      <c r="H185" s="4" t="n">
        <v>45078</v>
      </c>
      <c r="I185" s="2" t="inlineStr">
        <is>
          <t>08:54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</row>
    <row r="186">
      <c r="A186" s="2" t="inlineStr">
        <is>
          <t>Z002_01_052023_MATURIN.CSV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0023</t>
        </is>
      </c>
      <c r="H186" s="4" t="n">
        <v>45078</v>
      </c>
      <c r="I186" s="2" t="inlineStr">
        <is>
          <t>08:54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</row>
    <row r="187">
      <c r="A187" s="2" t="inlineStr">
        <is>
          <t>Z002_01_052023_MATURIN.CSV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0023</t>
        </is>
      </c>
      <c r="H187" s="4" t="n">
        <v>45078</v>
      </c>
      <c r="I187" s="2" t="inlineStr">
        <is>
          <t>08:54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</row>
    <row r="188">
      <c r="A188" s="2" t="inlineStr">
        <is>
          <t>Z002_01_052023_MATURIN.CSV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0023</t>
        </is>
      </c>
      <c r="H188" s="4" t="n">
        <v>45078</v>
      </c>
      <c r="I188" s="2" t="inlineStr">
        <is>
          <t>08:54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</row>
    <row r="189">
      <c r="A189" s="2" t="inlineStr">
        <is>
          <t>Z002_01_052023_MATURIN.CSV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0023</t>
        </is>
      </c>
      <c r="H189" s="4" t="n">
        <v>45078</v>
      </c>
      <c r="I189" s="2" t="inlineStr">
        <is>
          <t>08:54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</row>
    <row r="190">
      <c r="A190" s="2" t="inlineStr">
        <is>
          <t>Z002_01_052023_MATURIN.CSV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0023</t>
        </is>
      </c>
      <c r="H190" s="4" t="n">
        <v>45078</v>
      </c>
      <c r="I190" s="2" t="inlineStr">
        <is>
          <t>08:54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</row>
    <row r="191">
      <c r="A191" s="2" t="inlineStr">
        <is>
          <t>Z002_01_052023_MATURIN.CSV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0023</t>
        </is>
      </c>
      <c r="H191" s="4" t="n">
        <v>45078</v>
      </c>
      <c r="I191" s="2" t="inlineStr">
        <is>
          <t>08:54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</row>
    <row r="192">
      <c r="A192" s="2" t="inlineStr">
        <is>
          <t>Z002_01_052023_MATURIN.CSV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0023</t>
        </is>
      </c>
      <c r="H192" s="4" t="n">
        <v>45078</v>
      </c>
      <c r="I192" s="2" t="inlineStr">
        <is>
          <t>08:54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Z002_01_052023_MATURIN.CSV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0023</t>
        </is>
      </c>
      <c r="H193" s="4" t="n">
        <v>45078</v>
      </c>
      <c r="I193" s="2" t="inlineStr">
        <is>
          <t>08:54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</row>
    <row r="194">
      <c r="A194" s="2" t="inlineStr">
        <is>
          <t>Z002_01_052023_MATURIN.CSV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0023</t>
        </is>
      </c>
      <c r="H194" s="4" t="n">
        <v>45078</v>
      </c>
      <c r="I194" s="2" t="inlineStr">
        <is>
          <t>08:54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</row>
    <row r="195">
      <c r="A195" s="2" t="inlineStr">
        <is>
          <t>Z002_01_052023_MATURIN.CSV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0023</t>
        </is>
      </c>
      <c r="H195" s="4" t="n">
        <v>45078</v>
      </c>
      <c r="I195" s="2" t="inlineStr">
        <is>
          <t>08:54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</row>
    <row r="196">
      <c r="A196" s="2" t="inlineStr">
        <is>
          <t>Z002_01_052023_MATURIN.CSV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0023</t>
        </is>
      </c>
      <c r="H196" s="4" t="n">
        <v>45078</v>
      </c>
      <c r="I196" s="2" t="inlineStr">
        <is>
          <t>08:54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</row>
    <row r="197">
      <c r="A197" s="2" t="inlineStr">
        <is>
          <t>Z002_01_052023_MATURIN.CSV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0023</t>
        </is>
      </c>
      <c r="H197" s="4" t="n">
        <v>45078</v>
      </c>
      <c r="I197" s="2" t="inlineStr">
        <is>
          <t>08:54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Z002_01_052023_MATURIN.CSV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0023</t>
        </is>
      </c>
      <c r="H198" s="4" t="n">
        <v>45078</v>
      </c>
      <c r="I198" s="2" t="inlineStr">
        <is>
          <t>08:54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</row>
    <row r="199">
      <c r="A199" s="2" t="inlineStr">
        <is>
          <t>Z002_01_052023_MATURIN.CSV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0023</t>
        </is>
      </c>
      <c r="H199" s="4" t="n">
        <v>45078</v>
      </c>
      <c r="I199" s="2" t="inlineStr">
        <is>
          <t>08:54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</row>
    <row r="200">
      <c r="A200" s="2" t="inlineStr">
        <is>
          <t>Z002_01_052023_MATURIN.CSV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0023</t>
        </is>
      </c>
      <c r="H200" s="4" t="n">
        <v>45078</v>
      </c>
      <c r="I200" s="2" t="inlineStr">
        <is>
          <t>08:54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</row>
    <row r="201">
      <c r="A201" s="2" t="inlineStr">
        <is>
          <t>Z002_01_052023_MATURIN.CSV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0023</t>
        </is>
      </c>
      <c r="H201" s="4" t="n">
        <v>45078</v>
      </c>
      <c r="I201" s="2" t="inlineStr">
        <is>
          <t>08:54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</row>
    <row r="202">
      <c r="A202" s="2" t="inlineStr">
        <is>
          <t>Z002_01_062023_MATURIN.CSV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0001</t>
        </is>
      </c>
      <c r="K202" s="2" t="inlineStr">
        <is>
          <t>ESPECES</t>
        </is>
      </c>
      <c r="L202" s="5" t="n">
        <v>4</v>
      </c>
      <c r="M202" s="5" t="n">
        <v>1730.29</v>
      </c>
    </row>
    <row r="203">
      <c r="A203" s="2" t="inlineStr">
        <is>
          <t>Z002_01_062023_MATURIN.CSV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</row>
    <row r="204">
      <c r="A204" s="2" t="inlineStr">
        <is>
          <t>Z002_01_062023_MATURIN.CSV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0003</t>
        </is>
      </c>
      <c r="K204" s="2" t="inlineStr">
        <is>
          <t>CARTES</t>
        </is>
      </c>
      <c r="L204" s="5" t="n">
        <v>22</v>
      </c>
      <c r="M204" s="5" t="n">
        <v>27185.98</v>
      </c>
    </row>
    <row r="205">
      <c r="A205" s="2" t="inlineStr">
        <is>
          <t>Z002_01_062023_MATURIN.CSV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</row>
    <row r="206">
      <c r="A206" s="2" t="inlineStr">
        <is>
          <t>Z002_01_062023_MATURIN.CSV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</row>
    <row r="207">
      <c r="A207" s="2" t="inlineStr">
        <is>
          <t>Z002_01_062023_MATURIN.CSV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0024</t>
        </is>
      </c>
      <c r="H207" s="4" t="n">
        <v>45108</v>
      </c>
      <c r="I207" s="2" t="inlineStr">
        <is>
          <t>13:35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</row>
    <row r="208">
      <c r="A208" s="2" t="inlineStr">
        <is>
          <t>Z002_01_062023_MATURIN.CSV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0024</t>
        </is>
      </c>
      <c r="H208" s="4" t="n">
        <v>45108</v>
      </c>
      <c r="I208" s="2" t="inlineStr">
        <is>
          <t>13:35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</row>
    <row r="209">
      <c r="A209" s="2" t="inlineStr">
        <is>
          <t>Z002_01_062023_MATURIN.CSV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0024</t>
        </is>
      </c>
      <c r="H209" s="4" t="n">
        <v>45108</v>
      </c>
      <c r="I209" s="2" t="inlineStr">
        <is>
          <t>13:35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</row>
    <row r="210">
      <c r="A210" s="2" t="inlineStr">
        <is>
          <t>Z002_01_062023_MATURIN.CSV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0024</t>
        </is>
      </c>
      <c r="H210" s="4" t="n">
        <v>45108</v>
      </c>
      <c r="I210" s="2" t="inlineStr">
        <is>
          <t>13:35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</row>
    <row r="211">
      <c r="A211" s="2" t="inlineStr">
        <is>
          <t>Z002_01_062023_MATURIN.CSV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0024</t>
        </is>
      </c>
      <c r="H211" s="4" t="n">
        <v>45108</v>
      </c>
      <c r="I211" s="2" t="inlineStr">
        <is>
          <t>13:35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</row>
    <row r="212">
      <c r="A212" s="2" t="inlineStr">
        <is>
          <t>Z002_01_062023_MATURIN.CSV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0024</t>
        </is>
      </c>
      <c r="H212" s="4" t="n">
        <v>45108</v>
      </c>
      <c r="I212" s="2" t="inlineStr">
        <is>
          <t>13:35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</row>
    <row r="213">
      <c r="A213" s="2" t="inlineStr">
        <is>
          <t>Z002_01_062023_MATURIN.CSV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0024</t>
        </is>
      </c>
      <c r="H213" s="4" t="n">
        <v>45108</v>
      </c>
      <c r="I213" s="2" t="inlineStr">
        <is>
          <t>13:35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</row>
    <row r="214">
      <c r="A214" s="2" t="inlineStr">
        <is>
          <t>Z002_01_062023_MATURIN.CSV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0024</t>
        </is>
      </c>
      <c r="H214" s="4" t="n">
        <v>45108</v>
      </c>
      <c r="I214" s="2" t="inlineStr">
        <is>
          <t>13:35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</row>
    <row r="215">
      <c r="A215" s="2" t="inlineStr">
        <is>
          <t>Z002_01_062023_MATURIN.CSV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0024</t>
        </is>
      </c>
      <c r="H215" s="4" t="n">
        <v>45108</v>
      </c>
      <c r="I215" s="2" t="inlineStr">
        <is>
          <t>13:35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</row>
    <row r="216">
      <c r="A216" s="2" t="inlineStr">
        <is>
          <t>Z002_01_062023_MATURIN.CSV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0024</t>
        </is>
      </c>
      <c r="H216" s="4" t="n">
        <v>45108</v>
      </c>
      <c r="I216" s="2" t="inlineStr">
        <is>
          <t>13:35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</row>
    <row r="217">
      <c r="A217" s="2" t="inlineStr">
        <is>
          <t>Z002_01_062023_MATURIN.CSV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0024</t>
        </is>
      </c>
      <c r="H217" s="4" t="n">
        <v>45108</v>
      </c>
      <c r="I217" s="2" t="inlineStr">
        <is>
          <t>13:35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</row>
    <row r="218">
      <c r="A218" s="2" t="inlineStr">
        <is>
          <t>Z002_01_062023_MATURIN.CSV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0024</t>
        </is>
      </c>
      <c r="H218" s="4" t="n">
        <v>45108</v>
      </c>
      <c r="I218" s="2" t="inlineStr">
        <is>
          <t>13:35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</row>
    <row r="219">
      <c r="A219" s="2" t="inlineStr">
        <is>
          <t>Z002_01_062023_MATURIN.CSV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0024</t>
        </is>
      </c>
      <c r="H219" s="4" t="n">
        <v>45108</v>
      </c>
      <c r="I219" s="2" t="inlineStr">
        <is>
          <t>13:35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</row>
    <row r="220">
      <c r="A220" s="2" t="inlineStr">
        <is>
          <t>Z002_01_062023_MATURIN.CSV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0024</t>
        </is>
      </c>
      <c r="H220" s="4" t="n">
        <v>45108</v>
      </c>
      <c r="I220" s="2" t="inlineStr">
        <is>
          <t>13:35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</row>
    <row r="221">
      <c r="A221" s="2" t="inlineStr">
        <is>
          <t>Z002_01_062023_MATURIN.CSV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0024</t>
        </is>
      </c>
      <c r="H221" s="4" t="n">
        <v>45108</v>
      </c>
      <c r="I221" s="2" t="inlineStr">
        <is>
          <t>13:35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</row>
    <row r="222">
      <c r="A222" s="2" t="inlineStr">
        <is>
          <t>Z002_01_062023_MATURIN.CSV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0024</t>
        </is>
      </c>
      <c r="H222" s="4" t="n">
        <v>45108</v>
      </c>
      <c r="I222" s="2" t="inlineStr">
        <is>
          <t>13:35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</row>
    <row r="223">
      <c r="A223" s="2" t="inlineStr">
        <is>
          <t>Z002_01_062023_MATURIN.CSV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0024</t>
        </is>
      </c>
      <c r="H223" s="4" t="n">
        <v>45108</v>
      </c>
      <c r="I223" s="2" t="inlineStr">
        <is>
          <t>13:35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</row>
    <row r="224">
      <c r="A224" s="2" t="inlineStr">
        <is>
          <t>Z002_01_062023_MATURIN.CSV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0024</t>
        </is>
      </c>
      <c r="H224" s="4" t="n">
        <v>45108</v>
      </c>
      <c r="I224" s="2" t="inlineStr">
        <is>
          <t>13:35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</row>
    <row r="225">
      <c r="A225" s="2" t="inlineStr">
        <is>
          <t>Z002_01_062023_MATURIN.CSV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0024</t>
        </is>
      </c>
      <c r="H225" s="4" t="n">
        <v>45108</v>
      </c>
      <c r="I225" s="2" t="inlineStr">
        <is>
          <t>13:35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</row>
    <row r="226">
      <c r="A226" s="2" t="inlineStr">
        <is>
          <t>Z002_01_062023_MATURIN.CSV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0024</t>
        </is>
      </c>
      <c r="H226" s="4" t="n">
        <v>45108</v>
      </c>
      <c r="I226" s="2" t="inlineStr">
        <is>
          <t>13:35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</row>
    <row r="227">
      <c r="A227" s="2" t="inlineStr">
        <is>
          <t>Z002_01_062023_MATURIN.CSV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0024</t>
        </is>
      </c>
      <c r="H227" s="4" t="n">
        <v>45108</v>
      </c>
      <c r="I227" s="2" t="inlineStr">
        <is>
          <t>13:35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</row>
    <row r="228">
      <c r="A228" s="2" t="inlineStr">
        <is>
          <t>Z002_01_062023_MATURIN.CSV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0024</t>
        </is>
      </c>
      <c r="H228" s="4" t="n">
        <v>45108</v>
      </c>
      <c r="I228" s="2" t="inlineStr">
        <is>
          <t>13:35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</row>
    <row r="229">
      <c r="A229" s="2" t="inlineStr">
        <is>
          <t>Z002_01_062023_MATURIN.CSV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0024</t>
        </is>
      </c>
      <c r="H229" s="4" t="n">
        <v>45108</v>
      </c>
      <c r="I229" s="2" t="inlineStr">
        <is>
          <t>13:35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</row>
    <row r="230">
      <c r="A230" s="2" t="inlineStr">
        <is>
          <t>Z002_01_062023_MATURIN.CSV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0024</t>
        </is>
      </c>
      <c r="H230" s="4" t="n">
        <v>45108</v>
      </c>
      <c r="I230" s="2" t="inlineStr">
        <is>
          <t>13:35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</row>
    <row r="231">
      <c r="A231" s="2" t="inlineStr">
        <is>
          <t>Z002_01_062023_MATURIN.CSV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0024</t>
        </is>
      </c>
      <c r="H231" s="4" t="n">
        <v>45108</v>
      </c>
      <c r="I231" s="2" t="inlineStr">
        <is>
          <t>13:35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</row>
    <row r="232">
      <c r="A232" s="2" t="inlineStr">
        <is>
          <t>Z002_01_062023_MATURIN.CSV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0024</t>
        </is>
      </c>
      <c r="H232" s="4" t="n">
        <v>45108</v>
      </c>
      <c r="I232" s="2" t="inlineStr">
        <is>
          <t>13:35</t>
        </is>
      </c>
      <c r="J232" s="3" t="inlineStr">
        <is>
          <t>0031</t>
        </is>
      </c>
      <c r="K232" s="2" t="inlineStr">
        <is>
          <t>REF./TIROIR</t>
        </is>
      </c>
      <c r="L232" s="5" t="n">
        <v>5</v>
      </c>
      <c r="M232" s="5" t="n">
        <v>0</v>
      </c>
    </row>
    <row r="233">
      <c r="A233" s="2" t="inlineStr">
        <is>
          <t>Z002_01_062023_MATURIN.CSV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0024</t>
        </is>
      </c>
      <c r="H233" s="4" t="n">
        <v>45108</v>
      </c>
      <c r="I233" s="2" t="inlineStr">
        <is>
          <t>13:35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</row>
    <row r="234">
      <c r="A234" s="2" t="inlineStr">
        <is>
          <t>Z002_01_062023_MATURIN.CSV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0024</t>
        </is>
      </c>
      <c r="H234" s="4" t="n">
        <v>45108</v>
      </c>
      <c r="I234" s="2" t="inlineStr">
        <is>
          <t>13:35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</row>
    <row r="235">
      <c r="A235" s="2" t="inlineStr">
        <is>
          <t>Z002_01_062023_MATURIN.CSV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0024</t>
        </is>
      </c>
      <c r="H235" s="4" t="n">
        <v>45108</v>
      </c>
      <c r="I235" s="2" t="inlineStr">
        <is>
          <t>13:35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</row>
    <row r="236">
      <c r="A236" s="2" t="inlineStr">
        <is>
          <t>Z002_01_062023_MATURIN.CSV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0024</t>
        </is>
      </c>
      <c r="H236" s="4" t="n">
        <v>45108</v>
      </c>
      <c r="I236" s="2" t="inlineStr">
        <is>
          <t>13:35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</row>
    <row r="237">
      <c r="A237" s="2" t="inlineStr">
        <is>
          <t>Z002_01_062023_MATURIN.CSV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0024</t>
        </is>
      </c>
      <c r="H237" s="4" t="n">
        <v>45108</v>
      </c>
      <c r="I237" s="2" t="inlineStr">
        <is>
          <t>13:35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</row>
    <row r="238">
      <c r="A238" s="2" t="inlineStr">
        <is>
          <t>Z002_01_062023_MATURIN.CSV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0024</t>
        </is>
      </c>
      <c r="H238" s="4" t="n">
        <v>45108</v>
      </c>
      <c r="I238" s="2" t="inlineStr">
        <is>
          <t>13:35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Z002_01_062023_MATURIN.CSV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0024</t>
        </is>
      </c>
      <c r="H239" s="4" t="n">
        <v>45108</v>
      </c>
      <c r="I239" s="2" t="inlineStr">
        <is>
          <t>13:35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</row>
    <row r="240">
      <c r="A240" s="2" t="inlineStr">
        <is>
          <t>Z002_01_062023_MATURIN.CSV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0024</t>
        </is>
      </c>
      <c r="H240" s="4" t="n">
        <v>45108</v>
      </c>
      <c r="I240" s="2" t="inlineStr">
        <is>
          <t>13:35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</row>
    <row r="241">
      <c r="A241" s="2" t="inlineStr">
        <is>
          <t>Z002_01_062023_MATURIN.CSV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0024</t>
        </is>
      </c>
      <c r="H241" s="4" t="n">
        <v>45108</v>
      </c>
      <c r="I241" s="2" t="inlineStr">
        <is>
          <t>13:35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</row>
    <row r="242">
      <c r="A242" s="2" t="inlineStr">
        <is>
          <t>Z002_01_062023_MATURIN.CSV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0024</t>
        </is>
      </c>
      <c r="H242" s="4" t="n">
        <v>45108</v>
      </c>
      <c r="I242" s="2" t="inlineStr">
        <is>
          <t>13:35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</row>
    <row r="243">
      <c r="A243" s="2" t="inlineStr">
        <is>
          <t>Z002_01_062023_MATURIN.CSV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0024</t>
        </is>
      </c>
      <c r="H243" s="4" t="n">
        <v>45108</v>
      </c>
      <c r="I243" s="2" t="inlineStr">
        <is>
          <t>13:35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</row>
    <row r="244">
      <c r="A244" s="2" t="inlineStr">
        <is>
          <t>Z002_01_062023_MATURIN.CSV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0024</t>
        </is>
      </c>
      <c r="H244" s="4" t="n">
        <v>45108</v>
      </c>
      <c r="I244" s="2" t="inlineStr">
        <is>
          <t>13:35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</row>
    <row r="245">
      <c r="A245" s="2" t="inlineStr">
        <is>
          <t>Z002_01_062023_MATURIN.CSV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0024</t>
        </is>
      </c>
      <c r="H245" s="4" t="n">
        <v>45108</v>
      </c>
      <c r="I245" s="2" t="inlineStr">
        <is>
          <t>13:35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</row>
    <row r="246">
      <c r="A246" s="2" t="inlineStr">
        <is>
          <t>Z002_01_062023_MATURIN.CSV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0024</t>
        </is>
      </c>
      <c r="H246" s="4" t="n">
        <v>45108</v>
      </c>
      <c r="I246" s="2" t="inlineStr">
        <is>
          <t>13:35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</row>
    <row r="247">
      <c r="A247" s="2" t="inlineStr">
        <is>
          <t>Z002_01_062023_MATURIN.CSV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0024</t>
        </is>
      </c>
      <c r="H247" s="4" t="n">
        <v>45108</v>
      </c>
      <c r="I247" s="2" t="inlineStr">
        <is>
          <t>13:35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</row>
    <row r="248">
      <c r="A248" s="2" t="inlineStr">
        <is>
          <t>Z002_01_062023_MATURIN.CSV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0024</t>
        </is>
      </c>
      <c r="H248" s="4" t="n">
        <v>45108</v>
      </c>
      <c r="I248" s="2" t="inlineStr">
        <is>
          <t>13:35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</row>
    <row r="249">
      <c r="A249" s="2" t="inlineStr">
        <is>
          <t>Z002_01_062023_MATURIN.CSV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0024</t>
        </is>
      </c>
      <c r="H249" s="4" t="n">
        <v>45108</v>
      </c>
      <c r="I249" s="2" t="inlineStr">
        <is>
          <t>13:35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</row>
    <row r="250">
      <c r="A250" s="2" t="inlineStr">
        <is>
          <t>Z002_01_062023_MATURIN.CSV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0024</t>
        </is>
      </c>
      <c r="H250" s="4" t="n">
        <v>45108</v>
      </c>
      <c r="I250" s="2" t="inlineStr">
        <is>
          <t>13:35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</row>
    <row r="251">
      <c r="A251" s="2" t="inlineStr">
        <is>
          <t>Z002_01_062023_MATURIN.CSV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0024</t>
        </is>
      </c>
      <c r="H251" s="4" t="n">
        <v>45108</v>
      </c>
      <c r="I251" s="2" t="inlineStr">
        <is>
          <t>13:35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</row>
    <row r="252">
      <c r="A252" s="2" t="inlineStr">
        <is>
          <t>Z002_01_072023_MATURIN.CSV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0025</t>
        </is>
      </c>
      <c r="H252" s="4" t="n">
        <v>45139</v>
      </c>
      <c r="I252" s="2" t="inlineStr">
        <is>
          <t>09:14</t>
        </is>
      </c>
      <c r="J252" s="3" t="inlineStr">
        <is>
          <t>0001</t>
        </is>
      </c>
      <c r="K252" s="2" t="inlineStr">
        <is>
          <t>ESPECES</t>
        </is>
      </c>
      <c r="L252" s="5" t="n">
        <v>4</v>
      </c>
      <c r="M252" s="5" t="n">
        <v>1705</v>
      </c>
    </row>
    <row r="253">
      <c r="A253" s="2" t="inlineStr">
        <is>
          <t>Z002_01_072023_MATURIN.CSV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0025</t>
        </is>
      </c>
      <c r="H253" s="4" t="n">
        <v>45139</v>
      </c>
      <c r="I253" s="2" t="inlineStr">
        <is>
          <t>09:14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</row>
    <row r="254">
      <c r="A254" s="2" t="inlineStr">
        <is>
          <t>Z002_01_072023_MATURIN.CSV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0025</t>
        </is>
      </c>
      <c r="H254" s="4" t="n">
        <v>45139</v>
      </c>
      <c r="I254" s="2" t="inlineStr">
        <is>
          <t>09:14</t>
        </is>
      </c>
      <c r="J254" s="3" t="inlineStr">
        <is>
          <t>0003</t>
        </is>
      </c>
      <c r="K254" s="2" t="inlineStr">
        <is>
          <t>CARTES</t>
        </is>
      </c>
      <c r="L254" s="5" t="n">
        <v>37</v>
      </c>
      <c r="M254" s="5" t="n">
        <v>29413</v>
      </c>
    </row>
    <row r="255">
      <c r="A255" s="2" t="inlineStr">
        <is>
          <t>Z002_01_072023_MATURIN.CSV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0025</t>
        </is>
      </c>
      <c r="H255" s="4" t="n">
        <v>45139</v>
      </c>
      <c r="I255" s="2" t="inlineStr">
        <is>
          <t>09:14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</row>
    <row r="256">
      <c r="A256" s="2" t="inlineStr">
        <is>
          <t>Z002_01_072023_MATURIN.CSV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0025</t>
        </is>
      </c>
      <c r="H256" s="4" t="n">
        <v>45139</v>
      </c>
      <c r="I256" s="2" t="inlineStr">
        <is>
          <t>09:14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</row>
    <row r="257">
      <c r="A257" s="2" t="inlineStr">
        <is>
          <t>Z002_01_072023_MATURIN.CSV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0025</t>
        </is>
      </c>
      <c r="H257" s="4" t="n">
        <v>45139</v>
      </c>
      <c r="I257" s="2" t="inlineStr">
        <is>
          <t>09:14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</row>
    <row r="258">
      <c r="A258" s="2" t="inlineStr">
        <is>
          <t>Z002_01_072023_MATURIN.CSV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0025</t>
        </is>
      </c>
      <c r="H258" s="4" t="n">
        <v>45139</v>
      </c>
      <c r="I258" s="2" t="inlineStr">
        <is>
          <t>09:14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</row>
    <row r="259">
      <c r="A259" s="2" t="inlineStr">
        <is>
          <t>Z002_01_072023_MATURIN.CSV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0025</t>
        </is>
      </c>
      <c r="H259" s="4" t="n">
        <v>45139</v>
      </c>
      <c r="I259" s="2" t="inlineStr">
        <is>
          <t>09:14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</row>
    <row r="260">
      <c r="A260" s="2" t="inlineStr">
        <is>
          <t>Z002_01_072023_MATURIN.CSV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0025</t>
        </is>
      </c>
      <c r="H260" s="4" t="n">
        <v>45139</v>
      </c>
      <c r="I260" s="2" t="inlineStr">
        <is>
          <t>09:14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</row>
    <row r="261">
      <c r="A261" s="2" t="inlineStr">
        <is>
          <t>Z002_01_072023_MATURIN.CSV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0025</t>
        </is>
      </c>
      <c r="H261" s="4" t="n">
        <v>45139</v>
      </c>
      <c r="I261" s="2" t="inlineStr">
        <is>
          <t>09:14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</row>
    <row r="262">
      <c r="A262" s="2" t="inlineStr">
        <is>
          <t>Z002_01_072023_MATURIN.CSV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0025</t>
        </is>
      </c>
      <c r="H262" s="4" t="n">
        <v>45139</v>
      </c>
      <c r="I262" s="2" t="inlineStr">
        <is>
          <t>09:14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</row>
    <row r="263">
      <c r="A263" s="2" t="inlineStr">
        <is>
          <t>Z002_01_072023_MATURIN.CSV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0025</t>
        </is>
      </c>
      <c r="H263" s="4" t="n">
        <v>45139</v>
      </c>
      <c r="I263" s="2" t="inlineStr">
        <is>
          <t>09:14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</row>
    <row r="264">
      <c r="A264" s="2" t="inlineStr">
        <is>
          <t>Z002_01_072023_MATURIN.CSV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0025</t>
        </is>
      </c>
      <c r="H264" s="4" t="n">
        <v>45139</v>
      </c>
      <c r="I264" s="2" t="inlineStr">
        <is>
          <t>09:14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</row>
    <row r="265">
      <c r="A265" s="2" t="inlineStr">
        <is>
          <t>Z002_01_072023_MATURIN.CSV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0025</t>
        </is>
      </c>
      <c r="H265" s="4" t="n">
        <v>45139</v>
      </c>
      <c r="I265" s="2" t="inlineStr">
        <is>
          <t>09:14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</row>
    <row r="266">
      <c r="A266" s="2" t="inlineStr">
        <is>
          <t>Z002_01_072023_MATURIN.CSV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0025</t>
        </is>
      </c>
      <c r="H266" s="4" t="n">
        <v>45139</v>
      </c>
      <c r="I266" s="2" t="inlineStr">
        <is>
          <t>09:14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</row>
    <row r="267">
      <c r="A267" s="2" t="inlineStr">
        <is>
          <t>Z002_01_072023_MATURIN.CSV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0025</t>
        </is>
      </c>
      <c r="H267" s="4" t="n">
        <v>45139</v>
      </c>
      <c r="I267" s="2" t="inlineStr">
        <is>
          <t>09:14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</row>
    <row r="268">
      <c r="A268" s="2" t="inlineStr">
        <is>
          <t>Z002_01_072023_MATURIN.CSV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0025</t>
        </is>
      </c>
      <c r="H268" s="4" t="n">
        <v>45139</v>
      </c>
      <c r="I268" s="2" t="inlineStr">
        <is>
          <t>09:14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</row>
    <row r="269">
      <c r="A269" s="2" t="inlineStr">
        <is>
          <t>Z002_01_072023_MATURIN.CSV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0025</t>
        </is>
      </c>
      <c r="H269" s="4" t="n">
        <v>45139</v>
      </c>
      <c r="I269" s="2" t="inlineStr">
        <is>
          <t>09:14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</row>
    <row r="270">
      <c r="A270" s="2" t="inlineStr">
        <is>
          <t>Z002_01_072023_MATURIN.CSV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0025</t>
        </is>
      </c>
      <c r="H270" s="4" t="n">
        <v>45139</v>
      </c>
      <c r="I270" s="2" t="inlineStr">
        <is>
          <t>09:14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</row>
    <row r="271">
      <c r="A271" s="2" t="inlineStr">
        <is>
          <t>Z002_01_072023_MATURIN.CSV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0025</t>
        </is>
      </c>
      <c r="H271" s="4" t="n">
        <v>45139</v>
      </c>
      <c r="I271" s="2" t="inlineStr">
        <is>
          <t>09:14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</row>
    <row r="272">
      <c r="A272" s="2" t="inlineStr">
        <is>
          <t>Z002_01_072023_MATURIN.CSV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0025</t>
        </is>
      </c>
      <c r="H272" s="4" t="n">
        <v>45139</v>
      </c>
      <c r="I272" s="2" t="inlineStr">
        <is>
          <t>09:14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</row>
    <row r="273">
      <c r="A273" s="2" t="inlineStr">
        <is>
          <t>Z002_01_072023_MATURIN.CSV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0025</t>
        </is>
      </c>
      <c r="H273" s="4" t="n">
        <v>45139</v>
      </c>
      <c r="I273" s="2" t="inlineStr">
        <is>
          <t>09:14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</row>
    <row r="274">
      <c r="A274" s="2" t="inlineStr">
        <is>
          <t>Z002_01_072023_MATURIN.CSV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0025</t>
        </is>
      </c>
      <c r="H274" s="4" t="n">
        <v>45139</v>
      </c>
      <c r="I274" s="2" t="inlineStr">
        <is>
          <t>09:14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</row>
    <row r="275">
      <c r="A275" s="2" t="inlineStr">
        <is>
          <t>Z002_01_072023_MATURIN.CSV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0025</t>
        </is>
      </c>
      <c r="H275" s="4" t="n">
        <v>45139</v>
      </c>
      <c r="I275" s="2" t="inlineStr">
        <is>
          <t>09:14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</row>
    <row r="276">
      <c r="A276" s="2" t="inlineStr">
        <is>
          <t>Z002_01_072023_MATURIN.CSV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0025</t>
        </is>
      </c>
      <c r="H276" s="4" t="n">
        <v>45139</v>
      </c>
      <c r="I276" s="2" t="inlineStr">
        <is>
          <t>09:14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</row>
    <row r="277">
      <c r="A277" s="2" t="inlineStr">
        <is>
          <t>Z002_01_072023_MATURIN.CSV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0025</t>
        </is>
      </c>
      <c r="H277" s="4" t="n">
        <v>45139</v>
      </c>
      <c r="I277" s="2" t="inlineStr">
        <is>
          <t>09:14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</row>
    <row r="278">
      <c r="A278" s="2" t="inlineStr">
        <is>
          <t>Z002_01_072023_MATURIN.CSV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0025</t>
        </is>
      </c>
      <c r="H278" s="4" t="n">
        <v>45139</v>
      </c>
      <c r="I278" s="2" t="inlineStr">
        <is>
          <t>09:14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</row>
    <row r="279">
      <c r="A279" s="2" t="inlineStr">
        <is>
          <t>Z002_01_072023_MATURIN.CSV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0025</t>
        </is>
      </c>
      <c r="H279" s="4" t="n">
        <v>45139</v>
      </c>
      <c r="I279" s="2" t="inlineStr">
        <is>
          <t>09:14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</row>
    <row r="280">
      <c r="A280" s="2" t="inlineStr">
        <is>
          <t>Z002_01_072023_MATURIN.CSV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0025</t>
        </is>
      </c>
      <c r="H280" s="4" t="n">
        <v>45139</v>
      </c>
      <c r="I280" s="2" t="inlineStr">
        <is>
          <t>09:14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</row>
    <row r="281">
      <c r="A281" s="2" t="inlineStr">
        <is>
          <t>Z002_01_072023_MATURIN.CSV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0025</t>
        </is>
      </c>
      <c r="H281" s="4" t="n">
        <v>45139</v>
      </c>
      <c r="I281" s="2" t="inlineStr">
        <is>
          <t>09:14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</row>
    <row r="282">
      <c r="A282" s="2" t="inlineStr">
        <is>
          <t>Z002_01_072023_MATURIN.CSV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0025</t>
        </is>
      </c>
      <c r="H282" s="4" t="n">
        <v>45139</v>
      </c>
      <c r="I282" s="2" t="inlineStr">
        <is>
          <t>09:14</t>
        </is>
      </c>
      <c r="J282" s="3" t="inlineStr">
        <is>
          <t>0031</t>
        </is>
      </c>
      <c r="K282" s="2" t="inlineStr">
        <is>
          <t>REF./TIROIR</t>
        </is>
      </c>
      <c r="L282" s="5" t="n">
        <v>17</v>
      </c>
      <c r="M282" s="5" t="n">
        <v>0</v>
      </c>
    </row>
    <row r="283">
      <c r="A283" s="2" t="inlineStr">
        <is>
          <t>Z002_01_072023_MATURIN.CSV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0025</t>
        </is>
      </c>
      <c r="H283" s="4" t="n">
        <v>45139</v>
      </c>
      <c r="I283" s="2" t="inlineStr">
        <is>
          <t>09:14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</row>
    <row r="284">
      <c r="A284" s="2" t="inlineStr">
        <is>
          <t>Z002_01_072023_MATURIN.CSV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0025</t>
        </is>
      </c>
      <c r="H284" s="4" t="n">
        <v>45139</v>
      </c>
      <c r="I284" s="2" t="inlineStr">
        <is>
          <t>09:14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</row>
    <row r="285">
      <c r="A285" s="2" t="inlineStr">
        <is>
          <t>Z002_01_072023_MATURIN.CSV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0025</t>
        </is>
      </c>
      <c r="H285" s="4" t="n">
        <v>45139</v>
      </c>
      <c r="I285" s="2" t="inlineStr">
        <is>
          <t>09:14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</row>
    <row r="286">
      <c r="A286" s="2" t="inlineStr">
        <is>
          <t>Z002_01_072023_MATURIN.CSV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0025</t>
        </is>
      </c>
      <c r="H286" s="4" t="n">
        <v>45139</v>
      </c>
      <c r="I286" s="2" t="inlineStr">
        <is>
          <t>09:14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</row>
    <row r="287">
      <c r="A287" s="2" t="inlineStr">
        <is>
          <t>Z002_01_072023_MATURIN.CSV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0025</t>
        </is>
      </c>
      <c r="H287" s="4" t="n">
        <v>45139</v>
      </c>
      <c r="I287" s="2" t="inlineStr">
        <is>
          <t>09:14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</row>
    <row r="288">
      <c r="A288" s="2" t="inlineStr">
        <is>
          <t>Z002_01_072023_MATURIN.CSV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0025</t>
        </is>
      </c>
      <c r="H288" s="4" t="n">
        <v>45139</v>
      </c>
      <c r="I288" s="2" t="inlineStr">
        <is>
          <t>09:14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</row>
    <row r="289">
      <c r="A289" s="2" t="inlineStr">
        <is>
          <t>Z002_01_072023_MATURIN.CSV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0025</t>
        </is>
      </c>
      <c r="H289" s="4" t="n">
        <v>45139</v>
      </c>
      <c r="I289" s="2" t="inlineStr">
        <is>
          <t>09:14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</row>
    <row r="290">
      <c r="A290" s="2" t="inlineStr">
        <is>
          <t>Z002_01_072023_MATURIN.CSV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0025</t>
        </is>
      </c>
      <c r="H290" s="4" t="n">
        <v>45139</v>
      </c>
      <c r="I290" s="2" t="inlineStr">
        <is>
          <t>09:14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</row>
    <row r="291">
      <c r="A291" s="2" t="inlineStr">
        <is>
          <t>Z002_01_072023_MATURIN.CSV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0025</t>
        </is>
      </c>
      <c r="H291" s="4" t="n">
        <v>45139</v>
      </c>
      <c r="I291" s="2" t="inlineStr">
        <is>
          <t>09:14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</row>
    <row r="292">
      <c r="A292" s="2" t="inlineStr">
        <is>
          <t>Z002_01_072023_MATURIN.CSV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0025</t>
        </is>
      </c>
      <c r="H292" s="4" t="n">
        <v>45139</v>
      </c>
      <c r="I292" s="2" t="inlineStr">
        <is>
          <t>09:14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</row>
    <row r="293">
      <c r="A293" s="2" t="inlineStr">
        <is>
          <t>Z002_01_072023_MATURIN.CSV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0025</t>
        </is>
      </c>
      <c r="H293" s="4" t="n">
        <v>45139</v>
      </c>
      <c r="I293" s="2" t="inlineStr">
        <is>
          <t>09:14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</row>
    <row r="294">
      <c r="A294" s="2" t="inlineStr">
        <is>
          <t>Z002_01_072023_MATURIN.CSV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0025</t>
        </is>
      </c>
      <c r="H294" s="4" t="n">
        <v>45139</v>
      </c>
      <c r="I294" s="2" t="inlineStr">
        <is>
          <t>09:14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</row>
    <row r="295">
      <c r="A295" s="2" t="inlineStr">
        <is>
          <t>Z002_01_072023_MATURIN.CSV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0025</t>
        </is>
      </c>
      <c r="H295" s="4" t="n">
        <v>45139</v>
      </c>
      <c r="I295" s="2" t="inlineStr">
        <is>
          <t>09:14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</row>
    <row r="296">
      <c r="A296" s="2" t="inlineStr">
        <is>
          <t>Z002_01_072023_MATURIN.CSV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0025</t>
        </is>
      </c>
      <c r="H296" s="4" t="n">
        <v>45139</v>
      </c>
      <c r="I296" s="2" t="inlineStr">
        <is>
          <t>09:14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</row>
    <row r="297">
      <c r="A297" s="2" t="inlineStr">
        <is>
          <t>Z002_01_072023_MATURIN.CSV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0025</t>
        </is>
      </c>
      <c r="H297" s="4" t="n">
        <v>45139</v>
      </c>
      <c r="I297" s="2" t="inlineStr">
        <is>
          <t>09:14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</row>
    <row r="298">
      <c r="A298" s="2" t="inlineStr">
        <is>
          <t>Z002_01_072023_MATURIN.CSV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0025</t>
        </is>
      </c>
      <c r="H298" s="4" t="n">
        <v>45139</v>
      </c>
      <c r="I298" s="2" t="inlineStr">
        <is>
          <t>09:14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</row>
    <row r="299">
      <c r="A299" s="2" t="inlineStr">
        <is>
          <t>Z002_01_072023_MATURIN.CSV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0025</t>
        </is>
      </c>
      <c r="H299" s="4" t="n">
        <v>45139</v>
      </c>
      <c r="I299" s="2" t="inlineStr">
        <is>
          <t>09:14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</row>
    <row r="300">
      <c r="A300" s="2" t="inlineStr">
        <is>
          <t>Z002_01_072023_MATURIN.CSV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0025</t>
        </is>
      </c>
      <c r="H300" s="4" t="n">
        <v>45139</v>
      </c>
      <c r="I300" s="2" t="inlineStr">
        <is>
          <t>09:14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</row>
    <row r="301">
      <c r="A301" s="2" t="inlineStr">
        <is>
          <t>Z002_01_072023_MATURIN.CSV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0025</t>
        </is>
      </c>
      <c r="H301" s="4" t="n">
        <v>45139</v>
      </c>
      <c r="I301" s="2" t="inlineStr">
        <is>
          <t>09:14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</row>
    <row r="302">
      <c r="A302" s="2" t="inlineStr">
        <is>
          <t>Z002_01_082023_MATURIN.CSV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0026</t>
        </is>
      </c>
      <c r="H302" s="4" t="n">
        <v>45170</v>
      </c>
      <c r="I302" s="2" t="inlineStr">
        <is>
          <t>09:09</t>
        </is>
      </c>
      <c r="J302" s="3" t="inlineStr">
        <is>
          <t>0001</t>
        </is>
      </c>
      <c r="K302" s="2" t="inlineStr">
        <is>
          <t>ESPECES</t>
        </is>
      </c>
      <c r="L302" s="5" t="n">
        <v>8</v>
      </c>
      <c r="M302" s="5" t="n">
        <v>3918.6</v>
      </c>
    </row>
    <row r="303">
      <c r="A303" s="2" t="inlineStr">
        <is>
          <t>Z002_01_082023_MATURIN.CSV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0026</t>
        </is>
      </c>
      <c r="H303" s="4" t="n">
        <v>45170</v>
      </c>
      <c r="I303" s="2" t="inlineStr">
        <is>
          <t>09:09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</row>
    <row r="304">
      <c r="A304" s="2" t="inlineStr">
        <is>
          <t>Z002_01_082023_MATURIN.CSV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0026</t>
        </is>
      </c>
      <c r="H304" s="4" t="n">
        <v>45170</v>
      </c>
      <c r="I304" s="2" t="inlineStr">
        <is>
          <t>09:09</t>
        </is>
      </c>
      <c r="J304" s="3" t="inlineStr">
        <is>
          <t>0003</t>
        </is>
      </c>
      <c r="K304" s="2" t="inlineStr">
        <is>
          <t>CARTES</t>
        </is>
      </c>
      <c r="L304" s="5" t="n">
        <v>10</v>
      </c>
      <c r="M304" s="5" t="n">
        <v>9776</v>
      </c>
    </row>
    <row r="305">
      <c r="A305" s="2" t="inlineStr">
        <is>
          <t>Z002_01_082023_MATURIN.CSV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0026</t>
        </is>
      </c>
      <c r="H305" s="4" t="n">
        <v>45170</v>
      </c>
      <c r="I305" s="2" t="inlineStr">
        <is>
          <t>09:09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</row>
    <row r="306">
      <c r="A306" s="2" t="inlineStr">
        <is>
          <t>Z002_01_082023_MATURIN.CSV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0026</t>
        </is>
      </c>
      <c r="H306" s="4" t="n">
        <v>45170</v>
      </c>
      <c r="I306" s="2" t="inlineStr">
        <is>
          <t>09:09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</row>
    <row r="307">
      <c r="A307" s="2" t="inlineStr">
        <is>
          <t>Z002_01_082023_MATURIN.CSV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0026</t>
        </is>
      </c>
      <c r="H307" s="4" t="n">
        <v>45170</v>
      </c>
      <c r="I307" s="2" t="inlineStr">
        <is>
          <t>09:09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</row>
    <row r="308">
      <c r="A308" s="2" t="inlineStr">
        <is>
          <t>Z002_01_082023_MATURIN.CSV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0026</t>
        </is>
      </c>
      <c r="H308" s="4" t="n">
        <v>45170</v>
      </c>
      <c r="I308" s="2" t="inlineStr">
        <is>
          <t>09:09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</row>
    <row r="309">
      <c r="A309" s="2" t="inlineStr">
        <is>
          <t>Z002_01_082023_MATURIN.CSV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0026</t>
        </is>
      </c>
      <c r="H309" s="4" t="n">
        <v>45170</v>
      </c>
      <c r="I309" s="2" t="inlineStr">
        <is>
          <t>09:09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</row>
    <row r="310">
      <c r="A310" s="2" t="inlineStr">
        <is>
          <t>Z002_01_082023_MATURIN.CSV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0026</t>
        </is>
      </c>
      <c r="H310" s="4" t="n">
        <v>45170</v>
      </c>
      <c r="I310" s="2" t="inlineStr">
        <is>
          <t>09:09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</row>
    <row r="311">
      <c r="A311" s="2" t="inlineStr">
        <is>
          <t>Z002_01_082023_MATURIN.CSV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0026</t>
        </is>
      </c>
      <c r="H311" s="4" t="n">
        <v>45170</v>
      </c>
      <c r="I311" s="2" t="inlineStr">
        <is>
          <t>09:09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</row>
    <row r="312">
      <c r="A312" s="2" t="inlineStr">
        <is>
          <t>Z002_01_082023_MATURIN.CSV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0026</t>
        </is>
      </c>
      <c r="H312" s="4" t="n">
        <v>45170</v>
      </c>
      <c r="I312" s="2" t="inlineStr">
        <is>
          <t>09:09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</row>
    <row r="313">
      <c r="A313" s="2" t="inlineStr">
        <is>
          <t>Z002_01_082023_MATURIN.CSV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0026</t>
        </is>
      </c>
      <c r="H313" s="4" t="n">
        <v>45170</v>
      </c>
      <c r="I313" s="2" t="inlineStr">
        <is>
          <t>09:09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</row>
    <row r="314">
      <c r="A314" s="2" t="inlineStr">
        <is>
          <t>Z002_01_082023_MATURIN.CSV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0026</t>
        </is>
      </c>
      <c r="H314" s="4" t="n">
        <v>45170</v>
      </c>
      <c r="I314" s="2" t="inlineStr">
        <is>
          <t>09:09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</row>
    <row r="315">
      <c r="A315" s="2" t="inlineStr">
        <is>
          <t>Z002_01_082023_MATURIN.CSV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0026</t>
        </is>
      </c>
      <c r="H315" s="4" t="n">
        <v>45170</v>
      </c>
      <c r="I315" s="2" t="inlineStr">
        <is>
          <t>09:09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</row>
    <row r="316">
      <c r="A316" s="2" t="inlineStr">
        <is>
          <t>Z002_01_082023_MATURIN.CSV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0026</t>
        </is>
      </c>
      <c r="H316" s="4" t="n">
        <v>45170</v>
      </c>
      <c r="I316" s="2" t="inlineStr">
        <is>
          <t>09:09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</row>
    <row r="317">
      <c r="A317" s="2" t="inlineStr">
        <is>
          <t>Z002_01_082023_MATURIN.CSV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0026</t>
        </is>
      </c>
      <c r="H317" s="4" t="n">
        <v>45170</v>
      </c>
      <c r="I317" s="2" t="inlineStr">
        <is>
          <t>09:09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</row>
    <row r="318">
      <c r="A318" s="2" t="inlineStr">
        <is>
          <t>Z002_01_082023_MATURIN.CSV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0026</t>
        </is>
      </c>
      <c r="H318" s="4" t="n">
        <v>45170</v>
      </c>
      <c r="I318" s="2" t="inlineStr">
        <is>
          <t>09:09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</row>
    <row r="319">
      <c r="A319" s="2" t="inlineStr">
        <is>
          <t>Z002_01_082023_MATURIN.CSV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0026</t>
        </is>
      </c>
      <c r="H319" s="4" t="n">
        <v>45170</v>
      </c>
      <c r="I319" s="2" t="inlineStr">
        <is>
          <t>09:09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</row>
    <row r="320">
      <c r="A320" s="2" t="inlineStr">
        <is>
          <t>Z002_01_082023_MATURIN.CSV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0026</t>
        </is>
      </c>
      <c r="H320" s="4" t="n">
        <v>45170</v>
      </c>
      <c r="I320" s="2" t="inlineStr">
        <is>
          <t>09:09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</row>
    <row r="321">
      <c r="A321" s="2" t="inlineStr">
        <is>
          <t>Z002_01_082023_MATURIN.CSV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0026</t>
        </is>
      </c>
      <c r="H321" s="4" t="n">
        <v>45170</v>
      </c>
      <c r="I321" s="2" t="inlineStr">
        <is>
          <t>09:09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</row>
    <row r="322">
      <c r="A322" s="2" t="inlineStr">
        <is>
          <t>Z002_01_082023_MATURIN.CSV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0026</t>
        </is>
      </c>
      <c r="H322" s="4" t="n">
        <v>45170</v>
      </c>
      <c r="I322" s="2" t="inlineStr">
        <is>
          <t>09:09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</row>
    <row r="323">
      <c r="A323" s="2" t="inlineStr">
        <is>
          <t>Z002_01_082023_MATURIN.CSV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0026</t>
        </is>
      </c>
      <c r="H323" s="4" t="n">
        <v>45170</v>
      </c>
      <c r="I323" s="2" t="inlineStr">
        <is>
          <t>09:09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</row>
    <row r="324">
      <c r="A324" s="2" t="inlineStr">
        <is>
          <t>Z002_01_082023_MATURIN.CSV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0026</t>
        </is>
      </c>
      <c r="H324" s="4" t="n">
        <v>45170</v>
      </c>
      <c r="I324" s="2" t="inlineStr">
        <is>
          <t>09:09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</row>
    <row r="325">
      <c r="A325" s="2" t="inlineStr">
        <is>
          <t>Z002_01_082023_MATURIN.CSV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0026</t>
        </is>
      </c>
      <c r="H325" s="4" t="n">
        <v>45170</v>
      </c>
      <c r="I325" s="2" t="inlineStr">
        <is>
          <t>09:09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</row>
    <row r="326">
      <c r="A326" s="2" t="inlineStr">
        <is>
          <t>Z002_01_082023_MATURIN.CSV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0026</t>
        </is>
      </c>
      <c r="H326" s="4" t="n">
        <v>45170</v>
      </c>
      <c r="I326" s="2" t="inlineStr">
        <is>
          <t>09:09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</row>
    <row r="327">
      <c r="A327" s="2" t="inlineStr">
        <is>
          <t>Z002_01_082023_MATURIN.CSV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0026</t>
        </is>
      </c>
      <c r="H327" s="4" t="n">
        <v>45170</v>
      </c>
      <c r="I327" s="2" t="inlineStr">
        <is>
          <t>09:09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</row>
    <row r="328">
      <c r="A328" s="2" t="inlineStr">
        <is>
          <t>Z002_01_082023_MATURIN.CSV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0026</t>
        </is>
      </c>
      <c r="H328" s="4" t="n">
        <v>45170</v>
      </c>
      <c r="I328" s="2" t="inlineStr">
        <is>
          <t>09:09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</row>
    <row r="329">
      <c r="A329" s="2" t="inlineStr">
        <is>
          <t>Z002_01_082023_MATURIN.CSV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0026</t>
        </is>
      </c>
      <c r="H329" s="4" t="n">
        <v>45170</v>
      </c>
      <c r="I329" s="2" t="inlineStr">
        <is>
          <t>09:09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</row>
    <row r="330">
      <c r="A330" s="2" t="inlineStr">
        <is>
          <t>Z002_01_082023_MATURIN.CSV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0026</t>
        </is>
      </c>
      <c r="H330" s="4" t="n">
        <v>45170</v>
      </c>
      <c r="I330" s="2" t="inlineStr">
        <is>
          <t>09:09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</row>
    <row r="331">
      <c r="A331" s="2" t="inlineStr">
        <is>
          <t>Z002_01_082023_MATURIN.CSV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0026</t>
        </is>
      </c>
      <c r="H331" s="4" t="n">
        <v>45170</v>
      </c>
      <c r="I331" s="2" t="inlineStr">
        <is>
          <t>09:09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</row>
    <row r="332">
      <c r="A332" s="2" t="inlineStr">
        <is>
          <t>Z002_01_082023_MATURIN.CSV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0026</t>
        </is>
      </c>
      <c r="H332" s="4" t="n">
        <v>45170</v>
      </c>
      <c r="I332" s="2" t="inlineStr">
        <is>
          <t>09:09</t>
        </is>
      </c>
      <c r="J332" s="3" t="inlineStr">
        <is>
          <t>0031</t>
        </is>
      </c>
      <c r="K332" s="2" t="inlineStr">
        <is>
          <t>REF./TIROIR</t>
        </is>
      </c>
      <c r="L332" s="5" t="n">
        <v>7</v>
      </c>
      <c r="M332" s="5" t="n">
        <v>0</v>
      </c>
    </row>
    <row r="333">
      <c r="A333" s="2" t="inlineStr">
        <is>
          <t>Z002_01_082023_MATURIN.CSV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0026</t>
        </is>
      </c>
      <c r="H333" s="4" t="n">
        <v>45170</v>
      </c>
      <c r="I333" s="2" t="inlineStr">
        <is>
          <t>09:09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</row>
    <row r="334">
      <c r="A334" s="2" t="inlineStr">
        <is>
          <t>Z002_01_082023_MATURIN.CSV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0026</t>
        </is>
      </c>
      <c r="H334" s="4" t="n">
        <v>45170</v>
      </c>
      <c r="I334" s="2" t="inlineStr">
        <is>
          <t>09:09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</row>
    <row r="335">
      <c r="A335" s="2" t="inlineStr">
        <is>
          <t>Z002_01_082023_MATURIN.CSV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0026</t>
        </is>
      </c>
      <c r="H335" s="4" t="n">
        <v>45170</v>
      </c>
      <c r="I335" s="2" t="inlineStr">
        <is>
          <t>09:09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</row>
    <row r="336">
      <c r="A336" s="2" t="inlineStr">
        <is>
          <t>Z002_01_082023_MATURIN.CSV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0026</t>
        </is>
      </c>
      <c r="H336" s="4" t="n">
        <v>45170</v>
      </c>
      <c r="I336" s="2" t="inlineStr">
        <is>
          <t>09:09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</row>
    <row r="337">
      <c r="A337" s="2" t="inlineStr">
        <is>
          <t>Z002_01_082023_MATURIN.CSV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0026</t>
        </is>
      </c>
      <c r="H337" s="4" t="n">
        <v>45170</v>
      </c>
      <c r="I337" s="2" t="inlineStr">
        <is>
          <t>09:09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</row>
    <row r="338">
      <c r="A338" s="2" t="inlineStr">
        <is>
          <t>Z002_01_082023_MATURIN.CSV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0026</t>
        </is>
      </c>
      <c r="H338" s="4" t="n">
        <v>45170</v>
      </c>
      <c r="I338" s="2" t="inlineStr">
        <is>
          <t>09:09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</row>
    <row r="339">
      <c r="A339" s="2" t="inlineStr">
        <is>
          <t>Z002_01_082023_MATURIN.CSV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0026</t>
        </is>
      </c>
      <c r="H339" s="4" t="n">
        <v>45170</v>
      </c>
      <c r="I339" s="2" t="inlineStr">
        <is>
          <t>09:09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</row>
    <row r="340">
      <c r="A340" s="2" t="inlineStr">
        <is>
          <t>Z002_01_082023_MATURIN.CSV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0026</t>
        </is>
      </c>
      <c r="H340" s="4" t="n">
        <v>45170</v>
      </c>
      <c r="I340" s="2" t="inlineStr">
        <is>
          <t>09:09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</row>
    <row r="341">
      <c r="A341" s="2" t="inlineStr">
        <is>
          <t>Z002_01_082023_MATURIN.CSV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0026</t>
        </is>
      </c>
      <c r="H341" s="4" t="n">
        <v>45170</v>
      </c>
      <c r="I341" s="2" t="inlineStr">
        <is>
          <t>09:09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</row>
    <row r="342">
      <c r="A342" s="2" t="inlineStr">
        <is>
          <t>Z002_01_082023_MATURIN.CSV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0026</t>
        </is>
      </c>
      <c r="H342" s="4" t="n">
        <v>45170</v>
      </c>
      <c r="I342" s="2" t="inlineStr">
        <is>
          <t>09:09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</row>
    <row r="343">
      <c r="A343" s="2" t="inlineStr">
        <is>
          <t>Z002_01_082023_MATURIN.CSV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0026</t>
        </is>
      </c>
      <c r="H343" s="4" t="n">
        <v>45170</v>
      </c>
      <c r="I343" s="2" t="inlineStr">
        <is>
          <t>09:09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</row>
    <row r="344">
      <c r="A344" s="2" t="inlineStr">
        <is>
          <t>Z002_01_082023_MATURIN.CSV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0026</t>
        </is>
      </c>
      <c r="H344" s="4" t="n">
        <v>45170</v>
      </c>
      <c r="I344" s="2" t="inlineStr">
        <is>
          <t>09:09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</row>
    <row r="345">
      <c r="A345" s="2" t="inlineStr">
        <is>
          <t>Z002_01_082023_MATURIN.CSV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0026</t>
        </is>
      </c>
      <c r="H345" s="4" t="n">
        <v>45170</v>
      </c>
      <c r="I345" s="2" t="inlineStr">
        <is>
          <t>09:09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</row>
    <row r="346">
      <c r="A346" s="2" t="inlineStr">
        <is>
          <t>Z002_01_082023_MATURIN.CSV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0026</t>
        </is>
      </c>
      <c r="H346" s="4" t="n">
        <v>45170</v>
      </c>
      <c r="I346" s="2" t="inlineStr">
        <is>
          <t>09:09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</row>
    <row r="347">
      <c r="A347" s="2" t="inlineStr">
        <is>
          <t>Z002_01_082023_MATURIN.CSV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0026</t>
        </is>
      </c>
      <c r="H347" s="4" t="n">
        <v>45170</v>
      </c>
      <c r="I347" s="2" t="inlineStr">
        <is>
          <t>09:09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</row>
    <row r="348">
      <c r="A348" s="2" t="inlineStr">
        <is>
          <t>Z002_01_082023_MATURIN.CSV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0026</t>
        </is>
      </c>
      <c r="H348" s="4" t="n">
        <v>45170</v>
      </c>
      <c r="I348" s="2" t="inlineStr">
        <is>
          <t>09:09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</row>
    <row r="349">
      <c r="A349" s="2" t="inlineStr">
        <is>
          <t>Z002_01_082023_MATURIN.CSV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0026</t>
        </is>
      </c>
      <c r="H349" s="4" t="n">
        <v>45170</v>
      </c>
      <c r="I349" s="2" t="inlineStr">
        <is>
          <t>09:09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</row>
    <row r="350">
      <c r="A350" s="2" t="inlineStr">
        <is>
          <t>Z002_01_082023_MATURIN.CSV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0026</t>
        </is>
      </c>
      <c r="H350" s="4" t="n">
        <v>45170</v>
      </c>
      <c r="I350" s="2" t="inlineStr">
        <is>
          <t>09:09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</row>
    <row r="351">
      <c r="A351" s="2" t="inlineStr">
        <is>
          <t>Z002_01_082023_MATURIN.CSV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0026</t>
        </is>
      </c>
      <c r="H351" s="4" t="n">
        <v>45170</v>
      </c>
      <c r="I351" s="2" t="inlineStr">
        <is>
          <t>09:09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</row>
    <row r="352">
      <c r="A352" s="2" t="inlineStr">
        <is>
          <t>Z002_02_042023_MATURIN.CSV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0022</t>
        </is>
      </c>
      <c r="H352" s="4" t="n">
        <v>45048</v>
      </c>
      <c r="I352" s="2" t="inlineStr">
        <is>
          <t>09:28</t>
        </is>
      </c>
      <c r="J352" s="3" t="inlineStr">
        <is>
          <t>0001</t>
        </is>
      </c>
      <c r="K352" s="2" t="inlineStr">
        <is>
          <t>ESPECES</t>
        </is>
      </c>
      <c r="L352" s="5" t="n">
        <v>7</v>
      </c>
      <c r="M352" s="5" t="n">
        <v>3442</v>
      </c>
    </row>
    <row r="353">
      <c r="A353" s="2" t="inlineStr">
        <is>
          <t>Z002_02_042023_MATURIN.CSV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0022</t>
        </is>
      </c>
      <c r="H353" s="4" t="n">
        <v>45048</v>
      </c>
      <c r="I353" s="2" t="inlineStr">
        <is>
          <t>09:28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</row>
    <row r="354">
      <c r="A354" s="2" t="inlineStr">
        <is>
          <t>Z002_02_042023_MATURIN.CSV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0022</t>
        </is>
      </c>
      <c r="H354" s="4" t="n">
        <v>45048</v>
      </c>
      <c r="I354" s="2" t="inlineStr">
        <is>
          <t>09:28</t>
        </is>
      </c>
      <c r="J354" s="3" t="inlineStr">
        <is>
          <t>0003</t>
        </is>
      </c>
      <c r="K354" s="2" t="inlineStr">
        <is>
          <t>CARTES</t>
        </is>
      </c>
      <c r="L354" s="5" t="n">
        <v>8</v>
      </c>
      <c r="M354" s="5" t="n">
        <v>9995</v>
      </c>
    </row>
    <row r="355">
      <c r="A355" s="2" t="inlineStr">
        <is>
          <t>Z002_02_042023_MATURIN.CSV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0022</t>
        </is>
      </c>
      <c r="H355" s="4" t="n">
        <v>45048</v>
      </c>
      <c r="I355" s="2" t="inlineStr">
        <is>
          <t>09:28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</row>
    <row r="356">
      <c r="A356" s="2" t="inlineStr">
        <is>
          <t>Z002_02_042023_MATURIN.CSV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0022</t>
        </is>
      </c>
      <c r="H356" s="4" t="n">
        <v>45048</v>
      </c>
      <c r="I356" s="2" t="inlineStr">
        <is>
          <t>09:28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</row>
    <row r="357">
      <c r="A357" s="2" t="inlineStr">
        <is>
          <t>Z002_02_042023_MATURIN.CSV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0022</t>
        </is>
      </c>
      <c r="H357" s="4" t="n">
        <v>45048</v>
      </c>
      <c r="I357" s="2" t="inlineStr">
        <is>
          <t>09:28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</row>
    <row r="358">
      <c r="A358" s="2" t="inlineStr">
        <is>
          <t>Z002_02_042023_MATURIN.CSV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0022</t>
        </is>
      </c>
      <c r="H358" s="4" t="n">
        <v>45048</v>
      </c>
      <c r="I358" s="2" t="inlineStr">
        <is>
          <t>09:28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</row>
    <row r="359">
      <c r="A359" s="2" t="inlineStr">
        <is>
          <t>Z002_02_042023_MATURIN.CSV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0022</t>
        </is>
      </c>
      <c r="H359" s="4" t="n">
        <v>45048</v>
      </c>
      <c r="I359" s="2" t="inlineStr">
        <is>
          <t>09:28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</row>
    <row r="360">
      <c r="A360" s="2" t="inlineStr">
        <is>
          <t>Z002_02_042023_MATURIN.CSV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0022</t>
        </is>
      </c>
      <c r="H360" s="4" t="n">
        <v>45048</v>
      </c>
      <c r="I360" s="2" t="inlineStr">
        <is>
          <t>09:28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</row>
    <row r="361">
      <c r="A361" s="2" t="inlineStr">
        <is>
          <t>Z002_02_042023_MATURIN.CSV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0022</t>
        </is>
      </c>
      <c r="H361" s="4" t="n">
        <v>45048</v>
      </c>
      <c r="I361" s="2" t="inlineStr">
        <is>
          <t>09:28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</row>
    <row r="362">
      <c r="A362" s="2" t="inlineStr">
        <is>
          <t>Z002_02_042023_MATURIN.CSV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0022</t>
        </is>
      </c>
      <c r="H362" s="4" t="n">
        <v>45048</v>
      </c>
      <c r="I362" s="2" t="inlineStr">
        <is>
          <t>09:28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</row>
    <row r="363">
      <c r="A363" s="2" t="inlineStr">
        <is>
          <t>Z002_02_042023_MATURIN.CSV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0022</t>
        </is>
      </c>
      <c r="H363" s="4" t="n">
        <v>45048</v>
      </c>
      <c r="I363" s="2" t="inlineStr">
        <is>
          <t>09:28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</row>
    <row r="364">
      <c r="A364" s="2" t="inlineStr">
        <is>
          <t>Z002_02_042023_MATURIN.CSV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0022</t>
        </is>
      </c>
      <c r="H364" s="4" t="n">
        <v>45048</v>
      </c>
      <c r="I364" s="2" t="inlineStr">
        <is>
          <t>09:28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</row>
    <row r="365">
      <c r="A365" s="2" t="inlineStr">
        <is>
          <t>Z002_02_042023_MATURIN.CSV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0022</t>
        </is>
      </c>
      <c r="H365" s="4" t="n">
        <v>45048</v>
      </c>
      <c r="I365" s="2" t="inlineStr">
        <is>
          <t>09:28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</row>
    <row r="366">
      <c r="A366" s="2" t="inlineStr">
        <is>
          <t>Z002_02_042023_MATURIN.CSV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0022</t>
        </is>
      </c>
      <c r="H366" s="4" t="n">
        <v>45048</v>
      </c>
      <c r="I366" s="2" t="inlineStr">
        <is>
          <t>09:28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</row>
    <row r="367">
      <c r="A367" s="2" t="inlineStr">
        <is>
          <t>Z002_02_042023_MATURIN.CSV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0022</t>
        </is>
      </c>
      <c r="H367" s="4" t="n">
        <v>45048</v>
      </c>
      <c r="I367" s="2" t="inlineStr">
        <is>
          <t>09:28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</row>
    <row r="368">
      <c r="A368" s="2" t="inlineStr">
        <is>
          <t>Z002_02_042023_MATURIN.CSV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0022</t>
        </is>
      </c>
      <c r="H368" s="4" t="n">
        <v>45048</v>
      </c>
      <c r="I368" s="2" t="inlineStr">
        <is>
          <t>09:28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</row>
    <row r="369">
      <c r="A369" s="2" t="inlineStr">
        <is>
          <t>Z002_02_042023_MATURIN.CSV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0022</t>
        </is>
      </c>
      <c r="H369" s="4" t="n">
        <v>45048</v>
      </c>
      <c r="I369" s="2" t="inlineStr">
        <is>
          <t>09:28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5" t="n">
        <v>3.29</v>
      </c>
    </row>
    <row r="370">
      <c r="A370" s="2" t="inlineStr">
        <is>
          <t>Z002_02_042023_MATURIN.CSV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0022</t>
        </is>
      </c>
      <c r="H370" s="4" t="n">
        <v>45048</v>
      </c>
      <c r="I370" s="2" t="inlineStr">
        <is>
          <t>09:28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</row>
    <row r="371">
      <c r="A371" s="2" t="inlineStr">
        <is>
          <t>Z002_02_042023_MATURIN.CSV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0022</t>
        </is>
      </c>
      <c r="H371" s="4" t="n">
        <v>45048</v>
      </c>
      <c r="I371" s="2" t="inlineStr">
        <is>
          <t>09:28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</row>
    <row r="372">
      <c r="A372" s="2" t="inlineStr">
        <is>
          <t>Z002_02_042023_MATURIN.CSV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0022</t>
        </is>
      </c>
      <c r="H372" s="4" t="n">
        <v>45048</v>
      </c>
      <c r="I372" s="2" t="inlineStr">
        <is>
          <t>09:28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</row>
    <row r="373">
      <c r="A373" s="2" t="inlineStr">
        <is>
          <t>Z002_02_042023_MATURIN.CSV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0022</t>
        </is>
      </c>
      <c r="H373" s="4" t="n">
        <v>45048</v>
      </c>
      <c r="I373" s="2" t="inlineStr">
        <is>
          <t>09:28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</row>
    <row r="374">
      <c r="A374" s="2" t="inlineStr">
        <is>
          <t>Z002_02_042023_MATURIN.CSV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0022</t>
        </is>
      </c>
      <c r="H374" s="4" t="n">
        <v>45048</v>
      </c>
      <c r="I374" s="2" t="inlineStr">
        <is>
          <t>09:28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</row>
    <row r="375">
      <c r="A375" s="2" t="inlineStr">
        <is>
          <t>Z002_02_042023_MATURIN.CSV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0022</t>
        </is>
      </c>
      <c r="H375" s="4" t="n">
        <v>45048</v>
      </c>
      <c r="I375" s="2" t="inlineStr">
        <is>
          <t>09:28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</row>
    <row r="376">
      <c r="A376" s="2" t="inlineStr">
        <is>
          <t>Z002_02_042023_MATURIN.CSV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0022</t>
        </is>
      </c>
      <c r="H376" s="4" t="n">
        <v>45048</v>
      </c>
      <c r="I376" s="2" t="inlineStr">
        <is>
          <t>09:28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</row>
    <row r="377">
      <c r="A377" s="2" t="inlineStr">
        <is>
          <t>Z002_02_042023_MATURIN.CSV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0022</t>
        </is>
      </c>
      <c r="H377" s="4" t="n">
        <v>45048</v>
      </c>
      <c r="I377" s="2" t="inlineStr">
        <is>
          <t>09:28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</row>
    <row r="378">
      <c r="A378" s="2" t="inlineStr">
        <is>
          <t>Z002_02_042023_MATURIN.CSV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0022</t>
        </is>
      </c>
      <c r="H378" s="4" t="n">
        <v>45048</v>
      </c>
      <c r="I378" s="2" t="inlineStr">
        <is>
          <t>09:28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</row>
    <row r="379">
      <c r="A379" s="2" t="inlineStr">
        <is>
          <t>Z002_02_042023_MATURIN.CSV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0022</t>
        </is>
      </c>
      <c r="H379" s="4" t="n">
        <v>45048</v>
      </c>
      <c r="I379" s="2" t="inlineStr">
        <is>
          <t>09:28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</row>
    <row r="380">
      <c r="A380" s="2" t="inlineStr">
        <is>
          <t>Z002_02_042023_MATURIN.CSV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0022</t>
        </is>
      </c>
      <c r="H380" s="4" t="n">
        <v>45048</v>
      </c>
      <c r="I380" s="2" t="inlineStr">
        <is>
          <t>09:28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</row>
    <row r="381">
      <c r="A381" s="2" t="inlineStr">
        <is>
          <t>Z002_02_042023_MATURIN.CSV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0022</t>
        </is>
      </c>
      <c r="H381" s="4" t="n">
        <v>45048</v>
      </c>
      <c r="I381" s="2" t="inlineStr">
        <is>
          <t>09:28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</row>
    <row r="382">
      <c r="A382" s="2" t="inlineStr">
        <is>
          <t>Z002_02_042023_MATURIN.CSV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0022</t>
        </is>
      </c>
      <c r="H382" s="4" t="n">
        <v>45048</v>
      </c>
      <c r="I382" s="2" t="inlineStr">
        <is>
          <t>09:28</t>
        </is>
      </c>
      <c r="J382" s="3" t="inlineStr">
        <is>
          <t>0031</t>
        </is>
      </c>
      <c r="K382" s="2" t="inlineStr">
        <is>
          <t>REF./TIROIR</t>
        </is>
      </c>
      <c r="L382" s="5" t="n">
        <v>21</v>
      </c>
      <c r="M382" s="5" t="n">
        <v>0</v>
      </c>
    </row>
    <row r="383">
      <c r="A383" s="2" t="inlineStr">
        <is>
          <t>Z002_02_042023_MATURIN.CSV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0022</t>
        </is>
      </c>
      <c r="H383" s="4" t="n">
        <v>45048</v>
      </c>
      <c r="I383" s="2" t="inlineStr">
        <is>
          <t>09:28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</row>
    <row r="384">
      <c r="A384" s="2" t="inlineStr">
        <is>
          <t>Z002_02_042023_MATURIN.CSV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0022</t>
        </is>
      </c>
      <c r="H384" s="4" t="n">
        <v>45048</v>
      </c>
      <c r="I384" s="2" t="inlineStr">
        <is>
          <t>09:28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</row>
    <row r="385">
      <c r="A385" s="2" t="inlineStr">
        <is>
          <t>Z002_02_042023_MATURIN.CSV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0022</t>
        </is>
      </c>
      <c r="H385" s="4" t="n">
        <v>45048</v>
      </c>
      <c r="I385" s="2" t="inlineStr">
        <is>
          <t>09:28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</row>
    <row r="386">
      <c r="A386" s="2" t="inlineStr">
        <is>
          <t>Z002_02_042023_MATURIN.CSV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0022</t>
        </is>
      </c>
      <c r="H386" s="4" t="n">
        <v>45048</v>
      </c>
      <c r="I386" s="2" t="inlineStr">
        <is>
          <t>09:28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</row>
    <row r="387">
      <c r="A387" s="2" t="inlineStr">
        <is>
          <t>Z002_02_042023_MATURIN.CSV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0022</t>
        </is>
      </c>
      <c r="H387" s="4" t="n">
        <v>45048</v>
      </c>
      <c r="I387" s="2" t="inlineStr">
        <is>
          <t>09:28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</row>
    <row r="388">
      <c r="A388" s="2" t="inlineStr">
        <is>
          <t>Z002_02_042023_MATURIN.CSV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0022</t>
        </is>
      </c>
      <c r="H388" s="4" t="n">
        <v>45048</v>
      </c>
      <c r="I388" s="2" t="inlineStr">
        <is>
          <t>09:28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</row>
    <row r="389">
      <c r="A389" s="2" t="inlineStr">
        <is>
          <t>Z002_02_042023_MATURIN.CSV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0022</t>
        </is>
      </c>
      <c r="H389" s="4" t="n">
        <v>45048</v>
      </c>
      <c r="I389" s="2" t="inlineStr">
        <is>
          <t>09:28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</row>
    <row r="390">
      <c r="A390" s="2" t="inlineStr">
        <is>
          <t>Z002_02_042023_MATURIN.CSV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0022</t>
        </is>
      </c>
      <c r="H390" s="4" t="n">
        <v>45048</v>
      </c>
      <c r="I390" s="2" t="inlineStr">
        <is>
          <t>09:28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</row>
    <row r="391">
      <c r="A391" s="2" t="inlineStr">
        <is>
          <t>Z002_02_042023_MATURIN.CSV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0022</t>
        </is>
      </c>
      <c r="H391" s="4" t="n">
        <v>45048</v>
      </c>
      <c r="I391" s="2" t="inlineStr">
        <is>
          <t>09:28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</row>
    <row r="392">
      <c r="A392" s="2" t="inlineStr">
        <is>
          <t>Z002_02_042023_MATURIN.CSV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0022</t>
        </is>
      </c>
      <c r="H392" s="4" t="n">
        <v>45048</v>
      </c>
      <c r="I392" s="2" t="inlineStr">
        <is>
          <t>09:28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</row>
    <row r="393">
      <c r="A393" s="2" t="inlineStr">
        <is>
          <t>Z002_02_042023_MATURIN.CSV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0022</t>
        </is>
      </c>
      <c r="H393" s="4" t="n">
        <v>45048</v>
      </c>
      <c r="I393" s="2" t="inlineStr">
        <is>
          <t>09:28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</row>
    <row r="394">
      <c r="A394" s="2" t="inlineStr">
        <is>
          <t>Z002_02_042023_MATURIN.CSV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0022</t>
        </is>
      </c>
      <c r="H394" s="4" t="n">
        <v>45048</v>
      </c>
      <c r="I394" s="2" t="inlineStr">
        <is>
          <t>09:28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</row>
    <row r="395">
      <c r="A395" s="2" t="inlineStr">
        <is>
          <t>Z002_02_042023_MATURIN.CSV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0022</t>
        </is>
      </c>
      <c r="H395" s="4" t="n">
        <v>45048</v>
      </c>
      <c r="I395" s="2" t="inlineStr">
        <is>
          <t>09:28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</row>
    <row r="396">
      <c r="A396" s="2" t="inlineStr">
        <is>
          <t>Z002_02_042023_MATURIN.CSV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0022</t>
        </is>
      </c>
      <c r="H396" s="4" t="n">
        <v>45048</v>
      </c>
      <c r="I396" s="2" t="inlineStr">
        <is>
          <t>09:28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</row>
    <row r="397">
      <c r="A397" s="2" t="inlineStr">
        <is>
          <t>Z002_02_042023_MATURIN.CSV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0022</t>
        </is>
      </c>
      <c r="H397" s="4" t="n">
        <v>45048</v>
      </c>
      <c r="I397" s="2" t="inlineStr">
        <is>
          <t>09:28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Z002_02_042023_MATURIN.CSV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0022</t>
        </is>
      </c>
      <c r="H398" s="4" t="n">
        <v>45048</v>
      </c>
      <c r="I398" s="2" t="inlineStr">
        <is>
          <t>09:28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</row>
    <row r="399">
      <c r="A399" s="2" t="inlineStr">
        <is>
          <t>Z002_02_042023_MATURIN.CSV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0022</t>
        </is>
      </c>
      <c r="H399" s="4" t="n">
        <v>45048</v>
      </c>
      <c r="I399" s="2" t="inlineStr">
        <is>
          <t>09:28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</row>
    <row r="400">
      <c r="A400" s="2" t="inlineStr">
        <is>
          <t>Z002_02_042023_MATURIN.CSV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0022</t>
        </is>
      </c>
      <c r="H400" s="4" t="n">
        <v>45048</v>
      </c>
      <c r="I400" s="2" t="inlineStr">
        <is>
          <t>09:28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</row>
    <row r="401">
      <c r="A401" s="2" t="inlineStr">
        <is>
          <t>Z002_02_042023_MATURIN.CSV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0022</t>
        </is>
      </c>
      <c r="H401" s="4" t="n">
        <v>45048</v>
      </c>
      <c r="I401" s="2" t="inlineStr">
        <is>
          <t>09:28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</row>
    <row r="402">
      <c r="A402" s="2" t="inlineStr">
        <is>
          <t>Z002_02_092023_MATURIN.CSV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0027</t>
        </is>
      </c>
      <c r="H402" s="4" t="n">
        <v>45201</v>
      </c>
      <c r="I402" s="2" t="inlineStr">
        <is>
          <t>09:14</t>
        </is>
      </c>
      <c r="J402" s="3" t="inlineStr">
        <is>
          <t>0001</t>
        </is>
      </c>
      <c r="K402" s="2" t="inlineStr">
        <is>
          <t>ESPECES</t>
        </is>
      </c>
      <c r="L402" s="5" t="n">
        <v>2</v>
      </c>
      <c r="M402" s="5" t="n">
        <v>785.8</v>
      </c>
    </row>
    <row r="403">
      <c r="A403" s="2" t="inlineStr">
        <is>
          <t>Z002_02_092023_MATURIN.CSV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0027</t>
        </is>
      </c>
      <c r="H403" s="4" t="n">
        <v>45201</v>
      </c>
      <c r="I403" s="2" t="inlineStr">
        <is>
          <t>09:14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</row>
    <row r="404">
      <c r="A404" s="2" t="inlineStr">
        <is>
          <t>Z002_02_092023_MATURIN.CSV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0027</t>
        </is>
      </c>
      <c r="H404" s="4" t="n">
        <v>45201</v>
      </c>
      <c r="I404" s="2" t="inlineStr">
        <is>
          <t>09:14</t>
        </is>
      </c>
      <c r="J404" s="3" t="inlineStr">
        <is>
          <t>0003</t>
        </is>
      </c>
      <c r="K404" s="2" t="inlineStr">
        <is>
          <t>CARTES</t>
        </is>
      </c>
      <c r="L404" s="5" t="n">
        <v>29</v>
      </c>
      <c r="M404" s="5" t="n">
        <v>19377.8</v>
      </c>
    </row>
    <row r="405">
      <c r="A405" s="2" t="inlineStr">
        <is>
          <t>Z002_02_092023_MATURIN.CSV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0027</t>
        </is>
      </c>
      <c r="H405" s="4" t="n">
        <v>45201</v>
      </c>
      <c r="I405" s="2" t="inlineStr">
        <is>
          <t>09:14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</row>
    <row r="406">
      <c r="A406" s="2" t="inlineStr">
        <is>
          <t>Z002_02_092023_MATURIN.CSV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0027</t>
        </is>
      </c>
      <c r="H406" s="4" t="n">
        <v>45201</v>
      </c>
      <c r="I406" s="2" t="inlineStr">
        <is>
          <t>09:14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</row>
    <row r="407">
      <c r="A407" s="2" t="inlineStr">
        <is>
          <t>Z002_02_092023_MATURIN.CSV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0027</t>
        </is>
      </c>
      <c r="H407" s="4" t="n">
        <v>45201</v>
      </c>
      <c r="I407" s="2" t="inlineStr">
        <is>
          <t>09:14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</row>
    <row r="408">
      <c r="A408" s="2" t="inlineStr">
        <is>
          <t>Z002_02_092023_MATURIN.CSV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0027</t>
        </is>
      </c>
      <c r="H408" s="4" t="n">
        <v>45201</v>
      </c>
      <c r="I408" s="2" t="inlineStr">
        <is>
          <t>09:14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</row>
    <row r="409">
      <c r="A409" s="2" t="inlineStr">
        <is>
          <t>Z002_02_092023_MATURIN.CSV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0027</t>
        </is>
      </c>
      <c r="H409" s="4" t="n">
        <v>45201</v>
      </c>
      <c r="I409" s="2" t="inlineStr">
        <is>
          <t>09:14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</row>
    <row r="410">
      <c r="A410" s="2" t="inlineStr">
        <is>
          <t>Z002_02_092023_MATURIN.CSV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0027</t>
        </is>
      </c>
      <c r="H410" s="4" t="n">
        <v>45201</v>
      </c>
      <c r="I410" s="2" t="inlineStr">
        <is>
          <t>09:14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</row>
    <row r="411">
      <c r="A411" s="2" t="inlineStr">
        <is>
          <t>Z002_02_092023_MATURIN.CSV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0027</t>
        </is>
      </c>
      <c r="H411" s="4" t="n">
        <v>45201</v>
      </c>
      <c r="I411" s="2" t="inlineStr">
        <is>
          <t>09:14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</row>
    <row r="412">
      <c r="A412" s="2" t="inlineStr">
        <is>
          <t>Z002_02_092023_MATURIN.CSV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0027</t>
        </is>
      </c>
      <c r="H412" s="4" t="n">
        <v>45201</v>
      </c>
      <c r="I412" s="2" t="inlineStr">
        <is>
          <t>09:14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</row>
    <row r="413">
      <c r="A413" s="2" t="inlineStr">
        <is>
          <t>Z002_02_092023_MATURIN.CSV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0027</t>
        </is>
      </c>
      <c r="H413" s="4" t="n">
        <v>45201</v>
      </c>
      <c r="I413" s="2" t="inlineStr">
        <is>
          <t>09:14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</row>
    <row r="414">
      <c r="A414" s="2" t="inlineStr">
        <is>
          <t>Z002_02_092023_MATURIN.CSV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0027</t>
        </is>
      </c>
      <c r="H414" s="4" t="n">
        <v>45201</v>
      </c>
      <c r="I414" s="2" t="inlineStr">
        <is>
          <t>09:14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</row>
    <row r="415">
      <c r="A415" s="2" t="inlineStr">
        <is>
          <t>Z002_02_092023_MATURIN.CSV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0027</t>
        </is>
      </c>
      <c r="H415" s="4" t="n">
        <v>45201</v>
      </c>
      <c r="I415" s="2" t="inlineStr">
        <is>
          <t>09:14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</row>
    <row r="416">
      <c r="A416" s="2" t="inlineStr">
        <is>
          <t>Z002_02_092023_MATURIN.CSV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0027</t>
        </is>
      </c>
      <c r="H416" s="4" t="n">
        <v>45201</v>
      </c>
      <c r="I416" s="2" t="inlineStr">
        <is>
          <t>09:14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</row>
    <row r="417">
      <c r="A417" s="2" t="inlineStr">
        <is>
          <t>Z002_02_092023_MATURIN.CSV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0027</t>
        </is>
      </c>
      <c r="H417" s="4" t="n">
        <v>45201</v>
      </c>
      <c r="I417" s="2" t="inlineStr">
        <is>
          <t>09:14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</row>
    <row r="418">
      <c r="A418" s="2" t="inlineStr">
        <is>
          <t>Z002_02_092023_MATURIN.CSV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0027</t>
        </is>
      </c>
      <c r="H418" s="4" t="n">
        <v>45201</v>
      </c>
      <c r="I418" s="2" t="inlineStr">
        <is>
          <t>09:14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</row>
    <row r="419">
      <c r="A419" s="2" t="inlineStr">
        <is>
          <t>Z002_02_092023_MATURIN.CSV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0027</t>
        </is>
      </c>
      <c r="H419" s="4" t="n">
        <v>45201</v>
      </c>
      <c r="I419" s="2" t="inlineStr">
        <is>
          <t>09:14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</row>
    <row r="420">
      <c r="A420" s="2" t="inlineStr">
        <is>
          <t>Z002_02_092023_MATURIN.CSV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0027</t>
        </is>
      </c>
      <c r="H420" s="4" t="n">
        <v>45201</v>
      </c>
      <c r="I420" s="2" t="inlineStr">
        <is>
          <t>09:14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</row>
    <row r="421">
      <c r="A421" s="2" t="inlineStr">
        <is>
          <t>Z002_02_092023_MATURIN.CSV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0027</t>
        </is>
      </c>
      <c r="H421" s="4" t="n">
        <v>45201</v>
      </c>
      <c r="I421" s="2" t="inlineStr">
        <is>
          <t>09:14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</row>
    <row r="422">
      <c r="A422" s="2" t="inlineStr">
        <is>
          <t>Z002_02_092023_MATURIN.CSV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0027</t>
        </is>
      </c>
      <c r="H422" s="4" t="n">
        <v>45201</v>
      </c>
      <c r="I422" s="2" t="inlineStr">
        <is>
          <t>09:14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</row>
    <row r="423">
      <c r="A423" s="2" t="inlineStr">
        <is>
          <t>Z002_02_092023_MATURIN.CSV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0027</t>
        </is>
      </c>
      <c r="H423" s="4" t="n">
        <v>45201</v>
      </c>
      <c r="I423" s="2" t="inlineStr">
        <is>
          <t>09:14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</row>
    <row r="424">
      <c r="A424" s="2" t="inlineStr">
        <is>
          <t>Z002_02_092023_MATURIN.CSV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0027</t>
        </is>
      </c>
      <c r="H424" s="4" t="n">
        <v>45201</v>
      </c>
      <c r="I424" s="2" t="inlineStr">
        <is>
          <t>09:14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</row>
    <row r="425">
      <c r="A425" s="2" t="inlineStr">
        <is>
          <t>Z002_02_092023_MATURIN.CSV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0027</t>
        </is>
      </c>
      <c r="H425" s="4" t="n">
        <v>45201</v>
      </c>
      <c r="I425" s="2" t="inlineStr">
        <is>
          <t>09:14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</row>
    <row r="426">
      <c r="A426" s="2" t="inlineStr">
        <is>
          <t>Z002_02_092023_MATURIN.CSV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0027</t>
        </is>
      </c>
      <c r="H426" s="4" t="n">
        <v>45201</v>
      </c>
      <c r="I426" s="2" t="inlineStr">
        <is>
          <t>09:14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</row>
    <row r="427">
      <c r="A427" s="2" t="inlineStr">
        <is>
          <t>Z002_02_092023_MATURIN.CSV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0027</t>
        </is>
      </c>
      <c r="H427" s="4" t="n">
        <v>45201</v>
      </c>
      <c r="I427" s="2" t="inlineStr">
        <is>
          <t>09:14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</row>
    <row r="428">
      <c r="A428" s="2" t="inlineStr">
        <is>
          <t>Z002_02_092023_MATURIN.CSV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0027</t>
        </is>
      </c>
      <c r="H428" s="4" t="n">
        <v>45201</v>
      </c>
      <c r="I428" s="2" t="inlineStr">
        <is>
          <t>09:14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</row>
    <row r="429">
      <c r="A429" s="2" t="inlineStr">
        <is>
          <t>Z002_02_092023_MATURIN.CSV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0027</t>
        </is>
      </c>
      <c r="H429" s="4" t="n">
        <v>45201</v>
      </c>
      <c r="I429" s="2" t="inlineStr">
        <is>
          <t>09:14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</row>
    <row r="430">
      <c r="A430" s="2" t="inlineStr">
        <is>
          <t>Z002_02_092023_MATURIN.CSV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0027</t>
        </is>
      </c>
      <c r="H430" s="4" t="n">
        <v>45201</v>
      </c>
      <c r="I430" s="2" t="inlineStr">
        <is>
          <t>09:14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</row>
    <row r="431">
      <c r="A431" s="2" t="inlineStr">
        <is>
          <t>Z002_02_092023_MATURIN.CSV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0027</t>
        </is>
      </c>
      <c r="H431" s="4" t="n">
        <v>45201</v>
      </c>
      <c r="I431" s="2" t="inlineStr">
        <is>
          <t>09:14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</row>
    <row r="432">
      <c r="A432" s="2" t="inlineStr">
        <is>
          <t>Z002_02_092023_MATURIN.CSV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0027</t>
        </is>
      </c>
      <c r="H432" s="4" t="n">
        <v>45201</v>
      </c>
      <c r="I432" s="2" t="inlineStr">
        <is>
          <t>09:14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19</v>
      </c>
      <c r="M432" s="5" t="n">
        <v>0</v>
      </c>
    </row>
    <row r="433">
      <c r="A433" s="2" t="inlineStr">
        <is>
          <t>Z002_02_092023_MATURIN.CSV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0027</t>
        </is>
      </c>
      <c r="H433" s="4" t="n">
        <v>45201</v>
      </c>
      <c r="I433" s="2" t="inlineStr">
        <is>
          <t>09:14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</row>
    <row r="434">
      <c r="A434" s="2" t="inlineStr">
        <is>
          <t>Z002_02_092023_MATURIN.CSV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0027</t>
        </is>
      </c>
      <c r="H434" s="4" t="n">
        <v>45201</v>
      </c>
      <c r="I434" s="2" t="inlineStr">
        <is>
          <t>09:14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</row>
    <row r="435">
      <c r="A435" s="2" t="inlineStr">
        <is>
          <t>Z002_02_092023_MATURIN.CSV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0027</t>
        </is>
      </c>
      <c r="H435" s="4" t="n">
        <v>45201</v>
      </c>
      <c r="I435" s="2" t="inlineStr">
        <is>
          <t>09:14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</row>
    <row r="436">
      <c r="A436" s="2" t="inlineStr">
        <is>
          <t>Z002_02_092023_MATURIN.CSV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0027</t>
        </is>
      </c>
      <c r="H436" s="4" t="n">
        <v>45201</v>
      </c>
      <c r="I436" s="2" t="inlineStr">
        <is>
          <t>09:14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</row>
    <row r="437">
      <c r="A437" s="2" t="inlineStr">
        <is>
          <t>Z002_02_092023_MATURIN.CSV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0027</t>
        </is>
      </c>
      <c r="H437" s="4" t="n">
        <v>45201</v>
      </c>
      <c r="I437" s="2" t="inlineStr">
        <is>
          <t>09:14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</row>
    <row r="438">
      <c r="A438" s="2" t="inlineStr">
        <is>
          <t>Z002_02_092023_MATURIN.CSV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0027</t>
        </is>
      </c>
      <c r="H438" s="4" t="n">
        <v>45201</v>
      </c>
      <c r="I438" s="2" t="inlineStr">
        <is>
          <t>09:14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Z002_02_092023_MATURIN.CSV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0027</t>
        </is>
      </c>
      <c r="H439" s="4" t="n">
        <v>45201</v>
      </c>
      <c r="I439" s="2" t="inlineStr">
        <is>
          <t>09:14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</row>
    <row r="440">
      <c r="A440" s="2" t="inlineStr">
        <is>
          <t>Z002_02_092023_MATURIN.CSV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0027</t>
        </is>
      </c>
      <c r="H440" s="4" t="n">
        <v>45201</v>
      </c>
      <c r="I440" s="2" t="inlineStr">
        <is>
          <t>09:14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</row>
    <row r="441">
      <c r="A441" s="2" t="inlineStr">
        <is>
          <t>Z002_02_092023_MATURIN.CSV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0027</t>
        </is>
      </c>
      <c r="H441" s="4" t="n">
        <v>45201</v>
      </c>
      <c r="I441" s="2" t="inlineStr">
        <is>
          <t>09:14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</row>
    <row r="442">
      <c r="A442" s="2" t="inlineStr">
        <is>
          <t>Z002_02_092023_MATURIN.CSV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0027</t>
        </is>
      </c>
      <c r="H442" s="4" t="n">
        <v>45201</v>
      </c>
      <c r="I442" s="2" t="inlineStr">
        <is>
          <t>09:14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</row>
    <row r="443">
      <c r="A443" s="2" t="inlineStr">
        <is>
          <t>Z002_02_092023_MATURIN.CSV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0027</t>
        </is>
      </c>
      <c r="H443" s="4" t="n">
        <v>45201</v>
      </c>
      <c r="I443" s="2" t="inlineStr">
        <is>
          <t>09:14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Z002_02_092023_MATURIN.CSV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0027</t>
        </is>
      </c>
      <c r="H444" s="4" t="n">
        <v>45201</v>
      </c>
      <c r="I444" s="2" t="inlineStr">
        <is>
          <t>09:14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</row>
    <row r="445">
      <c r="A445" s="2" t="inlineStr">
        <is>
          <t>Z002_02_092023_MATURIN.CSV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0027</t>
        </is>
      </c>
      <c r="H445" s="4" t="n">
        <v>45201</v>
      </c>
      <c r="I445" s="2" t="inlineStr">
        <is>
          <t>09:14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</row>
    <row r="446">
      <c r="A446" s="2" t="inlineStr">
        <is>
          <t>Z002_02_092023_MATURIN.CSV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0027</t>
        </is>
      </c>
      <c r="H446" s="4" t="n">
        <v>45201</v>
      </c>
      <c r="I446" s="2" t="inlineStr">
        <is>
          <t>09:14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</row>
    <row r="447">
      <c r="A447" s="2" t="inlineStr">
        <is>
          <t>Z002_02_092023_MATURIN.CSV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0027</t>
        </is>
      </c>
      <c r="H447" s="4" t="n">
        <v>45201</v>
      </c>
      <c r="I447" s="2" t="inlineStr">
        <is>
          <t>09:14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</row>
    <row r="448">
      <c r="A448" s="2" t="inlineStr">
        <is>
          <t>Z002_02_092023_MATURIN.CSV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0027</t>
        </is>
      </c>
      <c r="H448" s="4" t="n">
        <v>45201</v>
      </c>
      <c r="I448" s="2" t="inlineStr">
        <is>
          <t>09:14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</row>
    <row r="449">
      <c r="A449" s="2" t="inlineStr">
        <is>
          <t>Z002_02_092023_MATURIN.CSV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0027</t>
        </is>
      </c>
      <c r="H449" s="4" t="n">
        <v>45201</v>
      </c>
      <c r="I449" s="2" t="inlineStr">
        <is>
          <t>09:14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</row>
    <row r="450">
      <c r="A450" s="2" t="inlineStr">
        <is>
          <t>Z002_02_092023_MATURIN.CSV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0027</t>
        </is>
      </c>
      <c r="H450" s="4" t="n">
        <v>45201</v>
      </c>
      <c r="I450" s="2" t="inlineStr">
        <is>
          <t>09:14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</row>
    <row r="451">
      <c r="A451" s="2" t="inlineStr">
        <is>
          <t>Z002_02_092023_MATURIN.CSV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0027</t>
        </is>
      </c>
      <c r="H451" s="4" t="n">
        <v>45201</v>
      </c>
      <c r="I451" s="2" t="inlineStr">
        <is>
          <t>09:14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</row>
    <row r="452">
      <c r="A452" s="2" t="inlineStr">
        <is>
          <t>Z002_02_102023_MATURIN.CSV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0028</t>
        </is>
      </c>
      <c r="H452" s="4" t="n">
        <v>45232</v>
      </c>
      <c r="I452" s="2" t="inlineStr">
        <is>
          <t>11:03</t>
        </is>
      </c>
      <c r="J452" s="3" t="inlineStr">
        <is>
          <t>0001</t>
        </is>
      </c>
      <c r="K452" s="2" t="inlineStr">
        <is>
          <t>ESPECES</t>
        </is>
      </c>
      <c r="L452" s="5" t="n">
        <v>8</v>
      </c>
      <c r="M452" s="5" t="n">
        <v>2942</v>
      </c>
    </row>
    <row r="453">
      <c r="A453" s="2" t="inlineStr">
        <is>
          <t>Z002_02_102023_MATURIN.CSV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0028</t>
        </is>
      </c>
      <c r="H453" s="4" t="n">
        <v>45232</v>
      </c>
      <c r="I453" s="2" t="inlineStr">
        <is>
          <t>11:03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</row>
    <row r="454">
      <c r="A454" s="2" t="inlineStr">
        <is>
          <t>Z002_02_102023_MATURIN.CSV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0028</t>
        </is>
      </c>
      <c r="H454" s="4" t="n">
        <v>45232</v>
      </c>
      <c r="I454" s="2" t="inlineStr">
        <is>
          <t>11:03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5" t="n">
        <v>19379</v>
      </c>
    </row>
    <row r="455">
      <c r="A455" s="2" t="inlineStr">
        <is>
          <t>Z002_02_102023_MATURIN.CSV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0028</t>
        </is>
      </c>
      <c r="H455" s="4" t="n">
        <v>45232</v>
      </c>
      <c r="I455" s="2" t="inlineStr">
        <is>
          <t>11:03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</row>
    <row r="456">
      <c r="A456" s="2" t="inlineStr">
        <is>
          <t>Z002_02_102023_MATURIN.CSV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0028</t>
        </is>
      </c>
      <c r="H456" s="4" t="n">
        <v>45232</v>
      </c>
      <c r="I456" s="2" t="inlineStr">
        <is>
          <t>11:03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</row>
    <row r="457">
      <c r="A457" s="2" t="inlineStr">
        <is>
          <t>Z002_02_102023_MATURIN.CSV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0028</t>
        </is>
      </c>
      <c r="H457" s="4" t="n">
        <v>45232</v>
      </c>
      <c r="I457" s="2" t="inlineStr">
        <is>
          <t>11:03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</row>
    <row r="458">
      <c r="A458" s="2" t="inlineStr">
        <is>
          <t>Z002_02_102023_MATURIN.CSV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0028</t>
        </is>
      </c>
      <c r="H458" s="4" t="n">
        <v>45232</v>
      </c>
      <c r="I458" s="2" t="inlineStr">
        <is>
          <t>11:03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</row>
    <row r="459">
      <c r="A459" s="2" t="inlineStr">
        <is>
          <t>Z002_02_102023_MATURIN.CSV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0028</t>
        </is>
      </c>
      <c r="H459" s="4" t="n">
        <v>45232</v>
      </c>
      <c r="I459" s="2" t="inlineStr">
        <is>
          <t>11:03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</row>
    <row r="460">
      <c r="A460" s="2" t="inlineStr">
        <is>
          <t>Z002_02_102023_MATURIN.CSV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0028</t>
        </is>
      </c>
      <c r="H460" s="4" t="n">
        <v>45232</v>
      </c>
      <c r="I460" s="2" t="inlineStr">
        <is>
          <t>11:03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</row>
    <row r="461">
      <c r="A461" s="2" t="inlineStr">
        <is>
          <t>Z002_02_102023_MATURIN.CSV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0028</t>
        </is>
      </c>
      <c r="H461" s="4" t="n">
        <v>45232</v>
      </c>
      <c r="I461" s="2" t="inlineStr">
        <is>
          <t>11:03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</row>
    <row r="462">
      <c r="A462" s="2" t="inlineStr">
        <is>
          <t>Z002_02_102023_MATURIN.CSV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0028</t>
        </is>
      </c>
      <c r="H462" s="4" t="n">
        <v>45232</v>
      </c>
      <c r="I462" s="2" t="inlineStr">
        <is>
          <t>11:03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</row>
    <row r="463">
      <c r="A463" s="2" t="inlineStr">
        <is>
          <t>Z002_02_102023_MATURIN.CSV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0028</t>
        </is>
      </c>
      <c r="H463" s="4" t="n">
        <v>45232</v>
      </c>
      <c r="I463" s="2" t="inlineStr">
        <is>
          <t>11:03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</row>
    <row r="464">
      <c r="A464" s="2" t="inlineStr">
        <is>
          <t>Z002_02_102023_MATURIN.CSV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0028</t>
        </is>
      </c>
      <c r="H464" s="4" t="n">
        <v>45232</v>
      </c>
      <c r="I464" s="2" t="inlineStr">
        <is>
          <t>11:03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</row>
    <row r="465">
      <c r="A465" s="2" t="inlineStr">
        <is>
          <t>Z002_02_102023_MATURIN.CSV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0028</t>
        </is>
      </c>
      <c r="H465" s="4" t="n">
        <v>45232</v>
      </c>
      <c r="I465" s="2" t="inlineStr">
        <is>
          <t>11:03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</row>
    <row r="466">
      <c r="A466" s="2" t="inlineStr">
        <is>
          <t>Z002_02_102023_MATURIN.CSV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0028</t>
        </is>
      </c>
      <c r="H466" s="4" t="n">
        <v>45232</v>
      </c>
      <c r="I466" s="2" t="inlineStr">
        <is>
          <t>11:03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</row>
    <row r="467">
      <c r="A467" s="2" t="inlineStr">
        <is>
          <t>Z002_02_102023_MATURIN.CSV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0028</t>
        </is>
      </c>
      <c r="H467" s="4" t="n">
        <v>45232</v>
      </c>
      <c r="I467" s="2" t="inlineStr">
        <is>
          <t>11:03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</row>
    <row r="468">
      <c r="A468" s="2" t="inlineStr">
        <is>
          <t>Z002_02_102023_MATURIN.CSV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0028</t>
        </is>
      </c>
      <c r="H468" s="4" t="n">
        <v>45232</v>
      </c>
      <c r="I468" s="2" t="inlineStr">
        <is>
          <t>11:03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</row>
    <row r="469">
      <c r="A469" s="2" t="inlineStr">
        <is>
          <t>Z002_02_102023_MATURIN.CSV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0028</t>
        </is>
      </c>
      <c r="H469" s="4" t="n">
        <v>45232</v>
      </c>
      <c r="I469" s="2" t="inlineStr">
        <is>
          <t>11:03</t>
        </is>
      </c>
      <c r="J469" s="3" t="inlineStr">
        <is>
          <t>0018</t>
        </is>
      </c>
      <c r="K469" s="2" t="inlineStr">
        <is>
          <t>CORRECTION</t>
        </is>
      </c>
      <c r="L469" s="5" t="n">
        <v>1</v>
      </c>
      <c r="M469" s="5" t="n">
        <v>329</v>
      </c>
    </row>
    <row r="470">
      <c r="A470" s="2" t="inlineStr">
        <is>
          <t>Z002_02_102023_MATURIN.CSV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0028</t>
        </is>
      </c>
      <c r="H470" s="4" t="n">
        <v>45232</v>
      </c>
      <c r="I470" s="2" t="inlineStr">
        <is>
          <t>11:03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</row>
    <row r="471">
      <c r="A471" s="2" t="inlineStr">
        <is>
          <t>Z002_02_102023_MATURIN.CSV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0028</t>
        </is>
      </c>
      <c r="H471" s="4" t="n">
        <v>45232</v>
      </c>
      <c r="I471" s="2" t="inlineStr">
        <is>
          <t>11:03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</row>
    <row r="472">
      <c r="A472" s="2" t="inlineStr">
        <is>
          <t>Z002_02_102023_MATURIN.CSV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0028</t>
        </is>
      </c>
      <c r="H472" s="4" t="n">
        <v>45232</v>
      </c>
      <c r="I472" s="2" t="inlineStr">
        <is>
          <t>11:03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</row>
    <row r="473">
      <c r="A473" s="2" t="inlineStr">
        <is>
          <t>Z002_02_102023_MATURIN.CSV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0028</t>
        </is>
      </c>
      <c r="H473" s="4" t="n">
        <v>45232</v>
      </c>
      <c r="I473" s="2" t="inlineStr">
        <is>
          <t>11:03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</row>
    <row r="474">
      <c r="A474" s="2" t="inlineStr">
        <is>
          <t>Z002_02_102023_MATURIN.CSV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0028</t>
        </is>
      </c>
      <c r="H474" s="4" t="n">
        <v>45232</v>
      </c>
      <c r="I474" s="2" t="inlineStr">
        <is>
          <t>11:03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</row>
    <row r="475">
      <c r="A475" s="2" t="inlineStr">
        <is>
          <t>Z002_02_102023_MATURIN.CSV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0028</t>
        </is>
      </c>
      <c r="H475" s="4" t="n">
        <v>45232</v>
      </c>
      <c r="I475" s="2" t="inlineStr">
        <is>
          <t>11:03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</row>
    <row r="476">
      <c r="A476" s="2" t="inlineStr">
        <is>
          <t>Z002_02_102023_MATURIN.CSV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0028</t>
        </is>
      </c>
      <c r="H476" s="4" t="n">
        <v>45232</v>
      </c>
      <c r="I476" s="2" t="inlineStr">
        <is>
          <t>11:03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</row>
    <row r="477">
      <c r="A477" s="2" t="inlineStr">
        <is>
          <t>Z002_02_102023_MATURIN.CSV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0028</t>
        </is>
      </c>
      <c r="H477" s="4" t="n">
        <v>45232</v>
      </c>
      <c r="I477" s="2" t="inlineStr">
        <is>
          <t>11:03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</row>
    <row r="478">
      <c r="A478" s="2" t="inlineStr">
        <is>
          <t>Z002_02_102023_MATURIN.CSV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0028</t>
        </is>
      </c>
      <c r="H478" s="4" t="n">
        <v>45232</v>
      </c>
      <c r="I478" s="2" t="inlineStr">
        <is>
          <t>11:03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</row>
    <row r="479">
      <c r="A479" s="2" t="inlineStr">
        <is>
          <t>Z002_02_102023_MATURIN.CSV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0028</t>
        </is>
      </c>
      <c r="H479" s="4" t="n">
        <v>45232</v>
      </c>
      <c r="I479" s="2" t="inlineStr">
        <is>
          <t>11:03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</row>
    <row r="480">
      <c r="A480" s="2" t="inlineStr">
        <is>
          <t>Z002_02_102023_MATURIN.CSV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0028</t>
        </is>
      </c>
      <c r="H480" s="4" t="n">
        <v>45232</v>
      </c>
      <c r="I480" s="2" t="inlineStr">
        <is>
          <t>11:03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</row>
    <row r="481">
      <c r="A481" s="2" t="inlineStr">
        <is>
          <t>Z002_02_102023_MATURIN.CSV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0028</t>
        </is>
      </c>
      <c r="H481" s="4" t="n">
        <v>45232</v>
      </c>
      <c r="I481" s="2" t="inlineStr">
        <is>
          <t>11:03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</row>
    <row r="482">
      <c r="A482" s="2" t="inlineStr">
        <is>
          <t>Z002_02_102023_MATURIN.CSV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0028</t>
        </is>
      </c>
      <c r="H482" s="4" t="n">
        <v>45232</v>
      </c>
      <c r="I482" s="2" t="inlineStr">
        <is>
          <t>11:03</t>
        </is>
      </c>
      <c r="J482" s="3" t="inlineStr">
        <is>
          <t>0031</t>
        </is>
      </c>
      <c r="K482" s="2" t="inlineStr">
        <is>
          <t>REF./TIROIR</t>
        </is>
      </c>
      <c r="L482" s="5" t="n">
        <v>15</v>
      </c>
      <c r="M482" s="5" t="n">
        <v>0</v>
      </c>
    </row>
    <row r="483">
      <c r="A483" s="2" t="inlineStr">
        <is>
          <t>Z002_02_102023_MATURIN.CSV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0028</t>
        </is>
      </c>
      <c r="H483" s="4" t="n">
        <v>45232</v>
      </c>
      <c r="I483" s="2" t="inlineStr">
        <is>
          <t>11:03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</row>
    <row r="484">
      <c r="A484" s="2" t="inlineStr">
        <is>
          <t>Z002_02_102023_MATURIN.CSV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0028</t>
        </is>
      </c>
      <c r="H484" s="4" t="n">
        <v>45232</v>
      </c>
      <c r="I484" s="2" t="inlineStr">
        <is>
          <t>11:03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Z002_02_102023_MATURIN.CSV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0028</t>
        </is>
      </c>
      <c r="H485" s="4" t="n">
        <v>45232</v>
      </c>
      <c r="I485" s="2" t="inlineStr">
        <is>
          <t>11:03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</row>
    <row r="486">
      <c r="A486" s="2" t="inlineStr">
        <is>
          <t>Z002_02_102023_MATURIN.CSV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0028</t>
        </is>
      </c>
      <c r="H486" s="4" t="n">
        <v>45232</v>
      </c>
      <c r="I486" s="2" t="inlineStr">
        <is>
          <t>11:03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</row>
    <row r="487">
      <c r="A487" s="2" t="inlineStr">
        <is>
          <t>Z002_02_102023_MATURIN.CSV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0028</t>
        </is>
      </c>
      <c r="H487" s="4" t="n">
        <v>45232</v>
      </c>
      <c r="I487" s="2" t="inlineStr">
        <is>
          <t>11:03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</row>
    <row r="488">
      <c r="A488" s="2" t="inlineStr">
        <is>
          <t>Z002_02_102023_MATURIN.CSV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0028</t>
        </is>
      </c>
      <c r="H488" s="4" t="n">
        <v>45232</v>
      </c>
      <c r="I488" s="2" t="inlineStr">
        <is>
          <t>11:03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</row>
    <row r="489">
      <c r="A489" s="2" t="inlineStr">
        <is>
          <t>Z002_02_102023_MATURIN.CSV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0028</t>
        </is>
      </c>
      <c r="H489" s="4" t="n">
        <v>45232</v>
      </c>
      <c r="I489" s="2" t="inlineStr">
        <is>
          <t>11:03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</row>
    <row r="490">
      <c r="A490" s="2" t="inlineStr">
        <is>
          <t>Z002_02_102023_MATURIN.CSV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0028</t>
        </is>
      </c>
      <c r="H490" s="4" t="n">
        <v>45232</v>
      </c>
      <c r="I490" s="2" t="inlineStr">
        <is>
          <t>11:03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</row>
    <row r="491">
      <c r="A491" s="2" t="inlineStr">
        <is>
          <t>Z002_02_102023_MATURIN.CSV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0028</t>
        </is>
      </c>
      <c r="H491" s="4" t="n">
        <v>45232</v>
      </c>
      <c r="I491" s="2" t="inlineStr">
        <is>
          <t>11:03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</row>
    <row r="492">
      <c r="A492" s="2" t="inlineStr">
        <is>
          <t>Z002_02_102023_MATURIN.CSV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0028</t>
        </is>
      </c>
      <c r="H492" s="4" t="n">
        <v>45232</v>
      </c>
      <c r="I492" s="2" t="inlineStr">
        <is>
          <t>11:03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</row>
    <row r="493">
      <c r="A493" s="2" t="inlineStr">
        <is>
          <t>Z002_02_102023_MATURIN.CSV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0028</t>
        </is>
      </c>
      <c r="H493" s="4" t="n">
        <v>45232</v>
      </c>
      <c r="I493" s="2" t="inlineStr">
        <is>
          <t>11:03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</row>
    <row r="494">
      <c r="A494" s="2" t="inlineStr">
        <is>
          <t>Z002_02_102023_MATURIN.CSV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0028</t>
        </is>
      </c>
      <c r="H494" s="4" t="n">
        <v>45232</v>
      </c>
      <c r="I494" s="2" t="inlineStr">
        <is>
          <t>11:03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</row>
    <row r="495">
      <c r="A495" s="2" t="inlineStr">
        <is>
          <t>Z002_02_102023_MATURIN.CSV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0028</t>
        </is>
      </c>
      <c r="H495" s="4" t="n">
        <v>45232</v>
      </c>
      <c r="I495" s="2" t="inlineStr">
        <is>
          <t>11:03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</row>
    <row r="496">
      <c r="A496" s="2" t="inlineStr">
        <is>
          <t>Z002_02_102023_MATURIN.CSV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0028</t>
        </is>
      </c>
      <c r="H496" s="4" t="n">
        <v>45232</v>
      </c>
      <c r="I496" s="2" t="inlineStr">
        <is>
          <t>11:03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</row>
    <row r="497">
      <c r="A497" s="2" t="inlineStr">
        <is>
          <t>Z002_02_102023_MATURIN.CSV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0028</t>
        </is>
      </c>
      <c r="H497" s="4" t="n">
        <v>45232</v>
      </c>
      <c r="I497" s="2" t="inlineStr">
        <is>
          <t>11:03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</row>
    <row r="498">
      <c r="A498" s="2" t="inlineStr">
        <is>
          <t>Z002_02_102023_MATURIN.CSV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0028</t>
        </is>
      </c>
      <c r="H498" s="4" t="n">
        <v>45232</v>
      </c>
      <c r="I498" s="2" t="inlineStr">
        <is>
          <t>11:03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</row>
    <row r="499">
      <c r="A499" s="2" t="inlineStr">
        <is>
          <t>Z002_02_102023_MATURIN.CSV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0028</t>
        </is>
      </c>
      <c r="H499" s="4" t="n">
        <v>45232</v>
      </c>
      <c r="I499" s="2" t="inlineStr">
        <is>
          <t>11:03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</row>
    <row r="500">
      <c r="A500" s="2" t="inlineStr">
        <is>
          <t>Z002_02_102023_MATURIN.CSV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0028</t>
        </is>
      </c>
      <c r="H500" s="4" t="n">
        <v>45232</v>
      </c>
      <c r="I500" s="2" t="inlineStr">
        <is>
          <t>11:03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</row>
    <row r="501">
      <c r="A501" s="2" t="inlineStr">
        <is>
          <t>Z002_02_102023_MATURIN.CSV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0028</t>
        </is>
      </c>
      <c r="H501" s="4" t="n">
        <v>45232</v>
      </c>
      <c r="I501" s="2" t="inlineStr">
        <is>
          <t>11:03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</row>
    <row r="502">
      <c r="A502" s="2" t="inlineStr">
        <is>
          <t>Z102_05_122023_MATURIN.CSV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0022</t>
        </is>
      </c>
      <c r="H502" s="4" t="n">
        <v>45296</v>
      </c>
      <c r="I502" s="2" t="inlineStr">
        <is>
          <t>16:23</t>
        </is>
      </c>
      <c r="J502" s="3" t="inlineStr">
        <is>
          <t>0001</t>
        </is>
      </c>
      <c r="K502" s="2" t="inlineStr">
        <is>
          <t>ESPECES</t>
        </is>
      </c>
      <c r="L502" s="5" t="n">
        <v>20</v>
      </c>
      <c r="M502" s="5" t="n">
        <v>-11520</v>
      </c>
    </row>
    <row r="503">
      <c r="A503" s="2" t="inlineStr">
        <is>
          <t>Z102_05_122023_MATURIN.CSV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0022</t>
        </is>
      </c>
      <c r="H503" s="4" t="n">
        <v>45296</v>
      </c>
      <c r="I503" s="2" t="inlineStr">
        <is>
          <t>16:23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</row>
    <row r="504">
      <c r="A504" s="2" t="inlineStr">
        <is>
          <t>Z102_05_122023_MATURIN.CSV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0022</t>
        </is>
      </c>
      <c r="H504" s="4" t="n">
        <v>45296</v>
      </c>
      <c r="I504" s="2" t="inlineStr">
        <is>
          <t>16:23</t>
        </is>
      </c>
      <c r="J504" s="3" t="inlineStr">
        <is>
          <t>0003</t>
        </is>
      </c>
      <c r="K504" s="2" t="inlineStr">
        <is>
          <t>CARTES</t>
        </is>
      </c>
      <c r="L504" s="5" t="n">
        <v>15</v>
      </c>
      <c r="M504" s="5" t="n">
        <v>-8301</v>
      </c>
    </row>
    <row r="505">
      <c r="A505" s="2" t="inlineStr">
        <is>
          <t>Z102_05_122023_MATURIN.CSV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0022</t>
        </is>
      </c>
      <c r="H505" s="4" t="n">
        <v>45296</v>
      </c>
      <c r="I505" s="2" t="inlineStr">
        <is>
          <t>16:23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</row>
    <row r="506">
      <c r="A506" s="2" t="inlineStr">
        <is>
          <t>Z102_05_122023_MATURIN.CSV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0022</t>
        </is>
      </c>
      <c r="H506" s="4" t="n">
        <v>45296</v>
      </c>
      <c r="I506" s="2" t="inlineStr">
        <is>
          <t>16:23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</row>
    <row r="507">
      <c r="A507" s="2" t="inlineStr">
        <is>
          <t>Z102_05_122023_MATURIN.CSV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0022</t>
        </is>
      </c>
      <c r="H507" s="4" t="n">
        <v>45296</v>
      </c>
      <c r="I507" s="2" t="inlineStr">
        <is>
          <t>16:23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</row>
    <row r="508">
      <c r="A508" s="2" t="inlineStr">
        <is>
          <t>Z102_05_122023_MATURIN.CSV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0022</t>
        </is>
      </c>
      <c r="H508" s="4" t="n">
        <v>45296</v>
      </c>
      <c r="I508" s="2" t="inlineStr">
        <is>
          <t>16:23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</row>
    <row r="509">
      <c r="A509" s="2" t="inlineStr">
        <is>
          <t>Z102_05_122023_MATURIN.CSV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0022</t>
        </is>
      </c>
      <c r="H509" s="4" t="n">
        <v>45296</v>
      </c>
      <c r="I509" s="2" t="inlineStr">
        <is>
          <t>16:23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</row>
    <row r="510">
      <c r="A510" s="2" t="inlineStr">
        <is>
          <t>Z102_05_122023_MATURIN.CSV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0022</t>
        </is>
      </c>
      <c r="H510" s="4" t="n">
        <v>45296</v>
      </c>
      <c r="I510" s="2" t="inlineStr">
        <is>
          <t>16:23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</row>
    <row r="511">
      <c r="A511" s="2" t="inlineStr">
        <is>
          <t>Z102_05_122023_MATURIN.CSV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0022</t>
        </is>
      </c>
      <c r="H511" s="4" t="n">
        <v>45296</v>
      </c>
      <c r="I511" s="2" t="inlineStr">
        <is>
          <t>16:23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</row>
    <row r="512">
      <c r="A512" s="2" t="inlineStr">
        <is>
          <t>Z102_05_122023_MATURIN.CSV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0022</t>
        </is>
      </c>
      <c r="H512" s="4" t="n">
        <v>45296</v>
      </c>
      <c r="I512" s="2" t="inlineStr">
        <is>
          <t>16:23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</row>
    <row r="513">
      <c r="A513" s="2" t="inlineStr">
        <is>
          <t>Z102_05_122023_MATURIN.CSV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0022</t>
        </is>
      </c>
      <c r="H513" s="4" t="n">
        <v>45296</v>
      </c>
      <c r="I513" s="2" t="inlineStr">
        <is>
          <t>16:23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</row>
    <row r="514">
      <c r="A514" s="2" t="inlineStr">
        <is>
          <t>Z102_05_122023_MATURIN.CSV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0022</t>
        </is>
      </c>
      <c r="H514" s="4" t="n">
        <v>45296</v>
      </c>
      <c r="I514" s="2" t="inlineStr">
        <is>
          <t>16:23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</row>
    <row r="515">
      <c r="A515" s="2" t="inlineStr">
        <is>
          <t>Z102_05_122023_MATURIN.CSV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0022</t>
        </is>
      </c>
      <c r="H515" s="4" t="n">
        <v>45296</v>
      </c>
      <c r="I515" s="2" t="inlineStr">
        <is>
          <t>16:23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</row>
    <row r="516">
      <c r="A516" s="2" t="inlineStr">
        <is>
          <t>Z102_05_122023_MATURIN.CSV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0022</t>
        </is>
      </c>
      <c r="H516" s="4" t="n">
        <v>45296</v>
      </c>
      <c r="I516" s="2" t="inlineStr">
        <is>
          <t>16:23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</row>
    <row r="517">
      <c r="A517" s="2" t="inlineStr">
        <is>
          <t>Z102_05_122023_MATURIN.CSV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0022</t>
        </is>
      </c>
      <c r="H517" s="4" t="n">
        <v>45296</v>
      </c>
      <c r="I517" s="2" t="inlineStr">
        <is>
          <t>16:23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</row>
    <row r="518">
      <c r="A518" s="2" t="inlineStr">
        <is>
          <t>Z102_05_122023_MATURIN.CSV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0022</t>
        </is>
      </c>
      <c r="H518" s="4" t="n">
        <v>45296</v>
      </c>
      <c r="I518" s="2" t="inlineStr">
        <is>
          <t>16:23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</row>
    <row r="519">
      <c r="A519" s="2" t="inlineStr">
        <is>
          <t>Z102_05_122023_MATURIN.CSV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0022</t>
        </is>
      </c>
      <c r="H519" s="4" t="n">
        <v>45296</v>
      </c>
      <c r="I519" s="2" t="inlineStr">
        <is>
          <t>16:23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</row>
    <row r="520">
      <c r="A520" s="2" t="inlineStr">
        <is>
          <t>Z102_05_122023_MATURIN.CSV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0022</t>
        </is>
      </c>
      <c r="H520" s="4" t="n">
        <v>45296</v>
      </c>
      <c r="I520" s="2" t="inlineStr">
        <is>
          <t>16:23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</row>
    <row r="521">
      <c r="A521" s="2" t="inlineStr">
        <is>
          <t>Z102_05_122023_MATURIN.CSV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0022</t>
        </is>
      </c>
      <c r="H521" s="4" t="n">
        <v>45296</v>
      </c>
      <c r="I521" s="2" t="inlineStr">
        <is>
          <t>16:23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</row>
    <row r="522">
      <c r="A522" s="2" t="inlineStr">
        <is>
          <t>Z102_05_122023_MATURIN.CSV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0022</t>
        </is>
      </c>
      <c r="H522" s="4" t="n">
        <v>45296</v>
      </c>
      <c r="I522" s="2" t="inlineStr">
        <is>
          <t>16:23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</row>
    <row r="523">
      <c r="A523" s="2" t="inlineStr">
        <is>
          <t>Z102_05_122023_MATURIN.CSV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0022</t>
        </is>
      </c>
      <c r="H523" s="4" t="n">
        <v>45296</v>
      </c>
      <c r="I523" s="2" t="inlineStr">
        <is>
          <t>16:23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</row>
    <row r="524">
      <c r="A524" s="2" t="inlineStr">
        <is>
          <t>Z102_05_122023_MATURIN.CSV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0022</t>
        </is>
      </c>
      <c r="H524" s="4" t="n">
        <v>45296</v>
      </c>
      <c r="I524" s="2" t="inlineStr">
        <is>
          <t>16:23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</row>
    <row r="525">
      <c r="A525" s="2" t="inlineStr">
        <is>
          <t>Z102_05_122023_MATURIN.CSV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0022</t>
        </is>
      </c>
      <c r="H525" s="4" t="n">
        <v>45296</v>
      </c>
      <c r="I525" s="2" t="inlineStr">
        <is>
          <t>16:23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</row>
    <row r="526">
      <c r="A526" s="2" t="inlineStr">
        <is>
          <t>Z102_05_122023_MATURIN.CSV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0022</t>
        </is>
      </c>
      <c r="H526" s="4" t="n">
        <v>45296</v>
      </c>
      <c r="I526" s="2" t="inlineStr">
        <is>
          <t>16:23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</row>
    <row r="527">
      <c r="A527" s="2" t="inlineStr">
        <is>
          <t>Z102_05_122023_MATURIN.CSV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0022</t>
        </is>
      </c>
      <c r="H527" s="4" t="n">
        <v>45296</v>
      </c>
      <c r="I527" s="2" t="inlineStr">
        <is>
          <t>16:23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</row>
    <row r="528">
      <c r="A528" s="2" t="inlineStr">
        <is>
          <t>Z102_05_122023_MATURIN.CSV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0022</t>
        </is>
      </c>
      <c r="H528" s="4" t="n">
        <v>45296</v>
      </c>
      <c r="I528" s="2" t="inlineStr">
        <is>
          <t>16:23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</row>
    <row r="529">
      <c r="A529" s="2" t="inlineStr">
        <is>
          <t>Z102_05_122023_MATURIN.CSV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0022</t>
        </is>
      </c>
      <c r="H529" s="4" t="n">
        <v>45296</v>
      </c>
      <c r="I529" s="2" t="inlineStr">
        <is>
          <t>16:23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</row>
    <row r="530">
      <c r="A530" s="2" t="inlineStr">
        <is>
          <t>Z102_05_122023_MATURIN.CSV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0022</t>
        </is>
      </c>
      <c r="H530" s="4" t="n">
        <v>45296</v>
      </c>
      <c r="I530" s="2" t="inlineStr">
        <is>
          <t>16:23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</row>
    <row r="531">
      <c r="A531" s="2" t="inlineStr">
        <is>
          <t>Z102_05_122023_MATURIN.CSV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0022</t>
        </is>
      </c>
      <c r="H531" s="4" t="n">
        <v>45296</v>
      </c>
      <c r="I531" s="2" t="inlineStr">
        <is>
          <t>16:23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</row>
    <row r="532">
      <c r="A532" s="2" t="inlineStr">
        <is>
          <t>Z102_05_122023_MATURIN.CSV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0022</t>
        </is>
      </c>
      <c r="H532" s="4" t="n">
        <v>45296</v>
      </c>
      <c r="I532" s="2" t="inlineStr">
        <is>
          <t>16:23</t>
        </is>
      </c>
      <c r="J532" s="3" t="inlineStr">
        <is>
          <t>0031</t>
        </is>
      </c>
      <c r="K532" s="2" t="inlineStr">
        <is>
          <t>REF./TIROIR</t>
        </is>
      </c>
      <c r="L532" s="5" t="n">
        <v>3</v>
      </c>
      <c r="M532" s="5" t="n">
        <v>0</v>
      </c>
    </row>
    <row r="533">
      <c r="A533" s="2" t="inlineStr">
        <is>
          <t>Z102_05_122023_MATURIN.CSV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0022</t>
        </is>
      </c>
      <c r="H533" s="4" t="n">
        <v>45296</v>
      </c>
      <c r="I533" s="2" t="inlineStr">
        <is>
          <t>16:23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</row>
    <row r="534">
      <c r="A534" s="2" t="inlineStr">
        <is>
          <t>Z102_05_122023_MATURIN.CSV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0022</t>
        </is>
      </c>
      <c r="H534" s="4" t="n">
        <v>45296</v>
      </c>
      <c r="I534" s="2" t="inlineStr">
        <is>
          <t>16:23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</row>
    <row r="535">
      <c r="A535" s="2" t="inlineStr">
        <is>
          <t>Z102_05_122023_MATURIN.CSV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0022</t>
        </is>
      </c>
      <c r="H535" s="4" t="n">
        <v>45296</v>
      </c>
      <c r="I535" s="2" t="inlineStr">
        <is>
          <t>16:23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</row>
    <row r="536">
      <c r="A536" s="2" t="inlineStr">
        <is>
          <t>Z102_05_122023_MATURIN.CSV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0022</t>
        </is>
      </c>
      <c r="H536" s="4" t="n">
        <v>45296</v>
      </c>
      <c r="I536" s="2" t="inlineStr">
        <is>
          <t>16:23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</row>
    <row r="537">
      <c r="A537" s="2" t="inlineStr">
        <is>
          <t>Z102_05_122023_MATURIN.CSV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0022</t>
        </is>
      </c>
      <c r="H537" s="4" t="n">
        <v>45296</v>
      </c>
      <c r="I537" s="2" t="inlineStr">
        <is>
          <t>16:23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</row>
    <row r="538">
      <c r="A538" s="2" t="inlineStr">
        <is>
          <t>Z102_05_122023_MATURIN.CSV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0022</t>
        </is>
      </c>
      <c r="H538" s="4" t="n">
        <v>45296</v>
      </c>
      <c r="I538" s="2" t="inlineStr">
        <is>
          <t>16:23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</row>
    <row r="539">
      <c r="A539" s="2" t="inlineStr">
        <is>
          <t>Z102_05_122023_MATURIN.CSV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0022</t>
        </is>
      </c>
      <c r="H539" s="4" t="n">
        <v>45296</v>
      </c>
      <c r="I539" s="2" t="inlineStr">
        <is>
          <t>16:23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</row>
    <row r="540">
      <c r="A540" s="2" t="inlineStr">
        <is>
          <t>Z102_05_122023_MATURIN.CSV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0022</t>
        </is>
      </c>
      <c r="H540" s="4" t="n">
        <v>45296</v>
      </c>
      <c r="I540" s="2" t="inlineStr">
        <is>
          <t>16:23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</row>
    <row r="541">
      <c r="A541" s="2" t="inlineStr">
        <is>
          <t>Z102_05_122023_MATURIN.CSV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0022</t>
        </is>
      </c>
      <c r="H541" s="4" t="n">
        <v>45296</v>
      </c>
      <c r="I541" s="2" t="inlineStr">
        <is>
          <t>16:23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</row>
    <row r="542">
      <c r="A542" s="2" t="inlineStr">
        <is>
          <t>Z102_05_122023_MATURIN.CSV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0022</t>
        </is>
      </c>
      <c r="H542" s="4" t="n">
        <v>45296</v>
      </c>
      <c r="I542" s="2" t="inlineStr">
        <is>
          <t>16:23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</row>
    <row r="543">
      <c r="A543" s="2" t="inlineStr">
        <is>
          <t>Z102_05_122023_MATURIN.CSV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0022</t>
        </is>
      </c>
      <c r="H543" s="4" t="n">
        <v>45296</v>
      </c>
      <c r="I543" s="2" t="inlineStr">
        <is>
          <t>16:23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</row>
    <row r="544">
      <c r="A544" s="2" t="inlineStr">
        <is>
          <t>Z102_05_122023_MATURIN.CSV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0022</t>
        </is>
      </c>
      <c r="H544" s="4" t="n">
        <v>45296</v>
      </c>
      <c r="I544" s="2" t="inlineStr">
        <is>
          <t>16:23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</row>
    <row r="545">
      <c r="A545" s="2" t="inlineStr">
        <is>
          <t>Z102_05_122023_MATURIN.CSV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0022</t>
        </is>
      </c>
      <c r="H545" s="4" t="n">
        <v>45296</v>
      </c>
      <c r="I545" s="2" t="inlineStr">
        <is>
          <t>16:23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</row>
    <row r="546">
      <c r="A546" s="2" t="inlineStr">
        <is>
          <t>Z102_05_122023_MATURIN.CSV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0022</t>
        </is>
      </c>
      <c r="H546" s="4" t="n">
        <v>45296</v>
      </c>
      <c r="I546" s="2" t="inlineStr">
        <is>
          <t>16:23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</row>
    <row r="547">
      <c r="A547" s="2" t="inlineStr">
        <is>
          <t>Z102_05_122023_MATURIN.CSV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0022</t>
        </is>
      </c>
      <c r="H547" s="4" t="n">
        <v>45296</v>
      </c>
      <c r="I547" s="2" t="inlineStr">
        <is>
          <t>16:23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</row>
    <row r="548">
      <c r="A548" s="2" t="inlineStr">
        <is>
          <t>Z102_05_122023_MATURIN.CSV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0022</t>
        </is>
      </c>
      <c r="H548" s="4" t="n">
        <v>45296</v>
      </c>
      <c r="I548" s="2" t="inlineStr">
        <is>
          <t>16:23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</row>
    <row r="549">
      <c r="A549" s="2" t="inlineStr">
        <is>
          <t>Z102_05_122023_MATURIN.CSV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0022</t>
        </is>
      </c>
      <c r="H549" s="4" t="n">
        <v>45296</v>
      </c>
      <c r="I549" s="2" t="inlineStr">
        <is>
          <t>16:23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</row>
    <row r="550">
      <c r="A550" s="2" t="inlineStr">
        <is>
          <t>Z102_05_122023_MATURIN.CSV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0022</t>
        </is>
      </c>
      <c r="H550" s="4" t="n">
        <v>45296</v>
      </c>
      <c r="I550" s="2" t="inlineStr">
        <is>
          <t>16:23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</row>
    <row r="551">
      <c r="A551" s="2" t="inlineStr">
        <is>
          <t>Z102_05_122023_MATURIN.CSV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0022</t>
        </is>
      </c>
      <c r="H551" s="4" t="n">
        <v>45296</v>
      </c>
      <c r="I551" s="2" t="inlineStr">
        <is>
          <t>16:23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</row>
    <row r="552">
      <c r="A552" s="2" t="inlineStr">
        <is>
          <t>Z102_06_112023_MATURIN.CSV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0021</t>
        </is>
      </c>
      <c r="H552" s="4" t="n">
        <v>45266</v>
      </c>
      <c r="I552" s="2" t="inlineStr">
        <is>
          <t>15:53</t>
        </is>
      </c>
      <c r="J552" s="3" t="inlineStr">
        <is>
          <t>0001</t>
        </is>
      </c>
      <c r="K552" s="2" t="inlineStr">
        <is>
          <t>ESPECES</t>
        </is>
      </c>
      <c r="L552" s="5" t="n">
        <v>163</v>
      </c>
      <c r="M552" s="5" t="n">
        <v>98982.74000000001</v>
      </c>
    </row>
    <row r="553">
      <c r="A553" s="2" t="inlineStr">
        <is>
          <t>Z102_06_112023_MATURIN.CSV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0021</t>
        </is>
      </c>
      <c r="H553" s="4" t="n">
        <v>45266</v>
      </c>
      <c r="I553" s="2" t="inlineStr">
        <is>
          <t>15:53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</row>
    <row r="554">
      <c r="A554" s="2" t="inlineStr">
        <is>
          <t>Z102_06_112023_MATURIN.CSV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0021</t>
        </is>
      </c>
      <c r="H554" s="4" t="n">
        <v>45266</v>
      </c>
      <c r="I554" s="2" t="inlineStr">
        <is>
          <t>15:53</t>
        </is>
      </c>
      <c r="J554" s="3" t="inlineStr">
        <is>
          <t>0003</t>
        </is>
      </c>
      <c r="K554" s="2" t="inlineStr">
        <is>
          <t>CARTES</t>
        </is>
      </c>
      <c r="L554" s="5" t="n">
        <v>297</v>
      </c>
      <c r="M554" s="5" t="n">
        <v>246113.08</v>
      </c>
    </row>
    <row r="555">
      <c r="A555" s="2" t="inlineStr">
        <is>
          <t>Z102_06_112023_MATURIN.CSV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0021</t>
        </is>
      </c>
      <c r="H555" s="4" t="n">
        <v>45266</v>
      </c>
      <c r="I555" s="2" t="inlineStr">
        <is>
          <t>15:53</t>
        </is>
      </c>
      <c r="J555" s="3" t="inlineStr">
        <is>
          <t>0004</t>
        </is>
      </c>
      <c r="K555" s="2" t="inlineStr">
        <is>
          <t>CHEQUES</t>
        </is>
      </c>
      <c r="L555" s="5" t="n">
        <v>1</v>
      </c>
      <c r="M555" s="5" t="n">
        <v>329</v>
      </c>
    </row>
    <row r="556">
      <c r="A556" s="2" t="inlineStr">
        <is>
          <t>Z102_06_112023_MATURIN.CSV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0021</t>
        </is>
      </c>
      <c r="H556" s="4" t="n">
        <v>45266</v>
      </c>
      <c r="I556" s="2" t="inlineStr">
        <is>
          <t>15:53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</row>
    <row r="557">
      <c r="A557" s="2" t="inlineStr">
        <is>
          <t>Z102_06_112023_MATURIN.CSV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0021</t>
        </is>
      </c>
      <c r="H557" s="4" t="n">
        <v>45266</v>
      </c>
      <c r="I557" s="2" t="inlineStr">
        <is>
          <t>15:53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</row>
    <row r="558">
      <c r="A558" s="2" t="inlineStr">
        <is>
          <t>Z102_06_112023_MATURIN.CSV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0021</t>
        </is>
      </c>
      <c r="H558" s="4" t="n">
        <v>45266</v>
      </c>
      <c r="I558" s="2" t="inlineStr">
        <is>
          <t>15:53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</row>
    <row r="559">
      <c r="A559" s="2" t="inlineStr">
        <is>
          <t>Z102_06_112023_MATURIN.CSV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0021</t>
        </is>
      </c>
      <c r="H559" s="4" t="n">
        <v>45266</v>
      </c>
      <c r="I559" s="2" t="inlineStr">
        <is>
          <t>15:53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</row>
    <row r="560">
      <c r="A560" s="2" t="inlineStr">
        <is>
          <t>Z102_06_112023_MATURIN.CSV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0021</t>
        </is>
      </c>
      <c r="H560" s="4" t="n">
        <v>45266</v>
      </c>
      <c r="I560" s="2" t="inlineStr">
        <is>
          <t>15:53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</row>
    <row r="561">
      <c r="A561" s="2" t="inlineStr">
        <is>
          <t>Z102_06_112023_MATURIN.CSV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0021</t>
        </is>
      </c>
      <c r="H561" s="4" t="n">
        <v>45266</v>
      </c>
      <c r="I561" s="2" t="inlineStr">
        <is>
          <t>15:53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</row>
    <row r="562">
      <c r="A562" s="2" t="inlineStr">
        <is>
          <t>Z102_06_112023_MATURIN.CSV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0021</t>
        </is>
      </c>
      <c r="H562" s="4" t="n">
        <v>45266</v>
      </c>
      <c r="I562" s="2" t="inlineStr">
        <is>
          <t>15:53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</row>
    <row r="563">
      <c r="A563" s="2" t="inlineStr">
        <is>
          <t>Z102_06_112023_MATURIN.CSV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0021</t>
        </is>
      </c>
      <c r="H563" s="4" t="n">
        <v>45266</v>
      </c>
      <c r="I563" s="2" t="inlineStr">
        <is>
          <t>15:53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</row>
    <row r="564">
      <c r="A564" s="2" t="inlineStr">
        <is>
          <t>Z102_06_112023_MATURIN.CSV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0021</t>
        </is>
      </c>
      <c r="H564" s="4" t="n">
        <v>45266</v>
      </c>
      <c r="I564" s="2" t="inlineStr">
        <is>
          <t>15:53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</row>
    <row r="565">
      <c r="A565" s="2" t="inlineStr">
        <is>
          <t>Z102_06_112023_MATURIN.CSV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0021</t>
        </is>
      </c>
      <c r="H565" s="4" t="n">
        <v>45266</v>
      </c>
      <c r="I565" s="2" t="inlineStr">
        <is>
          <t>15:53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</row>
    <row r="566">
      <c r="A566" s="2" t="inlineStr">
        <is>
          <t>Z102_06_112023_MATURIN.CSV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0021</t>
        </is>
      </c>
      <c r="H566" s="4" t="n">
        <v>45266</v>
      </c>
      <c r="I566" s="2" t="inlineStr">
        <is>
          <t>15:53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</row>
    <row r="567">
      <c r="A567" s="2" t="inlineStr">
        <is>
          <t>Z102_06_112023_MATURIN.CSV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0021</t>
        </is>
      </c>
      <c r="H567" s="4" t="n">
        <v>45266</v>
      </c>
      <c r="I567" s="2" t="inlineStr">
        <is>
          <t>15:53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</row>
    <row r="568">
      <c r="A568" s="2" t="inlineStr">
        <is>
          <t>Z102_06_112023_MATURIN.CSV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0021</t>
        </is>
      </c>
      <c r="H568" s="4" t="n">
        <v>45266</v>
      </c>
      <c r="I568" s="2" t="inlineStr">
        <is>
          <t>15:53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</row>
    <row r="569">
      <c r="A569" s="2" t="inlineStr">
        <is>
          <t>Z102_06_112023_MATURIN.CSV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0021</t>
        </is>
      </c>
      <c r="H569" s="4" t="n">
        <v>45266</v>
      </c>
      <c r="I569" s="2" t="inlineStr">
        <is>
          <t>15:53</t>
        </is>
      </c>
      <c r="J569" s="3" t="inlineStr">
        <is>
          <t>0018</t>
        </is>
      </c>
      <c r="K569" s="2" t="inlineStr">
        <is>
          <t>CORRECTION</t>
        </is>
      </c>
      <c r="L569" s="5" t="n">
        <v>5</v>
      </c>
      <c r="M569" s="5" t="n">
        <v>346.13</v>
      </c>
    </row>
    <row r="570">
      <c r="A570" s="2" t="inlineStr">
        <is>
          <t>Z102_06_112023_MATURIN.CSV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0021</t>
        </is>
      </c>
      <c r="H570" s="4" t="n">
        <v>45266</v>
      </c>
      <c r="I570" s="2" t="inlineStr">
        <is>
          <t>15:53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</row>
    <row r="571">
      <c r="A571" s="2" t="inlineStr">
        <is>
          <t>Z102_06_112023_MATURIN.CSV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0021</t>
        </is>
      </c>
      <c r="H571" s="4" t="n">
        <v>45266</v>
      </c>
      <c r="I571" s="2" t="inlineStr">
        <is>
          <t>15:53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</row>
    <row r="572">
      <c r="A572" s="2" t="inlineStr">
        <is>
          <t>Z102_06_112023_MATURIN.CSV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0021</t>
        </is>
      </c>
      <c r="H572" s="4" t="n">
        <v>45266</v>
      </c>
      <c r="I572" s="2" t="inlineStr">
        <is>
          <t>15:53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</row>
    <row r="573">
      <c r="A573" s="2" t="inlineStr">
        <is>
          <t>Z102_06_112023_MATURIN.CSV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0021</t>
        </is>
      </c>
      <c r="H573" s="4" t="n">
        <v>45266</v>
      </c>
      <c r="I573" s="2" t="inlineStr">
        <is>
          <t>15:53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</row>
    <row r="574">
      <c r="A574" s="2" t="inlineStr">
        <is>
          <t>Z102_06_112023_MATURIN.CSV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0021</t>
        </is>
      </c>
      <c r="H574" s="4" t="n">
        <v>45266</v>
      </c>
      <c r="I574" s="2" t="inlineStr">
        <is>
          <t>15:53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</row>
    <row r="575">
      <c r="A575" s="2" t="inlineStr">
        <is>
          <t>Z102_06_112023_MATURIN.CSV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0021</t>
        </is>
      </c>
      <c r="H575" s="4" t="n">
        <v>45266</v>
      </c>
      <c r="I575" s="2" t="inlineStr">
        <is>
          <t>15:53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</row>
    <row r="576">
      <c r="A576" s="2" t="inlineStr">
        <is>
          <t>Z102_06_112023_MATURIN.CSV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0021</t>
        </is>
      </c>
      <c r="H576" s="4" t="n">
        <v>45266</v>
      </c>
      <c r="I576" s="2" t="inlineStr">
        <is>
          <t>15:53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</row>
    <row r="577">
      <c r="A577" s="2" t="inlineStr">
        <is>
          <t>Z102_06_112023_MATURIN.CSV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0021</t>
        </is>
      </c>
      <c r="H577" s="4" t="n">
        <v>45266</v>
      </c>
      <c r="I577" s="2" t="inlineStr">
        <is>
          <t>15:53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</row>
    <row r="578">
      <c r="A578" s="2" t="inlineStr">
        <is>
          <t>Z102_06_112023_MATURIN.CSV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0021</t>
        </is>
      </c>
      <c r="H578" s="4" t="n">
        <v>45266</v>
      </c>
      <c r="I578" s="2" t="inlineStr">
        <is>
          <t>15:53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</row>
    <row r="579">
      <c r="A579" s="2" t="inlineStr">
        <is>
          <t>Z102_06_112023_MATURIN.CSV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0021</t>
        </is>
      </c>
      <c r="H579" s="4" t="n">
        <v>45266</v>
      </c>
      <c r="I579" s="2" t="inlineStr">
        <is>
          <t>15:53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</row>
    <row r="580">
      <c r="A580" s="2" t="inlineStr">
        <is>
          <t>Z102_06_112023_MATURIN.CSV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0021</t>
        </is>
      </c>
      <c r="H580" s="4" t="n">
        <v>45266</v>
      </c>
      <c r="I580" s="2" t="inlineStr">
        <is>
          <t>15:53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</row>
    <row r="581">
      <c r="A581" s="2" t="inlineStr">
        <is>
          <t>Z102_06_112023_MATURIN.CSV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0021</t>
        </is>
      </c>
      <c r="H581" s="4" t="n">
        <v>45266</v>
      </c>
      <c r="I581" s="2" t="inlineStr">
        <is>
          <t>15:53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</row>
    <row r="582">
      <c r="A582" s="2" t="inlineStr">
        <is>
          <t>Z102_06_112023_MATURIN.CSV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0021</t>
        </is>
      </c>
      <c r="H582" s="4" t="n">
        <v>45266</v>
      </c>
      <c r="I582" s="2" t="inlineStr">
        <is>
          <t>15:53</t>
        </is>
      </c>
      <c r="J582" s="3" t="inlineStr">
        <is>
          <t>0031</t>
        </is>
      </c>
      <c r="K582" s="2" t="inlineStr">
        <is>
          <t>REF./TIROIR</t>
        </is>
      </c>
      <c r="L582" s="5" t="n">
        <v>172</v>
      </c>
      <c r="M582" s="5" t="n">
        <v>0</v>
      </c>
    </row>
    <row r="583">
      <c r="A583" s="2" t="inlineStr">
        <is>
          <t>Z102_06_112023_MATURIN.CSV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0021</t>
        </is>
      </c>
      <c r="H583" s="4" t="n">
        <v>45266</v>
      </c>
      <c r="I583" s="2" t="inlineStr">
        <is>
          <t>15:53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</row>
    <row r="584">
      <c r="A584" s="2" t="inlineStr">
        <is>
          <t>Z102_06_112023_MATURIN.CSV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0021</t>
        </is>
      </c>
      <c r="H584" s="4" t="n">
        <v>45266</v>
      </c>
      <c r="I584" s="2" t="inlineStr">
        <is>
          <t>15:53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</row>
    <row r="585">
      <c r="A585" s="2" t="inlineStr">
        <is>
          <t>Z102_06_112023_MATURIN.CSV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0021</t>
        </is>
      </c>
      <c r="H585" s="4" t="n">
        <v>45266</v>
      </c>
      <c r="I585" s="2" t="inlineStr">
        <is>
          <t>15:53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</row>
    <row r="586">
      <c r="A586" s="2" t="inlineStr">
        <is>
          <t>Z102_06_112023_MATURIN.CSV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0021</t>
        </is>
      </c>
      <c r="H586" s="4" t="n">
        <v>45266</v>
      </c>
      <c r="I586" s="2" t="inlineStr">
        <is>
          <t>15:53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</row>
    <row r="587">
      <c r="A587" s="2" t="inlineStr">
        <is>
          <t>Z102_06_112023_MATURIN.CSV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0021</t>
        </is>
      </c>
      <c r="H587" s="4" t="n">
        <v>45266</v>
      </c>
      <c r="I587" s="2" t="inlineStr">
        <is>
          <t>15:53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</row>
    <row r="588">
      <c r="A588" s="2" t="inlineStr">
        <is>
          <t>Z102_06_112023_MATURIN.CSV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0021</t>
        </is>
      </c>
      <c r="H588" s="4" t="n">
        <v>45266</v>
      </c>
      <c r="I588" s="2" t="inlineStr">
        <is>
          <t>15:53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</row>
    <row r="589">
      <c r="A589" s="2" t="inlineStr">
        <is>
          <t>Z102_06_112023_MATURIN.CSV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0021</t>
        </is>
      </c>
      <c r="H589" s="4" t="n">
        <v>45266</v>
      </c>
      <c r="I589" s="2" t="inlineStr">
        <is>
          <t>15:53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</row>
    <row r="590">
      <c r="A590" s="2" t="inlineStr">
        <is>
          <t>Z102_06_112023_MATURIN.CSV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0021</t>
        </is>
      </c>
      <c r="H590" s="4" t="n">
        <v>45266</v>
      </c>
      <c r="I590" s="2" t="inlineStr">
        <is>
          <t>15:53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</row>
    <row r="591">
      <c r="A591" s="2" t="inlineStr">
        <is>
          <t>Z102_06_112023_MATURIN.CSV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0021</t>
        </is>
      </c>
      <c r="H591" s="4" t="n">
        <v>45266</v>
      </c>
      <c r="I591" s="2" t="inlineStr">
        <is>
          <t>15:53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</row>
    <row r="592">
      <c r="A592" s="2" t="inlineStr">
        <is>
          <t>Z102_06_112023_MATURIN.CSV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0021</t>
        </is>
      </c>
      <c r="H592" s="4" t="n">
        <v>45266</v>
      </c>
      <c r="I592" s="2" t="inlineStr">
        <is>
          <t>15:53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</row>
    <row r="593">
      <c r="A593" s="2" t="inlineStr">
        <is>
          <t>Z102_06_112023_MATURIN.CSV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0021</t>
        </is>
      </c>
      <c r="H593" s="4" t="n">
        <v>45266</v>
      </c>
      <c r="I593" s="2" t="inlineStr">
        <is>
          <t>15:53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</row>
    <row r="594">
      <c r="A594" s="2" t="inlineStr">
        <is>
          <t>Z102_06_112023_MATURIN.CSV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0021</t>
        </is>
      </c>
      <c r="H594" s="4" t="n">
        <v>45266</v>
      </c>
      <c r="I594" s="2" t="inlineStr">
        <is>
          <t>15:53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</row>
    <row r="595">
      <c r="A595" s="2" t="inlineStr">
        <is>
          <t>Z102_06_112023_MATURIN.CSV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0021</t>
        </is>
      </c>
      <c r="H595" s="4" t="n">
        <v>45266</v>
      </c>
      <c r="I595" s="2" t="inlineStr">
        <is>
          <t>15:53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</row>
    <row r="596">
      <c r="A596" s="2" t="inlineStr">
        <is>
          <t>Z102_06_112023_MATURIN.CSV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0021</t>
        </is>
      </c>
      <c r="H596" s="4" t="n">
        <v>45266</v>
      </c>
      <c r="I596" s="2" t="inlineStr">
        <is>
          <t>15:53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</row>
    <row r="597">
      <c r="A597" s="2" t="inlineStr">
        <is>
          <t>Z102_06_112023_MATURIN.CSV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0021</t>
        </is>
      </c>
      <c r="H597" s="4" t="n">
        <v>45266</v>
      </c>
      <c r="I597" s="2" t="inlineStr">
        <is>
          <t>15:53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</row>
    <row r="598">
      <c r="A598" s="2" t="inlineStr">
        <is>
          <t>Z102_06_112023_MATURIN.CSV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0021</t>
        </is>
      </c>
      <c r="H598" s="4" t="n">
        <v>45266</v>
      </c>
      <c r="I598" s="2" t="inlineStr">
        <is>
          <t>15:53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</row>
    <row r="599">
      <c r="A599" s="2" t="inlineStr">
        <is>
          <t>Z102_06_112023_MATURIN.CSV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0021</t>
        </is>
      </c>
      <c r="H599" s="4" t="n">
        <v>45266</v>
      </c>
      <c r="I599" s="2" t="inlineStr">
        <is>
          <t>15:53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</row>
    <row r="600">
      <c r="A600" s="2" t="inlineStr">
        <is>
          <t>Z102_06_112023_MATURIN.CSV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0021</t>
        </is>
      </c>
      <c r="H600" s="4" t="n">
        <v>45266</v>
      </c>
      <c r="I600" s="2" t="inlineStr">
        <is>
          <t>15:53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</row>
    <row r="601">
      <c r="A601" s="2" t="inlineStr">
        <is>
          <t>Z102_06_112023_MATURIN.CSV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0021</t>
        </is>
      </c>
      <c r="H601" s="4" t="n">
        <v>45266</v>
      </c>
      <c r="I601" s="2" t="inlineStr">
        <is>
          <t>15:53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</row>
    <row r="602">
      <c r="A602" s="2" t="inlineStr">
        <is>
          <t>Z202_05A_122023_MATURIN.CSV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0009</t>
        </is>
      </c>
      <c r="H602" s="4" t="n">
        <v>45296</v>
      </c>
      <c r="I602" s="2" t="inlineStr">
        <is>
          <t>16:31</t>
        </is>
      </c>
      <c r="J602" s="3" t="inlineStr">
        <is>
          <t>0001</t>
        </is>
      </c>
      <c r="K602" s="2" t="inlineStr">
        <is>
          <t>ESPECES</t>
        </is>
      </c>
      <c r="L602" s="5" t="n">
        <v>20</v>
      </c>
      <c r="M602" s="5" t="n">
        <v>-11520</v>
      </c>
    </row>
    <row r="603">
      <c r="A603" s="2" t="inlineStr">
        <is>
          <t>Z202_05A_122023_MATURIN.CSV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0009</t>
        </is>
      </c>
      <c r="H603" s="4" t="n">
        <v>45296</v>
      </c>
      <c r="I603" s="2" t="inlineStr">
        <is>
          <t>16:31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</row>
    <row r="604">
      <c r="A604" s="2" t="inlineStr">
        <is>
          <t>Z202_05A_122023_MATURIN.CSV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0009</t>
        </is>
      </c>
      <c r="H604" s="4" t="n">
        <v>45296</v>
      </c>
      <c r="I604" s="2" t="inlineStr">
        <is>
          <t>16:31</t>
        </is>
      </c>
      <c r="J604" s="3" t="inlineStr">
        <is>
          <t>0003</t>
        </is>
      </c>
      <c r="K604" s="2" t="inlineStr">
        <is>
          <t>CARTES</t>
        </is>
      </c>
      <c r="L604" s="5" t="n">
        <v>15</v>
      </c>
      <c r="M604" s="5" t="n">
        <v>-8301</v>
      </c>
    </row>
    <row r="605">
      <c r="A605" s="2" t="inlineStr">
        <is>
          <t>Z202_05A_122023_MATURIN.CSV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0009</t>
        </is>
      </c>
      <c r="H605" s="4" t="n">
        <v>45296</v>
      </c>
      <c r="I605" s="2" t="inlineStr">
        <is>
          <t>16:31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</row>
    <row r="606">
      <c r="A606" s="2" t="inlineStr">
        <is>
          <t>Z202_05A_122023_MATURIN.CSV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0009</t>
        </is>
      </c>
      <c r="H606" s="4" t="n">
        <v>45296</v>
      </c>
      <c r="I606" s="2" t="inlineStr">
        <is>
          <t>16:31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</row>
    <row r="607">
      <c r="A607" s="2" t="inlineStr">
        <is>
          <t>Z202_05A_122023_MATURIN.CSV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0009</t>
        </is>
      </c>
      <c r="H607" s="4" t="n">
        <v>45296</v>
      </c>
      <c r="I607" s="2" t="inlineStr">
        <is>
          <t>16:31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</row>
    <row r="608">
      <c r="A608" s="2" t="inlineStr">
        <is>
          <t>Z202_05A_122023_MATURIN.CSV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0009</t>
        </is>
      </c>
      <c r="H608" s="4" t="n">
        <v>45296</v>
      </c>
      <c r="I608" s="2" t="inlineStr">
        <is>
          <t>16:31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</row>
    <row r="609">
      <c r="A609" s="2" t="inlineStr">
        <is>
          <t>Z202_05A_122023_MATURIN.CSV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0009</t>
        </is>
      </c>
      <c r="H609" s="4" t="n">
        <v>45296</v>
      </c>
      <c r="I609" s="2" t="inlineStr">
        <is>
          <t>16:31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</row>
    <row r="610">
      <c r="A610" s="2" t="inlineStr">
        <is>
          <t>Z202_05A_122023_MATURIN.CSV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0009</t>
        </is>
      </c>
      <c r="H610" s="4" t="n">
        <v>45296</v>
      </c>
      <c r="I610" s="2" t="inlineStr">
        <is>
          <t>16:31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</row>
    <row r="611">
      <c r="A611" s="2" t="inlineStr">
        <is>
          <t>Z202_05A_122023_MATURIN.CSV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0009</t>
        </is>
      </c>
      <c r="H611" s="4" t="n">
        <v>45296</v>
      </c>
      <c r="I611" s="2" t="inlineStr">
        <is>
          <t>16:31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</row>
    <row r="612">
      <c r="A612" s="2" t="inlineStr">
        <is>
          <t>Z202_05A_122023_MATURIN.CSV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0009</t>
        </is>
      </c>
      <c r="H612" s="4" t="n">
        <v>45296</v>
      </c>
      <c r="I612" s="2" t="inlineStr">
        <is>
          <t>16:31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</row>
    <row r="613">
      <c r="A613" s="2" t="inlineStr">
        <is>
          <t>Z202_05A_122023_MATURIN.CSV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0009</t>
        </is>
      </c>
      <c r="H613" s="4" t="n">
        <v>45296</v>
      </c>
      <c r="I613" s="2" t="inlineStr">
        <is>
          <t>16:31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</row>
    <row r="614">
      <c r="A614" s="2" t="inlineStr">
        <is>
          <t>Z202_05A_122023_MATURIN.CSV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0009</t>
        </is>
      </c>
      <c r="H614" s="4" t="n">
        <v>45296</v>
      </c>
      <c r="I614" s="2" t="inlineStr">
        <is>
          <t>16:31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</row>
    <row r="615">
      <c r="A615" s="2" t="inlineStr">
        <is>
          <t>Z202_05A_122023_MATURIN.CSV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0009</t>
        </is>
      </c>
      <c r="H615" s="4" t="n">
        <v>45296</v>
      </c>
      <c r="I615" s="2" t="inlineStr">
        <is>
          <t>16:31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</row>
    <row r="616">
      <c r="A616" s="2" t="inlineStr">
        <is>
          <t>Z202_05A_122023_MATURIN.CSV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0009</t>
        </is>
      </c>
      <c r="H616" s="4" t="n">
        <v>45296</v>
      </c>
      <c r="I616" s="2" t="inlineStr">
        <is>
          <t>16:31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</row>
    <row r="617">
      <c r="A617" s="2" t="inlineStr">
        <is>
          <t>Z202_05A_122023_MATURIN.CSV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0009</t>
        </is>
      </c>
      <c r="H617" s="4" t="n">
        <v>45296</v>
      </c>
      <c r="I617" s="2" t="inlineStr">
        <is>
          <t>16:31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</row>
    <row r="618">
      <c r="A618" s="2" t="inlineStr">
        <is>
          <t>Z202_05A_122023_MATURIN.CSV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0009</t>
        </is>
      </c>
      <c r="H618" s="4" t="n">
        <v>45296</v>
      </c>
      <c r="I618" s="2" t="inlineStr">
        <is>
          <t>16:31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</row>
    <row r="619">
      <c r="A619" s="2" t="inlineStr">
        <is>
          <t>Z202_05A_122023_MATURIN.CSV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0009</t>
        </is>
      </c>
      <c r="H619" s="4" t="n">
        <v>45296</v>
      </c>
      <c r="I619" s="2" t="inlineStr">
        <is>
          <t>16:31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</row>
    <row r="620">
      <c r="A620" s="2" t="inlineStr">
        <is>
          <t>Z202_05A_122023_MATURIN.CSV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0009</t>
        </is>
      </c>
      <c r="H620" s="4" t="n">
        <v>45296</v>
      </c>
      <c r="I620" s="2" t="inlineStr">
        <is>
          <t>16:31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</row>
    <row r="621">
      <c r="A621" s="2" t="inlineStr">
        <is>
          <t>Z202_05A_122023_MATURIN.CSV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0009</t>
        </is>
      </c>
      <c r="H621" s="4" t="n">
        <v>45296</v>
      </c>
      <c r="I621" s="2" t="inlineStr">
        <is>
          <t>16:31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</row>
    <row r="622">
      <c r="A622" s="2" t="inlineStr">
        <is>
          <t>Z202_05A_122023_MATURIN.CSV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0009</t>
        </is>
      </c>
      <c r="H622" s="4" t="n">
        <v>45296</v>
      </c>
      <c r="I622" s="2" t="inlineStr">
        <is>
          <t>16:31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</row>
    <row r="623">
      <c r="A623" s="2" t="inlineStr">
        <is>
          <t>Z202_05A_122023_MATURIN.CSV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0009</t>
        </is>
      </c>
      <c r="H623" s="4" t="n">
        <v>45296</v>
      </c>
      <c r="I623" s="2" t="inlineStr">
        <is>
          <t>16:31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</row>
    <row r="624">
      <c r="A624" s="2" t="inlineStr">
        <is>
          <t>Z202_05A_122023_MATURIN.CSV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0009</t>
        </is>
      </c>
      <c r="H624" s="4" t="n">
        <v>45296</v>
      </c>
      <c r="I624" s="2" t="inlineStr">
        <is>
          <t>16:31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</row>
    <row r="625">
      <c r="A625" s="2" t="inlineStr">
        <is>
          <t>Z202_05A_122023_MATURIN.CSV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0009</t>
        </is>
      </c>
      <c r="H625" s="4" t="n">
        <v>45296</v>
      </c>
      <c r="I625" s="2" t="inlineStr">
        <is>
          <t>16:31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</row>
    <row r="626">
      <c r="A626" s="2" t="inlineStr">
        <is>
          <t>Z202_05A_122023_MATURIN.CSV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0009</t>
        </is>
      </c>
      <c r="H626" s="4" t="n">
        <v>45296</v>
      </c>
      <c r="I626" s="2" t="inlineStr">
        <is>
          <t>16:31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</row>
    <row r="627">
      <c r="A627" s="2" t="inlineStr">
        <is>
          <t>Z202_05A_122023_MATURIN.CSV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0009</t>
        </is>
      </c>
      <c r="H627" s="4" t="n">
        <v>45296</v>
      </c>
      <c r="I627" s="2" t="inlineStr">
        <is>
          <t>16:31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</row>
    <row r="628">
      <c r="A628" s="2" t="inlineStr">
        <is>
          <t>Z202_05A_122023_MATURIN.CSV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0009</t>
        </is>
      </c>
      <c r="H628" s="4" t="n">
        <v>45296</v>
      </c>
      <c r="I628" s="2" t="inlineStr">
        <is>
          <t>16:31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</row>
    <row r="629">
      <c r="A629" s="2" t="inlineStr">
        <is>
          <t>Z202_05A_122023_MATURIN.CSV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0009</t>
        </is>
      </c>
      <c r="H629" s="4" t="n">
        <v>45296</v>
      </c>
      <c r="I629" s="2" t="inlineStr">
        <is>
          <t>16:31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</row>
    <row r="630">
      <c r="A630" s="2" t="inlineStr">
        <is>
          <t>Z202_05A_122023_MATURIN.CSV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0009</t>
        </is>
      </c>
      <c r="H630" s="4" t="n">
        <v>45296</v>
      </c>
      <c r="I630" s="2" t="inlineStr">
        <is>
          <t>16:31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</row>
    <row r="631">
      <c r="A631" s="2" t="inlineStr">
        <is>
          <t>Z202_05A_122023_MATURIN.CSV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0009</t>
        </is>
      </c>
      <c r="H631" s="4" t="n">
        <v>45296</v>
      </c>
      <c r="I631" s="2" t="inlineStr">
        <is>
          <t>16:31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</row>
    <row r="632">
      <c r="A632" s="2" t="inlineStr">
        <is>
          <t>Z202_05A_122023_MATURIN.CSV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0009</t>
        </is>
      </c>
      <c r="H632" s="4" t="n">
        <v>45296</v>
      </c>
      <c r="I632" s="2" t="inlineStr">
        <is>
          <t>16:31</t>
        </is>
      </c>
      <c r="J632" s="3" t="inlineStr">
        <is>
          <t>0031</t>
        </is>
      </c>
      <c r="K632" s="2" t="inlineStr">
        <is>
          <t>REF./TIROIR</t>
        </is>
      </c>
      <c r="L632" s="5" t="n">
        <v>3</v>
      </c>
      <c r="M632" s="5" t="n">
        <v>0</v>
      </c>
    </row>
    <row r="633">
      <c r="A633" s="2" t="inlineStr">
        <is>
          <t>Z202_05A_122023_MATURIN.CSV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0009</t>
        </is>
      </c>
      <c r="H633" s="4" t="n">
        <v>45296</v>
      </c>
      <c r="I633" s="2" t="inlineStr">
        <is>
          <t>16:31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</row>
    <row r="634">
      <c r="A634" s="2" t="inlineStr">
        <is>
          <t>Z202_05A_122023_MATURIN.CSV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0009</t>
        </is>
      </c>
      <c r="H634" s="4" t="n">
        <v>45296</v>
      </c>
      <c r="I634" s="2" t="inlineStr">
        <is>
          <t>16:31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</row>
    <row r="635">
      <c r="A635" s="2" t="inlineStr">
        <is>
          <t>Z202_05A_122023_MATURIN.CSV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0009</t>
        </is>
      </c>
      <c r="H635" s="4" t="n">
        <v>45296</v>
      </c>
      <c r="I635" s="2" t="inlineStr">
        <is>
          <t>16:31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</row>
    <row r="636">
      <c r="A636" s="2" t="inlineStr">
        <is>
          <t>Z202_05A_122023_MATURIN.CSV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0009</t>
        </is>
      </c>
      <c r="H636" s="4" t="n">
        <v>45296</v>
      </c>
      <c r="I636" s="2" t="inlineStr">
        <is>
          <t>16:31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</row>
    <row r="637">
      <c r="A637" s="2" t="inlineStr">
        <is>
          <t>Z202_05A_122023_MATURIN.CSV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0009</t>
        </is>
      </c>
      <c r="H637" s="4" t="n">
        <v>45296</v>
      </c>
      <c r="I637" s="2" t="inlineStr">
        <is>
          <t>16:31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</row>
    <row r="638">
      <c r="A638" s="2" t="inlineStr">
        <is>
          <t>Z202_05A_122023_MATURIN.CSV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0009</t>
        </is>
      </c>
      <c r="H638" s="4" t="n">
        <v>45296</v>
      </c>
      <c r="I638" s="2" t="inlineStr">
        <is>
          <t>16:31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</row>
    <row r="639">
      <c r="A639" s="2" t="inlineStr">
        <is>
          <t>Z202_05A_122023_MATURIN.CSV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0009</t>
        </is>
      </c>
      <c r="H639" s="4" t="n">
        <v>45296</v>
      </c>
      <c r="I639" s="2" t="inlineStr">
        <is>
          <t>16:31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</row>
    <row r="640">
      <c r="A640" s="2" t="inlineStr">
        <is>
          <t>Z202_05A_122023_MATURIN.CSV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0009</t>
        </is>
      </c>
      <c r="H640" s="4" t="n">
        <v>45296</v>
      </c>
      <c r="I640" s="2" t="inlineStr">
        <is>
          <t>16:31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</row>
    <row r="641">
      <c r="A641" s="2" t="inlineStr">
        <is>
          <t>Z202_05A_122023_MATURIN.CSV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0009</t>
        </is>
      </c>
      <c r="H641" s="4" t="n">
        <v>45296</v>
      </c>
      <c r="I641" s="2" t="inlineStr">
        <is>
          <t>16:31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</row>
    <row r="642">
      <c r="A642" s="2" t="inlineStr">
        <is>
          <t>Z202_05A_122023_MATURIN.CSV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0009</t>
        </is>
      </c>
      <c r="H642" s="4" t="n">
        <v>45296</v>
      </c>
      <c r="I642" s="2" t="inlineStr">
        <is>
          <t>16:31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</row>
    <row r="643">
      <c r="A643" s="2" t="inlineStr">
        <is>
          <t>Z202_05A_122023_MATURIN.CSV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0009</t>
        </is>
      </c>
      <c r="H643" s="4" t="n">
        <v>45296</v>
      </c>
      <c r="I643" s="2" t="inlineStr">
        <is>
          <t>16:31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</row>
    <row r="644">
      <c r="A644" s="2" t="inlineStr">
        <is>
          <t>Z202_05A_122023_MATURIN.CSV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0009</t>
        </is>
      </c>
      <c r="H644" s="4" t="n">
        <v>45296</v>
      </c>
      <c r="I644" s="2" t="inlineStr">
        <is>
          <t>16:31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</row>
    <row r="645">
      <c r="A645" s="2" t="inlineStr">
        <is>
          <t>Z202_05A_122023_MATURIN.CSV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0009</t>
        </is>
      </c>
      <c r="H645" s="4" t="n">
        <v>45296</v>
      </c>
      <c r="I645" s="2" t="inlineStr">
        <is>
          <t>16:31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</row>
    <row r="646">
      <c r="A646" s="2" t="inlineStr">
        <is>
          <t>Z202_05A_122023_MATURIN.CSV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0009</t>
        </is>
      </c>
      <c r="H646" s="4" t="n">
        <v>45296</v>
      </c>
      <c r="I646" s="2" t="inlineStr">
        <is>
          <t>16:31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</row>
    <row r="647">
      <c r="A647" s="2" t="inlineStr">
        <is>
          <t>Z202_05A_122023_MATURIN.CSV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0009</t>
        </is>
      </c>
      <c r="H647" s="4" t="n">
        <v>45296</v>
      </c>
      <c r="I647" s="2" t="inlineStr">
        <is>
          <t>16:31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</row>
    <row r="648">
      <c r="A648" s="2" t="inlineStr">
        <is>
          <t>Z202_05A_122023_MATURIN.CSV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0009</t>
        </is>
      </c>
      <c r="H648" s="4" t="n">
        <v>45296</v>
      </c>
      <c r="I648" s="2" t="inlineStr">
        <is>
          <t>16:31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</row>
    <row r="649">
      <c r="A649" s="2" t="inlineStr">
        <is>
          <t>Z202_05A_122023_MATURIN.CSV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0009</t>
        </is>
      </c>
      <c r="H649" s="4" t="n">
        <v>45296</v>
      </c>
      <c r="I649" s="2" t="inlineStr">
        <is>
          <t>16:31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</row>
    <row r="650">
      <c r="A650" s="2" t="inlineStr">
        <is>
          <t>Z202_05A_122023_MATURIN.CSV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0009</t>
        </is>
      </c>
      <c r="H650" s="4" t="n">
        <v>45296</v>
      </c>
      <c r="I650" s="2" t="inlineStr">
        <is>
          <t>16:31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</row>
    <row r="651">
      <c r="A651" s="2" t="inlineStr">
        <is>
          <t>Z202_05A_122023_MATURIN.CSV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0009</t>
        </is>
      </c>
      <c r="H651" s="4" t="n">
        <v>45296</v>
      </c>
      <c r="I651" s="2" t="inlineStr">
        <is>
          <t>16:31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</row>
    <row r="652">
      <c r="A652" s="2" t="inlineStr">
        <is>
          <t>Z202_05B_122023_MATURIN.CSV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0010</t>
        </is>
      </c>
      <c r="H652" s="4" t="n">
        <v>45296</v>
      </c>
      <c r="I652" s="2" t="inlineStr">
        <is>
          <t>16:33</t>
        </is>
      </c>
      <c r="J652" s="3" t="inlineStr">
        <is>
          <t>0001</t>
        </is>
      </c>
      <c r="K652" s="2" t="inlineStr">
        <is>
          <t>ESPECES</t>
        </is>
      </c>
      <c r="L652" s="5" t="n">
        <v>0</v>
      </c>
      <c r="M652" s="5" t="n">
        <v>0</v>
      </c>
    </row>
    <row r="653">
      <c r="A653" s="2" t="inlineStr">
        <is>
          <t>Z202_05B_122023_MATURIN.CSV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0010</t>
        </is>
      </c>
      <c r="H653" s="4" t="n">
        <v>45296</v>
      </c>
      <c r="I653" s="2" t="inlineStr">
        <is>
          <t>16:33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</row>
    <row r="654">
      <c r="A654" s="2" t="inlineStr">
        <is>
          <t>Z202_05B_122023_MATURIN.CSV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0010</t>
        </is>
      </c>
      <c r="H654" s="4" t="n">
        <v>45296</v>
      </c>
      <c r="I654" s="2" t="inlineStr">
        <is>
          <t>16:33</t>
        </is>
      </c>
      <c r="J654" s="3" t="inlineStr">
        <is>
          <t>0003</t>
        </is>
      </c>
      <c r="K654" s="2" t="inlineStr">
        <is>
          <t>CARTES</t>
        </is>
      </c>
      <c r="L654" s="5" t="n">
        <v>0</v>
      </c>
      <c r="M654" s="5" t="n">
        <v>0</v>
      </c>
    </row>
    <row r="655">
      <c r="A655" s="2" t="inlineStr">
        <is>
          <t>Z202_05B_122023_MATURIN.CSV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0010</t>
        </is>
      </c>
      <c r="H655" s="4" t="n">
        <v>45296</v>
      </c>
      <c r="I655" s="2" t="inlineStr">
        <is>
          <t>16:33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5" t="n">
        <v>0</v>
      </c>
    </row>
    <row r="656">
      <c r="A656" s="2" t="inlineStr">
        <is>
          <t>Z202_05B_122023_MATURIN.CSV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0010</t>
        </is>
      </c>
      <c r="H656" s="4" t="n">
        <v>45296</v>
      </c>
      <c r="I656" s="2" t="inlineStr">
        <is>
          <t>16:33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</row>
    <row r="657">
      <c r="A657" s="2" t="inlineStr">
        <is>
          <t>Z202_05B_122023_MATURIN.CSV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0010</t>
        </is>
      </c>
      <c r="H657" s="4" t="n">
        <v>45296</v>
      </c>
      <c r="I657" s="2" t="inlineStr">
        <is>
          <t>16:33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</row>
    <row r="658">
      <c r="A658" s="2" t="inlineStr">
        <is>
          <t>Z202_05B_122023_MATURIN.CSV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0010</t>
        </is>
      </c>
      <c r="H658" s="4" t="n">
        <v>45296</v>
      </c>
      <c r="I658" s="2" t="inlineStr">
        <is>
          <t>16:33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</row>
    <row r="659">
      <c r="A659" s="2" t="inlineStr">
        <is>
          <t>Z202_05B_122023_MATURIN.CSV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0010</t>
        </is>
      </c>
      <c r="H659" s="4" t="n">
        <v>45296</v>
      </c>
      <c r="I659" s="2" t="inlineStr">
        <is>
          <t>16:33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</row>
    <row r="660">
      <c r="A660" s="2" t="inlineStr">
        <is>
          <t>Z202_05B_122023_MATURIN.CSV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0010</t>
        </is>
      </c>
      <c r="H660" s="4" t="n">
        <v>45296</v>
      </c>
      <c r="I660" s="2" t="inlineStr">
        <is>
          <t>16:33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</row>
    <row r="661">
      <c r="A661" s="2" t="inlineStr">
        <is>
          <t>Z202_05B_122023_MATURIN.CSV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0010</t>
        </is>
      </c>
      <c r="H661" s="4" t="n">
        <v>45296</v>
      </c>
      <c r="I661" s="2" t="inlineStr">
        <is>
          <t>16:33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</row>
    <row r="662">
      <c r="A662" s="2" t="inlineStr">
        <is>
          <t>Z202_05B_122023_MATURIN.CSV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0010</t>
        </is>
      </c>
      <c r="H662" s="4" t="n">
        <v>45296</v>
      </c>
      <c r="I662" s="2" t="inlineStr">
        <is>
          <t>16:33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</row>
    <row r="663">
      <c r="A663" s="2" t="inlineStr">
        <is>
          <t>Z202_05B_122023_MATURIN.CSV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0010</t>
        </is>
      </c>
      <c r="H663" s="4" t="n">
        <v>45296</v>
      </c>
      <c r="I663" s="2" t="inlineStr">
        <is>
          <t>16:33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</row>
    <row r="664">
      <c r="A664" s="2" t="inlineStr">
        <is>
          <t>Z202_05B_122023_MATURIN.CSV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0010</t>
        </is>
      </c>
      <c r="H664" s="4" t="n">
        <v>45296</v>
      </c>
      <c r="I664" s="2" t="inlineStr">
        <is>
          <t>16:33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</row>
    <row r="665">
      <c r="A665" s="2" t="inlineStr">
        <is>
          <t>Z202_05B_122023_MATURIN.CSV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0010</t>
        </is>
      </c>
      <c r="H665" s="4" t="n">
        <v>45296</v>
      </c>
      <c r="I665" s="2" t="inlineStr">
        <is>
          <t>16:33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</row>
    <row r="666">
      <c r="A666" s="2" t="inlineStr">
        <is>
          <t>Z202_05B_122023_MATURIN.CSV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0010</t>
        </is>
      </c>
      <c r="H666" s="4" t="n">
        <v>45296</v>
      </c>
      <c r="I666" s="2" t="inlineStr">
        <is>
          <t>16:33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</row>
    <row r="667">
      <c r="A667" s="2" t="inlineStr">
        <is>
          <t>Z202_05B_122023_MATURIN.CSV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0010</t>
        </is>
      </c>
      <c r="H667" s="4" t="n">
        <v>45296</v>
      </c>
      <c r="I667" s="2" t="inlineStr">
        <is>
          <t>16:33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</row>
    <row r="668">
      <c r="A668" s="2" t="inlineStr">
        <is>
          <t>Z202_05B_122023_MATURIN.CSV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0010</t>
        </is>
      </c>
      <c r="H668" s="4" t="n">
        <v>45296</v>
      </c>
      <c r="I668" s="2" t="inlineStr">
        <is>
          <t>16:33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</row>
    <row r="669">
      <c r="A669" s="2" t="inlineStr">
        <is>
          <t>Z202_05B_122023_MATURIN.CSV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0010</t>
        </is>
      </c>
      <c r="H669" s="4" t="n">
        <v>45296</v>
      </c>
      <c r="I669" s="2" t="inlineStr">
        <is>
          <t>16:33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5" t="n">
        <v>0</v>
      </c>
    </row>
    <row r="670">
      <c r="A670" s="2" t="inlineStr">
        <is>
          <t>Z202_05B_122023_MATURIN.CSV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0010</t>
        </is>
      </c>
      <c r="H670" s="4" t="n">
        <v>45296</v>
      </c>
      <c r="I670" s="2" t="inlineStr">
        <is>
          <t>16:33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</row>
    <row r="671">
      <c r="A671" s="2" t="inlineStr">
        <is>
          <t>Z202_05B_122023_MATURIN.CSV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0010</t>
        </is>
      </c>
      <c r="H671" s="4" t="n">
        <v>45296</v>
      </c>
      <c r="I671" s="2" t="inlineStr">
        <is>
          <t>16:33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</row>
    <row r="672">
      <c r="A672" s="2" t="inlineStr">
        <is>
          <t>Z202_05B_122023_MATURIN.CSV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0010</t>
        </is>
      </c>
      <c r="H672" s="4" t="n">
        <v>45296</v>
      </c>
      <c r="I672" s="2" t="inlineStr">
        <is>
          <t>16:33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</row>
    <row r="673">
      <c r="A673" s="2" t="inlineStr">
        <is>
          <t>Z202_05B_122023_MATURIN.CSV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0010</t>
        </is>
      </c>
      <c r="H673" s="4" t="n">
        <v>45296</v>
      </c>
      <c r="I673" s="2" t="inlineStr">
        <is>
          <t>16:33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</row>
    <row r="674">
      <c r="A674" s="2" t="inlineStr">
        <is>
          <t>Z202_05B_122023_MATURIN.CSV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0010</t>
        </is>
      </c>
      <c r="H674" s="4" t="n">
        <v>45296</v>
      </c>
      <c r="I674" s="2" t="inlineStr">
        <is>
          <t>16:33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</row>
    <row r="675">
      <c r="A675" s="2" t="inlineStr">
        <is>
          <t>Z202_05B_122023_MATURIN.CSV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0010</t>
        </is>
      </c>
      <c r="H675" s="4" t="n">
        <v>45296</v>
      </c>
      <c r="I675" s="2" t="inlineStr">
        <is>
          <t>16:33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</row>
    <row r="676">
      <c r="A676" s="2" t="inlineStr">
        <is>
          <t>Z202_05B_122023_MATURIN.CSV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0010</t>
        </is>
      </c>
      <c r="H676" s="4" t="n">
        <v>45296</v>
      </c>
      <c r="I676" s="2" t="inlineStr">
        <is>
          <t>16:33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</row>
    <row r="677">
      <c r="A677" s="2" t="inlineStr">
        <is>
          <t>Z202_05B_122023_MATURIN.CSV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0010</t>
        </is>
      </c>
      <c r="H677" s="4" t="n">
        <v>45296</v>
      </c>
      <c r="I677" s="2" t="inlineStr">
        <is>
          <t>16:33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</row>
    <row r="678">
      <c r="A678" s="2" t="inlineStr">
        <is>
          <t>Z202_05B_122023_MATURIN.CSV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0010</t>
        </is>
      </c>
      <c r="H678" s="4" t="n">
        <v>45296</v>
      </c>
      <c r="I678" s="2" t="inlineStr">
        <is>
          <t>16:33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</row>
    <row r="679">
      <c r="A679" s="2" t="inlineStr">
        <is>
          <t>Z202_05B_122023_MATURIN.CSV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0010</t>
        </is>
      </c>
      <c r="H679" s="4" t="n">
        <v>45296</v>
      </c>
      <c r="I679" s="2" t="inlineStr">
        <is>
          <t>16:33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</row>
    <row r="680">
      <c r="A680" s="2" t="inlineStr">
        <is>
          <t>Z202_05B_122023_MATURIN.CSV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0010</t>
        </is>
      </c>
      <c r="H680" s="4" t="n">
        <v>45296</v>
      </c>
      <c r="I680" s="2" t="inlineStr">
        <is>
          <t>16:33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</row>
    <row r="681">
      <c r="A681" s="2" t="inlineStr">
        <is>
          <t>Z202_05B_122023_MATURIN.CSV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0010</t>
        </is>
      </c>
      <c r="H681" s="4" t="n">
        <v>45296</v>
      </c>
      <c r="I681" s="2" t="inlineStr">
        <is>
          <t>16:33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</row>
    <row r="682">
      <c r="A682" s="2" t="inlineStr">
        <is>
          <t>Z202_05B_122023_MATURIN.CSV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0010</t>
        </is>
      </c>
      <c r="H682" s="4" t="n">
        <v>45296</v>
      </c>
      <c r="I682" s="2" t="inlineStr">
        <is>
          <t>16:33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</row>
    <row r="683">
      <c r="A683" s="2" t="inlineStr">
        <is>
          <t>Z202_05B_122023_MATURIN.CSV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0010</t>
        </is>
      </c>
      <c r="H683" s="4" t="n">
        <v>45296</v>
      </c>
      <c r="I683" s="2" t="inlineStr">
        <is>
          <t>16:33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</row>
    <row r="684">
      <c r="A684" s="2" t="inlineStr">
        <is>
          <t>Z202_05B_122023_MATURIN.CSV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0010</t>
        </is>
      </c>
      <c r="H684" s="4" t="n">
        <v>45296</v>
      </c>
      <c r="I684" s="2" t="inlineStr">
        <is>
          <t>16:33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</row>
    <row r="685">
      <c r="A685" s="2" t="inlineStr">
        <is>
          <t>Z202_05B_122023_MATURIN.CSV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0010</t>
        </is>
      </c>
      <c r="H685" s="4" t="n">
        <v>45296</v>
      </c>
      <c r="I685" s="2" t="inlineStr">
        <is>
          <t>16:33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</row>
    <row r="686">
      <c r="A686" s="2" t="inlineStr">
        <is>
          <t>Z202_05B_122023_MATURIN.CSV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0010</t>
        </is>
      </c>
      <c r="H686" s="4" t="n">
        <v>45296</v>
      </c>
      <c r="I686" s="2" t="inlineStr">
        <is>
          <t>16:33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</row>
    <row r="687">
      <c r="A687" s="2" t="inlineStr">
        <is>
          <t>Z202_05B_122023_MATURIN.CSV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0010</t>
        </is>
      </c>
      <c r="H687" s="4" t="n">
        <v>45296</v>
      </c>
      <c r="I687" s="2" t="inlineStr">
        <is>
          <t>16:33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</row>
    <row r="688">
      <c r="A688" s="2" t="inlineStr">
        <is>
          <t>Z202_05B_122023_MATURIN.CSV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0010</t>
        </is>
      </c>
      <c r="H688" s="4" t="n">
        <v>45296</v>
      </c>
      <c r="I688" s="2" t="inlineStr">
        <is>
          <t>16:33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</row>
    <row r="689">
      <c r="A689" s="2" t="inlineStr">
        <is>
          <t>Z202_05B_122023_MATURIN.CSV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0010</t>
        </is>
      </c>
      <c r="H689" s="4" t="n">
        <v>45296</v>
      </c>
      <c r="I689" s="2" t="inlineStr">
        <is>
          <t>16:33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</row>
    <row r="690">
      <c r="A690" s="2" t="inlineStr">
        <is>
          <t>Z202_05B_122023_MATURIN.CSV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0010</t>
        </is>
      </c>
      <c r="H690" s="4" t="n">
        <v>45296</v>
      </c>
      <c r="I690" s="2" t="inlineStr">
        <is>
          <t>16:33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</row>
    <row r="691">
      <c r="A691" s="2" t="inlineStr">
        <is>
          <t>Z202_05B_122023_MATURIN.CSV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0010</t>
        </is>
      </c>
      <c r="H691" s="4" t="n">
        <v>45296</v>
      </c>
      <c r="I691" s="2" t="inlineStr">
        <is>
          <t>16:33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</row>
    <row r="692">
      <c r="A692" s="2" t="inlineStr">
        <is>
          <t>Z202_05B_122023_MATURIN.CSV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0010</t>
        </is>
      </c>
      <c r="H692" s="4" t="n">
        <v>45296</v>
      </c>
      <c r="I692" s="2" t="inlineStr">
        <is>
          <t>16:33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</row>
    <row r="693">
      <c r="A693" s="2" t="inlineStr">
        <is>
          <t>Z202_05B_122023_MATURIN.CSV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0010</t>
        </is>
      </c>
      <c r="H693" s="4" t="n">
        <v>45296</v>
      </c>
      <c r="I693" s="2" t="inlineStr">
        <is>
          <t>16:33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</row>
    <row r="694">
      <c r="A694" s="2" t="inlineStr">
        <is>
          <t>Z202_05B_122023_MATURIN.CSV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0010</t>
        </is>
      </c>
      <c r="H694" s="4" t="n">
        <v>45296</v>
      </c>
      <c r="I694" s="2" t="inlineStr">
        <is>
          <t>16:33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</row>
    <row r="695">
      <c r="A695" s="2" t="inlineStr">
        <is>
          <t>Z202_05B_122023_MATURIN.CSV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0010</t>
        </is>
      </c>
      <c r="H695" s="4" t="n">
        <v>45296</v>
      </c>
      <c r="I695" s="2" t="inlineStr">
        <is>
          <t>16:33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</row>
    <row r="696">
      <c r="A696" s="2" t="inlineStr">
        <is>
          <t>Z202_05B_122023_MATURIN.CSV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0010</t>
        </is>
      </c>
      <c r="H696" s="4" t="n">
        <v>45296</v>
      </c>
      <c r="I696" s="2" t="inlineStr">
        <is>
          <t>16:33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</row>
    <row r="697">
      <c r="A697" s="2" t="inlineStr">
        <is>
          <t>Z202_05B_122023_MATURIN.CSV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0010</t>
        </is>
      </c>
      <c r="H697" s="4" t="n">
        <v>45296</v>
      </c>
      <c r="I697" s="2" t="inlineStr">
        <is>
          <t>16:33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</row>
    <row r="698">
      <c r="A698" s="2" t="inlineStr">
        <is>
          <t>Z202_05B_122023_MATURIN.CSV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0010</t>
        </is>
      </c>
      <c r="H698" s="4" t="n">
        <v>45296</v>
      </c>
      <c r="I698" s="2" t="inlineStr">
        <is>
          <t>16:33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</row>
    <row r="699">
      <c r="A699" s="2" t="inlineStr">
        <is>
          <t>Z202_05B_122023_MATURIN.CSV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0010</t>
        </is>
      </c>
      <c r="H699" s="4" t="n">
        <v>45296</v>
      </c>
      <c r="I699" s="2" t="inlineStr">
        <is>
          <t>16:33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</row>
    <row r="700">
      <c r="A700" s="2" t="inlineStr">
        <is>
          <t>Z202_05B_122023_MATURIN.CSV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0010</t>
        </is>
      </c>
      <c r="H700" s="4" t="n">
        <v>45296</v>
      </c>
      <c r="I700" s="2" t="inlineStr">
        <is>
          <t>16:33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</row>
    <row r="701">
      <c r="A701" s="2" t="inlineStr">
        <is>
          <t>Z202_05B_122023_MATURIN.CSV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0010</t>
        </is>
      </c>
      <c r="H701" s="4" t="n">
        <v>45296</v>
      </c>
      <c r="I701" s="2" t="inlineStr">
        <is>
          <t>16:33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</row>
    <row r="702">
      <c r="A702" s="2" t="inlineStr">
        <is>
          <t>Z202_06A_112023_MATURIN.CSV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0008</t>
        </is>
      </c>
      <c r="H702" s="4" t="n">
        <v>45266</v>
      </c>
      <c r="I702" s="2" t="inlineStr">
        <is>
          <t>15:54</t>
        </is>
      </c>
      <c r="J702" s="3" t="inlineStr">
        <is>
          <t>0001</t>
        </is>
      </c>
      <c r="K702" s="2" t="inlineStr">
        <is>
          <t>ESPECES</t>
        </is>
      </c>
      <c r="L702" s="5" t="n">
        <v>278</v>
      </c>
      <c r="M702" s="5" t="n">
        <v>160130.74</v>
      </c>
    </row>
    <row r="703">
      <c r="A703" s="2" t="inlineStr">
        <is>
          <t>Z202_06A_112023_MATURIN.CSV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0008</t>
        </is>
      </c>
      <c r="H703" s="4" t="n">
        <v>45266</v>
      </c>
      <c r="I703" s="2" t="inlineStr">
        <is>
          <t>15:54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</row>
    <row r="704">
      <c r="A704" s="2" t="inlineStr">
        <is>
          <t>Z202_06A_112023_MATURIN.CSV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0008</t>
        </is>
      </c>
      <c r="H704" s="4" t="n">
        <v>45266</v>
      </c>
      <c r="I704" s="2" t="inlineStr">
        <is>
          <t>15:54</t>
        </is>
      </c>
      <c r="J704" s="3" t="inlineStr">
        <is>
          <t>0003</t>
        </is>
      </c>
      <c r="K704" s="2" t="inlineStr">
        <is>
          <t>CARTES</t>
        </is>
      </c>
      <c r="L704" s="5" t="n">
        <v>443</v>
      </c>
      <c r="M704" s="5" t="n">
        <v>321543.18</v>
      </c>
    </row>
    <row r="705">
      <c r="A705" s="2" t="inlineStr">
        <is>
          <t>Z202_06A_112023_MATURIN.CSV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0008</t>
        </is>
      </c>
      <c r="H705" s="4" t="n">
        <v>45266</v>
      </c>
      <c r="I705" s="2" t="inlineStr">
        <is>
          <t>15:54</t>
        </is>
      </c>
      <c r="J705" s="3" t="inlineStr">
        <is>
          <t>0004</t>
        </is>
      </c>
      <c r="K705" s="2" t="inlineStr">
        <is>
          <t>CHEQUES</t>
        </is>
      </c>
      <c r="L705" s="5" t="n">
        <v>1</v>
      </c>
      <c r="M705" s="5" t="n">
        <v>329</v>
      </c>
    </row>
    <row r="706">
      <c r="A706" s="2" t="inlineStr">
        <is>
          <t>Z202_06A_112023_MATURIN.CSV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0008</t>
        </is>
      </c>
      <c r="H706" s="4" t="n">
        <v>45266</v>
      </c>
      <c r="I706" s="2" t="inlineStr">
        <is>
          <t>15:54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</row>
    <row r="707">
      <c r="A707" s="2" t="inlineStr">
        <is>
          <t>Z202_06A_112023_MATURIN.CSV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0008</t>
        </is>
      </c>
      <c r="H707" s="4" t="n">
        <v>45266</v>
      </c>
      <c r="I707" s="2" t="inlineStr">
        <is>
          <t>15:54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</row>
    <row r="708">
      <c r="A708" s="2" t="inlineStr">
        <is>
          <t>Z202_06A_112023_MATURIN.CSV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0008</t>
        </is>
      </c>
      <c r="H708" s="4" t="n">
        <v>45266</v>
      </c>
      <c r="I708" s="2" t="inlineStr">
        <is>
          <t>15:54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</row>
    <row r="709">
      <c r="A709" s="2" t="inlineStr">
        <is>
          <t>Z202_06A_112023_MATURIN.CSV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0008</t>
        </is>
      </c>
      <c r="H709" s="4" t="n">
        <v>45266</v>
      </c>
      <c r="I709" s="2" t="inlineStr">
        <is>
          <t>15:54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</row>
    <row r="710">
      <c r="A710" s="2" t="inlineStr">
        <is>
          <t>Z202_06A_112023_MATURIN.CSV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0008</t>
        </is>
      </c>
      <c r="H710" s="4" t="n">
        <v>45266</v>
      </c>
      <c r="I710" s="2" t="inlineStr">
        <is>
          <t>15:54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</row>
    <row r="711">
      <c r="A711" s="2" t="inlineStr">
        <is>
          <t>Z202_06A_112023_MATURIN.CSV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0008</t>
        </is>
      </c>
      <c r="H711" s="4" t="n">
        <v>45266</v>
      </c>
      <c r="I711" s="2" t="inlineStr">
        <is>
          <t>15:54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</row>
    <row r="712">
      <c r="A712" s="2" t="inlineStr">
        <is>
          <t>Z202_06A_112023_MATURIN.CSV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0008</t>
        </is>
      </c>
      <c r="H712" s="4" t="n">
        <v>45266</v>
      </c>
      <c r="I712" s="2" t="inlineStr">
        <is>
          <t>15:54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</row>
    <row r="713">
      <c r="A713" s="2" t="inlineStr">
        <is>
          <t>Z202_06A_112023_MATURIN.CSV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0008</t>
        </is>
      </c>
      <c r="H713" s="4" t="n">
        <v>45266</v>
      </c>
      <c r="I713" s="2" t="inlineStr">
        <is>
          <t>15:54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</row>
    <row r="714">
      <c r="A714" s="2" t="inlineStr">
        <is>
          <t>Z202_06A_112023_MATURIN.CSV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0008</t>
        </is>
      </c>
      <c r="H714" s="4" t="n">
        <v>45266</v>
      </c>
      <c r="I714" s="2" t="inlineStr">
        <is>
          <t>15:54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</row>
    <row r="715">
      <c r="A715" s="2" t="inlineStr">
        <is>
          <t>Z202_06A_112023_MATURIN.CSV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0008</t>
        </is>
      </c>
      <c r="H715" s="4" t="n">
        <v>45266</v>
      </c>
      <c r="I715" s="2" t="inlineStr">
        <is>
          <t>15:54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</row>
    <row r="716">
      <c r="A716" s="2" t="inlineStr">
        <is>
          <t>Z202_06A_112023_MATURIN.CSV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0008</t>
        </is>
      </c>
      <c r="H716" s="4" t="n">
        <v>45266</v>
      </c>
      <c r="I716" s="2" t="inlineStr">
        <is>
          <t>15:54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</row>
    <row r="717">
      <c r="A717" s="2" t="inlineStr">
        <is>
          <t>Z202_06A_112023_MATURIN.CSV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0008</t>
        </is>
      </c>
      <c r="H717" s="4" t="n">
        <v>45266</v>
      </c>
      <c r="I717" s="2" t="inlineStr">
        <is>
          <t>15:54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</row>
    <row r="718">
      <c r="A718" s="2" t="inlineStr">
        <is>
          <t>Z202_06A_112023_MATURIN.CSV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0008</t>
        </is>
      </c>
      <c r="H718" s="4" t="n">
        <v>45266</v>
      </c>
      <c r="I718" s="2" t="inlineStr">
        <is>
          <t>15:54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</row>
    <row r="719">
      <c r="A719" s="2" t="inlineStr">
        <is>
          <t>Z202_06A_112023_MATURIN.CSV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0008</t>
        </is>
      </c>
      <c r="H719" s="4" t="n">
        <v>45266</v>
      </c>
      <c r="I719" s="2" t="inlineStr">
        <is>
          <t>15:54</t>
        </is>
      </c>
      <c r="J719" s="3" t="inlineStr">
        <is>
          <t>0018</t>
        </is>
      </c>
      <c r="K719" s="2" t="inlineStr">
        <is>
          <t>CORRECTION</t>
        </is>
      </c>
      <c r="L719" s="5" t="n">
        <v>5</v>
      </c>
      <c r="M719" s="5" t="n">
        <v>346.13</v>
      </c>
    </row>
    <row r="720">
      <c r="A720" s="2" t="inlineStr">
        <is>
          <t>Z202_06A_112023_MATURIN.CSV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0008</t>
        </is>
      </c>
      <c r="H720" s="4" t="n">
        <v>45266</v>
      </c>
      <c r="I720" s="2" t="inlineStr">
        <is>
          <t>15:54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</row>
    <row r="721">
      <c r="A721" s="2" t="inlineStr">
        <is>
          <t>Z202_06A_112023_MATURIN.CSV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0008</t>
        </is>
      </c>
      <c r="H721" s="4" t="n">
        <v>45266</v>
      </c>
      <c r="I721" s="2" t="inlineStr">
        <is>
          <t>15:54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</row>
    <row r="722">
      <c r="A722" s="2" t="inlineStr">
        <is>
          <t>Z202_06A_112023_MATURIN.CSV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0008</t>
        </is>
      </c>
      <c r="H722" s="4" t="n">
        <v>45266</v>
      </c>
      <c r="I722" s="2" t="inlineStr">
        <is>
          <t>15:54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</row>
    <row r="723">
      <c r="A723" s="2" t="inlineStr">
        <is>
          <t>Z202_06A_112023_MATURIN.CSV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0008</t>
        </is>
      </c>
      <c r="H723" s="4" t="n">
        <v>45266</v>
      </c>
      <c r="I723" s="2" t="inlineStr">
        <is>
          <t>15:54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</row>
    <row r="724">
      <c r="A724" s="2" t="inlineStr">
        <is>
          <t>Z202_06A_112023_MATURIN.CSV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0008</t>
        </is>
      </c>
      <c r="H724" s="4" t="n">
        <v>45266</v>
      </c>
      <c r="I724" s="2" t="inlineStr">
        <is>
          <t>15:54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</row>
    <row r="725">
      <c r="A725" s="2" t="inlineStr">
        <is>
          <t>Z202_06A_112023_MATURIN.CSV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0008</t>
        </is>
      </c>
      <c r="H725" s="4" t="n">
        <v>45266</v>
      </c>
      <c r="I725" s="2" t="inlineStr">
        <is>
          <t>15:54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</row>
    <row r="726">
      <c r="A726" s="2" t="inlineStr">
        <is>
          <t>Z202_06A_112023_MATURIN.CSV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0008</t>
        </is>
      </c>
      <c r="H726" s="4" t="n">
        <v>45266</v>
      </c>
      <c r="I726" s="2" t="inlineStr">
        <is>
          <t>15:54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</row>
    <row r="727">
      <c r="A727" s="2" t="inlineStr">
        <is>
          <t>Z202_06A_112023_MATURIN.CSV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0008</t>
        </is>
      </c>
      <c r="H727" s="4" t="n">
        <v>45266</v>
      </c>
      <c r="I727" s="2" t="inlineStr">
        <is>
          <t>15:54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</row>
    <row r="728">
      <c r="A728" s="2" t="inlineStr">
        <is>
          <t>Z202_06A_112023_MATURIN.CSV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0008</t>
        </is>
      </c>
      <c r="H728" s="4" t="n">
        <v>45266</v>
      </c>
      <c r="I728" s="2" t="inlineStr">
        <is>
          <t>15:54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</row>
    <row r="729">
      <c r="A729" s="2" t="inlineStr">
        <is>
          <t>Z202_06A_112023_MATURIN.CSV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0008</t>
        </is>
      </c>
      <c r="H729" s="4" t="n">
        <v>45266</v>
      </c>
      <c r="I729" s="2" t="inlineStr">
        <is>
          <t>15:54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</row>
    <row r="730">
      <c r="A730" s="2" t="inlineStr">
        <is>
          <t>Z202_06A_112023_MATURIN.CSV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0008</t>
        </is>
      </c>
      <c r="H730" s="4" t="n">
        <v>45266</v>
      </c>
      <c r="I730" s="2" t="inlineStr">
        <is>
          <t>15:54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</row>
    <row r="731">
      <c r="A731" s="2" t="inlineStr">
        <is>
          <t>Z202_06A_112023_MATURIN.CSV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0008</t>
        </is>
      </c>
      <c r="H731" s="4" t="n">
        <v>45266</v>
      </c>
      <c r="I731" s="2" t="inlineStr">
        <is>
          <t>15:54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</row>
    <row r="732">
      <c r="A732" s="2" t="inlineStr">
        <is>
          <t>Z202_06A_112023_MATURIN.CSV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0008</t>
        </is>
      </c>
      <c r="H732" s="4" t="n">
        <v>45266</v>
      </c>
      <c r="I732" s="2" t="inlineStr">
        <is>
          <t>15:54</t>
        </is>
      </c>
      <c r="J732" s="3" t="inlineStr">
        <is>
          <t>0031</t>
        </is>
      </c>
      <c r="K732" s="2" t="inlineStr">
        <is>
          <t>REF./TIROIR</t>
        </is>
      </c>
      <c r="L732" s="5" t="n">
        <v>270</v>
      </c>
      <c r="M732" s="5" t="n">
        <v>0</v>
      </c>
    </row>
    <row r="733">
      <c r="A733" s="2" t="inlineStr">
        <is>
          <t>Z202_06A_112023_MATURIN.CSV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0008</t>
        </is>
      </c>
      <c r="H733" s="4" t="n">
        <v>45266</v>
      </c>
      <c r="I733" s="2" t="inlineStr">
        <is>
          <t>15:54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</row>
    <row r="734">
      <c r="A734" s="2" t="inlineStr">
        <is>
          <t>Z202_06A_112023_MATURIN.CSV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0008</t>
        </is>
      </c>
      <c r="H734" s="4" t="n">
        <v>45266</v>
      </c>
      <c r="I734" s="2" t="inlineStr">
        <is>
          <t>15:54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</row>
    <row r="735">
      <c r="A735" s="2" t="inlineStr">
        <is>
          <t>Z202_06A_112023_MATURIN.CSV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0008</t>
        </is>
      </c>
      <c r="H735" s="4" t="n">
        <v>45266</v>
      </c>
      <c r="I735" s="2" t="inlineStr">
        <is>
          <t>15:54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</row>
    <row r="736">
      <c r="A736" s="2" t="inlineStr">
        <is>
          <t>Z202_06A_112023_MATURIN.CSV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0008</t>
        </is>
      </c>
      <c r="H736" s="4" t="n">
        <v>45266</v>
      </c>
      <c r="I736" s="2" t="inlineStr">
        <is>
          <t>15:54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</row>
    <row r="737">
      <c r="A737" s="2" t="inlineStr">
        <is>
          <t>Z202_06A_112023_MATURIN.CSV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0008</t>
        </is>
      </c>
      <c r="H737" s="4" t="n">
        <v>45266</v>
      </c>
      <c r="I737" s="2" t="inlineStr">
        <is>
          <t>15:54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</row>
    <row r="738">
      <c r="A738" s="2" t="inlineStr">
        <is>
          <t>Z202_06A_112023_MATURIN.CSV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0008</t>
        </is>
      </c>
      <c r="H738" s="4" t="n">
        <v>45266</v>
      </c>
      <c r="I738" s="2" t="inlineStr">
        <is>
          <t>15:54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</row>
    <row r="739">
      <c r="A739" s="2" t="inlineStr">
        <is>
          <t>Z202_06A_112023_MATURIN.CSV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0008</t>
        </is>
      </c>
      <c r="H739" s="4" t="n">
        <v>45266</v>
      </c>
      <c r="I739" s="2" t="inlineStr">
        <is>
          <t>15:54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</row>
    <row r="740">
      <c r="A740" s="2" t="inlineStr">
        <is>
          <t>Z202_06A_112023_MATURIN.CSV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0008</t>
        </is>
      </c>
      <c r="H740" s="4" t="n">
        <v>45266</v>
      </c>
      <c r="I740" s="2" t="inlineStr">
        <is>
          <t>15:54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</row>
    <row r="741">
      <c r="A741" s="2" t="inlineStr">
        <is>
          <t>Z202_06A_112023_MATURIN.CSV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0008</t>
        </is>
      </c>
      <c r="H741" s="4" t="n">
        <v>45266</v>
      </c>
      <c r="I741" s="2" t="inlineStr">
        <is>
          <t>15:54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</row>
    <row r="742">
      <c r="A742" s="2" t="inlineStr">
        <is>
          <t>Z202_06A_112023_MATURIN.CSV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0008</t>
        </is>
      </c>
      <c r="H742" s="4" t="n">
        <v>45266</v>
      </c>
      <c r="I742" s="2" t="inlineStr">
        <is>
          <t>15:54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</row>
    <row r="743">
      <c r="A743" s="2" t="inlineStr">
        <is>
          <t>Z202_06A_112023_MATURIN.CSV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0008</t>
        </is>
      </c>
      <c r="H743" s="4" t="n">
        <v>45266</v>
      </c>
      <c r="I743" s="2" t="inlineStr">
        <is>
          <t>15:54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</row>
    <row r="744">
      <c r="A744" s="2" t="inlineStr">
        <is>
          <t>Z202_06A_112023_MATURIN.CSV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0008</t>
        </is>
      </c>
      <c r="H744" s="4" t="n">
        <v>45266</v>
      </c>
      <c r="I744" s="2" t="inlineStr">
        <is>
          <t>15:54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</row>
    <row r="745">
      <c r="A745" s="2" t="inlineStr">
        <is>
          <t>Z202_06A_112023_MATURIN.CSV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0008</t>
        </is>
      </c>
      <c r="H745" s="4" t="n">
        <v>45266</v>
      </c>
      <c r="I745" s="2" t="inlineStr">
        <is>
          <t>15:54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</row>
    <row r="746">
      <c r="A746" s="2" t="inlineStr">
        <is>
          <t>Z202_06A_112023_MATURIN.CSV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0008</t>
        </is>
      </c>
      <c r="H746" s="4" t="n">
        <v>45266</v>
      </c>
      <c r="I746" s="2" t="inlineStr">
        <is>
          <t>15:54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</row>
    <row r="747">
      <c r="A747" s="2" t="inlineStr">
        <is>
          <t>Z202_06A_112023_MATURIN.CSV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0008</t>
        </is>
      </c>
      <c r="H747" s="4" t="n">
        <v>45266</v>
      </c>
      <c r="I747" s="2" t="inlineStr">
        <is>
          <t>15:54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</row>
    <row r="748">
      <c r="A748" s="2" t="inlineStr">
        <is>
          <t>Z202_06A_112023_MATURIN.CSV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0008</t>
        </is>
      </c>
      <c r="H748" s="4" t="n">
        <v>45266</v>
      </c>
      <c r="I748" s="2" t="inlineStr">
        <is>
          <t>15:54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</row>
    <row r="749">
      <c r="A749" s="2" t="inlineStr">
        <is>
          <t>Z202_06A_112023_MATURIN.CSV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0008</t>
        </is>
      </c>
      <c r="H749" s="4" t="n">
        <v>45266</v>
      </c>
      <c r="I749" s="2" t="inlineStr">
        <is>
          <t>15:54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</row>
    <row r="750">
      <c r="A750" s="2" t="inlineStr">
        <is>
          <t>Z202_06A_112023_MATURIN.CSV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0008</t>
        </is>
      </c>
      <c r="H750" s="4" t="n">
        <v>45266</v>
      </c>
      <c r="I750" s="2" t="inlineStr">
        <is>
          <t>15:54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</row>
    <row r="751">
      <c r="A751" s="2" t="inlineStr">
        <is>
          <t>Z202_06A_112023_MATURIN.CSV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0008</t>
        </is>
      </c>
      <c r="H751" s="4" t="n">
        <v>45266</v>
      </c>
      <c r="I751" s="2" t="inlineStr">
        <is>
          <t>15:54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</row>
  </sheetData>
  <autoFilter ref="A1:M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Z002_01_012023_MATURIN.CSV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ESPECES</t>
        </is>
      </c>
      <c r="L2" s="5" t="n">
        <v>10</v>
      </c>
      <c r="M2" s="5" t="n">
        <v>5248</v>
      </c>
      <c r="N2" s="6" t="n">
        <v>2023</v>
      </c>
      <c r="O2" s="5" t="inlineStr">
        <is>
          <t>2023-01</t>
        </is>
      </c>
    </row>
    <row r="3">
      <c r="A3" s="2" t="inlineStr">
        <is>
          <t>Z002_01_012023_MATURIN.CSV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  <c r="N3" s="6" t="n">
        <v>2023</v>
      </c>
      <c r="O3" s="5" t="inlineStr">
        <is>
          <t>2023-01</t>
        </is>
      </c>
    </row>
    <row r="4">
      <c r="A4" s="2" t="inlineStr">
        <is>
          <t>Z002_01_012023_MATURIN.CSV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CARTES</t>
        </is>
      </c>
      <c r="L4" s="5" t="n">
        <v>22</v>
      </c>
      <c r="M4" s="5" t="n">
        <v>17964.6</v>
      </c>
      <c r="N4" s="6" t="n">
        <v>2023</v>
      </c>
      <c r="O4" s="5" t="inlineStr">
        <is>
          <t>2023-01</t>
        </is>
      </c>
    </row>
    <row r="5">
      <c r="A5" s="2" t="inlineStr">
        <is>
          <t>Z002_01_012023_MATURIN.CSV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  <c r="N5" s="6" t="n">
        <v>2023</v>
      </c>
      <c r="O5" s="5" t="inlineStr">
        <is>
          <t>2023-01</t>
        </is>
      </c>
    </row>
    <row r="6">
      <c r="A6" s="2" t="inlineStr">
        <is>
          <t>Z002_01_012023_MATURIN.CSV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  <c r="N6" s="6" t="n">
        <v>2023</v>
      </c>
      <c r="O6" s="5" t="inlineStr">
        <is>
          <t>2023-01</t>
        </is>
      </c>
    </row>
    <row r="7">
      <c r="A7" s="2" t="inlineStr">
        <is>
          <t>Z002_01_012023_MATURIN.CSV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  <c r="N7" s="6" t="n">
        <v>2023</v>
      </c>
      <c r="O7" s="5" t="inlineStr">
        <is>
          <t>2023-01</t>
        </is>
      </c>
    </row>
    <row r="8">
      <c r="A8" s="2" t="inlineStr">
        <is>
          <t>Z002_01_012023_MATURIN.CSV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  <c r="N8" s="6" t="n">
        <v>2023</v>
      </c>
      <c r="O8" s="5" t="inlineStr">
        <is>
          <t>2023-01</t>
        </is>
      </c>
    </row>
    <row r="9">
      <c r="A9" s="2" t="inlineStr">
        <is>
          <t>Z002_01_012023_MATURIN.CSV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  <c r="N9" s="6" t="n">
        <v>2023</v>
      </c>
      <c r="O9" s="5" t="inlineStr">
        <is>
          <t>2023-01</t>
        </is>
      </c>
    </row>
    <row r="10">
      <c r="A10" s="2" t="inlineStr">
        <is>
          <t>Z002_01_012023_MATURIN.CSV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  <c r="N10" s="6" t="n">
        <v>2023</v>
      </c>
      <c r="O10" s="5" t="inlineStr">
        <is>
          <t>2023-01</t>
        </is>
      </c>
    </row>
    <row r="11">
      <c r="A11" s="2" t="inlineStr">
        <is>
          <t>Z002_01_012023_MATURIN.CSV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  <c r="N11" s="6" t="n">
        <v>2023</v>
      </c>
      <c r="O11" s="5" t="inlineStr">
        <is>
          <t>2023-01</t>
        </is>
      </c>
    </row>
    <row r="12">
      <c r="A12" s="2" t="inlineStr">
        <is>
          <t>Z002_01_012023_MATURIN.CSV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  <c r="N12" s="6" t="n">
        <v>2023</v>
      </c>
      <c r="O12" s="5" t="inlineStr">
        <is>
          <t>2023-01</t>
        </is>
      </c>
    </row>
    <row r="13">
      <c r="A13" s="2" t="inlineStr">
        <is>
          <t>Z002_01_012023_MATURIN.CSV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  <c r="N13" s="6" t="n">
        <v>2023</v>
      </c>
      <c r="O13" s="5" t="inlineStr">
        <is>
          <t>2023-01</t>
        </is>
      </c>
    </row>
    <row r="14">
      <c r="A14" s="2" t="inlineStr">
        <is>
          <t>Z002_01_012023_MATURIN.CSV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  <c r="N14" s="6" t="n">
        <v>2023</v>
      </c>
      <c r="O14" s="5" t="inlineStr">
        <is>
          <t>2023-01</t>
        </is>
      </c>
    </row>
    <row r="15">
      <c r="A15" s="2" t="inlineStr">
        <is>
          <t>Z002_01_012023_MATURIN.CSV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  <c r="N15" s="6" t="n">
        <v>2023</v>
      </c>
      <c r="O15" s="5" t="inlineStr">
        <is>
          <t>2023-01</t>
        </is>
      </c>
    </row>
    <row r="16">
      <c r="A16" s="2" t="inlineStr">
        <is>
          <t>Z002_01_012023_MATURIN.CSV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  <c r="N16" s="6" t="n">
        <v>2023</v>
      </c>
      <c r="O16" s="5" t="inlineStr">
        <is>
          <t>2023-01</t>
        </is>
      </c>
    </row>
    <row r="17">
      <c r="A17" s="2" t="inlineStr">
        <is>
          <t>Z002_01_012023_MATURIN.CSV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  <c r="N17" s="6" t="n">
        <v>2023</v>
      </c>
      <c r="O17" s="5" t="inlineStr">
        <is>
          <t>2023-01</t>
        </is>
      </c>
    </row>
    <row r="18">
      <c r="A18" s="2" t="inlineStr">
        <is>
          <t>Z002_01_012023_MATURIN.CSV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  <c r="N18" s="6" t="n">
        <v>2023</v>
      </c>
      <c r="O18" s="5" t="inlineStr">
        <is>
          <t>2023-01</t>
        </is>
      </c>
    </row>
    <row r="19">
      <c r="A19" s="2" t="inlineStr">
        <is>
          <t>Z002_01_012023_MATURIN.CSV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5" t="n">
        <v>0.45</v>
      </c>
      <c r="N19" s="6" t="n">
        <v>2023</v>
      </c>
      <c r="O19" s="5" t="inlineStr">
        <is>
          <t>2023-01</t>
        </is>
      </c>
    </row>
    <row r="20">
      <c r="A20" s="2" t="inlineStr">
        <is>
          <t>Z002_01_012023_MATURIN.CSV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  <c r="N20" s="6" t="n">
        <v>2023</v>
      </c>
      <c r="O20" s="5" t="inlineStr">
        <is>
          <t>2023-01</t>
        </is>
      </c>
    </row>
    <row r="21">
      <c r="A21" s="2" t="inlineStr">
        <is>
          <t>Z002_01_012023_MATURIN.CSV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  <c r="N21" s="6" t="n">
        <v>2023</v>
      </c>
      <c r="O21" s="5" t="inlineStr">
        <is>
          <t>2023-01</t>
        </is>
      </c>
    </row>
    <row r="22">
      <c r="A22" s="2" t="inlineStr">
        <is>
          <t>Z002_01_012023_MATURIN.CSV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  <c r="N22" s="6" t="n">
        <v>2023</v>
      </c>
      <c r="O22" s="5" t="inlineStr">
        <is>
          <t>2023-01</t>
        </is>
      </c>
    </row>
    <row r="23">
      <c r="A23" s="2" t="inlineStr">
        <is>
          <t>Z002_01_012023_MATURIN.CSV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  <c r="N23" s="6" t="n">
        <v>2023</v>
      </c>
      <c r="O23" s="5" t="inlineStr">
        <is>
          <t>2023-01</t>
        </is>
      </c>
    </row>
    <row r="24">
      <c r="A24" s="2" t="inlineStr">
        <is>
          <t>Z002_01_012023_MATURIN.CSV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  <c r="N24" s="6" t="n">
        <v>2023</v>
      </c>
      <c r="O24" s="5" t="inlineStr">
        <is>
          <t>2023-01</t>
        </is>
      </c>
    </row>
    <row r="25">
      <c r="A25" s="2" t="inlineStr">
        <is>
          <t>Z002_01_012023_MATURIN.CSV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  <c r="N25" s="6" t="n">
        <v>2023</v>
      </c>
      <c r="O25" s="5" t="inlineStr">
        <is>
          <t>2023-01</t>
        </is>
      </c>
    </row>
    <row r="26">
      <c r="A26" s="2" t="inlineStr">
        <is>
          <t>Z002_01_012023_MATURIN.CSV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  <c r="N26" s="6" t="n">
        <v>2023</v>
      </c>
      <c r="O26" s="5" t="inlineStr">
        <is>
          <t>2023-01</t>
        </is>
      </c>
    </row>
    <row r="27">
      <c r="A27" s="2" t="inlineStr">
        <is>
          <t>Z002_01_012023_MATURIN.CSV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  <c r="N27" s="6" t="n">
        <v>2023</v>
      </c>
      <c r="O27" s="5" t="inlineStr">
        <is>
          <t>2023-01</t>
        </is>
      </c>
    </row>
    <row r="28">
      <c r="A28" s="2" t="inlineStr">
        <is>
          <t>Z002_01_012023_MATURIN.CSV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  <c r="N28" s="6" t="n">
        <v>2023</v>
      </c>
      <c r="O28" s="5" t="inlineStr">
        <is>
          <t>2023-01</t>
        </is>
      </c>
    </row>
    <row r="29">
      <c r="A29" s="2" t="inlineStr">
        <is>
          <t>Z002_01_012023_MATURIN.CSV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  <c r="N29" s="6" t="n">
        <v>2023</v>
      </c>
      <c r="O29" s="5" t="inlineStr">
        <is>
          <t>2023-01</t>
        </is>
      </c>
    </row>
    <row r="30">
      <c r="A30" s="2" t="inlineStr">
        <is>
          <t>Z002_01_012023_MATURIN.CSV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  <c r="N30" s="6" t="n">
        <v>2023</v>
      </c>
      <c r="O30" s="5" t="inlineStr">
        <is>
          <t>2023-01</t>
        </is>
      </c>
    </row>
    <row r="31">
      <c r="A31" s="2" t="inlineStr">
        <is>
          <t>Z002_01_012023_MATURIN.CSV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  <c r="N31" s="6" t="n">
        <v>2023</v>
      </c>
      <c r="O31" s="5" t="inlineStr">
        <is>
          <t>2023-01</t>
        </is>
      </c>
    </row>
    <row r="32">
      <c r="A32" s="2" t="inlineStr">
        <is>
          <t>Z002_01_012023_MATURIN.CSV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REF./TIROIR</t>
        </is>
      </c>
      <c r="L32" s="5" t="n">
        <v>2</v>
      </c>
      <c r="M32" s="5" t="n">
        <v>0</v>
      </c>
      <c r="N32" s="6" t="n">
        <v>2023</v>
      </c>
      <c r="O32" s="5" t="inlineStr">
        <is>
          <t>2023-01</t>
        </is>
      </c>
    </row>
    <row r="33">
      <c r="A33" s="2" t="inlineStr">
        <is>
          <t>Z002_01_012023_MATURIN.CSV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  <c r="N33" s="6" t="n">
        <v>2023</v>
      </c>
      <c r="O33" s="5" t="inlineStr">
        <is>
          <t>2023-01</t>
        </is>
      </c>
    </row>
    <row r="34">
      <c r="A34" s="2" t="inlineStr">
        <is>
          <t>Z002_01_012023_MATURIN.CSV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  <c r="N34" s="6" t="n">
        <v>2023</v>
      </c>
      <c r="O34" s="5" t="inlineStr">
        <is>
          <t>2023-01</t>
        </is>
      </c>
    </row>
    <row r="35">
      <c r="A35" s="2" t="inlineStr">
        <is>
          <t>Z002_01_012023_MATURIN.CSV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  <c r="N35" s="6" t="n">
        <v>2023</v>
      </c>
      <c r="O35" s="5" t="inlineStr">
        <is>
          <t>2023-01</t>
        </is>
      </c>
    </row>
    <row r="36">
      <c r="A36" s="2" t="inlineStr">
        <is>
          <t>Z002_01_012023_MATURIN.CSV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  <c r="N36" s="6" t="n">
        <v>2023</v>
      </c>
      <c r="O36" s="5" t="inlineStr">
        <is>
          <t>2023-01</t>
        </is>
      </c>
    </row>
    <row r="37">
      <c r="A37" s="2" t="inlineStr">
        <is>
          <t>Z002_01_012023_MATURIN.CSV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  <c r="N37" s="6" t="n">
        <v>2023</v>
      </c>
      <c r="O37" s="5" t="inlineStr">
        <is>
          <t>2023-01</t>
        </is>
      </c>
    </row>
    <row r="38">
      <c r="A38" s="2" t="inlineStr">
        <is>
          <t>Z002_01_012023_MATURIN.CSV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  <c r="N38" s="6" t="n">
        <v>2023</v>
      </c>
      <c r="O38" s="5" t="inlineStr">
        <is>
          <t>2023-01</t>
        </is>
      </c>
    </row>
    <row r="39">
      <c r="A39" s="2" t="inlineStr">
        <is>
          <t>Z002_01_012023_MATURIN.CSV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  <c r="N39" s="6" t="n">
        <v>2023</v>
      </c>
      <c r="O39" s="5" t="inlineStr">
        <is>
          <t>2023-01</t>
        </is>
      </c>
    </row>
    <row r="40">
      <c r="A40" s="2" t="inlineStr">
        <is>
          <t>Z002_01_012023_MATURIN.CSV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  <c r="N40" s="6" t="n">
        <v>2023</v>
      </c>
      <c r="O40" s="5" t="inlineStr">
        <is>
          <t>2023-01</t>
        </is>
      </c>
    </row>
    <row r="41">
      <c r="A41" s="2" t="inlineStr">
        <is>
          <t>Z002_01_012023_MATURIN.CSV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  <c r="N41" s="6" t="n">
        <v>2023</v>
      </c>
      <c r="O41" s="5" t="inlineStr">
        <is>
          <t>2023-01</t>
        </is>
      </c>
    </row>
    <row r="42">
      <c r="A42" s="2" t="inlineStr">
        <is>
          <t>Z002_01_012023_MATURIN.CSV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  <c r="N42" s="6" t="n">
        <v>2023</v>
      </c>
      <c r="O42" s="5" t="inlineStr">
        <is>
          <t>2023-01</t>
        </is>
      </c>
    </row>
    <row r="43">
      <c r="A43" s="2" t="inlineStr">
        <is>
          <t>Z002_01_012023_MATURIN.CSV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44958</v>
      </c>
      <c r="I43" s="2" t="inlineStr">
        <is>
          <t>10:06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  <c r="N43" s="6" t="n">
        <v>2023</v>
      </c>
      <c r="O43" s="5" t="inlineStr">
        <is>
          <t>2023-01</t>
        </is>
      </c>
    </row>
    <row r="44">
      <c r="A44" s="2" t="inlineStr">
        <is>
          <t>Z002_01_012023_MATURIN.CSV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44958</v>
      </c>
      <c r="I44" s="2" t="inlineStr">
        <is>
          <t>10:06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  <c r="N44" s="6" t="n">
        <v>2023</v>
      </c>
      <c r="O44" s="5" t="inlineStr">
        <is>
          <t>2023-01</t>
        </is>
      </c>
    </row>
    <row r="45">
      <c r="A45" s="2" t="inlineStr">
        <is>
          <t>Z002_01_012023_MATURIN.CSV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44958</v>
      </c>
      <c r="I45" s="2" t="inlineStr">
        <is>
          <t>10:06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  <c r="N45" s="6" t="n">
        <v>2023</v>
      </c>
      <c r="O45" s="5" t="inlineStr">
        <is>
          <t>2023-01</t>
        </is>
      </c>
    </row>
    <row r="46">
      <c r="A46" s="2" t="inlineStr">
        <is>
          <t>Z002_01_012023_MATURIN.CSV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44958</v>
      </c>
      <c r="I46" s="2" t="inlineStr">
        <is>
          <t>10:06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  <c r="N46" s="6" t="n">
        <v>2023</v>
      </c>
      <c r="O46" s="5" t="inlineStr">
        <is>
          <t>2023-01</t>
        </is>
      </c>
    </row>
    <row r="47">
      <c r="A47" s="2" t="inlineStr">
        <is>
          <t>Z002_01_012023_MATURIN.CSV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44958</v>
      </c>
      <c r="I47" s="2" t="inlineStr">
        <is>
          <t>10:06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  <c r="N47" s="6" t="n">
        <v>2023</v>
      </c>
      <c r="O47" s="5" t="inlineStr">
        <is>
          <t>2023-01</t>
        </is>
      </c>
    </row>
    <row r="48">
      <c r="A48" s="2" t="inlineStr">
        <is>
          <t>Z002_01_012023_MATURIN.CSV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44958</v>
      </c>
      <c r="I48" s="2" t="inlineStr">
        <is>
          <t>10:06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  <c r="N48" s="6" t="n">
        <v>2023</v>
      </c>
      <c r="O48" s="5" t="inlineStr">
        <is>
          <t>2023-01</t>
        </is>
      </c>
    </row>
    <row r="49">
      <c r="A49" s="2" t="inlineStr">
        <is>
          <t>Z002_01_012023_MATURIN.CSV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44958</v>
      </c>
      <c r="I49" s="2" t="inlineStr">
        <is>
          <t>10:06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  <c r="N49" s="6" t="n">
        <v>2023</v>
      </c>
      <c r="O49" s="5" t="inlineStr">
        <is>
          <t>2023-01</t>
        </is>
      </c>
    </row>
    <row r="50">
      <c r="A50" s="2" t="inlineStr">
        <is>
          <t>Z002_01_012023_MATURIN.CSV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44958</v>
      </c>
      <c r="I50" s="2" t="inlineStr">
        <is>
          <t>10:06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  <c r="N50" s="6" t="n">
        <v>2023</v>
      </c>
      <c r="O50" s="5" t="inlineStr">
        <is>
          <t>2023-01</t>
        </is>
      </c>
    </row>
    <row r="51">
      <c r="A51" s="2" t="inlineStr">
        <is>
          <t>Z002_01_012023_MATURIN.CSV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44958</v>
      </c>
      <c r="I51" s="2" t="inlineStr">
        <is>
          <t>10:06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  <c r="N51" s="6" t="n">
        <v>2023</v>
      </c>
      <c r="O51" s="5" t="inlineStr">
        <is>
          <t>2023-01</t>
        </is>
      </c>
    </row>
    <row r="52">
      <c r="A52" s="2" t="inlineStr">
        <is>
          <t>Z002_01_022023_MATURIN.CSV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0001</t>
        </is>
      </c>
      <c r="K52" s="2" t="inlineStr">
        <is>
          <t>ESPECES</t>
        </is>
      </c>
      <c r="L52" s="5" t="n">
        <v>14</v>
      </c>
      <c r="M52" s="5" t="n">
        <v>8570.799999999999</v>
      </c>
      <c r="N52" s="6" t="n">
        <v>2023</v>
      </c>
      <c r="O52" s="5" t="inlineStr">
        <is>
          <t>2023-02</t>
        </is>
      </c>
    </row>
    <row r="53">
      <c r="A53" s="2" t="inlineStr">
        <is>
          <t>Z002_01_022023_MATURIN.CSV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  <c r="N53" s="6" t="n">
        <v>2023</v>
      </c>
      <c r="O53" s="5" t="inlineStr">
        <is>
          <t>2023-02</t>
        </is>
      </c>
    </row>
    <row r="54">
      <c r="A54" s="2" t="inlineStr">
        <is>
          <t>Z002_01_022023_MATURIN.CSV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0003</t>
        </is>
      </c>
      <c r="K54" s="2" t="inlineStr">
        <is>
          <t>CARTES</t>
        </is>
      </c>
      <c r="L54" s="5" t="n">
        <v>13</v>
      </c>
      <c r="M54" s="5" t="n">
        <v>11477</v>
      </c>
      <c r="N54" s="6" t="n">
        <v>2023</v>
      </c>
      <c r="O54" s="5" t="inlineStr">
        <is>
          <t>2023-02</t>
        </is>
      </c>
    </row>
    <row r="55">
      <c r="A55" s="2" t="inlineStr">
        <is>
          <t>Z002_01_022023_MATURIN.CSV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0004</t>
        </is>
      </c>
      <c r="K55" s="2" t="inlineStr">
        <is>
          <t>CHEQUES</t>
        </is>
      </c>
      <c r="L55" s="5" t="n">
        <v>1</v>
      </c>
      <c r="M55" s="5" t="n">
        <v>329</v>
      </c>
      <c r="N55" s="6" t="n">
        <v>2023</v>
      </c>
      <c r="O55" s="5" t="inlineStr">
        <is>
          <t>2023-02</t>
        </is>
      </c>
    </row>
    <row r="56">
      <c r="A56" s="2" t="inlineStr">
        <is>
          <t>Z002_01_022023_MATURIN.CSV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  <c r="N56" s="6" t="n">
        <v>2023</v>
      </c>
      <c r="O56" s="5" t="inlineStr">
        <is>
          <t>2023-02</t>
        </is>
      </c>
    </row>
    <row r="57">
      <c r="A57" s="2" t="inlineStr">
        <is>
          <t>Z002_01_022023_MATURIN.CSV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  <c r="N57" s="6" t="n">
        <v>2023</v>
      </c>
      <c r="O57" s="5" t="inlineStr">
        <is>
          <t>2023-02</t>
        </is>
      </c>
    </row>
    <row r="58">
      <c r="A58" s="2" t="inlineStr">
        <is>
          <t>Z002_01_022023_MATURIN.CSV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  <c r="N58" s="6" t="n">
        <v>2023</v>
      </c>
      <c r="O58" s="5" t="inlineStr">
        <is>
          <t>2023-02</t>
        </is>
      </c>
    </row>
    <row r="59">
      <c r="A59" s="2" t="inlineStr">
        <is>
          <t>Z002_01_022023_MATURIN.CSV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  <c r="N59" s="6" t="n">
        <v>2023</v>
      </c>
      <c r="O59" s="5" t="inlineStr">
        <is>
          <t>2023-02</t>
        </is>
      </c>
    </row>
    <row r="60">
      <c r="A60" s="2" t="inlineStr">
        <is>
          <t>Z002_01_022023_MATURIN.CSV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  <c r="N60" s="6" t="n">
        <v>2023</v>
      </c>
      <c r="O60" s="5" t="inlineStr">
        <is>
          <t>2023-02</t>
        </is>
      </c>
    </row>
    <row r="61">
      <c r="A61" s="2" t="inlineStr">
        <is>
          <t>Z002_01_022023_MATURIN.CSV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  <c r="N61" s="6" t="n">
        <v>2023</v>
      </c>
      <c r="O61" s="5" t="inlineStr">
        <is>
          <t>2023-02</t>
        </is>
      </c>
    </row>
    <row r="62">
      <c r="A62" s="2" t="inlineStr">
        <is>
          <t>Z002_01_022023_MATURIN.CSV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  <c r="N62" s="6" t="n">
        <v>2023</v>
      </c>
      <c r="O62" s="5" t="inlineStr">
        <is>
          <t>2023-02</t>
        </is>
      </c>
    </row>
    <row r="63">
      <c r="A63" s="2" t="inlineStr">
        <is>
          <t>Z002_01_022023_MATURIN.CSV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  <c r="N63" s="6" t="n">
        <v>2023</v>
      </c>
      <c r="O63" s="5" t="inlineStr">
        <is>
          <t>2023-02</t>
        </is>
      </c>
    </row>
    <row r="64">
      <c r="A64" s="2" t="inlineStr">
        <is>
          <t>Z002_01_022023_MATURIN.CSV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  <c r="N64" s="6" t="n">
        <v>2023</v>
      </c>
      <c r="O64" s="5" t="inlineStr">
        <is>
          <t>2023-02</t>
        </is>
      </c>
    </row>
    <row r="65">
      <c r="A65" s="2" t="inlineStr">
        <is>
          <t>Z002_01_022023_MATURIN.CSV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  <c r="N65" s="6" t="n">
        <v>2023</v>
      </c>
      <c r="O65" s="5" t="inlineStr">
        <is>
          <t>2023-02</t>
        </is>
      </c>
    </row>
    <row r="66">
      <c r="A66" s="2" t="inlineStr">
        <is>
          <t>Z002_01_022023_MATURIN.CSV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  <c r="N66" s="6" t="n">
        <v>2023</v>
      </c>
      <c r="O66" s="5" t="inlineStr">
        <is>
          <t>2023-02</t>
        </is>
      </c>
    </row>
    <row r="67">
      <c r="A67" s="2" t="inlineStr">
        <is>
          <t>Z002_01_022023_MATURIN.CSV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  <c r="N67" s="6" t="n">
        <v>2023</v>
      </c>
      <c r="O67" s="5" t="inlineStr">
        <is>
          <t>2023-02</t>
        </is>
      </c>
    </row>
    <row r="68">
      <c r="A68" s="2" t="inlineStr">
        <is>
          <t>Z002_01_022023_MATURIN.CSV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  <c r="N68" s="6" t="n">
        <v>2023</v>
      </c>
      <c r="O68" s="5" t="inlineStr">
        <is>
          <t>2023-02</t>
        </is>
      </c>
    </row>
    <row r="69">
      <c r="A69" s="2" t="inlineStr">
        <is>
          <t>Z002_01_022023_MATURIN.CSV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5" t="n">
        <v>0</v>
      </c>
      <c r="N69" s="6" t="n">
        <v>2023</v>
      </c>
      <c r="O69" s="5" t="inlineStr">
        <is>
          <t>2023-02</t>
        </is>
      </c>
    </row>
    <row r="70">
      <c r="A70" s="2" t="inlineStr">
        <is>
          <t>Z002_01_022023_MATURIN.CSV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  <c r="N70" s="6" t="n">
        <v>2023</v>
      </c>
      <c r="O70" s="5" t="inlineStr">
        <is>
          <t>2023-02</t>
        </is>
      </c>
    </row>
    <row r="71">
      <c r="A71" s="2" t="inlineStr">
        <is>
          <t>Z002_01_022023_MATURIN.CSV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  <c r="N71" s="6" t="n">
        <v>2023</v>
      </c>
      <c r="O71" s="5" t="inlineStr">
        <is>
          <t>2023-02</t>
        </is>
      </c>
    </row>
    <row r="72">
      <c r="A72" s="2" t="inlineStr">
        <is>
          <t>Z002_01_022023_MATURIN.CSV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  <c r="N72" s="6" t="n">
        <v>2023</v>
      </c>
      <c r="O72" s="5" t="inlineStr">
        <is>
          <t>2023-02</t>
        </is>
      </c>
    </row>
    <row r="73">
      <c r="A73" s="2" t="inlineStr">
        <is>
          <t>Z002_01_022023_MATURIN.CSV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  <c r="N73" s="6" t="n">
        <v>2023</v>
      </c>
      <c r="O73" s="5" t="inlineStr">
        <is>
          <t>2023-02</t>
        </is>
      </c>
    </row>
    <row r="74">
      <c r="A74" s="2" t="inlineStr">
        <is>
          <t>Z002_01_022023_MATURIN.CSV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  <c r="N74" s="6" t="n">
        <v>2023</v>
      </c>
      <c r="O74" s="5" t="inlineStr">
        <is>
          <t>2023-02</t>
        </is>
      </c>
    </row>
    <row r="75">
      <c r="A75" s="2" t="inlineStr">
        <is>
          <t>Z002_01_022023_MATURIN.CSV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  <c r="N75" s="6" t="n">
        <v>2023</v>
      </c>
      <c r="O75" s="5" t="inlineStr">
        <is>
          <t>2023-02</t>
        </is>
      </c>
    </row>
    <row r="76">
      <c r="A76" s="2" t="inlineStr">
        <is>
          <t>Z002_01_022023_MATURIN.CSV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  <c r="N76" s="6" t="n">
        <v>2023</v>
      </c>
      <c r="O76" s="5" t="inlineStr">
        <is>
          <t>2023-02</t>
        </is>
      </c>
    </row>
    <row r="77">
      <c r="A77" s="2" t="inlineStr">
        <is>
          <t>Z002_01_022023_MATURIN.CSV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  <c r="N77" s="6" t="n">
        <v>2023</v>
      </c>
      <c r="O77" s="5" t="inlineStr">
        <is>
          <t>2023-02</t>
        </is>
      </c>
    </row>
    <row r="78">
      <c r="A78" s="2" t="inlineStr">
        <is>
          <t>Z002_01_022023_MATURIN.CSV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  <c r="N78" s="6" t="n">
        <v>2023</v>
      </c>
      <c r="O78" s="5" t="inlineStr">
        <is>
          <t>2023-02</t>
        </is>
      </c>
    </row>
    <row r="79">
      <c r="A79" s="2" t="inlineStr">
        <is>
          <t>Z002_01_022023_MATURIN.CSV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  <c r="N79" s="6" t="n">
        <v>2023</v>
      </c>
      <c r="O79" s="5" t="inlineStr">
        <is>
          <t>2023-02</t>
        </is>
      </c>
    </row>
    <row r="80">
      <c r="A80" s="2" t="inlineStr">
        <is>
          <t>Z002_01_022023_MATURIN.CSV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  <c r="N80" s="6" t="n">
        <v>2023</v>
      </c>
      <c r="O80" s="5" t="inlineStr">
        <is>
          <t>2023-02</t>
        </is>
      </c>
    </row>
    <row r="81">
      <c r="A81" s="2" t="inlineStr">
        <is>
          <t>Z002_01_022023_MATURIN.CSV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  <c r="N81" s="6" t="n">
        <v>2023</v>
      </c>
      <c r="O81" s="5" t="inlineStr">
        <is>
          <t>2023-02</t>
        </is>
      </c>
    </row>
    <row r="82">
      <c r="A82" s="2" t="inlineStr">
        <is>
          <t>Z002_01_022023_MATURIN.CSV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0031</t>
        </is>
      </c>
      <c r="K82" s="2" t="inlineStr">
        <is>
          <t>REF./TIROIR</t>
        </is>
      </c>
      <c r="L82" s="5" t="n">
        <v>10</v>
      </c>
      <c r="M82" s="5" t="n">
        <v>0</v>
      </c>
      <c r="N82" s="6" t="n">
        <v>2023</v>
      </c>
      <c r="O82" s="5" t="inlineStr">
        <is>
          <t>2023-02</t>
        </is>
      </c>
    </row>
    <row r="83">
      <c r="A83" s="2" t="inlineStr">
        <is>
          <t>Z002_01_022023_MATURIN.CSV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  <c r="N83" s="6" t="n">
        <v>2023</v>
      </c>
      <c r="O83" s="5" t="inlineStr">
        <is>
          <t>2023-02</t>
        </is>
      </c>
    </row>
    <row r="84">
      <c r="A84" s="2" t="inlineStr">
        <is>
          <t>Z002_01_022023_MATURIN.CSV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0020</t>
        </is>
      </c>
      <c r="H84" s="4" t="n">
        <v>44986</v>
      </c>
      <c r="I84" s="2" t="inlineStr">
        <is>
          <t>10:42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  <c r="N84" s="6" t="n">
        <v>2023</v>
      </c>
      <c r="O84" s="5" t="inlineStr">
        <is>
          <t>2023-02</t>
        </is>
      </c>
    </row>
    <row r="85">
      <c r="A85" s="2" t="inlineStr">
        <is>
          <t>Z002_01_022023_MATURIN.CSV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0020</t>
        </is>
      </c>
      <c r="H85" s="4" t="n">
        <v>44986</v>
      </c>
      <c r="I85" s="2" t="inlineStr">
        <is>
          <t>10:42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  <c r="N85" s="6" t="n">
        <v>2023</v>
      </c>
      <c r="O85" s="5" t="inlineStr">
        <is>
          <t>2023-02</t>
        </is>
      </c>
    </row>
    <row r="86">
      <c r="A86" s="2" t="inlineStr">
        <is>
          <t>Z002_01_022023_MATURIN.CSV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0020</t>
        </is>
      </c>
      <c r="H86" s="4" t="n">
        <v>44986</v>
      </c>
      <c r="I86" s="2" t="inlineStr">
        <is>
          <t>10:42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  <c r="N86" s="6" t="n">
        <v>2023</v>
      </c>
      <c r="O86" s="5" t="inlineStr">
        <is>
          <t>2023-02</t>
        </is>
      </c>
    </row>
    <row r="87">
      <c r="A87" s="2" t="inlineStr">
        <is>
          <t>Z002_01_022023_MATURIN.CSV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0020</t>
        </is>
      </c>
      <c r="H87" s="4" t="n">
        <v>44986</v>
      </c>
      <c r="I87" s="2" t="inlineStr">
        <is>
          <t>10:42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  <c r="N87" s="6" t="n">
        <v>2023</v>
      </c>
      <c r="O87" s="5" t="inlineStr">
        <is>
          <t>2023-02</t>
        </is>
      </c>
    </row>
    <row r="88">
      <c r="A88" s="2" t="inlineStr">
        <is>
          <t>Z002_01_022023_MATURIN.CSV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0020</t>
        </is>
      </c>
      <c r="H88" s="4" t="n">
        <v>44986</v>
      </c>
      <c r="I88" s="2" t="inlineStr">
        <is>
          <t>10:42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  <c r="N88" s="6" t="n">
        <v>2023</v>
      </c>
      <c r="O88" s="5" t="inlineStr">
        <is>
          <t>2023-02</t>
        </is>
      </c>
    </row>
    <row r="89">
      <c r="A89" s="2" t="inlineStr">
        <is>
          <t>Z002_01_022023_MATURIN.CSV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0020</t>
        </is>
      </c>
      <c r="H89" s="4" t="n">
        <v>44986</v>
      </c>
      <c r="I89" s="2" t="inlineStr">
        <is>
          <t>10:42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  <c r="N89" s="6" t="n">
        <v>2023</v>
      </c>
      <c r="O89" s="5" t="inlineStr">
        <is>
          <t>2023-02</t>
        </is>
      </c>
    </row>
    <row r="90">
      <c r="A90" s="2" t="inlineStr">
        <is>
          <t>Z002_01_022023_MATURIN.CSV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0020</t>
        </is>
      </c>
      <c r="H90" s="4" t="n">
        <v>44986</v>
      </c>
      <c r="I90" s="2" t="inlineStr">
        <is>
          <t>10:42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  <c r="N90" s="6" t="n">
        <v>2023</v>
      </c>
      <c r="O90" s="5" t="inlineStr">
        <is>
          <t>2023-02</t>
        </is>
      </c>
    </row>
    <row r="91">
      <c r="A91" s="2" t="inlineStr">
        <is>
          <t>Z002_01_022023_MATURIN.CSV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0020</t>
        </is>
      </c>
      <c r="H91" s="4" t="n">
        <v>44986</v>
      </c>
      <c r="I91" s="2" t="inlineStr">
        <is>
          <t>10:42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  <c r="N91" s="6" t="n">
        <v>2023</v>
      </c>
      <c r="O91" s="5" t="inlineStr">
        <is>
          <t>2023-02</t>
        </is>
      </c>
    </row>
    <row r="92">
      <c r="A92" s="2" t="inlineStr">
        <is>
          <t>Z002_01_022023_MATURIN.CSV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0020</t>
        </is>
      </c>
      <c r="H92" s="4" t="n">
        <v>44986</v>
      </c>
      <c r="I92" s="2" t="inlineStr">
        <is>
          <t>10:42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  <c r="N92" s="6" t="n">
        <v>2023</v>
      </c>
      <c r="O92" s="5" t="inlineStr">
        <is>
          <t>2023-02</t>
        </is>
      </c>
    </row>
    <row r="93">
      <c r="A93" s="2" t="inlineStr">
        <is>
          <t>Z002_01_022023_MATURIN.CSV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0020</t>
        </is>
      </c>
      <c r="H93" s="4" t="n">
        <v>44986</v>
      </c>
      <c r="I93" s="2" t="inlineStr">
        <is>
          <t>10:42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  <c r="N93" s="6" t="n">
        <v>2023</v>
      </c>
      <c r="O93" s="5" t="inlineStr">
        <is>
          <t>2023-02</t>
        </is>
      </c>
    </row>
    <row r="94">
      <c r="A94" s="2" t="inlineStr">
        <is>
          <t>Z002_01_022023_MATURIN.CSV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0020</t>
        </is>
      </c>
      <c r="H94" s="4" t="n">
        <v>44986</v>
      </c>
      <c r="I94" s="2" t="inlineStr">
        <is>
          <t>10:42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  <c r="N94" s="6" t="n">
        <v>2023</v>
      </c>
      <c r="O94" s="5" t="inlineStr">
        <is>
          <t>2023-02</t>
        </is>
      </c>
    </row>
    <row r="95">
      <c r="A95" s="2" t="inlineStr">
        <is>
          <t>Z002_01_022023_MATURIN.CSV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0020</t>
        </is>
      </c>
      <c r="H95" s="4" t="n">
        <v>44986</v>
      </c>
      <c r="I95" s="2" t="inlineStr">
        <is>
          <t>10:42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  <c r="N95" s="6" t="n">
        <v>2023</v>
      </c>
      <c r="O95" s="5" t="inlineStr">
        <is>
          <t>2023-02</t>
        </is>
      </c>
    </row>
    <row r="96">
      <c r="A96" s="2" t="inlineStr">
        <is>
          <t>Z002_01_022023_MATURIN.CSV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0020</t>
        </is>
      </c>
      <c r="H96" s="4" t="n">
        <v>44986</v>
      </c>
      <c r="I96" s="2" t="inlineStr">
        <is>
          <t>10:42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  <c r="N96" s="6" t="n">
        <v>2023</v>
      </c>
      <c r="O96" s="5" t="inlineStr">
        <is>
          <t>2023-02</t>
        </is>
      </c>
    </row>
    <row r="97">
      <c r="A97" s="2" t="inlineStr">
        <is>
          <t>Z002_01_022023_MATURIN.CSV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0020</t>
        </is>
      </c>
      <c r="H97" s="4" t="n">
        <v>44986</v>
      </c>
      <c r="I97" s="2" t="inlineStr">
        <is>
          <t>10:42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  <c r="N97" s="6" t="n">
        <v>2023</v>
      </c>
      <c r="O97" s="5" t="inlineStr">
        <is>
          <t>2023-02</t>
        </is>
      </c>
    </row>
    <row r="98">
      <c r="A98" s="2" t="inlineStr">
        <is>
          <t>Z002_01_022023_MATURIN.CSV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0020</t>
        </is>
      </c>
      <c r="H98" s="4" t="n">
        <v>44986</v>
      </c>
      <c r="I98" s="2" t="inlineStr">
        <is>
          <t>10:42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  <c r="N98" s="6" t="n">
        <v>2023</v>
      </c>
      <c r="O98" s="5" t="inlineStr">
        <is>
          <t>2023-02</t>
        </is>
      </c>
    </row>
    <row r="99">
      <c r="A99" s="2" t="inlineStr">
        <is>
          <t>Z002_01_022023_MATURIN.CSV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0020</t>
        </is>
      </c>
      <c r="H99" s="4" t="n">
        <v>44986</v>
      </c>
      <c r="I99" s="2" t="inlineStr">
        <is>
          <t>10:42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  <c r="N99" s="6" t="n">
        <v>2023</v>
      </c>
      <c r="O99" s="5" t="inlineStr">
        <is>
          <t>2023-02</t>
        </is>
      </c>
    </row>
    <row r="100">
      <c r="A100" s="2" t="inlineStr">
        <is>
          <t>Z002_01_022023_MATURIN.CSV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0020</t>
        </is>
      </c>
      <c r="H100" s="4" t="n">
        <v>44986</v>
      </c>
      <c r="I100" s="2" t="inlineStr">
        <is>
          <t>10:42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  <c r="N100" s="6" t="n">
        <v>2023</v>
      </c>
      <c r="O100" s="5" t="inlineStr">
        <is>
          <t>2023-02</t>
        </is>
      </c>
    </row>
    <row r="101">
      <c r="A101" s="2" t="inlineStr">
        <is>
          <t>Z002_01_022023_MATURIN.CSV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0020</t>
        </is>
      </c>
      <c r="H101" s="4" t="n">
        <v>44986</v>
      </c>
      <c r="I101" s="2" t="inlineStr">
        <is>
          <t>10:42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  <c r="N101" s="6" t="n">
        <v>2023</v>
      </c>
      <c r="O101" s="5" t="inlineStr">
        <is>
          <t>2023-02</t>
        </is>
      </c>
    </row>
    <row r="102">
      <c r="A102" s="2" t="inlineStr">
        <is>
          <t>Z002_01_032023_MATURIN.CSV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0001</t>
        </is>
      </c>
      <c r="K102" s="2" t="inlineStr">
        <is>
          <t>ESPECES</t>
        </is>
      </c>
      <c r="L102" s="5" t="n">
        <v>13</v>
      </c>
      <c r="M102" s="5" t="n">
        <v>9836</v>
      </c>
      <c r="N102" s="6" t="n">
        <v>2023</v>
      </c>
      <c r="O102" s="5" t="inlineStr">
        <is>
          <t>2023-03</t>
        </is>
      </c>
    </row>
    <row r="103">
      <c r="A103" s="2" t="inlineStr">
        <is>
          <t>Z002_01_032023_MATURIN.CSV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  <c r="N103" s="6" t="n">
        <v>2023</v>
      </c>
      <c r="O103" s="5" t="inlineStr">
        <is>
          <t>2023-03</t>
        </is>
      </c>
    </row>
    <row r="104">
      <c r="A104" s="2" t="inlineStr">
        <is>
          <t>Z002_01_032023_MATURIN.CSV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0003</t>
        </is>
      </c>
      <c r="K104" s="2" t="inlineStr">
        <is>
          <t>CARTES</t>
        </is>
      </c>
      <c r="L104" s="5" t="n">
        <v>14</v>
      </c>
      <c r="M104" s="5" t="n">
        <v>15536</v>
      </c>
      <c r="N104" s="6" t="n">
        <v>2023</v>
      </c>
      <c r="O104" s="5" t="inlineStr">
        <is>
          <t>2023-03</t>
        </is>
      </c>
    </row>
    <row r="105">
      <c r="A105" s="2" t="inlineStr">
        <is>
          <t>Z002_01_032023_MATURIN.CSV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  <c r="N105" s="6" t="n">
        <v>2023</v>
      </c>
      <c r="O105" s="5" t="inlineStr">
        <is>
          <t>2023-03</t>
        </is>
      </c>
    </row>
    <row r="106">
      <c r="A106" s="2" t="inlineStr">
        <is>
          <t>Z002_01_032023_MATURIN.CSV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  <c r="N106" s="6" t="n">
        <v>2023</v>
      </c>
      <c r="O106" s="5" t="inlineStr">
        <is>
          <t>2023-03</t>
        </is>
      </c>
    </row>
    <row r="107">
      <c r="A107" s="2" t="inlineStr">
        <is>
          <t>Z002_01_032023_MATURIN.CSV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  <c r="N107" s="6" t="n">
        <v>2023</v>
      </c>
      <c r="O107" s="5" t="inlineStr">
        <is>
          <t>2023-03</t>
        </is>
      </c>
    </row>
    <row r="108">
      <c r="A108" s="2" t="inlineStr">
        <is>
          <t>Z002_01_032023_MATURIN.CSV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  <c r="N108" s="6" t="n">
        <v>2023</v>
      </c>
      <c r="O108" s="5" t="inlineStr">
        <is>
          <t>2023-03</t>
        </is>
      </c>
    </row>
    <row r="109">
      <c r="A109" s="2" t="inlineStr">
        <is>
          <t>Z002_01_032023_MATURIN.CSV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  <c r="N109" s="6" t="n">
        <v>2023</v>
      </c>
      <c r="O109" s="5" t="inlineStr">
        <is>
          <t>2023-03</t>
        </is>
      </c>
    </row>
    <row r="110">
      <c r="A110" s="2" t="inlineStr">
        <is>
          <t>Z002_01_032023_MATURIN.CSV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  <c r="N110" s="6" t="n">
        <v>2023</v>
      </c>
      <c r="O110" s="5" t="inlineStr">
        <is>
          <t>2023-03</t>
        </is>
      </c>
    </row>
    <row r="111">
      <c r="A111" s="2" t="inlineStr">
        <is>
          <t>Z002_01_032023_MATURIN.CSV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  <c r="N111" s="6" t="n">
        <v>2023</v>
      </c>
      <c r="O111" s="5" t="inlineStr">
        <is>
          <t>2023-03</t>
        </is>
      </c>
    </row>
    <row r="112">
      <c r="A112" s="2" t="inlineStr">
        <is>
          <t>Z002_01_032023_MATURIN.CSV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  <c r="N112" s="6" t="n">
        <v>2023</v>
      </c>
      <c r="O112" s="5" t="inlineStr">
        <is>
          <t>2023-03</t>
        </is>
      </c>
    </row>
    <row r="113">
      <c r="A113" s="2" t="inlineStr">
        <is>
          <t>Z002_01_032023_MATURIN.CSV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  <c r="N113" s="6" t="n">
        <v>2023</v>
      </c>
      <c r="O113" s="5" t="inlineStr">
        <is>
          <t>2023-03</t>
        </is>
      </c>
    </row>
    <row r="114">
      <c r="A114" s="2" t="inlineStr">
        <is>
          <t>Z002_01_032023_MATURIN.CSV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  <c r="N114" s="6" t="n">
        <v>2023</v>
      </c>
      <c r="O114" s="5" t="inlineStr">
        <is>
          <t>2023-03</t>
        </is>
      </c>
    </row>
    <row r="115">
      <c r="A115" s="2" t="inlineStr">
        <is>
          <t>Z002_01_032023_MATURIN.CSV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  <c r="N115" s="6" t="n">
        <v>2023</v>
      </c>
      <c r="O115" s="5" t="inlineStr">
        <is>
          <t>2023-03</t>
        </is>
      </c>
    </row>
    <row r="116">
      <c r="A116" s="2" t="inlineStr">
        <is>
          <t>Z002_01_032023_MATURIN.CSV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  <c r="N116" s="6" t="n">
        <v>2023</v>
      </c>
      <c r="O116" s="5" t="inlineStr">
        <is>
          <t>2023-03</t>
        </is>
      </c>
    </row>
    <row r="117">
      <c r="A117" s="2" t="inlineStr">
        <is>
          <t>Z002_01_032023_MATURIN.CSV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  <c r="N117" s="6" t="n">
        <v>2023</v>
      </c>
      <c r="O117" s="5" t="inlineStr">
        <is>
          <t>2023-03</t>
        </is>
      </c>
    </row>
    <row r="118">
      <c r="A118" s="2" t="inlineStr">
        <is>
          <t>Z002_01_032023_MATURIN.CSV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  <c r="N118" s="6" t="n">
        <v>2023</v>
      </c>
      <c r="O118" s="5" t="inlineStr">
        <is>
          <t>2023-03</t>
        </is>
      </c>
    </row>
    <row r="119">
      <c r="A119" s="2" t="inlineStr">
        <is>
          <t>Z002_01_032023_MATURIN.CSV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5" t="n">
        <v>0</v>
      </c>
      <c r="N119" s="6" t="n">
        <v>2023</v>
      </c>
      <c r="O119" s="5" t="inlineStr">
        <is>
          <t>2023-03</t>
        </is>
      </c>
    </row>
    <row r="120">
      <c r="A120" s="2" t="inlineStr">
        <is>
          <t>Z002_01_032023_MATURIN.CSV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  <c r="N120" s="6" t="n">
        <v>2023</v>
      </c>
      <c r="O120" s="5" t="inlineStr">
        <is>
          <t>2023-03</t>
        </is>
      </c>
    </row>
    <row r="121">
      <c r="A121" s="2" t="inlineStr">
        <is>
          <t>Z002_01_032023_MATURIN.CSV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  <c r="N121" s="6" t="n">
        <v>2023</v>
      </c>
      <c r="O121" s="5" t="inlineStr">
        <is>
          <t>2023-03</t>
        </is>
      </c>
    </row>
    <row r="122">
      <c r="A122" s="2" t="inlineStr">
        <is>
          <t>Z002_01_032023_MATURIN.CSV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  <c r="N122" s="6" t="n">
        <v>2023</v>
      </c>
      <c r="O122" s="5" t="inlineStr">
        <is>
          <t>2023-03</t>
        </is>
      </c>
    </row>
    <row r="123">
      <c r="A123" s="2" t="inlineStr">
        <is>
          <t>Z002_01_032023_MATURIN.CSV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  <c r="N123" s="6" t="n">
        <v>2023</v>
      </c>
      <c r="O123" s="5" t="inlineStr">
        <is>
          <t>2023-03</t>
        </is>
      </c>
    </row>
    <row r="124">
      <c r="A124" s="2" t="inlineStr">
        <is>
          <t>Z002_01_032023_MATURIN.CSV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  <c r="N124" s="6" t="n">
        <v>2023</v>
      </c>
      <c r="O124" s="5" t="inlineStr">
        <is>
          <t>2023-03</t>
        </is>
      </c>
    </row>
    <row r="125">
      <c r="A125" s="2" t="inlineStr">
        <is>
          <t>Z002_01_032023_MATURIN.CSV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0021</t>
        </is>
      </c>
      <c r="H125" s="4" t="n">
        <v>45017</v>
      </c>
      <c r="I125" s="2" t="inlineStr">
        <is>
          <t>13:48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  <c r="N125" s="6" t="n">
        <v>2023</v>
      </c>
      <c r="O125" s="5" t="inlineStr">
        <is>
          <t>2023-03</t>
        </is>
      </c>
    </row>
    <row r="126">
      <c r="A126" s="2" t="inlineStr">
        <is>
          <t>Z002_01_032023_MATURIN.CSV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0021</t>
        </is>
      </c>
      <c r="H126" s="4" t="n">
        <v>45017</v>
      </c>
      <c r="I126" s="2" t="inlineStr">
        <is>
          <t>13:48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  <c r="N126" s="6" t="n">
        <v>2023</v>
      </c>
      <c r="O126" s="5" t="inlineStr">
        <is>
          <t>2023-03</t>
        </is>
      </c>
    </row>
    <row r="127">
      <c r="A127" s="2" t="inlineStr">
        <is>
          <t>Z002_01_032023_MATURIN.CSV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0021</t>
        </is>
      </c>
      <c r="H127" s="4" t="n">
        <v>45017</v>
      </c>
      <c r="I127" s="2" t="inlineStr">
        <is>
          <t>13:48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  <c r="N127" s="6" t="n">
        <v>2023</v>
      </c>
      <c r="O127" s="5" t="inlineStr">
        <is>
          <t>2023-03</t>
        </is>
      </c>
    </row>
    <row r="128">
      <c r="A128" s="2" t="inlineStr">
        <is>
          <t>Z002_01_032023_MATURIN.CSV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0021</t>
        </is>
      </c>
      <c r="H128" s="4" t="n">
        <v>45017</v>
      </c>
      <c r="I128" s="2" t="inlineStr">
        <is>
          <t>13:48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  <c r="N128" s="6" t="n">
        <v>2023</v>
      </c>
      <c r="O128" s="5" t="inlineStr">
        <is>
          <t>2023-03</t>
        </is>
      </c>
    </row>
    <row r="129">
      <c r="A129" s="2" t="inlineStr">
        <is>
          <t>Z002_01_032023_MATURIN.CSV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0021</t>
        </is>
      </c>
      <c r="H129" s="4" t="n">
        <v>45017</v>
      </c>
      <c r="I129" s="2" t="inlineStr">
        <is>
          <t>13:48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  <c r="N129" s="6" t="n">
        <v>2023</v>
      </c>
      <c r="O129" s="5" t="inlineStr">
        <is>
          <t>2023-03</t>
        </is>
      </c>
    </row>
    <row r="130">
      <c r="A130" s="2" t="inlineStr">
        <is>
          <t>Z002_01_032023_MATURIN.CSV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0021</t>
        </is>
      </c>
      <c r="H130" s="4" t="n">
        <v>45017</v>
      </c>
      <c r="I130" s="2" t="inlineStr">
        <is>
          <t>13:48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  <c r="N130" s="6" t="n">
        <v>2023</v>
      </c>
      <c r="O130" s="5" t="inlineStr">
        <is>
          <t>2023-03</t>
        </is>
      </c>
    </row>
    <row r="131">
      <c r="A131" s="2" t="inlineStr">
        <is>
          <t>Z002_01_032023_MATURIN.CSV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0021</t>
        </is>
      </c>
      <c r="H131" s="4" t="n">
        <v>45017</v>
      </c>
      <c r="I131" s="2" t="inlineStr">
        <is>
          <t>13:48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  <c r="N131" s="6" t="n">
        <v>2023</v>
      </c>
      <c r="O131" s="5" t="inlineStr">
        <is>
          <t>2023-03</t>
        </is>
      </c>
    </row>
    <row r="132">
      <c r="A132" s="2" t="inlineStr">
        <is>
          <t>Z002_01_032023_MATURIN.CSV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0021</t>
        </is>
      </c>
      <c r="H132" s="4" t="n">
        <v>45017</v>
      </c>
      <c r="I132" s="2" t="inlineStr">
        <is>
          <t>13:48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5" t="n">
        <v>0</v>
      </c>
      <c r="N132" s="6" t="n">
        <v>2023</v>
      </c>
      <c r="O132" s="5" t="inlineStr">
        <is>
          <t>2023-03</t>
        </is>
      </c>
    </row>
    <row r="133">
      <c r="A133" s="2" t="inlineStr">
        <is>
          <t>Z002_01_032023_MATURIN.CSV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0021</t>
        </is>
      </c>
      <c r="H133" s="4" t="n">
        <v>45017</v>
      </c>
      <c r="I133" s="2" t="inlineStr">
        <is>
          <t>13:48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  <c r="N133" s="6" t="n">
        <v>2023</v>
      </c>
      <c r="O133" s="5" t="inlineStr">
        <is>
          <t>2023-03</t>
        </is>
      </c>
    </row>
    <row r="134">
      <c r="A134" s="2" t="inlineStr">
        <is>
          <t>Z002_01_032023_MATURIN.CSV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0021</t>
        </is>
      </c>
      <c r="H134" s="4" t="n">
        <v>45017</v>
      </c>
      <c r="I134" s="2" t="inlineStr">
        <is>
          <t>13:48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  <c r="N134" s="6" t="n">
        <v>2023</v>
      </c>
      <c r="O134" s="5" t="inlineStr">
        <is>
          <t>2023-03</t>
        </is>
      </c>
    </row>
    <row r="135">
      <c r="A135" s="2" t="inlineStr">
        <is>
          <t>Z002_01_032023_MATURIN.CSV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0021</t>
        </is>
      </c>
      <c r="H135" s="4" t="n">
        <v>45017</v>
      </c>
      <c r="I135" s="2" t="inlineStr">
        <is>
          <t>13:48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  <c r="N135" s="6" t="n">
        <v>2023</v>
      </c>
      <c r="O135" s="5" t="inlineStr">
        <is>
          <t>2023-03</t>
        </is>
      </c>
    </row>
    <row r="136">
      <c r="A136" s="2" t="inlineStr">
        <is>
          <t>Z002_01_032023_MATURIN.CSV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0021</t>
        </is>
      </c>
      <c r="H136" s="4" t="n">
        <v>45017</v>
      </c>
      <c r="I136" s="2" t="inlineStr">
        <is>
          <t>13:48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  <c r="N136" s="6" t="n">
        <v>2023</v>
      </c>
      <c r="O136" s="5" t="inlineStr">
        <is>
          <t>2023-03</t>
        </is>
      </c>
    </row>
    <row r="137">
      <c r="A137" s="2" t="inlineStr">
        <is>
          <t>Z002_01_032023_MATURIN.CSV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0021</t>
        </is>
      </c>
      <c r="H137" s="4" t="n">
        <v>45017</v>
      </c>
      <c r="I137" s="2" t="inlineStr">
        <is>
          <t>13:48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  <c r="N137" s="6" t="n">
        <v>2023</v>
      </c>
      <c r="O137" s="5" t="inlineStr">
        <is>
          <t>2023-03</t>
        </is>
      </c>
    </row>
    <row r="138">
      <c r="A138" s="2" t="inlineStr">
        <is>
          <t>Z002_01_032023_MATURIN.CSV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0021</t>
        </is>
      </c>
      <c r="H138" s="4" t="n">
        <v>45017</v>
      </c>
      <c r="I138" s="2" t="inlineStr">
        <is>
          <t>13:48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  <c r="N138" s="6" t="n">
        <v>2023</v>
      </c>
      <c r="O138" s="5" t="inlineStr">
        <is>
          <t>2023-03</t>
        </is>
      </c>
    </row>
    <row r="139">
      <c r="A139" s="2" t="inlineStr">
        <is>
          <t>Z002_01_032023_MATURIN.CSV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0021</t>
        </is>
      </c>
      <c r="H139" s="4" t="n">
        <v>45017</v>
      </c>
      <c r="I139" s="2" t="inlineStr">
        <is>
          <t>13:48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  <c r="N139" s="6" t="n">
        <v>2023</v>
      </c>
      <c r="O139" s="5" t="inlineStr">
        <is>
          <t>2023-03</t>
        </is>
      </c>
    </row>
    <row r="140">
      <c r="A140" s="2" t="inlineStr">
        <is>
          <t>Z002_01_032023_MATURIN.CSV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0021</t>
        </is>
      </c>
      <c r="H140" s="4" t="n">
        <v>45017</v>
      </c>
      <c r="I140" s="2" t="inlineStr">
        <is>
          <t>13:48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  <c r="N140" s="6" t="n">
        <v>2023</v>
      </c>
      <c r="O140" s="5" t="inlineStr">
        <is>
          <t>2023-03</t>
        </is>
      </c>
    </row>
    <row r="141">
      <c r="A141" s="2" t="inlineStr">
        <is>
          <t>Z002_01_032023_MATURIN.CSV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0021</t>
        </is>
      </c>
      <c r="H141" s="4" t="n">
        <v>45017</v>
      </c>
      <c r="I141" s="2" t="inlineStr">
        <is>
          <t>13:48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  <c r="N141" s="6" t="n">
        <v>2023</v>
      </c>
      <c r="O141" s="5" t="inlineStr">
        <is>
          <t>2023-03</t>
        </is>
      </c>
    </row>
    <row r="142">
      <c r="A142" s="2" t="inlineStr">
        <is>
          <t>Z002_01_032023_MATURIN.CSV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0021</t>
        </is>
      </c>
      <c r="H142" s="4" t="n">
        <v>45017</v>
      </c>
      <c r="I142" s="2" t="inlineStr">
        <is>
          <t>13:48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  <c r="N142" s="6" t="n">
        <v>2023</v>
      </c>
      <c r="O142" s="5" t="inlineStr">
        <is>
          <t>2023-03</t>
        </is>
      </c>
    </row>
    <row r="143">
      <c r="A143" s="2" t="inlineStr">
        <is>
          <t>Z002_01_032023_MATURIN.CSV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0021</t>
        </is>
      </c>
      <c r="H143" s="4" t="n">
        <v>45017</v>
      </c>
      <c r="I143" s="2" t="inlineStr">
        <is>
          <t>13:48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  <c r="N143" s="6" t="n">
        <v>2023</v>
      </c>
      <c r="O143" s="5" t="inlineStr">
        <is>
          <t>2023-03</t>
        </is>
      </c>
    </row>
    <row r="144">
      <c r="A144" s="2" t="inlineStr">
        <is>
          <t>Z002_01_032023_MATURIN.CSV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0021</t>
        </is>
      </c>
      <c r="H144" s="4" t="n">
        <v>45017</v>
      </c>
      <c r="I144" s="2" t="inlineStr">
        <is>
          <t>13:48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  <c r="N144" s="6" t="n">
        <v>2023</v>
      </c>
      <c r="O144" s="5" t="inlineStr">
        <is>
          <t>2023-03</t>
        </is>
      </c>
    </row>
    <row r="145">
      <c r="A145" s="2" t="inlineStr">
        <is>
          <t>Z002_01_032023_MATURIN.CSV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0021</t>
        </is>
      </c>
      <c r="H145" s="4" t="n">
        <v>45017</v>
      </c>
      <c r="I145" s="2" t="inlineStr">
        <is>
          <t>13:48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  <c r="N145" s="6" t="n">
        <v>2023</v>
      </c>
      <c r="O145" s="5" t="inlineStr">
        <is>
          <t>2023-03</t>
        </is>
      </c>
    </row>
    <row r="146">
      <c r="A146" s="2" t="inlineStr">
        <is>
          <t>Z002_01_032023_MATURIN.CSV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0021</t>
        </is>
      </c>
      <c r="H146" s="4" t="n">
        <v>45017</v>
      </c>
      <c r="I146" s="2" t="inlineStr">
        <is>
          <t>13:48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  <c r="N146" s="6" t="n">
        <v>2023</v>
      </c>
      <c r="O146" s="5" t="inlineStr">
        <is>
          <t>2023-03</t>
        </is>
      </c>
    </row>
    <row r="147">
      <c r="A147" s="2" t="inlineStr">
        <is>
          <t>Z002_01_032023_MATURIN.CSV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0021</t>
        </is>
      </c>
      <c r="H147" s="4" t="n">
        <v>45017</v>
      </c>
      <c r="I147" s="2" t="inlineStr">
        <is>
          <t>13:48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  <c r="N147" s="6" t="n">
        <v>2023</v>
      </c>
      <c r="O147" s="5" t="inlineStr">
        <is>
          <t>2023-03</t>
        </is>
      </c>
    </row>
    <row r="148">
      <c r="A148" s="2" t="inlineStr">
        <is>
          <t>Z002_01_032023_MATURIN.CSV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0021</t>
        </is>
      </c>
      <c r="H148" s="4" t="n">
        <v>45017</v>
      </c>
      <c r="I148" s="2" t="inlineStr">
        <is>
          <t>13:48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  <c r="N148" s="6" t="n">
        <v>2023</v>
      </c>
      <c r="O148" s="5" t="inlineStr">
        <is>
          <t>2023-03</t>
        </is>
      </c>
    </row>
    <row r="149">
      <c r="A149" s="2" t="inlineStr">
        <is>
          <t>Z002_01_032023_MATURIN.CSV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0021</t>
        </is>
      </c>
      <c r="H149" s="4" t="n">
        <v>45017</v>
      </c>
      <c r="I149" s="2" t="inlineStr">
        <is>
          <t>13:48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  <c r="N149" s="6" t="n">
        <v>2023</v>
      </c>
      <c r="O149" s="5" t="inlineStr">
        <is>
          <t>2023-03</t>
        </is>
      </c>
    </row>
    <row r="150">
      <c r="A150" s="2" t="inlineStr">
        <is>
          <t>Z002_01_032023_MATURIN.CSV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0021</t>
        </is>
      </c>
      <c r="H150" s="4" t="n">
        <v>45017</v>
      </c>
      <c r="I150" s="2" t="inlineStr">
        <is>
          <t>13:48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  <c r="N150" s="6" t="n">
        <v>2023</v>
      </c>
      <c r="O150" s="5" t="inlineStr">
        <is>
          <t>2023-03</t>
        </is>
      </c>
    </row>
    <row r="151">
      <c r="A151" s="2" t="inlineStr">
        <is>
          <t>Z002_01_032023_MATURIN.CSV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0021</t>
        </is>
      </c>
      <c r="H151" s="4" t="n">
        <v>45017</v>
      </c>
      <c r="I151" s="2" t="inlineStr">
        <is>
          <t>13:48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  <c r="N151" s="6" t="n">
        <v>2023</v>
      </c>
      <c r="O151" s="5" t="inlineStr">
        <is>
          <t>2023-03</t>
        </is>
      </c>
    </row>
    <row r="152">
      <c r="A152" s="2" t="inlineStr">
        <is>
          <t>Z002_01_052023_MATURIN.CSV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0001</t>
        </is>
      </c>
      <c r="K152" s="2" t="inlineStr">
        <is>
          <t>ESPECES</t>
        </is>
      </c>
      <c r="L152" s="5" t="n">
        <v>4</v>
      </c>
      <c r="M152" s="5" t="n">
        <v>2961</v>
      </c>
      <c r="N152" s="6" t="n">
        <v>2023</v>
      </c>
      <c r="O152" s="5" t="inlineStr">
        <is>
          <t>2023-05</t>
        </is>
      </c>
    </row>
    <row r="153">
      <c r="A153" s="2" t="inlineStr">
        <is>
          <t>Z002_01_052023_MATURIN.CSV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  <c r="N153" s="6" t="n">
        <v>2023</v>
      </c>
      <c r="O153" s="5" t="inlineStr">
        <is>
          <t>2023-05</t>
        </is>
      </c>
    </row>
    <row r="154">
      <c r="A154" s="2" t="inlineStr">
        <is>
          <t>Z002_01_052023_MATURIN.CSV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0003</t>
        </is>
      </c>
      <c r="K154" s="2" t="inlineStr">
        <is>
          <t>CARTES</t>
        </is>
      </c>
      <c r="L154" s="5" t="n">
        <v>20</v>
      </c>
      <c r="M154" s="5" t="n">
        <v>12585</v>
      </c>
      <c r="N154" s="6" t="n">
        <v>2023</v>
      </c>
      <c r="O154" s="5" t="inlineStr">
        <is>
          <t>2023-05</t>
        </is>
      </c>
    </row>
    <row r="155">
      <c r="A155" s="2" t="inlineStr">
        <is>
          <t>Z002_01_052023_MATURIN.CSV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  <c r="N155" s="6" t="n">
        <v>2023</v>
      </c>
      <c r="O155" s="5" t="inlineStr">
        <is>
          <t>2023-05</t>
        </is>
      </c>
    </row>
    <row r="156">
      <c r="A156" s="2" t="inlineStr">
        <is>
          <t>Z002_01_052023_MATURIN.CSV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  <c r="N156" s="6" t="n">
        <v>2023</v>
      </c>
      <c r="O156" s="5" t="inlineStr">
        <is>
          <t>2023-05</t>
        </is>
      </c>
    </row>
    <row r="157">
      <c r="A157" s="2" t="inlineStr">
        <is>
          <t>Z002_01_052023_MATURIN.CSV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  <c r="N157" s="6" t="n">
        <v>2023</v>
      </c>
      <c r="O157" s="5" t="inlineStr">
        <is>
          <t>2023-05</t>
        </is>
      </c>
    </row>
    <row r="158">
      <c r="A158" s="2" t="inlineStr">
        <is>
          <t>Z002_01_052023_MATURIN.CSV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  <c r="N158" s="6" t="n">
        <v>2023</v>
      </c>
      <c r="O158" s="5" t="inlineStr">
        <is>
          <t>2023-05</t>
        </is>
      </c>
    </row>
    <row r="159">
      <c r="A159" s="2" t="inlineStr">
        <is>
          <t>Z002_01_052023_MATURIN.CSV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  <c r="N159" s="6" t="n">
        <v>2023</v>
      </c>
      <c r="O159" s="5" t="inlineStr">
        <is>
          <t>2023-05</t>
        </is>
      </c>
    </row>
    <row r="160">
      <c r="A160" s="2" t="inlineStr">
        <is>
          <t>Z002_01_052023_MATURIN.CSV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  <c r="N160" s="6" t="n">
        <v>2023</v>
      </c>
      <c r="O160" s="5" t="inlineStr">
        <is>
          <t>2023-05</t>
        </is>
      </c>
    </row>
    <row r="161">
      <c r="A161" s="2" t="inlineStr">
        <is>
          <t>Z002_01_052023_MATURIN.CSV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  <c r="N161" s="6" t="n">
        <v>2023</v>
      </c>
      <c r="O161" s="5" t="inlineStr">
        <is>
          <t>2023-05</t>
        </is>
      </c>
    </row>
    <row r="162">
      <c r="A162" s="2" t="inlineStr">
        <is>
          <t>Z002_01_052023_MATURIN.CSV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  <c r="N162" s="6" t="n">
        <v>2023</v>
      </c>
      <c r="O162" s="5" t="inlineStr">
        <is>
          <t>2023-05</t>
        </is>
      </c>
    </row>
    <row r="163">
      <c r="A163" s="2" t="inlineStr">
        <is>
          <t>Z002_01_052023_MATURIN.CSV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  <c r="N163" s="6" t="n">
        <v>2023</v>
      </c>
      <c r="O163" s="5" t="inlineStr">
        <is>
          <t>2023-05</t>
        </is>
      </c>
    </row>
    <row r="164">
      <c r="A164" s="2" t="inlineStr">
        <is>
          <t>Z002_01_052023_MATURIN.CSV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  <c r="N164" s="6" t="n">
        <v>2023</v>
      </c>
      <c r="O164" s="5" t="inlineStr">
        <is>
          <t>2023-05</t>
        </is>
      </c>
    </row>
    <row r="165">
      <c r="A165" s="2" t="inlineStr">
        <is>
          <t>Z002_01_052023_MATURIN.CSV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  <c r="N165" s="6" t="n">
        <v>2023</v>
      </c>
      <c r="O165" s="5" t="inlineStr">
        <is>
          <t>2023-05</t>
        </is>
      </c>
    </row>
    <row r="166">
      <c r="A166" s="2" t="inlineStr">
        <is>
          <t>Z002_01_052023_MATURIN.CSV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0023</t>
        </is>
      </c>
      <c r="H166" s="4" t="n">
        <v>45078</v>
      </c>
      <c r="I166" s="2" t="inlineStr">
        <is>
          <t>08:54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  <c r="N166" s="6" t="n">
        <v>2023</v>
      </c>
      <c r="O166" s="5" t="inlineStr">
        <is>
          <t>2023-05</t>
        </is>
      </c>
    </row>
    <row r="167">
      <c r="A167" s="2" t="inlineStr">
        <is>
          <t>Z002_01_052023_MATURIN.CSV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0023</t>
        </is>
      </c>
      <c r="H167" s="4" t="n">
        <v>45078</v>
      </c>
      <c r="I167" s="2" t="inlineStr">
        <is>
          <t>08:54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  <c r="N167" s="6" t="n">
        <v>2023</v>
      </c>
      <c r="O167" s="5" t="inlineStr">
        <is>
          <t>2023-05</t>
        </is>
      </c>
    </row>
    <row r="168">
      <c r="A168" s="2" t="inlineStr">
        <is>
          <t>Z002_01_052023_MATURIN.CSV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0023</t>
        </is>
      </c>
      <c r="H168" s="4" t="n">
        <v>45078</v>
      </c>
      <c r="I168" s="2" t="inlineStr">
        <is>
          <t>08:54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  <c r="N168" s="6" t="n">
        <v>2023</v>
      </c>
      <c r="O168" s="5" t="inlineStr">
        <is>
          <t>2023-05</t>
        </is>
      </c>
    </row>
    <row r="169">
      <c r="A169" s="2" t="inlineStr">
        <is>
          <t>Z002_01_052023_MATURIN.CSV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0023</t>
        </is>
      </c>
      <c r="H169" s="4" t="n">
        <v>45078</v>
      </c>
      <c r="I169" s="2" t="inlineStr">
        <is>
          <t>08:54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  <c r="N169" s="6" t="n">
        <v>2023</v>
      </c>
      <c r="O169" s="5" t="inlineStr">
        <is>
          <t>2023-05</t>
        </is>
      </c>
    </row>
    <row r="170">
      <c r="A170" s="2" t="inlineStr">
        <is>
          <t>Z002_01_052023_MATURIN.CSV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0023</t>
        </is>
      </c>
      <c r="H170" s="4" t="n">
        <v>45078</v>
      </c>
      <c r="I170" s="2" t="inlineStr">
        <is>
          <t>08:54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  <c r="N170" s="6" t="n">
        <v>2023</v>
      </c>
      <c r="O170" s="5" t="inlineStr">
        <is>
          <t>2023-05</t>
        </is>
      </c>
    </row>
    <row r="171">
      <c r="A171" s="2" t="inlineStr">
        <is>
          <t>Z002_01_052023_MATURIN.CSV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0023</t>
        </is>
      </c>
      <c r="H171" s="4" t="n">
        <v>45078</v>
      </c>
      <c r="I171" s="2" t="inlineStr">
        <is>
          <t>08:54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  <c r="N171" s="6" t="n">
        <v>2023</v>
      </c>
      <c r="O171" s="5" t="inlineStr">
        <is>
          <t>2023-05</t>
        </is>
      </c>
    </row>
    <row r="172">
      <c r="A172" s="2" t="inlineStr">
        <is>
          <t>Z002_01_052023_MATURIN.CSV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0023</t>
        </is>
      </c>
      <c r="H172" s="4" t="n">
        <v>45078</v>
      </c>
      <c r="I172" s="2" t="inlineStr">
        <is>
          <t>08:54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  <c r="N172" s="6" t="n">
        <v>2023</v>
      </c>
      <c r="O172" s="5" t="inlineStr">
        <is>
          <t>2023-05</t>
        </is>
      </c>
    </row>
    <row r="173">
      <c r="A173" s="2" t="inlineStr">
        <is>
          <t>Z002_01_052023_MATURIN.CSV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0023</t>
        </is>
      </c>
      <c r="H173" s="4" t="n">
        <v>45078</v>
      </c>
      <c r="I173" s="2" t="inlineStr">
        <is>
          <t>08:54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  <c r="N173" s="6" t="n">
        <v>2023</v>
      </c>
      <c r="O173" s="5" t="inlineStr">
        <is>
          <t>2023-05</t>
        </is>
      </c>
    </row>
    <row r="174">
      <c r="A174" s="2" t="inlineStr">
        <is>
          <t>Z002_01_052023_MATURIN.CSV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0023</t>
        </is>
      </c>
      <c r="H174" s="4" t="n">
        <v>45078</v>
      </c>
      <c r="I174" s="2" t="inlineStr">
        <is>
          <t>08:54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  <c r="N174" s="6" t="n">
        <v>2023</v>
      </c>
      <c r="O174" s="5" t="inlineStr">
        <is>
          <t>2023-05</t>
        </is>
      </c>
    </row>
    <row r="175">
      <c r="A175" s="2" t="inlineStr">
        <is>
          <t>Z002_01_052023_MATURIN.CSV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0023</t>
        </is>
      </c>
      <c r="H175" s="4" t="n">
        <v>45078</v>
      </c>
      <c r="I175" s="2" t="inlineStr">
        <is>
          <t>08:54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  <c r="N175" s="6" t="n">
        <v>2023</v>
      </c>
      <c r="O175" s="5" t="inlineStr">
        <is>
          <t>2023-05</t>
        </is>
      </c>
    </row>
    <row r="176">
      <c r="A176" s="2" t="inlineStr">
        <is>
          <t>Z002_01_052023_MATURIN.CSV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0023</t>
        </is>
      </c>
      <c r="H176" s="4" t="n">
        <v>45078</v>
      </c>
      <c r="I176" s="2" t="inlineStr">
        <is>
          <t>08:54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  <c r="N176" s="6" t="n">
        <v>2023</v>
      </c>
      <c r="O176" s="5" t="inlineStr">
        <is>
          <t>2023-05</t>
        </is>
      </c>
    </row>
    <row r="177">
      <c r="A177" s="2" t="inlineStr">
        <is>
          <t>Z002_01_052023_MATURIN.CSV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0023</t>
        </is>
      </c>
      <c r="H177" s="4" t="n">
        <v>45078</v>
      </c>
      <c r="I177" s="2" t="inlineStr">
        <is>
          <t>08:54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  <c r="N177" s="6" t="n">
        <v>2023</v>
      </c>
      <c r="O177" s="5" t="inlineStr">
        <is>
          <t>2023-05</t>
        </is>
      </c>
    </row>
    <row r="178">
      <c r="A178" s="2" t="inlineStr">
        <is>
          <t>Z002_01_052023_MATURIN.CSV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0023</t>
        </is>
      </c>
      <c r="H178" s="4" t="n">
        <v>45078</v>
      </c>
      <c r="I178" s="2" t="inlineStr">
        <is>
          <t>08:54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  <c r="N178" s="6" t="n">
        <v>2023</v>
      </c>
      <c r="O178" s="5" t="inlineStr">
        <is>
          <t>2023-05</t>
        </is>
      </c>
    </row>
    <row r="179">
      <c r="A179" s="2" t="inlineStr">
        <is>
          <t>Z002_01_052023_MATURIN.CSV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0023</t>
        </is>
      </c>
      <c r="H179" s="4" t="n">
        <v>45078</v>
      </c>
      <c r="I179" s="2" t="inlineStr">
        <is>
          <t>08:54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  <c r="N179" s="6" t="n">
        <v>2023</v>
      </c>
      <c r="O179" s="5" t="inlineStr">
        <is>
          <t>2023-05</t>
        </is>
      </c>
    </row>
    <row r="180">
      <c r="A180" s="2" t="inlineStr">
        <is>
          <t>Z002_01_052023_MATURIN.CSV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0023</t>
        </is>
      </c>
      <c r="H180" s="4" t="n">
        <v>45078</v>
      </c>
      <c r="I180" s="2" t="inlineStr">
        <is>
          <t>08:54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  <c r="N180" s="6" t="n">
        <v>2023</v>
      </c>
      <c r="O180" s="5" t="inlineStr">
        <is>
          <t>2023-05</t>
        </is>
      </c>
    </row>
    <row r="181">
      <c r="A181" s="2" t="inlineStr">
        <is>
          <t>Z002_01_052023_MATURIN.CSV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0023</t>
        </is>
      </c>
      <c r="H181" s="4" t="n">
        <v>45078</v>
      </c>
      <c r="I181" s="2" t="inlineStr">
        <is>
          <t>08:54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  <c r="N181" s="6" t="n">
        <v>2023</v>
      </c>
      <c r="O181" s="5" t="inlineStr">
        <is>
          <t>2023-05</t>
        </is>
      </c>
    </row>
    <row r="182">
      <c r="A182" s="2" t="inlineStr">
        <is>
          <t>Z002_01_052023_MATURIN.CSV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0023</t>
        </is>
      </c>
      <c r="H182" s="4" t="n">
        <v>45078</v>
      </c>
      <c r="I182" s="2" t="inlineStr">
        <is>
          <t>08:54</t>
        </is>
      </c>
      <c r="J182" s="3" t="inlineStr">
        <is>
          <t>0031</t>
        </is>
      </c>
      <c r="K182" s="2" t="inlineStr">
        <is>
          <t>REF./TIROIR</t>
        </is>
      </c>
      <c r="L182" s="5" t="n">
        <v>7</v>
      </c>
      <c r="M182" s="5" t="n">
        <v>0</v>
      </c>
      <c r="N182" s="6" t="n">
        <v>2023</v>
      </c>
      <c r="O182" s="5" t="inlineStr">
        <is>
          <t>2023-05</t>
        </is>
      </c>
    </row>
    <row r="183">
      <c r="A183" s="2" t="inlineStr">
        <is>
          <t>Z002_01_052023_MATURIN.CSV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0023</t>
        </is>
      </c>
      <c r="H183" s="4" t="n">
        <v>45078</v>
      </c>
      <c r="I183" s="2" t="inlineStr">
        <is>
          <t>08:54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  <c r="N183" s="6" t="n">
        <v>2023</v>
      </c>
      <c r="O183" s="5" t="inlineStr">
        <is>
          <t>2023-05</t>
        </is>
      </c>
    </row>
    <row r="184">
      <c r="A184" s="2" t="inlineStr">
        <is>
          <t>Z002_01_052023_MATURIN.CSV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0023</t>
        </is>
      </c>
      <c r="H184" s="4" t="n">
        <v>45078</v>
      </c>
      <c r="I184" s="2" t="inlineStr">
        <is>
          <t>08:54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  <c r="N184" s="6" t="n">
        <v>2023</v>
      </c>
      <c r="O184" s="5" t="inlineStr">
        <is>
          <t>2023-05</t>
        </is>
      </c>
    </row>
    <row r="185">
      <c r="A185" s="2" t="inlineStr">
        <is>
          <t>Z002_01_052023_MATURIN.CSV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0023</t>
        </is>
      </c>
      <c r="H185" s="4" t="n">
        <v>45078</v>
      </c>
      <c r="I185" s="2" t="inlineStr">
        <is>
          <t>08:54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  <c r="N185" s="6" t="n">
        <v>2023</v>
      </c>
      <c r="O185" s="5" t="inlineStr">
        <is>
          <t>2023-05</t>
        </is>
      </c>
    </row>
    <row r="186">
      <c r="A186" s="2" t="inlineStr">
        <is>
          <t>Z002_01_052023_MATURIN.CSV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0023</t>
        </is>
      </c>
      <c r="H186" s="4" t="n">
        <v>45078</v>
      </c>
      <c r="I186" s="2" t="inlineStr">
        <is>
          <t>08:54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  <c r="N186" s="6" t="n">
        <v>2023</v>
      </c>
      <c r="O186" s="5" t="inlineStr">
        <is>
          <t>2023-05</t>
        </is>
      </c>
    </row>
    <row r="187">
      <c r="A187" s="2" t="inlineStr">
        <is>
          <t>Z002_01_052023_MATURIN.CSV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0023</t>
        </is>
      </c>
      <c r="H187" s="4" t="n">
        <v>45078</v>
      </c>
      <c r="I187" s="2" t="inlineStr">
        <is>
          <t>08:54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  <c r="N187" s="6" t="n">
        <v>2023</v>
      </c>
      <c r="O187" s="5" t="inlineStr">
        <is>
          <t>2023-05</t>
        </is>
      </c>
    </row>
    <row r="188">
      <c r="A188" s="2" t="inlineStr">
        <is>
          <t>Z002_01_052023_MATURIN.CSV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0023</t>
        </is>
      </c>
      <c r="H188" s="4" t="n">
        <v>45078</v>
      </c>
      <c r="I188" s="2" t="inlineStr">
        <is>
          <t>08:54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  <c r="N188" s="6" t="n">
        <v>2023</v>
      </c>
      <c r="O188" s="5" t="inlineStr">
        <is>
          <t>2023-05</t>
        </is>
      </c>
    </row>
    <row r="189">
      <c r="A189" s="2" t="inlineStr">
        <is>
          <t>Z002_01_052023_MATURIN.CSV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0023</t>
        </is>
      </c>
      <c r="H189" s="4" t="n">
        <v>45078</v>
      </c>
      <c r="I189" s="2" t="inlineStr">
        <is>
          <t>08:54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  <c r="N189" s="6" t="n">
        <v>2023</v>
      </c>
      <c r="O189" s="5" t="inlineStr">
        <is>
          <t>2023-05</t>
        </is>
      </c>
    </row>
    <row r="190">
      <c r="A190" s="2" t="inlineStr">
        <is>
          <t>Z002_01_052023_MATURIN.CSV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0023</t>
        </is>
      </c>
      <c r="H190" s="4" t="n">
        <v>45078</v>
      </c>
      <c r="I190" s="2" t="inlineStr">
        <is>
          <t>08:54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  <c r="N190" s="6" t="n">
        <v>2023</v>
      </c>
      <c r="O190" s="5" t="inlineStr">
        <is>
          <t>2023-05</t>
        </is>
      </c>
    </row>
    <row r="191">
      <c r="A191" s="2" t="inlineStr">
        <is>
          <t>Z002_01_052023_MATURIN.CSV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0023</t>
        </is>
      </c>
      <c r="H191" s="4" t="n">
        <v>45078</v>
      </c>
      <c r="I191" s="2" t="inlineStr">
        <is>
          <t>08:54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  <c r="N191" s="6" t="n">
        <v>2023</v>
      </c>
      <c r="O191" s="5" t="inlineStr">
        <is>
          <t>2023-05</t>
        </is>
      </c>
    </row>
    <row r="192">
      <c r="A192" s="2" t="inlineStr">
        <is>
          <t>Z002_01_052023_MATURIN.CSV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0023</t>
        </is>
      </c>
      <c r="H192" s="4" t="n">
        <v>45078</v>
      </c>
      <c r="I192" s="2" t="inlineStr">
        <is>
          <t>08:54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  <c r="N192" s="6" t="n">
        <v>2023</v>
      </c>
      <c r="O192" s="5" t="inlineStr">
        <is>
          <t>2023-05</t>
        </is>
      </c>
    </row>
    <row r="193">
      <c r="A193" s="2" t="inlineStr">
        <is>
          <t>Z002_01_052023_MATURIN.CSV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0023</t>
        </is>
      </c>
      <c r="H193" s="4" t="n">
        <v>45078</v>
      </c>
      <c r="I193" s="2" t="inlineStr">
        <is>
          <t>08:54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  <c r="N193" s="6" t="n">
        <v>2023</v>
      </c>
      <c r="O193" s="5" t="inlineStr">
        <is>
          <t>2023-05</t>
        </is>
      </c>
    </row>
    <row r="194">
      <c r="A194" s="2" t="inlineStr">
        <is>
          <t>Z002_01_052023_MATURIN.CSV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0023</t>
        </is>
      </c>
      <c r="H194" s="4" t="n">
        <v>45078</v>
      </c>
      <c r="I194" s="2" t="inlineStr">
        <is>
          <t>08:54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  <c r="N194" s="6" t="n">
        <v>2023</v>
      </c>
      <c r="O194" s="5" t="inlineStr">
        <is>
          <t>2023-05</t>
        </is>
      </c>
    </row>
    <row r="195">
      <c r="A195" s="2" t="inlineStr">
        <is>
          <t>Z002_01_052023_MATURIN.CSV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0023</t>
        </is>
      </c>
      <c r="H195" s="4" t="n">
        <v>45078</v>
      </c>
      <c r="I195" s="2" t="inlineStr">
        <is>
          <t>08:54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  <c r="N195" s="6" t="n">
        <v>2023</v>
      </c>
      <c r="O195" s="5" t="inlineStr">
        <is>
          <t>2023-05</t>
        </is>
      </c>
    </row>
    <row r="196">
      <c r="A196" s="2" t="inlineStr">
        <is>
          <t>Z002_01_052023_MATURIN.CSV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0023</t>
        </is>
      </c>
      <c r="H196" s="4" t="n">
        <v>45078</v>
      </c>
      <c r="I196" s="2" t="inlineStr">
        <is>
          <t>08:54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  <c r="N196" s="6" t="n">
        <v>2023</v>
      </c>
      <c r="O196" s="5" t="inlineStr">
        <is>
          <t>2023-05</t>
        </is>
      </c>
    </row>
    <row r="197">
      <c r="A197" s="2" t="inlineStr">
        <is>
          <t>Z002_01_052023_MATURIN.CSV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0023</t>
        </is>
      </c>
      <c r="H197" s="4" t="n">
        <v>45078</v>
      </c>
      <c r="I197" s="2" t="inlineStr">
        <is>
          <t>08:54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  <c r="N197" s="6" t="n">
        <v>2023</v>
      </c>
      <c r="O197" s="5" t="inlineStr">
        <is>
          <t>2023-05</t>
        </is>
      </c>
    </row>
    <row r="198">
      <c r="A198" s="2" t="inlineStr">
        <is>
          <t>Z002_01_052023_MATURIN.CSV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0023</t>
        </is>
      </c>
      <c r="H198" s="4" t="n">
        <v>45078</v>
      </c>
      <c r="I198" s="2" t="inlineStr">
        <is>
          <t>08:54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  <c r="N198" s="6" t="n">
        <v>2023</v>
      </c>
      <c r="O198" s="5" t="inlineStr">
        <is>
          <t>2023-05</t>
        </is>
      </c>
    </row>
    <row r="199">
      <c r="A199" s="2" t="inlineStr">
        <is>
          <t>Z002_01_052023_MATURIN.CSV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0023</t>
        </is>
      </c>
      <c r="H199" s="4" t="n">
        <v>45078</v>
      </c>
      <c r="I199" s="2" t="inlineStr">
        <is>
          <t>08:54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  <c r="N199" s="6" t="n">
        <v>2023</v>
      </c>
      <c r="O199" s="5" t="inlineStr">
        <is>
          <t>2023-05</t>
        </is>
      </c>
    </row>
    <row r="200">
      <c r="A200" s="2" t="inlineStr">
        <is>
          <t>Z002_01_052023_MATURIN.CSV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0023</t>
        </is>
      </c>
      <c r="H200" s="4" t="n">
        <v>45078</v>
      </c>
      <c r="I200" s="2" t="inlineStr">
        <is>
          <t>08:54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  <c r="N200" s="6" t="n">
        <v>2023</v>
      </c>
      <c r="O200" s="5" t="inlineStr">
        <is>
          <t>2023-05</t>
        </is>
      </c>
    </row>
    <row r="201">
      <c r="A201" s="2" t="inlineStr">
        <is>
          <t>Z002_01_052023_MATURIN.CSV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0023</t>
        </is>
      </c>
      <c r="H201" s="4" t="n">
        <v>45078</v>
      </c>
      <c r="I201" s="2" t="inlineStr">
        <is>
          <t>08:54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  <c r="N201" s="6" t="n">
        <v>2023</v>
      </c>
      <c r="O201" s="5" t="inlineStr">
        <is>
          <t>2023-05</t>
        </is>
      </c>
    </row>
    <row r="202">
      <c r="A202" s="2" t="inlineStr">
        <is>
          <t>Z002_01_062023_MATURIN.CSV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0001</t>
        </is>
      </c>
      <c r="K202" s="2" t="inlineStr">
        <is>
          <t>ESPECES</t>
        </is>
      </c>
      <c r="L202" s="5" t="n">
        <v>4</v>
      </c>
      <c r="M202" s="5" t="n">
        <v>1730.29</v>
      </c>
      <c r="N202" s="6" t="n">
        <v>2023</v>
      </c>
      <c r="O202" s="5" t="inlineStr">
        <is>
          <t>2023-06</t>
        </is>
      </c>
    </row>
    <row r="203">
      <c r="A203" s="2" t="inlineStr">
        <is>
          <t>Z002_01_062023_MATURIN.CSV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  <c r="N203" s="6" t="n">
        <v>2023</v>
      </c>
      <c r="O203" s="5" t="inlineStr">
        <is>
          <t>2023-06</t>
        </is>
      </c>
    </row>
    <row r="204">
      <c r="A204" s="2" t="inlineStr">
        <is>
          <t>Z002_01_062023_MATURIN.CSV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0003</t>
        </is>
      </c>
      <c r="K204" s="2" t="inlineStr">
        <is>
          <t>CARTES</t>
        </is>
      </c>
      <c r="L204" s="5" t="n">
        <v>22</v>
      </c>
      <c r="M204" s="5" t="n">
        <v>27185.98</v>
      </c>
      <c r="N204" s="6" t="n">
        <v>2023</v>
      </c>
      <c r="O204" s="5" t="inlineStr">
        <is>
          <t>2023-06</t>
        </is>
      </c>
    </row>
    <row r="205">
      <c r="A205" s="2" t="inlineStr">
        <is>
          <t>Z002_01_062023_MATURIN.CSV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  <c r="N205" s="6" t="n">
        <v>2023</v>
      </c>
      <c r="O205" s="5" t="inlineStr">
        <is>
          <t>2023-06</t>
        </is>
      </c>
    </row>
    <row r="206">
      <c r="A206" s="2" t="inlineStr">
        <is>
          <t>Z002_01_062023_MATURIN.CSV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  <c r="N206" s="6" t="n">
        <v>2023</v>
      </c>
      <c r="O206" s="5" t="inlineStr">
        <is>
          <t>2023-06</t>
        </is>
      </c>
    </row>
    <row r="207">
      <c r="A207" s="2" t="inlineStr">
        <is>
          <t>Z002_01_062023_MATURIN.CSV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0024</t>
        </is>
      </c>
      <c r="H207" s="4" t="n">
        <v>45108</v>
      </c>
      <c r="I207" s="2" t="inlineStr">
        <is>
          <t>13:35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  <c r="N207" s="6" t="n">
        <v>2023</v>
      </c>
      <c r="O207" s="5" t="inlineStr">
        <is>
          <t>2023-06</t>
        </is>
      </c>
    </row>
    <row r="208">
      <c r="A208" s="2" t="inlineStr">
        <is>
          <t>Z002_01_062023_MATURIN.CSV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0024</t>
        </is>
      </c>
      <c r="H208" s="4" t="n">
        <v>45108</v>
      </c>
      <c r="I208" s="2" t="inlineStr">
        <is>
          <t>13:35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  <c r="N208" s="6" t="n">
        <v>2023</v>
      </c>
      <c r="O208" s="5" t="inlineStr">
        <is>
          <t>2023-06</t>
        </is>
      </c>
    </row>
    <row r="209">
      <c r="A209" s="2" t="inlineStr">
        <is>
          <t>Z002_01_062023_MATURIN.CSV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0024</t>
        </is>
      </c>
      <c r="H209" s="4" t="n">
        <v>45108</v>
      </c>
      <c r="I209" s="2" t="inlineStr">
        <is>
          <t>13:35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  <c r="N209" s="6" t="n">
        <v>2023</v>
      </c>
      <c r="O209" s="5" t="inlineStr">
        <is>
          <t>2023-06</t>
        </is>
      </c>
    </row>
    <row r="210">
      <c r="A210" s="2" t="inlineStr">
        <is>
          <t>Z002_01_062023_MATURIN.CSV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0024</t>
        </is>
      </c>
      <c r="H210" s="4" t="n">
        <v>45108</v>
      </c>
      <c r="I210" s="2" t="inlineStr">
        <is>
          <t>13:35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  <c r="N210" s="6" t="n">
        <v>2023</v>
      </c>
      <c r="O210" s="5" t="inlineStr">
        <is>
          <t>2023-06</t>
        </is>
      </c>
    </row>
    <row r="211">
      <c r="A211" s="2" t="inlineStr">
        <is>
          <t>Z002_01_062023_MATURIN.CSV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0024</t>
        </is>
      </c>
      <c r="H211" s="4" t="n">
        <v>45108</v>
      </c>
      <c r="I211" s="2" t="inlineStr">
        <is>
          <t>13:35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  <c r="N211" s="6" t="n">
        <v>2023</v>
      </c>
      <c r="O211" s="5" t="inlineStr">
        <is>
          <t>2023-06</t>
        </is>
      </c>
    </row>
    <row r="212">
      <c r="A212" s="2" t="inlineStr">
        <is>
          <t>Z002_01_062023_MATURIN.CSV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0024</t>
        </is>
      </c>
      <c r="H212" s="4" t="n">
        <v>45108</v>
      </c>
      <c r="I212" s="2" t="inlineStr">
        <is>
          <t>13:35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  <c r="N212" s="6" t="n">
        <v>2023</v>
      </c>
      <c r="O212" s="5" t="inlineStr">
        <is>
          <t>2023-06</t>
        </is>
      </c>
    </row>
    <row r="213">
      <c r="A213" s="2" t="inlineStr">
        <is>
          <t>Z002_01_062023_MATURIN.CSV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0024</t>
        </is>
      </c>
      <c r="H213" s="4" t="n">
        <v>45108</v>
      </c>
      <c r="I213" s="2" t="inlineStr">
        <is>
          <t>13:35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  <c r="N213" s="6" t="n">
        <v>2023</v>
      </c>
      <c r="O213" s="5" t="inlineStr">
        <is>
          <t>2023-06</t>
        </is>
      </c>
    </row>
    <row r="214">
      <c r="A214" s="2" t="inlineStr">
        <is>
          <t>Z002_01_062023_MATURIN.CSV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0024</t>
        </is>
      </c>
      <c r="H214" s="4" t="n">
        <v>45108</v>
      </c>
      <c r="I214" s="2" t="inlineStr">
        <is>
          <t>13:35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  <c r="N214" s="6" t="n">
        <v>2023</v>
      </c>
      <c r="O214" s="5" t="inlineStr">
        <is>
          <t>2023-06</t>
        </is>
      </c>
    </row>
    <row r="215">
      <c r="A215" s="2" t="inlineStr">
        <is>
          <t>Z002_01_062023_MATURIN.CSV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0024</t>
        </is>
      </c>
      <c r="H215" s="4" t="n">
        <v>45108</v>
      </c>
      <c r="I215" s="2" t="inlineStr">
        <is>
          <t>13:35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  <c r="N215" s="6" t="n">
        <v>2023</v>
      </c>
      <c r="O215" s="5" t="inlineStr">
        <is>
          <t>2023-06</t>
        </is>
      </c>
    </row>
    <row r="216">
      <c r="A216" s="2" t="inlineStr">
        <is>
          <t>Z002_01_062023_MATURIN.CSV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0024</t>
        </is>
      </c>
      <c r="H216" s="4" t="n">
        <v>45108</v>
      </c>
      <c r="I216" s="2" t="inlineStr">
        <is>
          <t>13:35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  <c r="N216" s="6" t="n">
        <v>2023</v>
      </c>
      <c r="O216" s="5" t="inlineStr">
        <is>
          <t>2023-06</t>
        </is>
      </c>
    </row>
    <row r="217">
      <c r="A217" s="2" t="inlineStr">
        <is>
          <t>Z002_01_062023_MATURIN.CSV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0024</t>
        </is>
      </c>
      <c r="H217" s="4" t="n">
        <v>45108</v>
      </c>
      <c r="I217" s="2" t="inlineStr">
        <is>
          <t>13:35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  <c r="N217" s="6" t="n">
        <v>2023</v>
      </c>
      <c r="O217" s="5" t="inlineStr">
        <is>
          <t>2023-06</t>
        </is>
      </c>
    </row>
    <row r="218">
      <c r="A218" s="2" t="inlineStr">
        <is>
          <t>Z002_01_062023_MATURIN.CSV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0024</t>
        </is>
      </c>
      <c r="H218" s="4" t="n">
        <v>45108</v>
      </c>
      <c r="I218" s="2" t="inlineStr">
        <is>
          <t>13:35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  <c r="N218" s="6" t="n">
        <v>2023</v>
      </c>
      <c r="O218" s="5" t="inlineStr">
        <is>
          <t>2023-06</t>
        </is>
      </c>
    </row>
    <row r="219">
      <c r="A219" s="2" t="inlineStr">
        <is>
          <t>Z002_01_062023_MATURIN.CSV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0024</t>
        </is>
      </c>
      <c r="H219" s="4" t="n">
        <v>45108</v>
      </c>
      <c r="I219" s="2" t="inlineStr">
        <is>
          <t>13:35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  <c r="N219" s="6" t="n">
        <v>2023</v>
      </c>
      <c r="O219" s="5" t="inlineStr">
        <is>
          <t>2023-06</t>
        </is>
      </c>
    </row>
    <row r="220">
      <c r="A220" s="2" t="inlineStr">
        <is>
          <t>Z002_01_062023_MATURIN.CSV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0024</t>
        </is>
      </c>
      <c r="H220" s="4" t="n">
        <v>45108</v>
      </c>
      <c r="I220" s="2" t="inlineStr">
        <is>
          <t>13:35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  <c r="N220" s="6" t="n">
        <v>2023</v>
      </c>
      <c r="O220" s="5" t="inlineStr">
        <is>
          <t>2023-06</t>
        </is>
      </c>
    </row>
    <row r="221">
      <c r="A221" s="2" t="inlineStr">
        <is>
          <t>Z002_01_062023_MATURIN.CSV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0024</t>
        </is>
      </c>
      <c r="H221" s="4" t="n">
        <v>45108</v>
      </c>
      <c r="I221" s="2" t="inlineStr">
        <is>
          <t>13:35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  <c r="N221" s="6" t="n">
        <v>2023</v>
      </c>
      <c r="O221" s="5" t="inlineStr">
        <is>
          <t>2023-06</t>
        </is>
      </c>
    </row>
    <row r="222">
      <c r="A222" s="2" t="inlineStr">
        <is>
          <t>Z002_01_062023_MATURIN.CSV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0024</t>
        </is>
      </c>
      <c r="H222" s="4" t="n">
        <v>45108</v>
      </c>
      <c r="I222" s="2" t="inlineStr">
        <is>
          <t>13:35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  <c r="N222" s="6" t="n">
        <v>2023</v>
      </c>
      <c r="O222" s="5" t="inlineStr">
        <is>
          <t>2023-06</t>
        </is>
      </c>
    </row>
    <row r="223">
      <c r="A223" s="2" t="inlineStr">
        <is>
          <t>Z002_01_062023_MATURIN.CSV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0024</t>
        </is>
      </c>
      <c r="H223" s="4" t="n">
        <v>45108</v>
      </c>
      <c r="I223" s="2" t="inlineStr">
        <is>
          <t>13:35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  <c r="N223" s="6" t="n">
        <v>2023</v>
      </c>
      <c r="O223" s="5" t="inlineStr">
        <is>
          <t>2023-06</t>
        </is>
      </c>
    </row>
    <row r="224">
      <c r="A224" s="2" t="inlineStr">
        <is>
          <t>Z002_01_062023_MATURIN.CSV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0024</t>
        </is>
      </c>
      <c r="H224" s="4" t="n">
        <v>45108</v>
      </c>
      <c r="I224" s="2" t="inlineStr">
        <is>
          <t>13:35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  <c r="N224" s="6" t="n">
        <v>2023</v>
      </c>
      <c r="O224" s="5" t="inlineStr">
        <is>
          <t>2023-06</t>
        </is>
      </c>
    </row>
    <row r="225">
      <c r="A225" s="2" t="inlineStr">
        <is>
          <t>Z002_01_062023_MATURIN.CSV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0024</t>
        </is>
      </c>
      <c r="H225" s="4" t="n">
        <v>45108</v>
      </c>
      <c r="I225" s="2" t="inlineStr">
        <is>
          <t>13:35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  <c r="N225" s="6" t="n">
        <v>2023</v>
      </c>
      <c r="O225" s="5" t="inlineStr">
        <is>
          <t>2023-06</t>
        </is>
      </c>
    </row>
    <row r="226">
      <c r="A226" s="2" t="inlineStr">
        <is>
          <t>Z002_01_062023_MATURIN.CSV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0024</t>
        </is>
      </c>
      <c r="H226" s="4" t="n">
        <v>45108</v>
      </c>
      <c r="I226" s="2" t="inlineStr">
        <is>
          <t>13:35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  <c r="N226" s="6" t="n">
        <v>2023</v>
      </c>
      <c r="O226" s="5" t="inlineStr">
        <is>
          <t>2023-06</t>
        </is>
      </c>
    </row>
    <row r="227">
      <c r="A227" s="2" t="inlineStr">
        <is>
          <t>Z002_01_062023_MATURIN.CSV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0024</t>
        </is>
      </c>
      <c r="H227" s="4" t="n">
        <v>45108</v>
      </c>
      <c r="I227" s="2" t="inlineStr">
        <is>
          <t>13:35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  <c r="N227" s="6" t="n">
        <v>2023</v>
      </c>
      <c r="O227" s="5" t="inlineStr">
        <is>
          <t>2023-06</t>
        </is>
      </c>
    </row>
    <row r="228">
      <c r="A228" s="2" t="inlineStr">
        <is>
          <t>Z002_01_062023_MATURIN.CSV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0024</t>
        </is>
      </c>
      <c r="H228" s="4" t="n">
        <v>45108</v>
      </c>
      <c r="I228" s="2" t="inlineStr">
        <is>
          <t>13:35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  <c r="N228" s="6" t="n">
        <v>2023</v>
      </c>
      <c r="O228" s="5" t="inlineStr">
        <is>
          <t>2023-06</t>
        </is>
      </c>
    </row>
    <row r="229">
      <c r="A229" s="2" t="inlineStr">
        <is>
          <t>Z002_01_062023_MATURIN.CSV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0024</t>
        </is>
      </c>
      <c r="H229" s="4" t="n">
        <v>45108</v>
      </c>
      <c r="I229" s="2" t="inlineStr">
        <is>
          <t>13:35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  <c r="N229" s="6" t="n">
        <v>2023</v>
      </c>
      <c r="O229" s="5" t="inlineStr">
        <is>
          <t>2023-06</t>
        </is>
      </c>
    </row>
    <row r="230">
      <c r="A230" s="2" t="inlineStr">
        <is>
          <t>Z002_01_062023_MATURIN.CSV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0024</t>
        </is>
      </c>
      <c r="H230" s="4" t="n">
        <v>45108</v>
      </c>
      <c r="I230" s="2" t="inlineStr">
        <is>
          <t>13:35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  <c r="N230" s="6" t="n">
        <v>2023</v>
      </c>
      <c r="O230" s="5" t="inlineStr">
        <is>
          <t>2023-06</t>
        </is>
      </c>
    </row>
    <row r="231">
      <c r="A231" s="2" t="inlineStr">
        <is>
          <t>Z002_01_062023_MATURIN.CSV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0024</t>
        </is>
      </c>
      <c r="H231" s="4" t="n">
        <v>45108</v>
      </c>
      <c r="I231" s="2" t="inlineStr">
        <is>
          <t>13:35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  <c r="N231" s="6" t="n">
        <v>2023</v>
      </c>
      <c r="O231" s="5" t="inlineStr">
        <is>
          <t>2023-06</t>
        </is>
      </c>
    </row>
    <row r="232">
      <c r="A232" s="2" t="inlineStr">
        <is>
          <t>Z002_01_062023_MATURIN.CSV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0024</t>
        </is>
      </c>
      <c r="H232" s="4" t="n">
        <v>45108</v>
      </c>
      <c r="I232" s="2" t="inlineStr">
        <is>
          <t>13:35</t>
        </is>
      </c>
      <c r="J232" s="3" t="inlineStr">
        <is>
          <t>0031</t>
        </is>
      </c>
      <c r="K232" s="2" t="inlineStr">
        <is>
          <t>REF./TIROIR</t>
        </is>
      </c>
      <c r="L232" s="5" t="n">
        <v>5</v>
      </c>
      <c r="M232" s="5" t="n">
        <v>0</v>
      </c>
      <c r="N232" s="6" t="n">
        <v>2023</v>
      </c>
      <c r="O232" s="5" t="inlineStr">
        <is>
          <t>2023-06</t>
        </is>
      </c>
    </row>
    <row r="233">
      <c r="A233" s="2" t="inlineStr">
        <is>
          <t>Z002_01_062023_MATURIN.CSV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0024</t>
        </is>
      </c>
      <c r="H233" s="4" t="n">
        <v>45108</v>
      </c>
      <c r="I233" s="2" t="inlineStr">
        <is>
          <t>13:35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  <c r="N233" s="6" t="n">
        <v>2023</v>
      </c>
      <c r="O233" s="5" t="inlineStr">
        <is>
          <t>2023-06</t>
        </is>
      </c>
    </row>
    <row r="234">
      <c r="A234" s="2" t="inlineStr">
        <is>
          <t>Z002_01_062023_MATURIN.CSV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0024</t>
        </is>
      </c>
      <c r="H234" s="4" t="n">
        <v>45108</v>
      </c>
      <c r="I234" s="2" t="inlineStr">
        <is>
          <t>13:35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  <c r="N234" s="6" t="n">
        <v>2023</v>
      </c>
      <c r="O234" s="5" t="inlineStr">
        <is>
          <t>2023-06</t>
        </is>
      </c>
    </row>
    <row r="235">
      <c r="A235" s="2" t="inlineStr">
        <is>
          <t>Z002_01_062023_MATURIN.CSV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0024</t>
        </is>
      </c>
      <c r="H235" s="4" t="n">
        <v>45108</v>
      </c>
      <c r="I235" s="2" t="inlineStr">
        <is>
          <t>13:35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  <c r="N235" s="6" t="n">
        <v>2023</v>
      </c>
      <c r="O235" s="5" t="inlineStr">
        <is>
          <t>2023-06</t>
        </is>
      </c>
    </row>
    <row r="236">
      <c r="A236" s="2" t="inlineStr">
        <is>
          <t>Z002_01_062023_MATURIN.CSV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0024</t>
        </is>
      </c>
      <c r="H236" s="4" t="n">
        <v>45108</v>
      </c>
      <c r="I236" s="2" t="inlineStr">
        <is>
          <t>13:35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  <c r="N236" s="6" t="n">
        <v>2023</v>
      </c>
      <c r="O236" s="5" t="inlineStr">
        <is>
          <t>2023-06</t>
        </is>
      </c>
    </row>
    <row r="237">
      <c r="A237" s="2" t="inlineStr">
        <is>
          <t>Z002_01_062023_MATURIN.CSV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0024</t>
        </is>
      </c>
      <c r="H237" s="4" t="n">
        <v>45108</v>
      </c>
      <c r="I237" s="2" t="inlineStr">
        <is>
          <t>13:35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  <c r="N237" s="6" t="n">
        <v>2023</v>
      </c>
      <c r="O237" s="5" t="inlineStr">
        <is>
          <t>2023-06</t>
        </is>
      </c>
    </row>
    <row r="238">
      <c r="A238" s="2" t="inlineStr">
        <is>
          <t>Z002_01_062023_MATURIN.CSV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0024</t>
        </is>
      </c>
      <c r="H238" s="4" t="n">
        <v>45108</v>
      </c>
      <c r="I238" s="2" t="inlineStr">
        <is>
          <t>13:35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  <c r="N238" s="6" t="n">
        <v>2023</v>
      </c>
      <c r="O238" s="5" t="inlineStr">
        <is>
          <t>2023-06</t>
        </is>
      </c>
    </row>
    <row r="239">
      <c r="A239" s="2" t="inlineStr">
        <is>
          <t>Z002_01_062023_MATURIN.CSV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0024</t>
        </is>
      </c>
      <c r="H239" s="4" t="n">
        <v>45108</v>
      </c>
      <c r="I239" s="2" t="inlineStr">
        <is>
          <t>13:35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  <c r="N239" s="6" t="n">
        <v>2023</v>
      </c>
      <c r="O239" s="5" t="inlineStr">
        <is>
          <t>2023-06</t>
        </is>
      </c>
    </row>
    <row r="240">
      <c r="A240" s="2" t="inlineStr">
        <is>
          <t>Z002_01_062023_MATURIN.CSV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0024</t>
        </is>
      </c>
      <c r="H240" s="4" t="n">
        <v>45108</v>
      </c>
      <c r="I240" s="2" t="inlineStr">
        <is>
          <t>13:35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  <c r="N240" s="6" t="n">
        <v>2023</v>
      </c>
      <c r="O240" s="5" t="inlineStr">
        <is>
          <t>2023-06</t>
        </is>
      </c>
    </row>
    <row r="241">
      <c r="A241" s="2" t="inlineStr">
        <is>
          <t>Z002_01_062023_MATURIN.CSV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0024</t>
        </is>
      </c>
      <c r="H241" s="4" t="n">
        <v>45108</v>
      </c>
      <c r="I241" s="2" t="inlineStr">
        <is>
          <t>13:35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  <c r="N241" s="6" t="n">
        <v>2023</v>
      </c>
      <c r="O241" s="5" t="inlineStr">
        <is>
          <t>2023-06</t>
        </is>
      </c>
    </row>
    <row r="242">
      <c r="A242" s="2" t="inlineStr">
        <is>
          <t>Z002_01_062023_MATURIN.CSV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0024</t>
        </is>
      </c>
      <c r="H242" s="4" t="n">
        <v>45108</v>
      </c>
      <c r="I242" s="2" t="inlineStr">
        <is>
          <t>13:35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  <c r="N242" s="6" t="n">
        <v>2023</v>
      </c>
      <c r="O242" s="5" t="inlineStr">
        <is>
          <t>2023-06</t>
        </is>
      </c>
    </row>
    <row r="243">
      <c r="A243" s="2" t="inlineStr">
        <is>
          <t>Z002_01_062023_MATURIN.CSV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0024</t>
        </is>
      </c>
      <c r="H243" s="4" t="n">
        <v>45108</v>
      </c>
      <c r="I243" s="2" t="inlineStr">
        <is>
          <t>13:35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  <c r="N243" s="6" t="n">
        <v>2023</v>
      </c>
      <c r="O243" s="5" t="inlineStr">
        <is>
          <t>2023-06</t>
        </is>
      </c>
    </row>
    <row r="244">
      <c r="A244" s="2" t="inlineStr">
        <is>
          <t>Z002_01_062023_MATURIN.CSV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0024</t>
        </is>
      </c>
      <c r="H244" s="4" t="n">
        <v>45108</v>
      </c>
      <c r="I244" s="2" t="inlineStr">
        <is>
          <t>13:35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  <c r="N244" s="6" t="n">
        <v>2023</v>
      </c>
      <c r="O244" s="5" t="inlineStr">
        <is>
          <t>2023-06</t>
        </is>
      </c>
    </row>
    <row r="245">
      <c r="A245" s="2" t="inlineStr">
        <is>
          <t>Z002_01_062023_MATURIN.CSV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0024</t>
        </is>
      </c>
      <c r="H245" s="4" t="n">
        <v>45108</v>
      </c>
      <c r="I245" s="2" t="inlineStr">
        <is>
          <t>13:35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  <c r="N245" s="6" t="n">
        <v>2023</v>
      </c>
      <c r="O245" s="5" t="inlineStr">
        <is>
          <t>2023-06</t>
        </is>
      </c>
    </row>
    <row r="246">
      <c r="A246" s="2" t="inlineStr">
        <is>
          <t>Z002_01_062023_MATURIN.CSV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0024</t>
        </is>
      </c>
      <c r="H246" s="4" t="n">
        <v>45108</v>
      </c>
      <c r="I246" s="2" t="inlineStr">
        <is>
          <t>13:35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  <c r="N246" s="6" t="n">
        <v>2023</v>
      </c>
      <c r="O246" s="5" t="inlineStr">
        <is>
          <t>2023-06</t>
        </is>
      </c>
    </row>
    <row r="247">
      <c r="A247" s="2" t="inlineStr">
        <is>
          <t>Z002_01_062023_MATURIN.CSV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0024</t>
        </is>
      </c>
      <c r="H247" s="4" t="n">
        <v>45108</v>
      </c>
      <c r="I247" s="2" t="inlineStr">
        <is>
          <t>13:35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  <c r="N247" s="6" t="n">
        <v>2023</v>
      </c>
      <c r="O247" s="5" t="inlineStr">
        <is>
          <t>2023-06</t>
        </is>
      </c>
    </row>
    <row r="248">
      <c r="A248" s="2" t="inlineStr">
        <is>
          <t>Z002_01_062023_MATURIN.CSV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0024</t>
        </is>
      </c>
      <c r="H248" s="4" t="n">
        <v>45108</v>
      </c>
      <c r="I248" s="2" t="inlineStr">
        <is>
          <t>13:35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  <c r="N248" s="6" t="n">
        <v>2023</v>
      </c>
      <c r="O248" s="5" t="inlineStr">
        <is>
          <t>2023-06</t>
        </is>
      </c>
    </row>
    <row r="249">
      <c r="A249" s="2" t="inlineStr">
        <is>
          <t>Z002_01_062023_MATURIN.CSV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0024</t>
        </is>
      </c>
      <c r="H249" s="4" t="n">
        <v>45108</v>
      </c>
      <c r="I249" s="2" t="inlineStr">
        <is>
          <t>13:35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  <c r="N249" s="6" t="n">
        <v>2023</v>
      </c>
      <c r="O249" s="5" t="inlineStr">
        <is>
          <t>2023-06</t>
        </is>
      </c>
    </row>
    <row r="250">
      <c r="A250" s="2" t="inlineStr">
        <is>
          <t>Z002_01_062023_MATURIN.CSV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0024</t>
        </is>
      </c>
      <c r="H250" s="4" t="n">
        <v>45108</v>
      </c>
      <c r="I250" s="2" t="inlineStr">
        <is>
          <t>13:35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  <c r="N250" s="6" t="n">
        <v>2023</v>
      </c>
      <c r="O250" s="5" t="inlineStr">
        <is>
          <t>2023-06</t>
        </is>
      </c>
    </row>
    <row r="251">
      <c r="A251" s="2" t="inlineStr">
        <is>
          <t>Z002_01_062023_MATURIN.CSV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0024</t>
        </is>
      </c>
      <c r="H251" s="4" t="n">
        <v>45108</v>
      </c>
      <c r="I251" s="2" t="inlineStr">
        <is>
          <t>13:35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  <c r="N251" s="6" t="n">
        <v>2023</v>
      </c>
      <c r="O251" s="5" t="inlineStr">
        <is>
          <t>2023-06</t>
        </is>
      </c>
    </row>
    <row r="252">
      <c r="A252" s="2" t="inlineStr">
        <is>
          <t>Z002_01_072023_MATURIN.CSV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0025</t>
        </is>
      </c>
      <c r="H252" s="4" t="n">
        <v>45139</v>
      </c>
      <c r="I252" s="2" t="inlineStr">
        <is>
          <t>09:14</t>
        </is>
      </c>
      <c r="J252" s="3" t="inlineStr">
        <is>
          <t>0001</t>
        </is>
      </c>
      <c r="K252" s="2" t="inlineStr">
        <is>
          <t>ESPECES</t>
        </is>
      </c>
      <c r="L252" s="5" t="n">
        <v>4</v>
      </c>
      <c r="M252" s="5" t="n">
        <v>1705</v>
      </c>
      <c r="N252" s="6" t="n">
        <v>2023</v>
      </c>
      <c r="O252" s="5" t="inlineStr">
        <is>
          <t>2023-07</t>
        </is>
      </c>
    </row>
    <row r="253">
      <c r="A253" s="2" t="inlineStr">
        <is>
          <t>Z002_01_072023_MATURIN.CSV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0025</t>
        </is>
      </c>
      <c r="H253" s="4" t="n">
        <v>45139</v>
      </c>
      <c r="I253" s="2" t="inlineStr">
        <is>
          <t>09:14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  <c r="N253" s="6" t="n">
        <v>2023</v>
      </c>
      <c r="O253" s="5" t="inlineStr">
        <is>
          <t>2023-07</t>
        </is>
      </c>
    </row>
    <row r="254">
      <c r="A254" s="2" t="inlineStr">
        <is>
          <t>Z002_01_072023_MATURIN.CSV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0025</t>
        </is>
      </c>
      <c r="H254" s="4" t="n">
        <v>45139</v>
      </c>
      <c r="I254" s="2" t="inlineStr">
        <is>
          <t>09:14</t>
        </is>
      </c>
      <c r="J254" s="3" t="inlineStr">
        <is>
          <t>0003</t>
        </is>
      </c>
      <c r="K254" s="2" t="inlineStr">
        <is>
          <t>CARTES</t>
        </is>
      </c>
      <c r="L254" s="5" t="n">
        <v>37</v>
      </c>
      <c r="M254" s="5" t="n">
        <v>29413</v>
      </c>
      <c r="N254" s="6" t="n">
        <v>2023</v>
      </c>
      <c r="O254" s="5" t="inlineStr">
        <is>
          <t>2023-07</t>
        </is>
      </c>
    </row>
    <row r="255">
      <c r="A255" s="2" t="inlineStr">
        <is>
          <t>Z002_01_072023_MATURIN.CSV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0025</t>
        </is>
      </c>
      <c r="H255" s="4" t="n">
        <v>45139</v>
      </c>
      <c r="I255" s="2" t="inlineStr">
        <is>
          <t>09:14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  <c r="N255" s="6" t="n">
        <v>2023</v>
      </c>
      <c r="O255" s="5" t="inlineStr">
        <is>
          <t>2023-07</t>
        </is>
      </c>
    </row>
    <row r="256">
      <c r="A256" s="2" t="inlineStr">
        <is>
          <t>Z002_01_072023_MATURIN.CSV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0025</t>
        </is>
      </c>
      <c r="H256" s="4" t="n">
        <v>45139</v>
      </c>
      <c r="I256" s="2" t="inlineStr">
        <is>
          <t>09:14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  <c r="N256" s="6" t="n">
        <v>2023</v>
      </c>
      <c r="O256" s="5" t="inlineStr">
        <is>
          <t>2023-07</t>
        </is>
      </c>
    </row>
    <row r="257">
      <c r="A257" s="2" t="inlineStr">
        <is>
          <t>Z002_01_072023_MATURIN.CSV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0025</t>
        </is>
      </c>
      <c r="H257" s="4" t="n">
        <v>45139</v>
      </c>
      <c r="I257" s="2" t="inlineStr">
        <is>
          <t>09:14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  <c r="N257" s="6" t="n">
        <v>2023</v>
      </c>
      <c r="O257" s="5" t="inlineStr">
        <is>
          <t>2023-07</t>
        </is>
      </c>
    </row>
    <row r="258">
      <c r="A258" s="2" t="inlineStr">
        <is>
          <t>Z002_01_072023_MATURIN.CSV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0025</t>
        </is>
      </c>
      <c r="H258" s="4" t="n">
        <v>45139</v>
      </c>
      <c r="I258" s="2" t="inlineStr">
        <is>
          <t>09:14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  <c r="N258" s="6" t="n">
        <v>2023</v>
      </c>
      <c r="O258" s="5" t="inlineStr">
        <is>
          <t>2023-07</t>
        </is>
      </c>
    </row>
    <row r="259">
      <c r="A259" s="2" t="inlineStr">
        <is>
          <t>Z002_01_072023_MATURIN.CSV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0025</t>
        </is>
      </c>
      <c r="H259" s="4" t="n">
        <v>45139</v>
      </c>
      <c r="I259" s="2" t="inlineStr">
        <is>
          <t>09:14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  <c r="N259" s="6" t="n">
        <v>2023</v>
      </c>
      <c r="O259" s="5" t="inlineStr">
        <is>
          <t>2023-07</t>
        </is>
      </c>
    </row>
    <row r="260">
      <c r="A260" s="2" t="inlineStr">
        <is>
          <t>Z002_01_072023_MATURIN.CSV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0025</t>
        </is>
      </c>
      <c r="H260" s="4" t="n">
        <v>45139</v>
      </c>
      <c r="I260" s="2" t="inlineStr">
        <is>
          <t>09:14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  <c r="N260" s="6" t="n">
        <v>2023</v>
      </c>
      <c r="O260" s="5" t="inlineStr">
        <is>
          <t>2023-07</t>
        </is>
      </c>
    </row>
    <row r="261">
      <c r="A261" s="2" t="inlineStr">
        <is>
          <t>Z002_01_072023_MATURIN.CSV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0025</t>
        </is>
      </c>
      <c r="H261" s="4" t="n">
        <v>45139</v>
      </c>
      <c r="I261" s="2" t="inlineStr">
        <is>
          <t>09:14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  <c r="N261" s="6" t="n">
        <v>2023</v>
      </c>
      <c r="O261" s="5" t="inlineStr">
        <is>
          <t>2023-07</t>
        </is>
      </c>
    </row>
    <row r="262">
      <c r="A262" s="2" t="inlineStr">
        <is>
          <t>Z002_01_072023_MATURIN.CSV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0025</t>
        </is>
      </c>
      <c r="H262" s="4" t="n">
        <v>45139</v>
      </c>
      <c r="I262" s="2" t="inlineStr">
        <is>
          <t>09:14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  <c r="N262" s="6" t="n">
        <v>2023</v>
      </c>
      <c r="O262" s="5" t="inlineStr">
        <is>
          <t>2023-07</t>
        </is>
      </c>
    </row>
    <row r="263">
      <c r="A263" s="2" t="inlineStr">
        <is>
          <t>Z002_01_072023_MATURIN.CSV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0025</t>
        </is>
      </c>
      <c r="H263" s="4" t="n">
        <v>45139</v>
      </c>
      <c r="I263" s="2" t="inlineStr">
        <is>
          <t>09:14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  <c r="N263" s="6" t="n">
        <v>2023</v>
      </c>
      <c r="O263" s="5" t="inlineStr">
        <is>
          <t>2023-07</t>
        </is>
      </c>
    </row>
    <row r="264">
      <c r="A264" s="2" t="inlineStr">
        <is>
          <t>Z002_01_072023_MATURIN.CSV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0025</t>
        </is>
      </c>
      <c r="H264" s="4" t="n">
        <v>45139</v>
      </c>
      <c r="I264" s="2" t="inlineStr">
        <is>
          <t>09:14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  <c r="N264" s="6" t="n">
        <v>2023</v>
      </c>
      <c r="O264" s="5" t="inlineStr">
        <is>
          <t>2023-07</t>
        </is>
      </c>
    </row>
    <row r="265">
      <c r="A265" s="2" t="inlineStr">
        <is>
          <t>Z002_01_072023_MATURIN.CSV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0025</t>
        </is>
      </c>
      <c r="H265" s="4" t="n">
        <v>45139</v>
      </c>
      <c r="I265" s="2" t="inlineStr">
        <is>
          <t>09:14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  <c r="N265" s="6" t="n">
        <v>2023</v>
      </c>
      <c r="O265" s="5" t="inlineStr">
        <is>
          <t>2023-07</t>
        </is>
      </c>
    </row>
    <row r="266">
      <c r="A266" s="2" t="inlineStr">
        <is>
          <t>Z002_01_072023_MATURIN.CSV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0025</t>
        </is>
      </c>
      <c r="H266" s="4" t="n">
        <v>45139</v>
      </c>
      <c r="I266" s="2" t="inlineStr">
        <is>
          <t>09:14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  <c r="N266" s="6" t="n">
        <v>2023</v>
      </c>
      <c r="O266" s="5" t="inlineStr">
        <is>
          <t>2023-07</t>
        </is>
      </c>
    </row>
    <row r="267">
      <c r="A267" s="2" t="inlineStr">
        <is>
          <t>Z002_01_072023_MATURIN.CSV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0025</t>
        </is>
      </c>
      <c r="H267" s="4" t="n">
        <v>45139</v>
      </c>
      <c r="I267" s="2" t="inlineStr">
        <is>
          <t>09:14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  <c r="N267" s="6" t="n">
        <v>2023</v>
      </c>
      <c r="O267" s="5" t="inlineStr">
        <is>
          <t>2023-07</t>
        </is>
      </c>
    </row>
    <row r="268">
      <c r="A268" s="2" t="inlineStr">
        <is>
          <t>Z002_01_072023_MATURIN.CSV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0025</t>
        </is>
      </c>
      <c r="H268" s="4" t="n">
        <v>45139</v>
      </c>
      <c r="I268" s="2" t="inlineStr">
        <is>
          <t>09:14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  <c r="N268" s="6" t="n">
        <v>2023</v>
      </c>
      <c r="O268" s="5" t="inlineStr">
        <is>
          <t>2023-07</t>
        </is>
      </c>
    </row>
    <row r="269">
      <c r="A269" s="2" t="inlineStr">
        <is>
          <t>Z002_01_072023_MATURIN.CSV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0025</t>
        </is>
      </c>
      <c r="H269" s="4" t="n">
        <v>45139</v>
      </c>
      <c r="I269" s="2" t="inlineStr">
        <is>
          <t>09:14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  <c r="N269" s="6" t="n">
        <v>2023</v>
      </c>
      <c r="O269" s="5" t="inlineStr">
        <is>
          <t>2023-07</t>
        </is>
      </c>
    </row>
    <row r="270">
      <c r="A270" s="2" t="inlineStr">
        <is>
          <t>Z002_01_072023_MATURIN.CSV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0025</t>
        </is>
      </c>
      <c r="H270" s="4" t="n">
        <v>45139</v>
      </c>
      <c r="I270" s="2" t="inlineStr">
        <is>
          <t>09:14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  <c r="N270" s="6" t="n">
        <v>2023</v>
      </c>
      <c r="O270" s="5" t="inlineStr">
        <is>
          <t>2023-07</t>
        </is>
      </c>
    </row>
    <row r="271">
      <c r="A271" s="2" t="inlineStr">
        <is>
          <t>Z002_01_072023_MATURIN.CSV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0025</t>
        </is>
      </c>
      <c r="H271" s="4" t="n">
        <v>45139</v>
      </c>
      <c r="I271" s="2" t="inlineStr">
        <is>
          <t>09:14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  <c r="N271" s="6" t="n">
        <v>2023</v>
      </c>
      <c r="O271" s="5" t="inlineStr">
        <is>
          <t>2023-07</t>
        </is>
      </c>
    </row>
    <row r="272">
      <c r="A272" s="2" t="inlineStr">
        <is>
          <t>Z002_01_072023_MATURIN.CSV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0025</t>
        </is>
      </c>
      <c r="H272" s="4" t="n">
        <v>45139</v>
      </c>
      <c r="I272" s="2" t="inlineStr">
        <is>
          <t>09:14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  <c r="N272" s="6" t="n">
        <v>2023</v>
      </c>
      <c r="O272" s="5" t="inlineStr">
        <is>
          <t>2023-07</t>
        </is>
      </c>
    </row>
    <row r="273">
      <c r="A273" s="2" t="inlineStr">
        <is>
          <t>Z002_01_072023_MATURIN.CSV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0025</t>
        </is>
      </c>
      <c r="H273" s="4" t="n">
        <v>45139</v>
      </c>
      <c r="I273" s="2" t="inlineStr">
        <is>
          <t>09:14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  <c r="N273" s="6" t="n">
        <v>2023</v>
      </c>
      <c r="O273" s="5" t="inlineStr">
        <is>
          <t>2023-07</t>
        </is>
      </c>
    </row>
    <row r="274">
      <c r="A274" s="2" t="inlineStr">
        <is>
          <t>Z002_01_072023_MATURIN.CSV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0025</t>
        </is>
      </c>
      <c r="H274" s="4" t="n">
        <v>45139</v>
      </c>
      <c r="I274" s="2" t="inlineStr">
        <is>
          <t>09:14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  <c r="N274" s="6" t="n">
        <v>2023</v>
      </c>
      <c r="O274" s="5" t="inlineStr">
        <is>
          <t>2023-07</t>
        </is>
      </c>
    </row>
    <row r="275">
      <c r="A275" s="2" t="inlineStr">
        <is>
          <t>Z002_01_072023_MATURIN.CSV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0025</t>
        </is>
      </c>
      <c r="H275" s="4" t="n">
        <v>45139</v>
      </c>
      <c r="I275" s="2" t="inlineStr">
        <is>
          <t>09:14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  <c r="N275" s="6" t="n">
        <v>2023</v>
      </c>
      <c r="O275" s="5" t="inlineStr">
        <is>
          <t>2023-07</t>
        </is>
      </c>
    </row>
    <row r="276">
      <c r="A276" s="2" t="inlineStr">
        <is>
          <t>Z002_01_072023_MATURIN.CSV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0025</t>
        </is>
      </c>
      <c r="H276" s="4" t="n">
        <v>45139</v>
      </c>
      <c r="I276" s="2" t="inlineStr">
        <is>
          <t>09:14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  <c r="N276" s="6" t="n">
        <v>2023</v>
      </c>
      <c r="O276" s="5" t="inlineStr">
        <is>
          <t>2023-07</t>
        </is>
      </c>
    </row>
    <row r="277">
      <c r="A277" s="2" t="inlineStr">
        <is>
          <t>Z002_01_072023_MATURIN.CSV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0025</t>
        </is>
      </c>
      <c r="H277" s="4" t="n">
        <v>45139</v>
      </c>
      <c r="I277" s="2" t="inlineStr">
        <is>
          <t>09:14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  <c r="N277" s="6" t="n">
        <v>2023</v>
      </c>
      <c r="O277" s="5" t="inlineStr">
        <is>
          <t>2023-07</t>
        </is>
      </c>
    </row>
    <row r="278">
      <c r="A278" s="2" t="inlineStr">
        <is>
          <t>Z002_01_072023_MATURIN.CSV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0025</t>
        </is>
      </c>
      <c r="H278" s="4" t="n">
        <v>45139</v>
      </c>
      <c r="I278" s="2" t="inlineStr">
        <is>
          <t>09:14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  <c r="N278" s="6" t="n">
        <v>2023</v>
      </c>
      <c r="O278" s="5" t="inlineStr">
        <is>
          <t>2023-07</t>
        </is>
      </c>
    </row>
    <row r="279">
      <c r="A279" s="2" t="inlineStr">
        <is>
          <t>Z002_01_072023_MATURIN.CSV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0025</t>
        </is>
      </c>
      <c r="H279" s="4" t="n">
        <v>45139</v>
      </c>
      <c r="I279" s="2" t="inlineStr">
        <is>
          <t>09:14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  <c r="N279" s="6" t="n">
        <v>2023</v>
      </c>
      <c r="O279" s="5" t="inlineStr">
        <is>
          <t>2023-07</t>
        </is>
      </c>
    </row>
    <row r="280">
      <c r="A280" s="2" t="inlineStr">
        <is>
          <t>Z002_01_072023_MATURIN.CSV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0025</t>
        </is>
      </c>
      <c r="H280" s="4" t="n">
        <v>45139</v>
      </c>
      <c r="I280" s="2" t="inlineStr">
        <is>
          <t>09:14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  <c r="N280" s="6" t="n">
        <v>2023</v>
      </c>
      <c r="O280" s="5" t="inlineStr">
        <is>
          <t>2023-07</t>
        </is>
      </c>
    </row>
    <row r="281">
      <c r="A281" s="2" t="inlineStr">
        <is>
          <t>Z002_01_072023_MATURIN.CSV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0025</t>
        </is>
      </c>
      <c r="H281" s="4" t="n">
        <v>45139</v>
      </c>
      <c r="I281" s="2" t="inlineStr">
        <is>
          <t>09:14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  <c r="N281" s="6" t="n">
        <v>2023</v>
      </c>
      <c r="O281" s="5" t="inlineStr">
        <is>
          <t>2023-07</t>
        </is>
      </c>
    </row>
    <row r="282">
      <c r="A282" s="2" t="inlineStr">
        <is>
          <t>Z002_01_072023_MATURIN.CSV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0025</t>
        </is>
      </c>
      <c r="H282" s="4" t="n">
        <v>45139</v>
      </c>
      <c r="I282" s="2" t="inlineStr">
        <is>
          <t>09:14</t>
        </is>
      </c>
      <c r="J282" s="3" t="inlineStr">
        <is>
          <t>0031</t>
        </is>
      </c>
      <c r="K282" s="2" t="inlineStr">
        <is>
          <t>REF./TIROIR</t>
        </is>
      </c>
      <c r="L282" s="5" t="n">
        <v>17</v>
      </c>
      <c r="M282" s="5" t="n">
        <v>0</v>
      </c>
      <c r="N282" s="6" t="n">
        <v>2023</v>
      </c>
      <c r="O282" s="5" t="inlineStr">
        <is>
          <t>2023-07</t>
        </is>
      </c>
    </row>
    <row r="283">
      <c r="A283" s="2" t="inlineStr">
        <is>
          <t>Z002_01_072023_MATURIN.CSV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0025</t>
        </is>
      </c>
      <c r="H283" s="4" t="n">
        <v>45139</v>
      </c>
      <c r="I283" s="2" t="inlineStr">
        <is>
          <t>09:14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  <c r="N283" s="6" t="n">
        <v>2023</v>
      </c>
      <c r="O283" s="5" t="inlineStr">
        <is>
          <t>2023-07</t>
        </is>
      </c>
    </row>
    <row r="284">
      <c r="A284" s="2" t="inlineStr">
        <is>
          <t>Z002_01_072023_MATURIN.CSV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0025</t>
        </is>
      </c>
      <c r="H284" s="4" t="n">
        <v>45139</v>
      </c>
      <c r="I284" s="2" t="inlineStr">
        <is>
          <t>09:14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  <c r="N284" s="6" t="n">
        <v>2023</v>
      </c>
      <c r="O284" s="5" t="inlineStr">
        <is>
          <t>2023-07</t>
        </is>
      </c>
    </row>
    <row r="285">
      <c r="A285" s="2" t="inlineStr">
        <is>
          <t>Z002_01_072023_MATURIN.CSV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0025</t>
        </is>
      </c>
      <c r="H285" s="4" t="n">
        <v>45139</v>
      </c>
      <c r="I285" s="2" t="inlineStr">
        <is>
          <t>09:14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  <c r="N285" s="6" t="n">
        <v>2023</v>
      </c>
      <c r="O285" s="5" t="inlineStr">
        <is>
          <t>2023-07</t>
        </is>
      </c>
    </row>
    <row r="286">
      <c r="A286" s="2" t="inlineStr">
        <is>
          <t>Z002_01_072023_MATURIN.CSV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0025</t>
        </is>
      </c>
      <c r="H286" s="4" t="n">
        <v>45139</v>
      </c>
      <c r="I286" s="2" t="inlineStr">
        <is>
          <t>09:14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  <c r="N286" s="6" t="n">
        <v>2023</v>
      </c>
      <c r="O286" s="5" t="inlineStr">
        <is>
          <t>2023-07</t>
        </is>
      </c>
    </row>
    <row r="287">
      <c r="A287" s="2" t="inlineStr">
        <is>
          <t>Z002_01_072023_MATURIN.CSV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0025</t>
        </is>
      </c>
      <c r="H287" s="4" t="n">
        <v>45139</v>
      </c>
      <c r="I287" s="2" t="inlineStr">
        <is>
          <t>09:14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  <c r="N287" s="6" t="n">
        <v>2023</v>
      </c>
      <c r="O287" s="5" t="inlineStr">
        <is>
          <t>2023-07</t>
        </is>
      </c>
    </row>
    <row r="288">
      <c r="A288" s="2" t="inlineStr">
        <is>
          <t>Z002_01_072023_MATURIN.CSV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0025</t>
        </is>
      </c>
      <c r="H288" s="4" t="n">
        <v>45139</v>
      </c>
      <c r="I288" s="2" t="inlineStr">
        <is>
          <t>09:14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  <c r="N288" s="6" t="n">
        <v>2023</v>
      </c>
      <c r="O288" s="5" t="inlineStr">
        <is>
          <t>2023-07</t>
        </is>
      </c>
    </row>
    <row r="289">
      <c r="A289" s="2" t="inlineStr">
        <is>
          <t>Z002_01_072023_MATURIN.CSV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0025</t>
        </is>
      </c>
      <c r="H289" s="4" t="n">
        <v>45139</v>
      </c>
      <c r="I289" s="2" t="inlineStr">
        <is>
          <t>09:14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  <c r="N289" s="6" t="n">
        <v>2023</v>
      </c>
      <c r="O289" s="5" t="inlineStr">
        <is>
          <t>2023-07</t>
        </is>
      </c>
    </row>
    <row r="290">
      <c r="A290" s="2" t="inlineStr">
        <is>
          <t>Z002_01_072023_MATURIN.CSV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0025</t>
        </is>
      </c>
      <c r="H290" s="4" t="n">
        <v>45139</v>
      </c>
      <c r="I290" s="2" t="inlineStr">
        <is>
          <t>09:14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  <c r="N290" s="6" t="n">
        <v>2023</v>
      </c>
      <c r="O290" s="5" t="inlineStr">
        <is>
          <t>2023-07</t>
        </is>
      </c>
    </row>
    <row r="291">
      <c r="A291" s="2" t="inlineStr">
        <is>
          <t>Z002_01_072023_MATURIN.CSV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0025</t>
        </is>
      </c>
      <c r="H291" s="4" t="n">
        <v>45139</v>
      </c>
      <c r="I291" s="2" t="inlineStr">
        <is>
          <t>09:14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  <c r="N291" s="6" t="n">
        <v>2023</v>
      </c>
      <c r="O291" s="5" t="inlineStr">
        <is>
          <t>2023-07</t>
        </is>
      </c>
    </row>
    <row r="292">
      <c r="A292" s="2" t="inlineStr">
        <is>
          <t>Z002_01_072023_MATURIN.CSV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0025</t>
        </is>
      </c>
      <c r="H292" s="4" t="n">
        <v>45139</v>
      </c>
      <c r="I292" s="2" t="inlineStr">
        <is>
          <t>09:14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  <c r="N292" s="6" t="n">
        <v>2023</v>
      </c>
      <c r="O292" s="5" t="inlineStr">
        <is>
          <t>2023-07</t>
        </is>
      </c>
    </row>
    <row r="293">
      <c r="A293" s="2" t="inlineStr">
        <is>
          <t>Z002_01_072023_MATURIN.CSV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0025</t>
        </is>
      </c>
      <c r="H293" s="4" t="n">
        <v>45139</v>
      </c>
      <c r="I293" s="2" t="inlineStr">
        <is>
          <t>09:14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  <c r="N293" s="6" t="n">
        <v>2023</v>
      </c>
      <c r="O293" s="5" t="inlineStr">
        <is>
          <t>2023-07</t>
        </is>
      </c>
    </row>
    <row r="294">
      <c r="A294" s="2" t="inlineStr">
        <is>
          <t>Z002_01_072023_MATURIN.CSV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0025</t>
        </is>
      </c>
      <c r="H294" s="4" t="n">
        <v>45139</v>
      </c>
      <c r="I294" s="2" t="inlineStr">
        <is>
          <t>09:14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  <c r="N294" s="6" t="n">
        <v>2023</v>
      </c>
      <c r="O294" s="5" t="inlineStr">
        <is>
          <t>2023-07</t>
        </is>
      </c>
    </row>
    <row r="295">
      <c r="A295" s="2" t="inlineStr">
        <is>
          <t>Z002_01_072023_MATURIN.CSV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0025</t>
        </is>
      </c>
      <c r="H295" s="4" t="n">
        <v>45139</v>
      </c>
      <c r="I295" s="2" t="inlineStr">
        <is>
          <t>09:14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  <c r="N295" s="6" t="n">
        <v>2023</v>
      </c>
      <c r="O295" s="5" t="inlineStr">
        <is>
          <t>2023-07</t>
        </is>
      </c>
    </row>
    <row r="296">
      <c r="A296" s="2" t="inlineStr">
        <is>
          <t>Z002_01_072023_MATURIN.CSV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0025</t>
        </is>
      </c>
      <c r="H296" s="4" t="n">
        <v>45139</v>
      </c>
      <c r="I296" s="2" t="inlineStr">
        <is>
          <t>09:14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  <c r="N296" s="6" t="n">
        <v>2023</v>
      </c>
      <c r="O296" s="5" t="inlineStr">
        <is>
          <t>2023-07</t>
        </is>
      </c>
    </row>
    <row r="297">
      <c r="A297" s="2" t="inlineStr">
        <is>
          <t>Z002_01_072023_MATURIN.CSV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0025</t>
        </is>
      </c>
      <c r="H297" s="4" t="n">
        <v>45139</v>
      </c>
      <c r="I297" s="2" t="inlineStr">
        <is>
          <t>09:14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  <c r="N297" s="6" t="n">
        <v>2023</v>
      </c>
      <c r="O297" s="5" t="inlineStr">
        <is>
          <t>2023-07</t>
        </is>
      </c>
    </row>
    <row r="298">
      <c r="A298" s="2" t="inlineStr">
        <is>
          <t>Z002_01_072023_MATURIN.CSV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0025</t>
        </is>
      </c>
      <c r="H298" s="4" t="n">
        <v>45139</v>
      </c>
      <c r="I298" s="2" t="inlineStr">
        <is>
          <t>09:14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  <c r="N298" s="6" t="n">
        <v>2023</v>
      </c>
      <c r="O298" s="5" t="inlineStr">
        <is>
          <t>2023-07</t>
        </is>
      </c>
    </row>
    <row r="299">
      <c r="A299" s="2" t="inlineStr">
        <is>
          <t>Z002_01_072023_MATURIN.CSV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0025</t>
        </is>
      </c>
      <c r="H299" s="4" t="n">
        <v>45139</v>
      </c>
      <c r="I299" s="2" t="inlineStr">
        <is>
          <t>09:14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  <c r="N299" s="6" t="n">
        <v>2023</v>
      </c>
      <c r="O299" s="5" t="inlineStr">
        <is>
          <t>2023-07</t>
        </is>
      </c>
    </row>
    <row r="300">
      <c r="A300" s="2" t="inlineStr">
        <is>
          <t>Z002_01_072023_MATURIN.CSV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0025</t>
        </is>
      </c>
      <c r="H300" s="4" t="n">
        <v>45139</v>
      </c>
      <c r="I300" s="2" t="inlineStr">
        <is>
          <t>09:14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  <c r="N300" s="6" t="n">
        <v>2023</v>
      </c>
      <c r="O300" s="5" t="inlineStr">
        <is>
          <t>2023-07</t>
        </is>
      </c>
    </row>
    <row r="301">
      <c r="A301" s="2" t="inlineStr">
        <is>
          <t>Z002_01_072023_MATURIN.CSV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0025</t>
        </is>
      </c>
      <c r="H301" s="4" t="n">
        <v>45139</v>
      </c>
      <c r="I301" s="2" t="inlineStr">
        <is>
          <t>09:14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  <c r="N301" s="6" t="n">
        <v>2023</v>
      </c>
      <c r="O301" s="5" t="inlineStr">
        <is>
          <t>2023-07</t>
        </is>
      </c>
    </row>
    <row r="302">
      <c r="A302" s="2" t="inlineStr">
        <is>
          <t>Z002_01_082023_MATURIN.CSV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0026</t>
        </is>
      </c>
      <c r="H302" s="4" t="n">
        <v>45170</v>
      </c>
      <c r="I302" s="2" t="inlineStr">
        <is>
          <t>09:09</t>
        </is>
      </c>
      <c r="J302" s="3" t="inlineStr">
        <is>
          <t>0001</t>
        </is>
      </c>
      <c r="K302" s="2" t="inlineStr">
        <is>
          <t>ESPECES</t>
        </is>
      </c>
      <c r="L302" s="5" t="n">
        <v>8</v>
      </c>
      <c r="M302" s="5" t="n">
        <v>3918.6</v>
      </c>
      <c r="N302" s="6" t="n">
        <v>2023</v>
      </c>
      <c r="O302" s="5" t="inlineStr">
        <is>
          <t>2023-08</t>
        </is>
      </c>
    </row>
    <row r="303">
      <c r="A303" s="2" t="inlineStr">
        <is>
          <t>Z002_01_082023_MATURIN.CSV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0026</t>
        </is>
      </c>
      <c r="H303" s="4" t="n">
        <v>45170</v>
      </c>
      <c r="I303" s="2" t="inlineStr">
        <is>
          <t>09:09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  <c r="N303" s="6" t="n">
        <v>2023</v>
      </c>
      <c r="O303" s="5" t="inlineStr">
        <is>
          <t>2023-08</t>
        </is>
      </c>
    </row>
    <row r="304">
      <c r="A304" s="2" t="inlineStr">
        <is>
          <t>Z002_01_082023_MATURIN.CSV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0026</t>
        </is>
      </c>
      <c r="H304" s="4" t="n">
        <v>45170</v>
      </c>
      <c r="I304" s="2" t="inlineStr">
        <is>
          <t>09:09</t>
        </is>
      </c>
      <c r="J304" s="3" t="inlineStr">
        <is>
          <t>0003</t>
        </is>
      </c>
      <c r="K304" s="2" t="inlineStr">
        <is>
          <t>CARTES</t>
        </is>
      </c>
      <c r="L304" s="5" t="n">
        <v>10</v>
      </c>
      <c r="M304" s="5" t="n">
        <v>9776</v>
      </c>
      <c r="N304" s="6" t="n">
        <v>2023</v>
      </c>
      <c r="O304" s="5" t="inlineStr">
        <is>
          <t>2023-08</t>
        </is>
      </c>
    </row>
    <row r="305">
      <c r="A305" s="2" t="inlineStr">
        <is>
          <t>Z002_01_082023_MATURIN.CSV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0026</t>
        </is>
      </c>
      <c r="H305" s="4" t="n">
        <v>45170</v>
      </c>
      <c r="I305" s="2" t="inlineStr">
        <is>
          <t>09:09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  <c r="N305" s="6" t="n">
        <v>2023</v>
      </c>
      <c r="O305" s="5" t="inlineStr">
        <is>
          <t>2023-08</t>
        </is>
      </c>
    </row>
    <row r="306">
      <c r="A306" s="2" t="inlineStr">
        <is>
          <t>Z002_01_082023_MATURIN.CSV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0026</t>
        </is>
      </c>
      <c r="H306" s="4" t="n">
        <v>45170</v>
      </c>
      <c r="I306" s="2" t="inlineStr">
        <is>
          <t>09:09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  <c r="N306" s="6" t="n">
        <v>2023</v>
      </c>
      <c r="O306" s="5" t="inlineStr">
        <is>
          <t>2023-08</t>
        </is>
      </c>
    </row>
    <row r="307">
      <c r="A307" s="2" t="inlineStr">
        <is>
          <t>Z002_01_082023_MATURIN.CSV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0026</t>
        </is>
      </c>
      <c r="H307" s="4" t="n">
        <v>45170</v>
      </c>
      <c r="I307" s="2" t="inlineStr">
        <is>
          <t>09:09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  <c r="N307" s="6" t="n">
        <v>2023</v>
      </c>
      <c r="O307" s="5" t="inlineStr">
        <is>
          <t>2023-08</t>
        </is>
      </c>
    </row>
    <row r="308">
      <c r="A308" s="2" t="inlineStr">
        <is>
          <t>Z002_01_082023_MATURIN.CSV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0026</t>
        </is>
      </c>
      <c r="H308" s="4" t="n">
        <v>45170</v>
      </c>
      <c r="I308" s="2" t="inlineStr">
        <is>
          <t>09:09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  <c r="N308" s="6" t="n">
        <v>2023</v>
      </c>
      <c r="O308" s="5" t="inlineStr">
        <is>
          <t>2023-08</t>
        </is>
      </c>
    </row>
    <row r="309">
      <c r="A309" s="2" t="inlineStr">
        <is>
          <t>Z002_01_082023_MATURIN.CSV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0026</t>
        </is>
      </c>
      <c r="H309" s="4" t="n">
        <v>45170</v>
      </c>
      <c r="I309" s="2" t="inlineStr">
        <is>
          <t>09:09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  <c r="N309" s="6" t="n">
        <v>2023</v>
      </c>
      <c r="O309" s="5" t="inlineStr">
        <is>
          <t>2023-08</t>
        </is>
      </c>
    </row>
    <row r="310">
      <c r="A310" s="2" t="inlineStr">
        <is>
          <t>Z002_01_082023_MATURIN.CSV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0026</t>
        </is>
      </c>
      <c r="H310" s="4" t="n">
        <v>45170</v>
      </c>
      <c r="I310" s="2" t="inlineStr">
        <is>
          <t>09:09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  <c r="N310" s="6" t="n">
        <v>2023</v>
      </c>
      <c r="O310" s="5" t="inlineStr">
        <is>
          <t>2023-08</t>
        </is>
      </c>
    </row>
    <row r="311">
      <c r="A311" s="2" t="inlineStr">
        <is>
          <t>Z002_01_082023_MATURIN.CSV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0026</t>
        </is>
      </c>
      <c r="H311" s="4" t="n">
        <v>45170</v>
      </c>
      <c r="I311" s="2" t="inlineStr">
        <is>
          <t>09:09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  <c r="N311" s="6" t="n">
        <v>2023</v>
      </c>
      <c r="O311" s="5" t="inlineStr">
        <is>
          <t>2023-08</t>
        </is>
      </c>
    </row>
    <row r="312">
      <c r="A312" s="2" t="inlineStr">
        <is>
          <t>Z002_01_082023_MATURIN.CSV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0026</t>
        </is>
      </c>
      <c r="H312" s="4" t="n">
        <v>45170</v>
      </c>
      <c r="I312" s="2" t="inlineStr">
        <is>
          <t>09:09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  <c r="N312" s="6" t="n">
        <v>2023</v>
      </c>
      <c r="O312" s="5" t="inlineStr">
        <is>
          <t>2023-08</t>
        </is>
      </c>
    </row>
    <row r="313">
      <c r="A313" s="2" t="inlineStr">
        <is>
          <t>Z002_01_082023_MATURIN.CSV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0026</t>
        </is>
      </c>
      <c r="H313" s="4" t="n">
        <v>45170</v>
      </c>
      <c r="I313" s="2" t="inlineStr">
        <is>
          <t>09:09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  <c r="N313" s="6" t="n">
        <v>2023</v>
      </c>
      <c r="O313" s="5" t="inlineStr">
        <is>
          <t>2023-08</t>
        </is>
      </c>
    </row>
    <row r="314">
      <c r="A314" s="2" t="inlineStr">
        <is>
          <t>Z002_01_082023_MATURIN.CSV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0026</t>
        </is>
      </c>
      <c r="H314" s="4" t="n">
        <v>45170</v>
      </c>
      <c r="I314" s="2" t="inlineStr">
        <is>
          <t>09:09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  <c r="N314" s="6" t="n">
        <v>2023</v>
      </c>
      <c r="O314" s="5" t="inlineStr">
        <is>
          <t>2023-08</t>
        </is>
      </c>
    </row>
    <row r="315">
      <c r="A315" s="2" t="inlineStr">
        <is>
          <t>Z002_01_082023_MATURIN.CSV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0026</t>
        </is>
      </c>
      <c r="H315" s="4" t="n">
        <v>45170</v>
      </c>
      <c r="I315" s="2" t="inlineStr">
        <is>
          <t>09:09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  <c r="N315" s="6" t="n">
        <v>2023</v>
      </c>
      <c r="O315" s="5" t="inlineStr">
        <is>
          <t>2023-08</t>
        </is>
      </c>
    </row>
    <row r="316">
      <c r="A316" s="2" t="inlineStr">
        <is>
          <t>Z002_01_082023_MATURIN.CSV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0026</t>
        </is>
      </c>
      <c r="H316" s="4" t="n">
        <v>45170</v>
      </c>
      <c r="I316" s="2" t="inlineStr">
        <is>
          <t>09:09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  <c r="N316" s="6" t="n">
        <v>2023</v>
      </c>
      <c r="O316" s="5" t="inlineStr">
        <is>
          <t>2023-08</t>
        </is>
      </c>
    </row>
    <row r="317">
      <c r="A317" s="2" t="inlineStr">
        <is>
          <t>Z002_01_082023_MATURIN.CSV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0026</t>
        </is>
      </c>
      <c r="H317" s="4" t="n">
        <v>45170</v>
      </c>
      <c r="I317" s="2" t="inlineStr">
        <is>
          <t>09:09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  <c r="N317" s="6" t="n">
        <v>2023</v>
      </c>
      <c r="O317" s="5" t="inlineStr">
        <is>
          <t>2023-08</t>
        </is>
      </c>
    </row>
    <row r="318">
      <c r="A318" s="2" t="inlineStr">
        <is>
          <t>Z002_01_082023_MATURIN.CSV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0026</t>
        </is>
      </c>
      <c r="H318" s="4" t="n">
        <v>45170</v>
      </c>
      <c r="I318" s="2" t="inlineStr">
        <is>
          <t>09:09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  <c r="N318" s="6" t="n">
        <v>2023</v>
      </c>
      <c r="O318" s="5" t="inlineStr">
        <is>
          <t>2023-08</t>
        </is>
      </c>
    </row>
    <row r="319">
      <c r="A319" s="2" t="inlineStr">
        <is>
          <t>Z002_01_082023_MATURIN.CSV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0026</t>
        </is>
      </c>
      <c r="H319" s="4" t="n">
        <v>45170</v>
      </c>
      <c r="I319" s="2" t="inlineStr">
        <is>
          <t>09:09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5" t="n">
        <v>0</v>
      </c>
      <c r="N319" s="6" t="n">
        <v>2023</v>
      </c>
      <c r="O319" s="5" t="inlineStr">
        <is>
          <t>2023-08</t>
        </is>
      </c>
    </row>
    <row r="320">
      <c r="A320" s="2" t="inlineStr">
        <is>
          <t>Z002_01_082023_MATURIN.CSV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0026</t>
        </is>
      </c>
      <c r="H320" s="4" t="n">
        <v>45170</v>
      </c>
      <c r="I320" s="2" t="inlineStr">
        <is>
          <t>09:09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  <c r="N320" s="6" t="n">
        <v>2023</v>
      </c>
      <c r="O320" s="5" t="inlineStr">
        <is>
          <t>2023-08</t>
        </is>
      </c>
    </row>
    <row r="321">
      <c r="A321" s="2" t="inlineStr">
        <is>
          <t>Z002_01_082023_MATURIN.CSV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0026</t>
        </is>
      </c>
      <c r="H321" s="4" t="n">
        <v>45170</v>
      </c>
      <c r="I321" s="2" t="inlineStr">
        <is>
          <t>09:09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  <c r="N321" s="6" t="n">
        <v>2023</v>
      </c>
      <c r="O321" s="5" t="inlineStr">
        <is>
          <t>2023-08</t>
        </is>
      </c>
    </row>
    <row r="322">
      <c r="A322" s="2" t="inlineStr">
        <is>
          <t>Z002_01_082023_MATURIN.CSV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0026</t>
        </is>
      </c>
      <c r="H322" s="4" t="n">
        <v>45170</v>
      </c>
      <c r="I322" s="2" t="inlineStr">
        <is>
          <t>09:09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  <c r="N322" s="6" t="n">
        <v>2023</v>
      </c>
      <c r="O322" s="5" t="inlineStr">
        <is>
          <t>2023-08</t>
        </is>
      </c>
    </row>
    <row r="323">
      <c r="A323" s="2" t="inlineStr">
        <is>
          <t>Z002_01_082023_MATURIN.CSV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0026</t>
        </is>
      </c>
      <c r="H323" s="4" t="n">
        <v>45170</v>
      </c>
      <c r="I323" s="2" t="inlineStr">
        <is>
          <t>09:09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  <c r="N323" s="6" t="n">
        <v>2023</v>
      </c>
      <c r="O323" s="5" t="inlineStr">
        <is>
          <t>2023-08</t>
        </is>
      </c>
    </row>
    <row r="324">
      <c r="A324" s="2" t="inlineStr">
        <is>
          <t>Z002_01_082023_MATURIN.CSV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0026</t>
        </is>
      </c>
      <c r="H324" s="4" t="n">
        <v>45170</v>
      </c>
      <c r="I324" s="2" t="inlineStr">
        <is>
          <t>09:09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  <c r="N324" s="6" t="n">
        <v>2023</v>
      </c>
      <c r="O324" s="5" t="inlineStr">
        <is>
          <t>2023-08</t>
        </is>
      </c>
    </row>
    <row r="325">
      <c r="A325" s="2" t="inlineStr">
        <is>
          <t>Z002_01_082023_MATURIN.CSV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0026</t>
        </is>
      </c>
      <c r="H325" s="4" t="n">
        <v>45170</v>
      </c>
      <c r="I325" s="2" t="inlineStr">
        <is>
          <t>09:09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  <c r="N325" s="6" t="n">
        <v>2023</v>
      </c>
      <c r="O325" s="5" t="inlineStr">
        <is>
          <t>2023-08</t>
        </is>
      </c>
    </row>
    <row r="326">
      <c r="A326" s="2" t="inlineStr">
        <is>
          <t>Z002_01_082023_MATURIN.CSV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0026</t>
        </is>
      </c>
      <c r="H326" s="4" t="n">
        <v>45170</v>
      </c>
      <c r="I326" s="2" t="inlineStr">
        <is>
          <t>09:09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  <c r="N326" s="6" t="n">
        <v>2023</v>
      </c>
      <c r="O326" s="5" t="inlineStr">
        <is>
          <t>2023-08</t>
        </is>
      </c>
    </row>
    <row r="327">
      <c r="A327" s="2" t="inlineStr">
        <is>
          <t>Z002_01_082023_MATURIN.CSV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0026</t>
        </is>
      </c>
      <c r="H327" s="4" t="n">
        <v>45170</v>
      </c>
      <c r="I327" s="2" t="inlineStr">
        <is>
          <t>09:09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  <c r="N327" s="6" t="n">
        <v>2023</v>
      </c>
      <c r="O327" s="5" t="inlineStr">
        <is>
          <t>2023-08</t>
        </is>
      </c>
    </row>
    <row r="328">
      <c r="A328" s="2" t="inlineStr">
        <is>
          <t>Z002_01_082023_MATURIN.CSV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0026</t>
        </is>
      </c>
      <c r="H328" s="4" t="n">
        <v>45170</v>
      </c>
      <c r="I328" s="2" t="inlineStr">
        <is>
          <t>09:09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  <c r="N328" s="6" t="n">
        <v>2023</v>
      </c>
      <c r="O328" s="5" t="inlineStr">
        <is>
          <t>2023-08</t>
        </is>
      </c>
    </row>
    <row r="329">
      <c r="A329" s="2" t="inlineStr">
        <is>
          <t>Z002_01_082023_MATURIN.CSV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0026</t>
        </is>
      </c>
      <c r="H329" s="4" t="n">
        <v>45170</v>
      </c>
      <c r="I329" s="2" t="inlineStr">
        <is>
          <t>09:09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  <c r="N329" s="6" t="n">
        <v>2023</v>
      </c>
      <c r="O329" s="5" t="inlineStr">
        <is>
          <t>2023-08</t>
        </is>
      </c>
    </row>
    <row r="330">
      <c r="A330" s="2" t="inlineStr">
        <is>
          <t>Z002_01_082023_MATURIN.CSV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0026</t>
        </is>
      </c>
      <c r="H330" s="4" t="n">
        <v>45170</v>
      </c>
      <c r="I330" s="2" t="inlineStr">
        <is>
          <t>09:09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  <c r="N330" s="6" t="n">
        <v>2023</v>
      </c>
      <c r="O330" s="5" t="inlineStr">
        <is>
          <t>2023-08</t>
        </is>
      </c>
    </row>
    <row r="331">
      <c r="A331" s="2" t="inlineStr">
        <is>
          <t>Z002_01_082023_MATURIN.CSV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0026</t>
        </is>
      </c>
      <c r="H331" s="4" t="n">
        <v>45170</v>
      </c>
      <c r="I331" s="2" t="inlineStr">
        <is>
          <t>09:09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  <c r="N331" s="6" t="n">
        <v>2023</v>
      </c>
      <c r="O331" s="5" t="inlineStr">
        <is>
          <t>2023-08</t>
        </is>
      </c>
    </row>
    <row r="332">
      <c r="A332" s="2" t="inlineStr">
        <is>
          <t>Z002_01_082023_MATURIN.CSV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0026</t>
        </is>
      </c>
      <c r="H332" s="4" t="n">
        <v>45170</v>
      </c>
      <c r="I332" s="2" t="inlineStr">
        <is>
          <t>09:09</t>
        </is>
      </c>
      <c r="J332" s="3" t="inlineStr">
        <is>
          <t>0031</t>
        </is>
      </c>
      <c r="K332" s="2" t="inlineStr">
        <is>
          <t>REF./TIROIR</t>
        </is>
      </c>
      <c r="L332" s="5" t="n">
        <v>7</v>
      </c>
      <c r="M332" s="5" t="n">
        <v>0</v>
      </c>
      <c r="N332" s="6" t="n">
        <v>2023</v>
      </c>
      <c r="O332" s="5" t="inlineStr">
        <is>
          <t>2023-08</t>
        </is>
      </c>
    </row>
    <row r="333">
      <c r="A333" s="2" t="inlineStr">
        <is>
          <t>Z002_01_082023_MATURIN.CSV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0026</t>
        </is>
      </c>
      <c r="H333" s="4" t="n">
        <v>45170</v>
      </c>
      <c r="I333" s="2" t="inlineStr">
        <is>
          <t>09:09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  <c r="N333" s="6" t="n">
        <v>2023</v>
      </c>
      <c r="O333" s="5" t="inlineStr">
        <is>
          <t>2023-08</t>
        </is>
      </c>
    </row>
    <row r="334">
      <c r="A334" s="2" t="inlineStr">
        <is>
          <t>Z002_01_082023_MATURIN.CSV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0026</t>
        </is>
      </c>
      <c r="H334" s="4" t="n">
        <v>45170</v>
      </c>
      <c r="I334" s="2" t="inlineStr">
        <is>
          <t>09:09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  <c r="N334" s="6" t="n">
        <v>2023</v>
      </c>
      <c r="O334" s="5" t="inlineStr">
        <is>
          <t>2023-08</t>
        </is>
      </c>
    </row>
    <row r="335">
      <c r="A335" s="2" t="inlineStr">
        <is>
          <t>Z002_01_082023_MATURIN.CSV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0026</t>
        </is>
      </c>
      <c r="H335" s="4" t="n">
        <v>45170</v>
      </c>
      <c r="I335" s="2" t="inlineStr">
        <is>
          <t>09:09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  <c r="N335" s="6" t="n">
        <v>2023</v>
      </c>
      <c r="O335" s="5" t="inlineStr">
        <is>
          <t>2023-08</t>
        </is>
      </c>
    </row>
    <row r="336">
      <c r="A336" s="2" t="inlineStr">
        <is>
          <t>Z002_01_082023_MATURIN.CSV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0026</t>
        </is>
      </c>
      <c r="H336" s="4" t="n">
        <v>45170</v>
      </c>
      <c r="I336" s="2" t="inlineStr">
        <is>
          <t>09:09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  <c r="N336" s="6" t="n">
        <v>2023</v>
      </c>
      <c r="O336" s="5" t="inlineStr">
        <is>
          <t>2023-08</t>
        </is>
      </c>
    </row>
    <row r="337">
      <c r="A337" s="2" t="inlineStr">
        <is>
          <t>Z002_01_082023_MATURIN.CSV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0026</t>
        </is>
      </c>
      <c r="H337" s="4" t="n">
        <v>45170</v>
      </c>
      <c r="I337" s="2" t="inlineStr">
        <is>
          <t>09:09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  <c r="N337" s="6" t="n">
        <v>2023</v>
      </c>
      <c r="O337" s="5" t="inlineStr">
        <is>
          <t>2023-08</t>
        </is>
      </c>
    </row>
    <row r="338">
      <c r="A338" s="2" t="inlineStr">
        <is>
          <t>Z002_01_082023_MATURIN.CSV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0026</t>
        </is>
      </c>
      <c r="H338" s="4" t="n">
        <v>45170</v>
      </c>
      <c r="I338" s="2" t="inlineStr">
        <is>
          <t>09:09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  <c r="N338" s="6" t="n">
        <v>2023</v>
      </c>
      <c r="O338" s="5" t="inlineStr">
        <is>
          <t>2023-08</t>
        </is>
      </c>
    </row>
    <row r="339">
      <c r="A339" s="2" t="inlineStr">
        <is>
          <t>Z002_01_082023_MATURIN.CSV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0026</t>
        </is>
      </c>
      <c r="H339" s="4" t="n">
        <v>45170</v>
      </c>
      <c r="I339" s="2" t="inlineStr">
        <is>
          <t>09:09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  <c r="N339" s="6" t="n">
        <v>2023</v>
      </c>
      <c r="O339" s="5" t="inlineStr">
        <is>
          <t>2023-08</t>
        </is>
      </c>
    </row>
    <row r="340">
      <c r="A340" s="2" t="inlineStr">
        <is>
          <t>Z002_01_082023_MATURIN.CSV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0026</t>
        </is>
      </c>
      <c r="H340" s="4" t="n">
        <v>45170</v>
      </c>
      <c r="I340" s="2" t="inlineStr">
        <is>
          <t>09:09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  <c r="N340" s="6" t="n">
        <v>2023</v>
      </c>
      <c r="O340" s="5" t="inlineStr">
        <is>
          <t>2023-08</t>
        </is>
      </c>
    </row>
    <row r="341">
      <c r="A341" s="2" t="inlineStr">
        <is>
          <t>Z002_01_082023_MATURIN.CSV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0026</t>
        </is>
      </c>
      <c r="H341" s="4" t="n">
        <v>45170</v>
      </c>
      <c r="I341" s="2" t="inlineStr">
        <is>
          <t>09:09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  <c r="N341" s="6" t="n">
        <v>2023</v>
      </c>
      <c r="O341" s="5" t="inlineStr">
        <is>
          <t>2023-08</t>
        </is>
      </c>
    </row>
    <row r="342">
      <c r="A342" s="2" t="inlineStr">
        <is>
          <t>Z002_01_082023_MATURIN.CSV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0026</t>
        </is>
      </c>
      <c r="H342" s="4" t="n">
        <v>45170</v>
      </c>
      <c r="I342" s="2" t="inlineStr">
        <is>
          <t>09:09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  <c r="N342" s="6" t="n">
        <v>2023</v>
      </c>
      <c r="O342" s="5" t="inlineStr">
        <is>
          <t>2023-08</t>
        </is>
      </c>
    </row>
    <row r="343">
      <c r="A343" s="2" t="inlineStr">
        <is>
          <t>Z002_01_082023_MATURIN.CSV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0026</t>
        </is>
      </c>
      <c r="H343" s="4" t="n">
        <v>45170</v>
      </c>
      <c r="I343" s="2" t="inlineStr">
        <is>
          <t>09:09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  <c r="N343" s="6" t="n">
        <v>2023</v>
      </c>
      <c r="O343" s="5" t="inlineStr">
        <is>
          <t>2023-08</t>
        </is>
      </c>
    </row>
    <row r="344">
      <c r="A344" s="2" t="inlineStr">
        <is>
          <t>Z002_01_082023_MATURIN.CSV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0026</t>
        </is>
      </c>
      <c r="H344" s="4" t="n">
        <v>45170</v>
      </c>
      <c r="I344" s="2" t="inlineStr">
        <is>
          <t>09:09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  <c r="N344" s="6" t="n">
        <v>2023</v>
      </c>
      <c r="O344" s="5" t="inlineStr">
        <is>
          <t>2023-08</t>
        </is>
      </c>
    </row>
    <row r="345">
      <c r="A345" s="2" t="inlineStr">
        <is>
          <t>Z002_01_082023_MATURIN.CSV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0026</t>
        </is>
      </c>
      <c r="H345" s="4" t="n">
        <v>45170</v>
      </c>
      <c r="I345" s="2" t="inlineStr">
        <is>
          <t>09:09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  <c r="N345" s="6" t="n">
        <v>2023</v>
      </c>
      <c r="O345" s="5" t="inlineStr">
        <is>
          <t>2023-08</t>
        </is>
      </c>
    </row>
    <row r="346">
      <c r="A346" s="2" t="inlineStr">
        <is>
          <t>Z002_01_082023_MATURIN.CSV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0026</t>
        </is>
      </c>
      <c r="H346" s="4" t="n">
        <v>45170</v>
      </c>
      <c r="I346" s="2" t="inlineStr">
        <is>
          <t>09:09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  <c r="N346" s="6" t="n">
        <v>2023</v>
      </c>
      <c r="O346" s="5" t="inlineStr">
        <is>
          <t>2023-08</t>
        </is>
      </c>
    </row>
    <row r="347">
      <c r="A347" s="2" t="inlineStr">
        <is>
          <t>Z002_01_082023_MATURIN.CSV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0026</t>
        </is>
      </c>
      <c r="H347" s="4" t="n">
        <v>45170</v>
      </c>
      <c r="I347" s="2" t="inlineStr">
        <is>
          <t>09:09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  <c r="N347" s="6" t="n">
        <v>2023</v>
      </c>
      <c r="O347" s="5" t="inlineStr">
        <is>
          <t>2023-08</t>
        </is>
      </c>
    </row>
    <row r="348">
      <c r="A348" s="2" t="inlineStr">
        <is>
          <t>Z002_01_082023_MATURIN.CSV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0026</t>
        </is>
      </c>
      <c r="H348" s="4" t="n">
        <v>45170</v>
      </c>
      <c r="I348" s="2" t="inlineStr">
        <is>
          <t>09:09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  <c r="N348" s="6" t="n">
        <v>2023</v>
      </c>
      <c r="O348" s="5" t="inlineStr">
        <is>
          <t>2023-08</t>
        </is>
      </c>
    </row>
    <row r="349">
      <c r="A349" s="2" t="inlineStr">
        <is>
          <t>Z002_01_082023_MATURIN.CSV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0026</t>
        </is>
      </c>
      <c r="H349" s="4" t="n">
        <v>45170</v>
      </c>
      <c r="I349" s="2" t="inlineStr">
        <is>
          <t>09:09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  <c r="N349" s="6" t="n">
        <v>2023</v>
      </c>
      <c r="O349" s="5" t="inlineStr">
        <is>
          <t>2023-08</t>
        </is>
      </c>
    </row>
    <row r="350">
      <c r="A350" s="2" t="inlineStr">
        <is>
          <t>Z002_01_082023_MATURIN.CSV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0026</t>
        </is>
      </c>
      <c r="H350" s="4" t="n">
        <v>45170</v>
      </c>
      <c r="I350" s="2" t="inlineStr">
        <is>
          <t>09:09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  <c r="N350" s="6" t="n">
        <v>2023</v>
      </c>
      <c r="O350" s="5" t="inlineStr">
        <is>
          <t>2023-08</t>
        </is>
      </c>
    </row>
    <row r="351">
      <c r="A351" s="2" t="inlineStr">
        <is>
          <t>Z002_01_082023_MATURIN.CSV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0026</t>
        </is>
      </c>
      <c r="H351" s="4" t="n">
        <v>45170</v>
      </c>
      <c r="I351" s="2" t="inlineStr">
        <is>
          <t>09:09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  <c r="N351" s="6" t="n">
        <v>2023</v>
      </c>
      <c r="O351" s="5" t="inlineStr">
        <is>
          <t>2023-08</t>
        </is>
      </c>
    </row>
    <row r="352">
      <c r="A352" s="2" t="inlineStr">
        <is>
          <t>Z002_02_042023_MATURIN.CSV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0022</t>
        </is>
      </c>
      <c r="H352" s="4" t="n">
        <v>45048</v>
      </c>
      <c r="I352" s="2" t="inlineStr">
        <is>
          <t>09:28</t>
        </is>
      </c>
      <c r="J352" s="3" t="inlineStr">
        <is>
          <t>0001</t>
        </is>
      </c>
      <c r="K352" s="2" t="inlineStr">
        <is>
          <t>ESPECES</t>
        </is>
      </c>
      <c r="L352" s="5" t="n">
        <v>7</v>
      </c>
      <c r="M352" s="5" t="n">
        <v>3442</v>
      </c>
      <c r="N352" s="6" t="n">
        <v>2023</v>
      </c>
      <c r="O352" s="5" t="inlineStr">
        <is>
          <t>2023-04</t>
        </is>
      </c>
    </row>
    <row r="353">
      <c r="A353" s="2" t="inlineStr">
        <is>
          <t>Z002_02_042023_MATURIN.CSV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0022</t>
        </is>
      </c>
      <c r="H353" s="4" t="n">
        <v>45048</v>
      </c>
      <c r="I353" s="2" t="inlineStr">
        <is>
          <t>09:28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  <c r="N353" s="6" t="n">
        <v>2023</v>
      </c>
      <c r="O353" s="5" t="inlineStr">
        <is>
          <t>2023-04</t>
        </is>
      </c>
    </row>
    <row r="354">
      <c r="A354" s="2" t="inlineStr">
        <is>
          <t>Z002_02_042023_MATURIN.CSV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0022</t>
        </is>
      </c>
      <c r="H354" s="4" t="n">
        <v>45048</v>
      </c>
      <c r="I354" s="2" t="inlineStr">
        <is>
          <t>09:28</t>
        </is>
      </c>
      <c r="J354" s="3" t="inlineStr">
        <is>
          <t>0003</t>
        </is>
      </c>
      <c r="K354" s="2" t="inlineStr">
        <is>
          <t>CARTES</t>
        </is>
      </c>
      <c r="L354" s="5" t="n">
        <v>8</v>
      </c>
      <c r="M354" s="5" t="n">
        <v>9995</v>
      </c>
      <c r="N354" s="6" t="n">
        <v>2023</v>
      </c>
      <c r="O354" s="5" t="inlineStr">
        <is>
          <t>2023-04</t>
        </is>
      </c>
    </row>
    <row r="355">
      <c r="A355" s="2" t="inlineStr">
        <is>
          <t>Z002_02_042023_MATURIN.CSV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0022</t>
        </is>
      </c>
      <c r="H355" s="4" t="n">
        <v>45048</v>
      </c>
      <c r="I355" s="2" t="inlineStr">
        <is>
          <t>09:28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  <c r="N355" s="6" t="n">
        <v>2023</v>
      </c>
      <c r="O355" s="5" t="inlineStr">
        <is>
          <t>2023-04</t>
        </is>
      </c>
    </row>
    <row r="356">
      <c r="A356" s="2" t="inlineStr">
        <is>
          <t>Z002_02_042023_MATURIN.CSV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0022</t>
        </is>
      </c>
      <c r="H356" s="4" t="n">
        <v>45048</v>
      </c>
      <c r="I356" s="2" t="inlineStr">
        <is>
          <t>09:28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  <c r="N356" s="6" t="n">
        <v>2023</v>
      </c>
      <c r="O356" s="5" t="inlineStr">
        <is>
          <t>2023-04</t>
        </is>
      </c>
    </row>
    <row r="357">
      <c r="A357" s="2" t="inlineStr">
        <is>
          <t>Z002_02_042023_MATURIN.CSV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0022</t>
        </is>
      </c>
      <c r="H357" s="4" t="n">
        <v>45048</v>
      </c>
      <c r="I357" s="2" t="inlineStr">
        <is>
          <t>09:28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  <c r="N357" s="6" t="n">
        <v>2023</v>
      </c>
      <c r="O357" s="5" t="inlineStr">
        <is>
          <t>2023-04</t>
        </is>
      </c>
    </row>
    <row r="358">
      <c r="A358" s="2" t="inlineStr">
        <is>
          <t>Z002_02_042023_MATURIN.CSV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0022</t>
        </is>
      </c>
      <c r="H358" s="4" t="n">
        <v>45048</v>
      </c>
      <c r="I358" s="2" t="inlineStr">
        <is>
          <t>09:28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  <c r="N358" s="6" t="n">
        <v>2023</v>
      </c>
      <c r="O358" s="5" t="inlineStr">
        <is>
          <t>2023-04</t>
        </is>
      </c>
    </row>
    <row r="359">
      <c r="A359" s="2" t="inlineStr">
        <is>
          <t>Z002_02_042023_MATURIN.CSV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0022</t>
        </is>
      </c>
      <c r="H359" s="4" t="n">
        <v>45048</v>
      </c>
      <c r="I359" s="2" t="inlineStr">
        <is>
          <t>09:28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  <c r="N359" s="6" t="n">
        <v>2023</v>
      </c>
      <c r="O359" s="5" t="inlineStr">
        <is>
          <t>2023-04</t>
        </is>
      </c>
    </row>
    <row r="360">
      <c r="A360" s="2" t="inlineStr">
        <is>
          <t>Z002_02_042023_MATURIN.CSV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0022</t>
        </is>
      </c>
      <c r="H360" s="4" t="n">
        <v>45048</v>
      </c>
      <c r="I360" s="2" t="inlineStr">
        <is>
          <t>09:28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  <c r="N360" s="6" t="n">
        <v>2023</v>
      </c>
      <c r="O360" s="5" t="inlineStr">
        <is>
          <t>2023-04</t>
        </is>
      </c>
    </row>
    <row r="361">
      <c r="A361" s="2" t="inlineStr">
        <is>
          <t>Z002_02_042023_MATURIN.CSV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0022</t>
        </is>
      </c>
      <c r="H361" s="4" t="n">
        <v>45048</v>
      </c>
      <c r="I361" s="2" t="inlineStr">
        <is>
          <t>09:28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  <c r="N361" s="6" t="n">
        <v>2023</v>
      </c>
      <c r="O361" s="5" t="inlineStr">
        <is>
          <t>2023-04</t>
        </is>
      </c>
    </row>
    <row r="362">
      <c r="A362" s="2" t="inlineStr">
        <is>
          <t>Z002_02_042023_MATURIN.CSV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0022</t>
        </is>
      </c>
      <c r="H362" s="4" t="n">
        <v>45048</v>
      </c>
      <c r="I362" s="2" t="inlineStr">
        <is>
          <t>09:28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  <c r="N362" s="6" t="n">
        <v>2023</v>
      </c>
      <c r="O362" s="5" t="inlineStr">
        <is>
          <t>2023-04</t>
        </is>
      </c>
    </row>
    <row r="363">
      <c r="A363" s="2" t="inlineStr">
        <is>
          <t>Z002_02_042023_MATURIN.CSV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0022</t>
        </is>
      </c>
      <c r="H363" s="4" t="n">
        <v>45048</v>
      </c>
      <c r="I363" s="2" t="inlineStr">
        <is>
          <t>09:28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  <c r="N363" s="6" t="n">
        <v>2023</v>
      </c>
      <c r="O363" s="5" t="inlineStr">
        <is>
          <t>2023-04</t>
        </is>
      </c>
    </row>
    <row r="364">
      <c r="A364" s="2" t="inlineStr">
        <is>
          <t>Z002_02_042023_MATURIN.CSV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0022</t>
        </is>
      </c>
      <c r="H364" s="4" t="n">
        <v>45048</v>
      </c>
      <c r="I364" s="2" t="inlineStr">
        <is>
          <t>09:28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  <c r="N364" s="6" t="n">
        <v>2023</v>
      </c>
      <c r="O364" s="5" t="inlineStr">
        <is>
          <t>2023-04</t>
        </is>
      </c>
    </row>
    <row r="365">
      <c r="A365" s="2" t="inlineStr">
        <is>
          <t>Z002_02_042023_MATURIN.CSV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0022</t>
        </is>
      </c>
      <c r="H365" s="4" t="n">
        <v>45048</v>
      </c>
      <c r="I365" s="2" t="inlineStr">
        <is>
          <t>09:28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  <c r="N365" s="6" t="n">
        <v>2023</v>
      </c>
      <c r="O365" s="5" t="inlineStr">
        <is>
          <t>2023-04</t>
        </is>
      </c>
    </row>
    <row r="366">
      <c r="A366" s="2" t="inlineStr">
        <is>
          <t>Z002_02_042023_MATURIN.CSV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0022</t>
        </is>
      </c>
      <c r="H366" s="4" t="n">
        <v>45048</v>
      </c>
      <c r="I366" s="2" t="inlineStr">
        <is>
          <t>09:28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  <c r="N366" s="6" t="n">
        <v>2023</v>
      </c>
      <c r="O366" s="5" t="inlineStr">
        <is>
          <t>2023-04</t>
        </is>
      </c>
    </row>
    <row r="367">
      <c r="A367" s="2" t="inlineStr">
        <is>
          <t>Z002_02_042023_MATURIN.CSV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0022</t>
        </is>
      </c>
      <c r="H367" s="4" t="n">
        <v>45048</v>
      </c>
      <c r="I367" s="2" t="inlineStr">
        <is>
          <t>09:28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  <c r="N367" s="6" t="n">
        <v>2023</v>
      </c>
      <c r="O367" s="5" t="inlineStr">
        <is>
          <t>2023-04</t>
        </is>
      </c>
    </row>
    <row r="368">
      <c r="A368" s="2" t="inlineStr">
        <is>
          <t>Z002_02_042023_MATURIN.CSV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0022</t>
        </is>
      </c>
      <c r="H368" s="4" t="n">
        <v>45048</v>
      </c>
      <c r="I368" s="2" t="inlineStr">
        <is>
          <t>09:28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  <c r="N368" s="6" t="n">
        <v>2023</v>
      </c>
      <c r="O368" s="5" t="inlineStr">
        <is>
          <t>2023-04</t>
        </is>
      </c>
    </row>
    <row r="369">
      <c r="A369" s="2" t="inlineStr">
        <is>
          <t>Z002_02_042023_MATURIN.CSV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0022</t>
        </is>
      </c>
      <c r="H369" s="4" t="n">
        <v>45048</v>
      </c>
      <c r="I369" s="2" t="inlineStr">
        <is>
          <t>09:28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5" t="n">
        <v>3.29</v>
      </c>
      <c r="N369" s="6" t="n">
        <v>2023</v>
      </c>
      <c r="O369" s="5" t="inlineStr">
        <is>
          <t>2023-04</t>
        </is>
      </c>
    </row>
    <row r="370">
      <c r="A370" s="2" t="inlineStr">
        <is>
          <t>Z002_02_042023_MATURIN.CSV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0022</t>
        </is>
      </c>
      <c r="H370" s="4" t="n">
        <v>45048</v>
      </c>
      <c r="I370" s="2" t="inlineStr">
        <is>
          <t>09:28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  <c r="N370" s="6" t="n">
        <v>2023</v>
      </c>
      <c r="O370" s="5" t="inlineStr">
        <is>
          <t>2023-04</t>
        </is>
      </c>
    </row>
    <row r="371">
      <c r="A371" s="2" t="inlineStr">
        <is>
          <t>Z002_02_042023_MATURIN.CSV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0022</t>
        </is>
      </c>
      <c r="H371" s="4" t="n">
        <v>45048</v>
      </c>
      <c r="I371" s="2" t="inlineStr">
        <is>
          <t>09:28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  <c r="N371" s="6" t="n">
        <v>2023</v>
      </c>
      <c r="O371" s="5" t="inlineStr">
        <is>
          <t>2023-04</t>
        </is>
      </c>
    </row>
    <row r="372">
      <c r="A372" s="2" t="inlineStr">
        <is>
          <t>Z002_02_042023_MATURIN.CSV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0022</t>
        </is>
      </c>
      <c r="H372" s="4" t="n">
        <v>45048</v>
      </c>
      <c r="I372" s="2" t="inlineStr">
        <is>
          <t>09:28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  <c r="N372" s="6" t="n">
        <v>2023</v>
      </c>
      <c r="O372" s="5" t="inlineStr">
        <is>
          <t>2023-04</t>
        </is>
      </c>
    </row>
    <row r="373">
      <c r="A373" s="2" t="inlineStr">
        <is>
          <t>Z002_02_042023_MATURIN.CSV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0022</t>
        </is>
      </c>
      <c r="H373" s="4" t="n">
        <v>45048</v>
      </c>
      <c r="I373" s="2" t="inlineStr">
        <is>
          <t>09:28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  <c r="N373" s="6" t="n">
        <v>2023</v>
      </c>
      <c r="O373" s="5" t="inlineStr">
        <is>
          <t>2023-04</t>
        </is>
      </c>
    </row>
    <row r="374">
      <c r="A374" s="2" t="inlineStr">
        <is>
          <t>Z002_02_042023_MATURIN.CSV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0022</t>
        </is>
      </c>
      <c r="H374" s="4" t="n">
        <v>45048</v>
      </c>
      <c r="I374" s="2" t="inlineStr">
        <is>
          <t>09:28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  <c r="N374" s="6" t="n">
        <v>2023</v>
      </c>
      <c r="O374" s="5" t="inlineStr">
        <is>
          <t>2023-04</t>
        </is>
      </c>
    </row>
    <row r="375">
      <c r="A375" s="2" t="inlineStr">
        <is>
          <t>Z002_02_042023_MATURIN.CSV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0022</t>
        </is>
      </c>
      <c r="H375" s="4" t="n">
        <v>45048</v>
      </c>
      <c r="I375" s="2" t="inlineStr">
        <is>
          <t>09:28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  <c r="N375" s="6" t="n">
        <v>2023</v>
      </c>
      <c r="O375" s="5" t="inlineStr">
        <is>
          <t>2023-04</t>
        </is>
      </c>
    </row>
    <row r="376">
      <c r="A376" s="2" t="inlineStr">
        <is>
          <t>Z002_02_042023_MATURIN.CSV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0022</t>
        </is>
      </c>
      <c r="H376" s="4" t="n">
        <v>45048</v>
      </c>
      <c r="I376" s="2" t="inlineStr">
        <is>
          <t>09:28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  <c r="N376" s="6" t="n">
        <v>2023</v>
      </c>
      <c r="O376" s="5" t="inlineStr">
        <is>
          <t>2023-04</t>
        </is>
      </c>
    </row>
    <row r="377">
      <c r="A377" s="2" t="inlineStr">
        <is>
          <t>Z002_02_042023_MATURIN.CSV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0022</t>
        </is>
      </c>
      <c r="H377" s="4" t="n">
        <v>45048</v>
      </c>
      <c r="I377" s="2" t="inlineStr">
        <is>
          <t>09:28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  <c r="N377" s="6" t="n">
        <v>2023</v>
      </c>
      <c r="O377" s="5" t="inlineStr">
        <is>
          <t>2023-04</t>
        </is>
      </c>
    </row>
    <row r="378">
      <c r="A378" s="2" t="inlineStr">
        <is>
          <t>Z002_02_042023_MATURIN.CSV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0022</t>
        </is>
      </c>
      <c r="H378" s="4" t="n">
        <v>45048</v>
      </c>
      <c r="I378" s="2" t="inlineStr">
        <is>
          <t>09:28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  <c r="N378" s="6" t="n">
        <v>2023</v>
      </c>
      <c r="O378" s="5" t="inlineStr">
        <is>
          <t>2023-04</t>
        </is>
      </c>
    </row>
    <row r="379">
      <c r="A379" s="2" t="inlineStr">
        <is>
          <t>Z002_02_042023_MATURIN.CSV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0022</t>
        </is>
      </c>
      <c r="H379" s="4" t="n">
        <v>45048</v>
      </c>
      <c r="I379" s="2" t="inlineStr">
        <is>
          <t>09:28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  <c r="N379" s="6" t="n">
        <v>2023</v>
      </c>
      <c r="O379" s="5" t="inlineStr">
        <is>
          <t>2023-04</t>
        </is>
      </c>
    </row>
    <row r="380">
      <c r="A380" s="2" t="inlineStr">
        <is>
          <t>Z002_02_042023_MATURIN.CSV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0022</t>
        </is>
      </c>
      <c r="H380" s="4" t="n">
        <v>45048</v>
      </c>
      <c r="I380" s="2" t="inlineStr">
        <is>
          <t>09:28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  <c r="N380" s="6" t="n">
        <v>2023</v>
      </c>
      <c r="O380" s="5" t="inlineStr">
        <is>
          <t>2023-04</t>
        </is>
      </c>
    </row>
    <row r="381">
      <c r="A381" s="2" t="inlineStr">
        <is>
          <t>Z002_02_042023_MATURIN.CSV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0022</t>
        </is>
      </c>
      <c r="H381" s="4" t="n">
        <v>45048</v>
      </c>
      <c r="I381" s="2" t="inlineStr">
        <is>
          <t>09:28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  <c r="N381" s="6" t="n">
        <v>2023</v>
      </c>
      <c r="O381" s="5" t="inlineStr">
        <is>
          <t>2023-04</t>
        </is>
      </c>
    </row>
    <row r="382">
      <c r="A382" s="2" t="inlineStr">
        <is>
          <t>Z002_02_042023_MATURIN.CSV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0022</t>
        </is>
      </c>
      <c r="H382" s="4" t="n">
        <v>45048</v>
      </c>
      <c r="I382" s="2" t="inlineStr">
        <is>
          <t>09:28</t>
        </is>
      </c>
      <c r="J382" s="3" t="inlineStr">
        <is>
          <t>0031</t>
        </is>
      </c>
      <c r="K382" s="2" t="inlineStr">
        <is>
          <t>REF./TIROIR</t>
        </is>
      </c>
      <c r="L382" s="5" t="n">
        <v>21</v>
      </c>
      <c r="M382" s="5" t="n">
        <v>0</v>
      </c>
      <c r="N382" s="6" t="n">
        <v>2023</v>
      </c>
      <c r="O382" s="5" t="inlineStr">
        <is>
          <t>2023-04</t>
        </is>
      </c>
    </row>
    <row r="383">
      <c r="A383" s="2" t="inlineStr">
        <is>
          <t>Z002_02_042023_MATURIN.CSV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0022</t>
        </is>
      </c>
      <c r="H383" s="4" t="n">
        <v>45048</v>
      </c>
      <c r="I383" s="2" t="inlineStr">
        <is>
          <t>09:28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  <c r="N383" s="6" t="n">
        <v>2023</v>
      </c>
      <c r="O383" s="5" t="inlineStr">
        <is>
          <t>2023-04</t>
        </is>
      </c>
    </row>
    <row r="384">
      <c r="A384" s="2" t="inlineStr">
        <is>
          <t>Z002_02_042023_MATURIN.CSV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0022</t>
        </is>
      </c>
      <c r="H384" s="4" t="n">
        <v>45048</v>
      </c>
      <c r="I384" s="2" t="inlineStr">
        <is>
          <t>09:28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  <c r="N384" s="6" t="n">
        <v>2023</v>
      </c>
      <c r="O384" s="5" t="inlineStr">
        <is>
          <t>2023-04</t>
        </is>
      </c>
    </row>
    <row r="385">
      <c r="A385" s="2" t="inlineStr">
        <is>
          <t>Z002_02_042023_MATURIN.CSV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0022</t>
        </is>
      </c>
      <c r="H385" s="4" t="n">
        <v>45048</v>
      </c>
      <c r="I385" s="2" t="inlineStr">
        <is>
          <t>09:28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  <c r="N385" s="6" t="n">
        <v>2023</v>
      </c>
      <c r="O385" s="5" t="inlineStr">
        <is>
          <t>2023-04</t>
        </is>
      </c>
    </row>
    <row r="386">
      <c r="A386" s="2" t="inlineStr">
        <is>
          <t>Z002_02_042023_MATURIN.CSV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0022</t>
        </is>
      </c>
      <c r="H386" s="4" t="n">
        <v>45048</v>
      </c>
      <c r="I386" s="2" t="inlineStr">
        <is>
          <t>09:28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  <c r="N386" s="6" t="n">
        <v>2023</v>
      </c>
      <c r="O386" s="5" t="inlineStr">
        <is>
          <t>2023-04</t>
        </is>
      </c>
    </row>
    <row r="387">
      <c r="A387" s="2" t="inlineStr">
        <is>
          <t>Z002_02_042023_MATURIN.CSV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0022</t>
        </is>
      </c>
      <c r="H387" s="4" t="n">
        <v>45048</v>
      </c>
      <c r="I387" s="2" t="inlineStr">
        <is>
          <t>09:28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  <c r="N387" s="6" t="n">
        <v>2023</v>
      </c>
      <c r="O387" s="5" t="inlineStr">
        <is>
          <t>2023-04</t>
        </is>
      </c>
    </row>
    <row r="388">
      <c r="A388" s="2" t="inlineStr">
        <is>
          <t>Z002_02_042023_MATURIN.CSV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0022</t>
        </is>
      </c>
      <c r="H388" s="4" t="n">
        <v>45048</v>
      </c>
      <c r="I388" s="2" t="inlineStr">
        <is>
          <t>09:28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  <c r="N388" s="6" t="n">
        <v>2023</v>
      </c>
      <c r="O388" s="5" t="inlineStr">
        <is>
          <t>2023-04</t>
        </is>
      </c>
    </row>
    <row r="389">
      <c r="A389" s="2" t="inlineStr">
        <is>
          <t>Z002_02_042023_MATURIN.CSV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0022</t>
        </is>
      </c>
      <c r="H389" s="4" t="n">
        <v>45048</v>
      </c>
      <c r="I389" s="2" t="inlineStr">
        <is>
          <t>09:28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  <c r="N389" s="6" t="n">
        <v>2023</v>
      </c>
      <c r="O389" s="5" t="inlineStr">
        <is>
          <t>2023-04</t>
        </is>
      </c>
    </row>
    <row r="390">
      <c r="A390" s="2" t="inlineStr">
        <is>
          <t>Z002_02_042023_MATURIN.CSV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0022</t>
        </is>
      </c>
      <c r="H390" s="4" t="n">
        <v>45048</v>
      </c>
      <c r="I390" s="2" t="inlineStr">
        <is>
          <t>09:28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  <c r="N390" s="6" t="n">
        <v>2023</v>
      </c>
      <c r="O390" s="5" t="inlineStr">
        <is>
          <t>2023-04</t>
        </is>
      </c>
    </row>
    <row r="391">
      <c r="A391" s="2" t="inlineStr">
        <is>
          <t>Z002_02_042023_MATURIN.CSV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0022</t>
        </is>
      </c>
      <c r="H391" s="4" t="n">
        <v>45048</v>
      </c>
      <c r="I391" s="2" t="inlineStr">
        <is>
          <t>09:28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  <c r="N391" s="6" t="n">
        <v>2023</v>
      </c>
      <c r="O391" s="5" t="inlineStr">
        <is>
          <t>2023-04</t>
        </is>
      </c>
    </row>
    <row r="392">
      <c r="A392" s="2" t="inlineStr">
        <is>
          <t>Z002_02_042023_MATURIN.CSV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0022</t>
        </is>
      </c>
      <c r="H392" s="4" t="n">
        <v>45048</v>
      </c>
      <c r="I392" s="2" t="inlineStr">
        <is>
          <t>09:28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  <c r="N392" s="6" t="n">
        <v>2023</v>
      </c>
      <c r="O392" s="5" t="inlineStr">
        <is>
          <t>2023-04</t>
        </is>
      </c>
    </row>
    <row r="393">
      <c r="A393" s="2" t="inlineStr">
        <is>
          <t>Z002_02_042023_MATURIN.CSV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0022</t>
        </is>
      </c>
      <c r="H393" s="4" t="n">
        <v>45048</v>
      </c>
      <c r="I393" s="2" t="inlineStr">
        <is>
          <t>09:28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  <c r="N393" s="6" t="n">
        <v>2023</v>
      </c>
      <c r="O393" s="5" t="inlineStr">
        <is>
          <t>2023-04</t>
        </is>
      </c>
    </row>
    <row r="394">
      <c r="A394" s="2" t="inlineStr">
        <is>
          <t>Z002_02_042023_MATURIN.CSV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0022</t>
        </is>
      </c>
      <c r="H394" s="4" t="n">
        <v>45048</v>
      </c>
      <c r="I394" s="2" t="inlineStr">
        <is>
          <t>09:28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  <c r="N394" s="6" t="n">
        <v>2023</v>
      </c>
      <c r="O394" s="5" t="inlineStr">
        <is>
          <t>2023-04</t>
        </is>
      </c>
    </row>
    <row r="395">
      <c r="A395" s="2" t="inlineStr">
        <is>
          <t>Z002_02_042023_MATURIN.CSV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0022</t>
        </is>
      </c>
      <c r="H395" s="4" t="n">
        <v>45048</v>
      </c>
      <c r="I395" s="2" t="inlineStr">
        <is>
          <t>09:28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  <c r="N395" s="6" t="n">
        <v>2023</v>
      </c>
      <c r="O395" s="5" t="inlineStr">
        <is>
          <t>2023-04</t>
        </is>
      </c>
    </row>
    <row r="396">
      <c r="A396" s="2" t="inlineStr">
        <is>
          <t>Z002_02_042023_MATURIN.CSV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0022</t>
        </is>
      </c>
      <c r="H396" s="4" t="n">
        <v>45048</v>
      </c>
      <c r="I396" s="2" t="inlineStr">
        <is>
          <t>09:28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  <c r="N396" s="6" t="n">
        <v>2023</v>
      </c>
      <c r="O396" s="5" t="inlineStr">
        <is>
          <t>2023-04</t>
        </is>
      </c>
    </row>
    <row r="397">
      <c r="A397" s="2" t="inlineStr">
        <is>
          <t>Z002_02_042023_MATURIN.CSV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0022</t>
        </is>
      </c>
      <c r="H397" s="4" t="n">
        <v>45048</v>
      </c>
      <c r="I397" s="2" t="inlineStr">
        <is>
          <t>09:28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  <c r="N397" s="6" t="n">
        <v>2023</v>
      </c>
      <c r="O397" s="5" t="inlineStr">
        <is>
          <t>2023-04</t>
        </is>
      </c>
    </row>
    <row r="398">
      <c r="A398" s="2" t="inlineStr">
        <is>
          <t>Z002_02_042023_MATURIN.CSV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0022</t>
        </is>
      </c>
      <c r="H398" s="4" t="n">
        <v>45048</v>
      </c>
      <c r="I398" s="2" t="inlineStr">
        <is>
          <t>09:28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  <c r="N398" s="6" t="n">
        <v>2023</v>
      </c>
      <c r="O398" s="5" t="inlineStr">
        <is>
          <t>2023-04</t>
        </is>
      </c>
    </row>
    <row r="399">
      <c r="A399" s="2" t="inlineStr">
        <is>
          <t>Z002_02_042023_MATURIN.CSV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0022</t>
        </is>
      </c>
      <c r="H399" s="4" t="n">
        <v>45048</v>
      </c>
      <c r="I399" s="2" t="inlineStr">
        <is>
          <t>09:28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  <c r="N399" s="6" t="n">
        <v>2023</v>
      </c>
      <c r="O399" s="5" t="inlineStr">
        <is>
          <t>2023-04</t>
        </is>
      </c>
    </row>
    <row r="400">
      <c r="A400" s="2" t="inlineStr">
        <is>
          <t>Z002_02_042023_MATURIN.CSV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0022</t>
        </is>
      </c>
      <c r="H400" s="4" t="n">
        <v>45048</v>
      </c>
      <c r="I400" s="2" t="inlineStr">
        <is>
          <t>09:28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  <c r="N400" s="6" t="n">
        <v>2023</v>
      </c>
      <c r="O400" s="5" t="inlineStr">
        <is>
          <t>2023-04</t>
        </is>
      </c>
    </row>
    <row r="401">
      <c r="A401" s="2" t="inlineStr">
        <is>
          <t>Z002_02_042023_MATURIN.CSV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0022</t>
        </is>
      </c>
      <c r="H401" s="4" t="n">
        <v>45048</v>
      </c>
      <c r="I401" s="2" t="inlineStr">
        <is>
          <t>09:28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  <c r="N401" s="6" t="n">
        <v>2023</v>
      </c>
      <c r="O401" s="5" t="inlineStr">
        <is>
          <t>2023-04</t>
        </is>
      </c>
    </row>
    <row r="402">
      <c r="A402" s="2" t="inlineStr">
        <is>
          <t>Z002_02_092023_MATURIN.CSV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0027</t>
        </is>
      </c>
      <c r="H402" s="4" t="n">
        <v>45201</v>
      </c>
      <c r="I402" s="2" t="inlineStr">
        <is>
          <t>09:14</t>
        </is>
      </c>
      <c r="J402" s="3" t="inlineStr">
        <is>
          <t>0001</t>
        </is>
      </c>
      <c r="K402" s="2" t="inlineStr">
        <is>
          <t>ESPECES</t>
        </is>
      </c>
      <c r="L402" s="5" t="n">
        <v>2</v>
      </c>
      <c r="M402" s="5" t="n">
        <v>785.8</v>
      </c>
      <c r="N402" s="6" t="n">
        <v>2023</v>
      </c>
      <c r="O402" s="5" t="inlineStr">
        <is>
          <t>2023-09</t>
        </is>
      </c>
    </row>
    <row r="403">
      <c r="A403" s="2" t="inlineStr">
        <is>
          <t>Z002_02_092023_MATURIN.CSV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0027</t>
        </is>
      </c>
      <c r="H403" s="4" t="n">
        <v>45201</v>
      </c>
      <c r="I403" s="2" t="inlineStr">
        <is>
          <t>09:14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  <c r="N403" s="6" t="n">
        <v>2023</v>
      </c>
      <c r="O403" s="5" t="inlineStr">
        <is>
          <t>2023-09</t>
        </is>
      </c>
    </row>
    <row r="404">
      <c r="A404" s="2" t="inlineStr">
        <is>
          <t>Z002_02_092023_MATURIN.CSV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0027</t>
        </is>
      </c>
      <c r="H404" s="4" t="n">
        <v>45201</v>
      </c>
      <c r="I404" s="2" t="inlineStr">
        <is>
          <t>09:14</t>
        </is>
      </c>
      <c r="J404" s="3" t="inlineStr">
        <is>
          <t>0003</t>
        </is>
      </c>
      <c r="K404" s="2" t="inlineStr">
        <is>
          <t>CARTES</t>
        </is>
      </c>
      <c r="L404" s="5" t="n">
        <v>29</v>
      </c>
      <c r="M404" s="5" t="n">
        <v>19377.8</v>
      </c>
      <c r="N404" s="6" t="n">
        <v>2023</v>
      </c>
      <c r="O404" s="5" t="inlineStr">
        <is>
          <t>2023-09</t>
        </is>
      </c>
    </row>
    <row r="405">
      <c r="A405" s="2" t="inlineStr">
        <is>
          <t>Z002_02_092023_MATURIN.CSV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0027</t>
        </is>
      </c>
      <c r="H405" s="4" t="n">
        <v>45201</v>
      </c>
      <c r="I405" s="2" t="inlineStr">
        <is>
          <t>09:14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  <c r="N405" s="6" t="n">
        <v>2023</v>
      </c>
      <c r="O405" s="5" t="inlineStr">
        <is>
          <t>2023-09</t>
        </is>
      </c>
    </row>
    <row r="406">
      <c r="A406" s="2" t="inlineStr">
        <is>
          <t>Z002_02_092023_MATURIN.CSV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0027</t>
        </is>
      </c>
      <c r="H406" s="4" t="n">
        <v>45201</v>
      </c>
      <c r="I406" s="2" t="inlineStr">
        <is>
          <t>09:14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  <c r="N406" s="6" t="n">
        <v>2023</v>
      </c>
      <c r="O406" s="5" t="inlineStr">
        <is>
          <t>2023-09</t>
        </is>
      </c>
    </row>
    <row r="407">
      <c r="A407" s="2" t="inlineStr">
        <is>
          <t>Z002_02_092023_MATURIN.CSV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0027</t>
        </is>
      </c>
      <c r="H407" s="4" t="n">
        <v>45201</v>
      </c>
      <c r="I407" s="2" t="inlineStr">
        <is>
          <t>09:14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  <c r="N407" s="6" t="n">
        <v>2023</v>
      </c>
      <c r="O407" s="5" t="inlineStr">
        <is>
          <t>2023-09</t>
        </is>
      </c>
    </row>
    <row r="408">
      <c r="A408" s="2" t="inlineStr">
        <is>
          <t>Z002_02_092023_MATURIN.CSV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0027</t>
        </is>
      </c>
      <c r="H408" s="4" t="n">
        <v>45201</v>
      </c>
      <c r="I408" s="2" t="inlineStr">
        <is>
          <t>09:14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  <c r="N408" s="6" t="n">
        <v>2023</v>
      </c>
      <c r="O408" s="5" t="inlineStr">
        <is>
          <t>2023-09</t>
        </is>
      </c>
    </row>
    <row r="409">
      <c r="A409" s="2" t="inlineStr">
        <is>
          <t>Z002_02_092023_MATURIN.CSV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0027</t>
        </is>
      </c>
      <c r="H409" s="4" t="n">
        <v>45201</v>
      </c>
      <c r="I409" s="2" t="inlineStr">
        <is>
          <t>09:14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  <c r="N409" s="6" t="n">
        <v>2023</v>
      </c>
      <c r="O409" s="5" t="inlineStr">
        <is>
          <t>2023-09</t>
        </is>
      </c>
    </row>
    <row r="410">
      <c r="A410" s="2" t="inlineStr">
        <is>
          <t>Z002_02_092023_MATURIN.CSV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0027</t>
        </is>
      </c>
      <c r="H410" s="4" t="n">
        <v>45201</v>
      </c>
      <c r="I410" s="2" t="inlineStr">
        <is>
          <t>09:14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  <c r="N410" s="6" t="n">
        <v>2023</v>
      </c>
      <c r="O410" s="5" t="inlineStr">
        <is>
          <t>2023-09</t>
        </is>
      </c>
    </row>
    <row r="411">
      <c r="A411" s="2" t="inlineStr">
        <is>
          <t>Z002_02_092023_MATURIN.CSV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0027</t>
        </is>
      </c>
      <c r="H411" s="4" t="n">
        <v>45201</v>
      </c>
      <c r="I411" s="2" t="inlineStr">
        <is>
          <t>09:14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  <c r="N411" s="6" t="n">
        <v>2023</v>
      </c>
      <c r="O411" s="5" t="inlineStr">
        <is>
          <t>2023-09</t>
        </is>
      </c>
    </row>
    <row r="412">
      <c r="A412" s="2" t="inlineStr">
        <is>
          <t>Z002_02_092023_MATURIN.CSV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0027</t>
        </is>
      </c>
      <c r="H412" s="4" t="n">
        <v>45201</v>
      </c>
      <c r="I412" s="2" t="inlineStr">
        <is>
          <t>09:14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  <c r="N412" s="6" t="n">
        <v>2023</v>
      </c>
      <c r="O412" s="5" t="inlineStr">
        <is>
          <t>2023-09</t>
        </is>
      </c>
    </row>
    <row r="413">
      <c r="A413" s="2" t="inlineStr">
        <is>
          <t>Z002_02_092023_MATURIN.CSV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0027</t>
        </is>
      </c>
      <c r="H413" s="4" t="n">
        <v>45201</v>
      </c>
      <c r="I413" s="2" t="inlineStr">
        <is>
          <t>09:14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  <c r="N413" s="6" t="n">
        <v>2023</v>
      </c>
      <c r="O413" s="5" t="inlineStr">
        <is>
          <t>2023-09</t>
        </is>
      </c>
    </row>
    <row r="414">
      <c r="A414" s="2" t="inlineStr">
        <is>
          <t>Z002_02_092023_MATURIN.CSV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0027</t>
        </is>
      </c>
      <c r="H414" s="4" t="n">
        <v>45201</v>
      </c>
      <c r="I414" s="2" t="inlineStr">
        <is>
          <t>09:14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  <c r="N414" s="6" t="n">
        <v>2023</v>
      </c>
      <c r="O414" s="5" t="inlineStr">
        <is>
          <t>2023-09</t>
        </is>
      </c>
    </row>
    <row r="415">
      <c r="A415" s="2" t="inlineStr">
        <is>
          <t>Z002_02_092023_MATURIN.CSV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0027</t>
        </is>
      </c>
      <c r="H415" s="4" t="n">
        <v>45201</v>
      </c>
      <c r="I415" s="2" t="inlineStr">
        <is>
          <t>09:14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  <c r="N415" s="6" t="n">
        <v>2023</v>
      </c>
      <c r="O415" s="5" t="inlineStr">
        <is>
          <t>2023-09</t>
        </is>
      </c>
    </row>
    <row r="416">
      <c r="A416" s="2" t="inlineStr">
        <is>
          <t>Z002_02_092023_MATURIN.CSV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0027</t>
        </is>
      </c>
      <c r="H416" s="4" t="n">
        <v>45201</v>
      </c>
      <c r="I416" s="2" t="inlineStr">
        <is>
          <t>09:14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  <c r="N416" s="6" t="n">
        <v>2023</v>
      </c>
      <c r="O416" s="5" t="inlineStr">
        <is>
          <t>2023-09</t>
        </is>
      </c>
    </row>
    <row r="417">
      <c r="A417" s="2" t="inlineStr">
        <is>
          <t>Z002_02_092023_MATURIN.CSV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0027</t>
        </is>
      </c>
      <c r="H417" s="4" t="n">
        <v>45201</v>
      </c>
      <c r="I417" s="2" t="inlineStr">
        <is>
          <t>09:14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  <c r="N417" s="6" t="n">
        <v>2023</v>
      </c>
      <c r="O417" s="5" t="inlineStr">
        <is>
          <t>2023-09</t>
        </is>
      </c>
    </row>
    <row r="418">
      <c r="A418" s="2" t="inlineStr">
        <is>
          <t>Z002_02_092023_MATURIN.CSV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0027</t>
        </is>
      </c>
      <c r="H418" s="4" t="n">
        <v>45201</v>
      </c>
      <c r="I418" s="2" t="inlineStr">
        <is>
          <t>09:14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  <c r="N418" s="6" t="n">
        <v>2023</v>
      </c>
      <c r="O418" s="5" t="inlineStr">
        <is>
          <t>2023-09</t>
        </is>
      </c>
    </row>
    <row r="419">
      <c r="A419" s="2" t="inlineStr">
        <is>
          <t>Z002_02_092023_MATURIN.CSV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0027</t>
        </is>
      </c>
      <c r="H419" s="4" t="n">
        <v>45201</v>
      </c>
      <c r="I419" s="2" t="inlineStr">
        <is>
          <t>09:14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  <c r="N419" s="6" t="n">
        <v>2023</v>
      </c>
      <c r="O419" s="5" t="inlineStr">
        <is>
          <t>2023-09</t>
        </is>
      </c>
    </row>
    <row r="420">
      <c r="A420" s="2" t="inlineStr">
        <is>
          <t>Z002_02_092023_MATURIN.CSV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0027</t>
        </is>
      </c>
      <c r="H420" s="4" t="n">
        <v>45201</v>
      </c>
      <c r="I420" s="2" t="inlineStr">
        <is>
          <t>09:14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  <c r="N420" s="6" t="n">
        <v>2023</v>
      </c>
      <c r="O420" s="5" t="inlineStr">
        <is>
          <t>2023-09</t>
        </is>
      </c>
    </row>
    <row r="421">
      <c r="A421" s="2" t="inlineStr">
        <is>
          <t>Z002_02_092023_MATURIN.CSV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0027</t>
        </is>
      </c>
      <c r="H421" s="4" t="n">
        <v>45201</v>
      </c>
      <c r="I421" s="2" t="inlineStr">
        <is>
          <t>09:14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  <c r="N421" s="6" t="n">
        <v>2023</v>
      </c>
      <c r="O421" s="5" t="inlineStr">
        <is>
          <t>2023-09</t>
        </is>
      </c>
    </row>
    <row r="422">
      <c r="A422" s="2" t="inlineStr">
        <is>
          <t>Z002_02_092023_MATURIN.CSV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0027</t>
        </is>
      </c>
      <c r="H422" s="4" t="n">
        <v>45201</v>
      </c>
      <c r="I422" s="2" t="inlineStr">
        <is>
          <t>09:14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  <c r="N422" s="6" t="n">
        <v>2023</v>
      </c>
      <c r="O422" s="5" t="inlineStr">
        <is>
          <t>2023-09</t>
        </is>
      </c>
    </row>
    <row r="423">
      <c r="A423" s="2" t="inlineStr">
        <is>
          <t>Z002_02_092023_MATURIN.CSV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0027</t>
        </is>
      </c>
      <c r="H423" s="4" t="n">
        <v>45201</v>
      </c>
      <c r="I423" s="2" t="inlineStr">
        <is>
          <t>09:14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  <c r="N423" s="6" t="n">
        <v>2023</v>
      </c>
      <c r="O423" s="5" t="inlineStr">
        <is>
          <t>2023-09</t>
        </is>
      </c>
    </row>
    <row r="424">
      <c r="A424" s="2" t="inlineStr">
        <is>
          <t>Z002_02_092023_MATURIN.CSV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0027</t>
        </is>
      </c>
      <c r="H424" s="4" t="n">
        <v>45201</v>
      </c>
      <c r="I424" s="2" t="inlineStr">
        <is>
          <t>09:14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  <c r="N424" s="6" t="n">
        <v>2023</v>
      </c>
      <c r="O424" s="5" t="inlineStr">
        <is>
          <t>2023-09</t>
        </is>
      </c>
    </row>
    <row r="425">
      <c r="A425" s="2" t="inlineStr">
        <is>
          <t>Z002_02_092023_MATURIN.CSV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0027</t>
        </is>
      </c>
      <c r="H425" s="4" t="n">
        <v>45201</v>
      </c>
      <c r="I425" s="2" t="inlineStr">
        <is>
          <t>09:14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  <c r="N425" s="6" t="n">
        <v>2023</v>
      </c>
      <c r="O425" s="5" t="inlineStr">
        <is>
          <t>2023-09</t>
        </is>
      </c>
    </row>
    <row r="426">
      <c r="A426" s="2" t="inlineStr">
        <is>
          <t>Z002_02_092023_MATURIN.CSV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0027</t>
        </is>
      </c>
      <c r="H426" s="4" t="n">
        <v>45201</v>
      </c>
      <c r="I426" s="2" t="inlineStr">
        <is>
          <t>09:14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  <c r="N426" s="6" t="n">
        <v>2023</v>
      </c>
      <c r="O426" s="5" t="inlineStr">
        <is>
          <t>2023-09</t>
        </is>
      </c>
    </row>
    <row r="427">
      <c r="A427" s="2" t="inlineStr">
        <is>
          <t>Z002_02_092023_MATURIN.CSV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0027</t>
        </is>
      </c>
      <c r="H427" s="4" t="n">
        <v>45201</v>
      </c>
      <c r="I427" s="2" t="inlineStr">
        <is>
          <t>09:14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  <c r="N427" s="6" t="n">
        <v>2023</v>
      </c>
      <c r="O427" s="5" t="inlineStr">
        <is>
          <t>2023-09</t>
        </is>
      </c>
    </row>
    <row r="428">
      <c r="A428" s="2" t="inlineStr">
        <is>
          <t>Z002_02_092023_MATURIN.CSV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0027</t>
        </is>
      </c>
      <c r="H428" s="4" t="n">
        <v>45201</v>
      </c>
      <c r="I428" s="2" t="inlineStr">
        <is>
          <t>09:14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  <c r="N428" s="6" t="n">
        <v>2023</v>
      </c>
      <c r="O428" s="5" t="inlineStr">
        <is>
          <t>2023-09</t>
        </is>
      </c>
    </row>
    <row r="429">
      <c r="A429" s="2" t="inlineStr">
        <is>
          <t>Z002_02_092023_MATURIN.CSV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0027</t>
        </is>
      </c>
      <c r="H429" s="4" t="n">
        <v>45201</v>
      </c>
      <c r="I429" s="2" t="inlineStr">
        <is>
          <t>09:14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  <c r="N429" s="6" t="n">
        <v>2023</v>
      </c>
      <c r="O429" s="5" t="inlineStr">
        <is>
          <t>2023-09</t>
        </is>
      </c>
    </row>
    <row r="430">
      <c r="A430" s="2" t="inlineStr">
        <is>
          <t>Z002_02_092023_MATURIN.CSV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0027</t>
        </is>
      </c>
      <c r="H430" s="4" t="n">
        <v>45201</v>
      </c>
      <c r="I430" s="2" t="inlineStr">
        <is>
          <t>09:14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  <c r="N430" s="6" t="n">
        <v>2023</v>
      </c>
      <c r="O430" s="5" t="inlineStr">
        <is>
          <t>2023-09</t>
        </is>
      </c>
    </row>
    <row r="431">
      <c r="A431" s="2" t="inlineStr">
        <is>
          <t>Z002_02_092023_MATURIN.CSV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0027</t>
        </is>
      </c>
      <c r="H431" s="4" t="n">
        <v>45201</v>
      </c>
      <c r="I431" s="2" t="inlineStr">
        <is>
          <t>09:14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  <c r="N431" s="6" t="n">
        <v>2023</v>
      </c>
      <c r="O431" s="5" t="inlineStr">
        <is>
          <t>2023-09</t>
        </is>
      </c>
    </row>
    <row r="432">
      <c r="A432" s="2" t="inlineStr">
        <is>
          <t>Z002_02_092023_MATURIN.CSV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0027</t>
        </is>
      </c>
      <c r="H432" s="4" t="n">
        <v>45201</v>
      </c>
      <c r="I432" s="2" t="inlineStr">
        <is>
          <t>09:14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19</v>
      </c>
      <c r="M432" s="5" t="n">
        <v>0</v>
      </c>
      <c r="N432" s="6" t="n">
        <v>2023</v>
      </c>
      <c r="O432" s="5" t="inlineStr">
        <is>
          <t>2023-09</t>
        </is>
      </c>
    </row>
    <row r="433">
      <c r="A433" s="2" t="inlineStr">
        <is>
          <t>Z002_02_092023_MATURIN.CSV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0027</t>
        </is>
      </c>
      <c r="H433" s="4" t="n">
        <v>45201</v>
      </c>
      <c r="I433" s="2" t="inlineStr">
        <is>
          <t>09:14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  <c r="N433" s="6" t="n">
        <v>2023</v>
      </c>
      <c r="O433" s="5" t="inlineStr">
        <is>
          <t>2023-09</t>
        </is>
      </c>
    </row>
    <row r="434">
      <c r="A434" s="2" t="inlineStr">
        <is>
          <t>Z002_02_092023_MATURIN.CSV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0027</t>
        </is>
      </c>
      <c r="H434" s="4" t="n">
        <v>45201</v>
      </c>
      <c r="I434" s="2" t="inlineStr">
        <is>
          <t>09:14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  <c r="N434" s="6" t="n">
        <v>2023</v>
      </c>
      <c r="O434" s="5" t="inlineStr">
        <is>
          <t>2023-09</t>
        </is>
      </c>
    </row>
    <row r="435">
      <c r="A435" s="2" t="inlineStr">
        <is>
          <t>Z002_02_092023_MATURIN.CSV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0027</t>
        </is>
      </c>
      <c r="H435" s="4" t="n">
        <v>45201</v>
      </c>
      <c r="I435" s="2" t="inlineStr">
        <is>
          <t>09:14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  <c r="N435" s="6" t="n">
        <v>2023</v>
      </c>
      <c r="O435" s="5" t="inlineStr">
        <is>
          <t>2023-09</t>
        </is>
      </c>
    </row>
    <row r="436">
      <c r="A436" s="2" t="inlineStr">
        <is>
          <t>Z002_02_092023_MATURIN.CSV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0027</t>
        </is>
      </c>
      <c r="H436" s="4" t="n">
        <v>45201</v>
      </c>
      <c r="I436" s="2" t="inlineStr">
        <is>
          <t>09:14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  <c r="N436" s="6" t="n">
        <v>2023</v>
      </c>
      <c r="O436" s="5" t="inlineStr">
        <is>
          <t>2023-09</t>
        </is>
      </c>
    </row>
    <row r="437">
      <c r="A437" s="2" t="inlineStr">
        <is>
          <t>Z002_02_092023_MATURIN.CSV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0027</t>
        </is>
      </c>
      <c r="H437" s="4" t="n">
        <v>45201</v>
      </c>
      <c r="I437" s="2" t="inlineStr">
        <is>
          <t>09:14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  <c r="N437" s="6" t="n">
        <v>2023</v>
      </c>
      <c r="O437" s="5" t="inlineStr">
        <is>
          <t>2023-09</t>
        </is>
      </c>
    </row>
    <row r="438">
      <c r="A438" s="2" t="inlineStr">
        <is>
          <t>Z002_02_092023_MATURIN.CSV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0027</t>
        </is>
      </c>
      <c r="H438" s="4" t="n">
        <v>45201</v>
      </c>
      <c r="I438" s="2" t="inlineStr">
        <is>
          <t>09:14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  <c r="N438" s="6" t="n">
        <v>2023</v>
      </c>
      <c r="O438" s="5" t="inlineStr">
        <is>
          <t>2023-09</t>
        </is>
      </c>
    </row>
    <row r="439">
      <c r="A439" s="2" t="inlineStr">
        <is>
          <t>Z002_02_092023_MATURIN.CSV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0027</t>
        </is>
      </c>
      <c r="H439" s="4" t="n">
        <v>45201</v>
      </c>
      <c r="I439" s="2" t="inlineStr">
        <is>
          <t>09:14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  <c r="N439" s="6" t="n">
        <v>2023</v>
      </c>
      <c r="O439" s="5" t="inlineStr">
        <is>
          <t>2023-09</t>
        </is>
      </c>
    </row>
    <row r="440">
      <c r="A440" s="2" t="inlineStr">
        <is>
          <t>Z002_02_092023_MATURIN.CSV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0027</t>
        </is>
      </c>
      <c r="H440" s="4" t="n">
        <v>45201</v>
      </c>
      <c r="I440" s="2" t="inlineStr">
        <is>
          <t>09:14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  <c r="N440" s="6" t="n">
        <v>2023</v>
      </c>
      <c r="O440" s="5" t="inlineStr">
        <is>
          <t>2023-09</t>
        </is>
      </c>
    </row>
    <row r="441">
      <c r="A441" s="2" t="inlineStr">
        <is>
          <t>Z002_02_092023_MATURIN.CSV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0027</t>
        </is>
      </c>
      <c r="H441" s="4" t="n">
        <v>45201</v>
      </c>
      <c r="I441" s="2" t="inlineStr">
        <is>
          <t>09:14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  <c r="N441" s="6" t="n">
        <v>2023</v>
      </c>
      <c r="O441" s="5" t="inlineStr">
        <is>
          <t>2023-09</t>
        </is>
      </c>
    </row>
    <row r="442">
      <c r="A442" s="2" t="inlineStr">
        <is>
          <t>Z002_02_092023_MATURIN.CSV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0027</t>
        </is>
      </c>
      <c r="H442" s="4" t="n">
        <v>45201</v>
      </c>
      <c r="I442" s="2" t="inlineStr">
        <is>
          <t>09:14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  <c r="N442" s="6" t="n">
        <v>2023</v>
      </c>
      <c r="O442" s="5" t="inlineStr">
        <is>
          <t>2023-09</t>
        </is>
      </c>
    </row>
    <row r="443">
      <c r="A443" s="2" t="inlineStr">
        <is>
          <t>Z002_02_092023_MATURIN.CSV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0027</t>
        </is>
      </c>
      <c r="H443" s="4" t="n">
        <v>45201</v>
      </c>
      <c r="I443" s="2" t="inlineStr">
        <is>
          <t>09:14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  <c r="N443" s="6" t="n">
        <v>2023</v>
      </c>
      <c r="O443" s="5" t="inlineStr">
        <is>
          <t>2023-09</t>
        </is>
      </c>
    </row>
    <row r="444">
      <c r="A444" s="2" t="inlineStr">
        <is>
          <t>Z002_02_092023_MATURIN.CSV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0027</t>
        </is>
      </c>
      <c r="H444" s="4" t="n">
        <v>45201</v>
      </c>
      <c r="I444" s="2" t="inlineStr">
        <is>
          <t>09:14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  <c r="N444" s="6" t="n">
        <v>2023</v>
      </c>
      <c r="O444" s="5" t="inlineStr">
        <is>
          <t>2023-09</t>
        </is>
      </c>
    </row>
    <row r="445">
      <c r="A445" s="2" t="inlineStr">
        <is>
          <t>Z002_02_092023_MATURIN.CSV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0027</t>
        </is>
      </c>
      <c r="H445" s="4" t="n">
        <v>45201</v>
      </c>
      <c r="I445" s="2" t="inlineStr">
        <is>
          <t>09:14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  <c r="N445" s="6" t="n">
        <v>2023</v>
      </c>
      <c r="O445" s="5" t="inlineStr">
        <is>
          <t>2023-09</t>
        </is>
      </c>
    </row>
    <row r="446">
      <c r="A446" s="2" t="inlineStr">
        <is>
          <t>Z002_02_092023_MATURIN.CSV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0027</t>
        </is>
      </c>
      <c r="H446" s="4" t="n">
        <v>45201</v>
      </c>
      <c r="I446" s="2" t="inlineStr">
        <is>
          <t>09:14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  <c r="N446" s="6" t="n">
        <v>2023</v>
      </c>
      <c r="O446" s="5" t="inlineStr">
        <is>
          <t>2023-09</t>
        </is>
      </c>
    </row>
    <row r="447">
      <c r="A447" s="2" t="inlineStr">
        <is>
          <t>Z002_02_092023_MATURIN.CSV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0027</t>
        </is>
      </c>
      <c r="H447" s="4" t="n">
        <v>45201</v>
      </c>
      <c r="I447" s="2" t="inlineStr">
        <is>
          <t>09:14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  <c r="N447" s="6" t="n">
        <v>2023</v>
      </c>
      <c r="O447" s="5" t="inlineStr">
        <is>
          <t>2023-09</t>
        </is>
      </c>
    </row>
    <row r="448">
      <c r="A448" s="2" t="inlineStr">
        <is>
          <t>Z002_02_092023_MATURIN.CSV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0027</t>
        </is>
      </c>
      <c r="H448" s="4" t="n">
        <v>45201</v>
      </c>
      <c r="I448" s="2" t="inlineStr">
        <is>
          <t>09:14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  <c r="N448" s="6" t="n">
        <v>2023</v>
      </c>
      <c r="O448" s="5" t="inlineStr">
        <is>
          <t>2023-09</t>
        </is>
      </c>
    </row>
    <row r="449">
      <c r="A449" s="2" t="inlineStr">
        <is>
          <t>Z002_02_092023_MATURIN.CSV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0027</t>
        </is>
      </c>
      <c r="H449" s="4" t="n">
        <v>45201</v>
      </c>
      <c r="I449" s="2" t="inlineStr">
        <is>
          <t>09:14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  <c r="N449" s="6" t="n">
        <v>2023</v>
      </c>
      <c r="O449" s="5" t="inlineStr">
        <is>
          <t>2023-09</t>
        </is>
      </c>
    </row>
    <row r="450">
      <c r="A450" s="2" t="inlineStr">
        <is>
          <t>Z002_02_092023_MATURIN.CSV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0027</t>
        </is>
      </c>
      <c r="H450" s="4" t="n">
        <v>45201</v>
      </c>
      <c r="I450" s="2" t="inlineStr">
        <is>
          <t>09:14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  <c r="N450" s="6" t="n">
        <v>2023</v>
      </c>
      <c r="O450" s="5" t="inlineStr">
        <is>
          <t>2023-09</t>
        </is>
      </c>
    </row>
    <row r="451">
      <c r="A451" s="2" t="inlineStr">
        <is>
          <t>Z002_02_092023_MATURIN.CSV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0027</t>
        </is>
      </c>
      <c r="H451" s="4" t="n">
        <v>45201</v>
      </c>
      <c r="I451" s="2" t="inlineStr">
        <is>
          <t>09:14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  <c r="N451" s="6" t="n">
        <v>2023</v>
      </c>
      <c r="O451" s="5" t="inlineStr">
        <is>
          <t>2023-09</t>
        </is>
      </c>
    </row>
    <row r="452">
      <c r="A452" s="2" t="inlineStr">
        <is>
          <t>Z002_02_102023_MATURIN.CSV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0028</t>
        </is>
      </c>
      <c r="H452" s="4" t="n">
        <v>45232</v>
      </c>
      <c r="I452" s="2" t="inlineStr">
        <is>
          <t>11:03</t>
        </is>
      </c>
      <c r="J452" s="3" t="inlineStr">
        <is>
          <t>0001</t>
        </is>
      </c>
      <c r="K452" s="2" t="inlineStr">
        <is>
          <t>ESPECES</t>
        </is>
      </c>
      <c r="L452" s="5" t="n">
        <v>8</v>
      </c>
      <c r="M452" s="5" t="n">
        <v>2942</v>
      </c>
      <c r="N452" s="6" t="n">
        <v>2023</v>
      </c>
      <c r="O452" s="5" t="inlineStr">
        <is>
          <t>2023-10</t>
        </is>
      </c>
    </row>
    <row r="453">
      <c r="A453" s="2" t="inlineStr">
        <is>
          <t>Z002_02_102023_MATURIN.CSV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0028</t>
        </is>
      </c>
      <c r="H453" s="4" t="n">
        <v>45232</v>
      </c>
      <c r="I453" s="2" t="inlineStr">
        <is>
          <t>11:03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  <c r="N453" s="6" t="n">
        <v>2023</v>
      </c>
      <c r="O453" s="5" t="inlineStr">
        <is>
          <t>2023-10</t>
        </is>
      </c>
    </row>
    <row r="454">
      <c r="A454" s="2" t="inlineStr">
        <is>
          <t>Z002_02_102023_MATURIN.CSV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0028</t>
        </is>
      </c>
      <c r="H454" s="4" t="n">
        <v>45232</v>
      </c>
      <c r="I454" s="2" t="inlineStr">
        <is>
          <t>11:03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5" t="n">
        <v>19379</v>
      </c>
      <c r="N454" s="6" t="n">
        <v>2023</v>
      </c>
      <c r="O454" s="5" t="inlineStr">
        <is>
          <t>2023-10</t>
        </is>
      </c>
    </row>
    <row r="455">
      <c r="A455" s="2" t="inlineStr">
        <is>
          <t>Z002_02_102023_MATURIN.CSV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0028</t>
        </is>
      </c>
      <c r="H455" s="4" t="n">
        <v>45232</v>
      </c>
      <c r="I455" s="2" t="inlineStr">
        <is>
          <t>11:03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  <c r="N455" s="6" t="n">
        <v>2023</v>
      </c>
      <c r="O455" s="5" t="inlineStr">
        <is>
          <t>2023-10</t>
        </is>
      </c>
    </row>
    <row r="456">
      <c r="A456" s="2" t="inlineStr">
        <is>
          <t>Z002_02_102023_MATURIN.CSV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0028</t>
        </is>
      </c>
      <c r="H456" s="4" t="n">
        <v>45232</v>
      </c>
      <c r="I456" s="2" t="inlineStr">
        <is>
          <t>11:03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  <c r="N456" s="6" t="n">
        <v>2023</v>
      </c>
      <c r="O456" s="5" t="inlineStr">
        <is>
          <t>2023-10</t>
        </is>
      </c>
    </row>
    <row r="457">
      <c r="A457" s="2" t="inlineStr">
        <is>
          <t>Z002_02_102023_MATURIN.CSV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0028</t>
        </is>
      </c>
      <c r="H457" s="4" t="n">
        <v>45232</v>
      </c>
      <c r="I457" s="2" t="inlineStr">
        <is>
          <t>11:03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  <c r="N457" s="6" t="n">
        <v>2023</v>
      </c>
      <c r="O457" s="5" t="inlineStr">
        <is>
          <t>2023-10</t>
        </is>
      </c>
    </row>
    <row r="458">
      <c r="A458" s="2" t="inlineStr">
        <is>
          <t>Z002_02_102023_MATURIN.CSV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0028</t>
        </is>
      </c>
      <c r="H458" s="4" t="n">
        <v>45232</v>
      </c>
      <c r="I458" s="2" t="inlineStr">
        <is>
          <t>11:03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  <c r="N458" s="6" t="n">
        <v>2023</v>
      </c>
      <c r="O458" s="5" t="inlineStr">
        <is>
          <t>2023-10</t>
        </is>
      </c>
    </row>
    <row r="459">
      <c r="A459" s="2" t="inlineStr">
        <is>
          <t>Z002_02_102023_MATURIN.CSV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0028</t>
        </is>
      </c>
      <c r="H459" s="4" t="n">
        <v>45232</v>
      </c>
      <c r="I459" s="2" t="inlineStr">
        <is>
          <t>11:03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  <c r="N459" s="6" t="n">
        <v>2023</v>
      </c>
      <c r="O459" s="5" t="inlineStr">
        <is>
          <t>2023-10</t>
        </is>
      </c>
    </row>
    <row r="460">
      <c r="A460" s="2" t="inlineStr">
        <is>
          <t>Z002_02_102023_MATURIN.CSV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0028</t>
        </is>
      </c>
      <c r="H460" s="4" t="n">
        <v>45232</v>
      </c>
      <c r="I460" s="2" t="inlineStr">
        <is>
          <t>11:03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  <c r="N460" s="6" t="n">
        <v>2023</v>
      </c>
      <c r="O460" s="5" t="inlineStr">
        <is>
          <t>2023-10</t>
        </is>
      </c>
    </row>
    <row r="461">
      <c r="A461" s="2" t="inlineStr">
        <is>
          <t>Z002_02_102023_MATURIN.CSV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0028</t>
        </is>
      </c>
      <c r="H461" s="4" t="n">
        <v>45232</v>
      </c>
      <c r="I461" s="2" t="inlineStr">
        <is>
          <t>11:03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  <c r="N461" s="6" t="n">
        <v>2023</v>
      </c>
      <c r="O461" s="5" t="inlineStr">
        <is>
          <t>2023-10</t>
        </is>
      </c>
    </row>
    <row r="462">
      <c r="A462" s="2" t="inlineStr">
        <is>
          <t>Z002_02_102023_MATURIN.CSV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0028</t>
        </is>
      </c>
      <c r="H462" s="4" t="n">
        <v>45232</v>
      </c>
      <c r="I462" s="2" t="inlineStr">
        <is>
          <t>11:03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  <c r="N462" s="6" t="n">
        <v>2023</v>
      </c>
      <c r="O462" s="5" t="inlineStr">
        <is>
          <t>2023-10</t>
        </is>
      </c>
    </row>
    <row r="463">
      <c r="A463" s="2" t="inlineStr">
        <is>
          <t>Z002_02_102023_MATURIN.CSV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0028</t>
        </is>
      </c>
      <c r="H463" s="4" t="n">
        <v>45232</v>
      </c>
      <c r="I463" s="2" t="inlineStr">
        <is>
          <t>11:03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  <c r="N463" s="6" t="n">
        <v>2023</v>
      </c>
      <c r="O463" s="5" t="inlineStr">
        <is>
          <t>2023-10</t>
        </is>
      </c>
    </row>
    <row r="464">
      <c r="A464" s="2" t="inlineStr">
        <is>
          <t>Z002_02_102023_MATURIN.CSV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0028</t>
        </is>
      </c>
      <c r="H464" s="4" t="n">
        <v>45232</v>
      </c>
      <c r="I464" s="2" t="inlineStr">
        <is>
          <t>11:03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  <c r="N464" s="6" t="n">
        <v>2023</v>
      </c>
      <c r="O464" s="5" t="inlineStr">
        <is>
          <t>2023-10</t>
        </is>
      </c>
    </row>
    <row r="465">
      <c r="A465" s="2" t="inlineStr">
        <is>
          <t>Z002_02_102023_MATURIN.CSV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0028</t>
        </is>
      </c>
      <c r="H465" s="4" t="n">
        <v>45232</v>
      </c>
      <c r="I465" s="2" t="inlineStr">
        <is>
          <t>11:03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  <c r="N465" s="6" t="n">
        <v>2023</v>
      </c>
      <c r="O465" s="5" t="inlineStr">
        <is>
          <t>2023-10</t>
        </is>
      </c>
    </row>
    <row r="466">
      <c r="A466" s="2" t="inlineStr">
        <is>
          <t>Z002_02_102023_MATURIN.CSV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0028</t>
        </is>
      </c>
      <c r="H466" s="4" t="n">
        <v>45232</v>
      </c>
      <c r="I466" s="2" t="inlineStr">
        <is>
          <t>11:03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  <c r="N466" s="6" t="n">
        <v>2023</v>
      </c>
      <c r="O466" s="5" t="inlineStr">
        <is>
          <t>2023-10</t>
        </is>
      </c>
    </row>
    <row r="467">
      <c r="A467" s="2" t="inlineStr">
        <is>
          <t>Z002_02_102023_MATURIN.CSV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0028</t>
        </is>
      </c>
      <c r="H467" s="4" t="n">
        <v>45232</v>
      </c>
      <c r="I467" s="2" t="inlineStr">
        <is>
          <t>11:03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  <c r="N467" s="6" t="n">
        <v>2023</v>
      </c>
      <c r="O467" s="5" t="inlineStr">
        <is>
          <t>2023-10</t>
        </is>
      </c>
    </row>
    <row r="468">
      <c r="A468" s="2" t="inlineStr">
        <is>
          <t>Z002_02_102023_MATURIN.CSV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0028</t>
        </is>
      </c>
      <c r="H468" s="4" t="n">
        <v>45232</v>
      </c>
      <c r="I468" s="2" t="inlineStr">
        <is>
          <t>11:03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  <c r="N468" s="6" t="n">
        <v>2023</v>
      </c>
      <c r="O468" s="5" t="inlineStr">
        <is>
          <t>2023-10</t>
        </is>
      </c>
    </row>
    <row r="469">
      <c r="A469" s="2" t="inlineStr">
        <is>
          <t>Z002_02_102023_MATURIN.CSV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0028</t>
        </is>
      </c>
      <c r="H469" s="4" t="n">
        <v>45232</v>
      </c>
      <c r="I469" s="2" t="inlineStr">
        <is>
          <t>11:03</t>
        </is>
      </c>
      <c r="J469" s="3" t="inlineStr">
        <is>
          <t>0018</t>
        </is>
      </c>
      <c r="K469" s="2" t="inlineStr">
        <is>
          <t>CORRECTION</t>
        </is>
      </c>
      <c r="L469" s="5" t="n">
        <v>1</v>
      </c>
      <c r="M469" s="5" t="n">
        <v>329</v>
      </c>
      <c r="N469" s="6" t="n">
        <v>2023</v>
      </c>
      <c r="O469" s="5" t="inlineStr">
        <is>
          <t>2023-10</t>
        </is>
      </c>
    </row>
    <row r="470">
      <c r="A470" s="2" t="inlineStr">
        <is>
          <t>Z002_02_102023_MATURIN.CSV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0028</t>
        </is>
      </c>
      <c r="H470" s="4" t="n">
        <v>45232</v>
      </c>
      <c r="I470" s="2" t="inlineStr">
        <is>
          <t>11:03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  <c r="N470" s="6" t="n">
        <v>2023</v>
      </c>
      <c r="O470" s="5" t="inlineStr">
        <is>
          <t>2023-10</t>
        </is>
      </c>
    </row>
    <row r="471">
      <c r="A471" s="2" t="inlineStr">
        <is>
          <t>Z002_02_102023_MATURIN.CSV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0028</t>
        </is>
      </c>
      <c r="H471" s="4" t="n">
        <v>45232</v>
      </c>
      <c r="I471" s="2" t="inlineStr">
        <is>
          <t>11:03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  <c r="N471" s="6" t="n">
        <v>2023</v>
      </c>
      <c r="O471" s="5" t="inlineStr">
        <is>
          <t>2023-10</t>
        </is>
      </c>
    </row>
    <row r="472">
      <c r="A472" s="2" t="inlineStr">
        <is>
          <t>Z002_02_102023_MATURIN.CSV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0028</t>
        </is>
      </c>
      <c r="H472" s="4" t="n">
        <v>45232</v>
      </c>
      <c r="I472" s="2" t="inlineStr">
        <is>
          <t>11:03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  <c r="N472" s="6" t="n">
        <v>2023</v>
      </c>
      <c r="O472" s="5" t="inlineStr">
        <is>
          <t>2023-10</t>
        </is>
      </c>
    </row>
    <row r="473">
      <c r="A473" s="2" t="inlineStr">
        <is>
          <t>Z002_02_102023_MATURIN.CSV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0028</t>
        </is>
      </c>
      <c r="H473" s="4" t="n">
        <v>45232</v>
      </c>
      <c r="I473" s="2" t="inlineStr">
        <is>
          <t>11:03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  <c r="N473" s="6" t="n">
        <v>2023</v>
      </c>
      <c r="O473" s="5" t="inlineStr">
        <is>
          <t>2023-10</t>
        </is>
      </c>
    </row>
    <row r="474">
      <c r="A474" s="2" t="inlineStr">
        <is>
          <t>Z002_02_102023_MATURIN.CSV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0028</t>
        </is>
      </c>
      <c r="H474" s="4" t="n">
        <v>45232</v>
      </c>
      <c r="I474" s="2" t="inlineStr">
        <is>
          <t>11:03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  <c r="N474" s="6" t="n">
        <v>2023</v>
      </c>
      <c r="O474" s="5" t="inlineStr">
        <is>
          <t>2023-10</t>
        </is>
      </c>
    </row>
    <row r="475">
      <c r="A475" s="2" t="inlineStr">
        <is>
          <t>Z002_02_102023_MATURIN.CSV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0028</t>
        </is>
      </c>
      <c r="H475" s="4" t="n">
        <v>45232</v>
      </c>
      <c r="I475" s="2" t="inlineStr">
        <is>
          <t>11:03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  <c r="N475" s="6" t="n">
        <v>2023</v>
      </c>
      <c r="O475" s="5" t="inlineStr">
        <is>
          <t>2023-10</t>
        </is>
      </c>
    </row>
    <row r="476">
      <c r="A476" s="2" t="inlineStr">
        <is>
          <t>Z002_02_102023_MATURIN.CSV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0028</t>
        </is>
      </c>
      <c r="H476" s="4" t="n">
        <v>45232</v>
      </c>
      <c r="I476" s="2" t="inlineStr">
        <is>
          <t>11:03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  <c r="N476" s="6" t="n">
        <v>2023</v>
      </c>
      <c r="O476" s="5" t="inlineStr">
        <is>
          <t>2023-10</t>
        </is>
      </c>
    </row>
    <row r="477">
      <c r="A477" s="2" t="inlineStr">
        <is>
          <t>Z002_02_102023_MATURIN.CSV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0028</t>
        </is>
      </c>
      <c r="H477" s="4" t="n">
        <v>45232</v>
      </c>
      <c r="I477" s="2" t="inlineStr">
        <is>
          <t>11:03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  <c r="N477" s="6" t="n">
        <v>2023</v>
      </c>
      <c r="O477" s="5" t="inlineStr">
        <is>
          <t>2023-10</t>
        </is>
      </c>
    </row>
    <row r="478">
      <c r="A478" s="2" t="inlineStr">
        <is>
          <t>Z002_02_102023_MATURIN.CSV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0028</t>
        </is>
      </c>
      <c r="H478" s="4" t="n">
        <v>45232</v>
      </c>
      <c r="I478" s="2" t="inlineStr">
        <is>
          <t>11:03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  <c r="N478" s="6" t="n">
        <v>2023</v>
      </c>
      <c r="O478" s="5" t="inlineStr">
        <is>
          <t>2023-10</t>
        </is>
      </c>
    </row>
    <row r="479">
      <c r="A479" s="2" t="inlineStr">
        <is>
          <t>Z002_02_102023_MATURIN.CSV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0028</t>
        </is>
      </c>
      <c r="H479" s="4" t="n">
        <v>45232</v>
      </c>
      <c r="I479" s="2" t="inlineStr">
        <is>
          <t>11:03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  <c r="N479" s="6" t="n">
        <v>2023</v>
      </c>
      <c r="O479" s="5" t="inlineStr">
        <is>
          <t>2023-10</t>
        </is>
      </c>
    </row>
    <row r="480">
      <c r="A480" s="2" t="inlineStr">
        <is>
          <t>Z002_02_102023_MATURIN.CSV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0028</t>
        </is>
      </c>
      <c r="H480" s="4" t="n">
        <v>45232</v>
      </c>
      <c r="I480" s="2" t="inlineStr">
        <is>
          <t>11:03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  <c r="N480" s="6" t="n">
        <v>2023</v>
      </c>
      <c r="O480" s="5" t="inlineStr">
        <is>
          <t>2023-10</t>
        </is>
      </c>
    </row>
    <row r="481">
      <c r="A481" s="2" t="inlineStr">
        <is>
          <t>Z002_02_102023_MATURIN.CSV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0028</t>
        </is>
      </c>
      <c r="H481" s="4" t="n">
        <v>45232</v>
      </c>
      <c r="I481" s="2" t="inlineStr">
        <is>
          <t>11:03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  <c r="N481" s="6" t="n">
        <v>2023</v>
      </c>
      <c r="O481" s="5" t="inlineStr">
        <is>
          <t>2023-10</t>
        </is>
      </c>
    </row>
    <row r="482">
      <c r="A482" s="2" t="inlineStr">
        <is>
          <t>Z002_02_102023_MATURIN.CSV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0028</t>
        </is>
      </c>
      <c r="H482" s="4" t="n">
        <v>45232</v>
      </c>
      <c r="I482" s="2" t="inlineStr">
        <is>
          <t>11:03</t>
        </is>
      </c>
      <c r="J482" s="3" t="inlineStr">
        <is>
          <t>0031</t>
        </is>
      </c>
      <c r="K482" s="2" t="inlineStr">
        <is>
          <t>REF./TIROIR</t>
        </is>
      </c>
      <c r="L482" s="5" t="n">
        <v>15</v>
      </c>
      <c r="M482" s="5" t="n">
        <v>0</v>
      </c>
      <c r="N482" s="6" t="n">
        <v>2023</v>
      </c>
      <c r="O482" s="5" t="inlineStr">
        <is>
          <t>2023-10</t>
        </is>
      </c>
    </row>
    <row r="483">
      <c r="A483" s="2" t="inlineStr">
        <is>
          <t>Z002_02_102023_MATURIN.CSV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0028</t>
        </is>
      </c>
      <c r="H483" s="4" t="n">
        <v>45232</v>
      </c>
      <c r="I483" s="2" t="inlineStr">
        <is>
          <t>11:03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  <c r="N483" s="6" t="n">
        <v>2023</v>
      </c>
      <c r="O483" s="5" t="inlineStr">
        <is>
          <t>2023-10</t>
        </is>
      </c>
    </row>
    <row r="484">
      <c r="A484" s="2" t="inlineStr">
        <is>
          <t>Z002_02_102023_MATURIN.CSV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0028</t>
        </is>
      </c>
      <c r="H484" s="4" t="n">
        <v>45232</v>
      </c>
      <c r="I484" s="2" t="inlineStr">
        <is>
          <t>11:03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  <c r="N484" s="6" t="n">
        <v>2023</v>
      </c>
      <c r="O484" s="5" t="inlineStr">
        <is>
          <t>2023-10</t>
        </is>
      </c>
    </row>
    <row r="485">
      <c r="A485" s="2" t="inlineStr">
        <is>
          <t>Z002_02_102023_MATURIN.CSV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0028</t>
        </is>
      </c>
      <c r="H485" s="4" t="n">
        <v>45232</v>
      </c>
      <c r="I485" s="2" t="inlineStr">
        <is>
          <t>11:03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  <c r="N485" s="6" t="n">
        <v>2023</v>
      </c>
      <c r="O485" s="5" t="inlineStr">
        <is>
          <t>2023-10</t>
        </is>
      </c>
    </row>
    <row r="486">
      <c r="A486" s="2" t="inlineStr">
        <is>
          <t>Z002_02_102023_MATURIN.CSV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0028</t>
        </is>
      </c>
      <c r="H486" s="4" t="n">
        <v>45232</v>
      </c>
      <c r="I486" s="2" t="inlineStr">
        <is>
          <t>11:03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  <c r="N486" s="6" t="n">
        <v>2023</v>
      </c>
      <c r="O486" s="5" t="inlineStr">
        <is>
          <t>2023-10</t>
        </is>
      </c>
    </row>
    <row r="487">
      <c r="A487" s="2" t="inlineStr">
        <is>
          <t>Z002_02_102023_MATURIN.CSV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0028</t>
        </is>
      </c>
      <c r="H487" s="4" t="n">
        <v>45232</v>
      </c>
      <c r="I487" s="2" t="inlineStr">
        <is>
          <t>11:03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  <c r="N487" s="6" t="n">
        <v>2023</v>
      </c>
      <c r="O487" s="5" t="inlineStr">
        <is>
          <t>2023-10</t>
        </is>
      </c>
    </row>
    <row r="488">
      <c r="A488" s="2" t="inlineStr">
        <is>
          <t>Z002_02_102023_MATURIN.CSV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0028</t>
        </is>
      </c>
      <c r="H488" s="4" t="n">
        <v>45232</v>
      </c>
      <c r="I488" s="2" t="inlineStr">
        <is>
          <t>11:03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  <c r="N488" s="6" t="n">
        <v>2023</v>
      </c>
      <c r="O488" s="5" t="inlineStr">
        <is>
          <t>2023-10</t>
        </is>
      </c>
    </row>
    <row r="489">
      <c r="A489" s="2" t="inlineStr">
        <is>
          <t>Z002_02_102023_MATURIN.CSV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0028</t>
        </is>
      </c>
      <c r="H489" s="4" t="n">
        <v>45232</v>
      </c>
      <c r="I489" s="2" t="inlineStr">
        <is>
          <t>11:03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  <c r="N489" s="6" t="n">
        <v>2023</v>
      </c>
      <c r="O489" s="5" t="inlineStr">
        <is>
          <t>2023-10</t>
        </is>
      </c>
    </row>
    <row r="490">
      <c r="A490" s="2" t="inlineStr">
        <is>
          <t>Z002_02_102023_MATURIN.CSV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0028</t>
        </is>
      </c>
      <c r="H490" s="4" t="n">
        <v>45232</v>
      </c>
      <c r="I490" s="2" t="inlineStr">
        <is>
          <t>11:03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  <c r="N490" s="6" t="n">
        <v>2023</v>
      </c>
      <c r="O490" s="5" t="inlineStr">
        <is>
          <t>2023-10</t>
        </is>
      </c>
    </row>
    <row r="491">
      <c r="A491" s="2" t="inlineStr">
        <is>
          <t>Z002_02_102023_MATURIN.CSV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0028</t>
        </is>
      </c>
      <c r="H491" s="4" t="n">
        <v>45232</v>
      </c>
      <c r="I491" s="2" t="inlineStr">
        <is>
          <t>11:03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  <c r="N491" s="6" t="n">
        <v>2023</v>
      </c>
      <c r="O491" s="5" t="inlineStr">
        <is>
          <t>2023-10</t>
        </is>
      </c>
    </row>
    <row r="492">
      <c r="A492" s="2" t="inlineStr">
        <is>
          <t>Z002_02_102023_MATURIN.CSV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0028</t>
        </is>
      </c>
      <c r="H492" s="4" t="n">
        <v>45232</v>
      </c>
      <c r="I492" s="2" t="inlineStr">
        <is>
          <t>11:03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  <c r="N492" s="6" t="n">
        <v>2023</v>
      </c>
      <c r="O492" s="5" t="inlineStr">
        <is>
          <t>2023-10</t>
        </is>
      </c>
    </row>
    <row r="493">
      <c r="A493" s="2" t="inlineStr">
        <is>
          <t>Z002_02_102023_MATURIN.CSV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0028</t>
        </is>
      </c>
      <c r="H493" s="4" t="n">
        <v>45232</v>
      </c>
      <c r="I493" s="2" t="inlineStr">
        <is>
          <t>11:03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  <c r="N493" s="6" t="n">
        <v>2023</v>
      </c>
      <c r="O493" s="5" t="inlineStr">
        <is>
          <t>2023-10</t>
        </is>
      </c>
    </row>
    <row r="494">
      <c r="A494" s="2" t="inlineStr">
        <is>
          <t>Z002_02_102023_MATURIN.CSV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0028</t>
        </is>
      </c>
      <c r="H494" s="4" t="n">
        <v>45232</v>
      </c>
      <c r="I494" s="2" t="inlineStr">
        <is>
          <t>11:03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  <c r="N494" s="6" t="n">
        <v>2023</v>
      </c>
      <c r="O494" s="5" t="inlineStr">
        <is>
          <t>2023-10</t>
        </is>
      </c>
    </row>
    <row r="495">
      <c r="A495" s="2" t="inlineStr">
        <is>
          <t>Z002_02_102023_MATURIN.CSV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0028</t>
        </is>
      </c>
      <c r="H495" s="4" t="n">
        <v>45232</v>
      </c>
      <c r="I495" s="2" t="inlineStr">
        <is>
          <t>11:03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  <c r="N495" s="6" t="n">
        <v>2023</v>
      </c>
      <c r="O495" s="5" t="inlineStr">
        <is>
          <t>2023-10</t>
        </is>
      </c>
    </row>
    <row r="496">
      <c r="A496" s="2" t="inlineStr">
        <is>
          <t>Z002_02_102023_MATURIN.CSV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0028</t>
        </is>
      </c>
      <c r="H496" s="4" t="n">
        <v>45232</v>
      </c>
      <c r="I496" s="2" t="inlineStr">
        <is>
          <t>11:03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  <c r="N496" s="6" t="n">
        <v>2023</v>
      </c>
      <c r="O496" s="5" t="inlineStr">
        <is>
          <t>2023-10</t>
        </is>
      </c>
    </row>
    <row r="497">
      <c r="A497" s="2" t="inlineStr">
        <is>
          <t>Z002_02_102023_MATURIN.CSV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0028</t>
        </is>
      </c>
      <c r="H497" s="4" t="n">
        <v>45232</v>
      </c>
      <c r="I497" s="2" t="inlineStr">
        <is>
          <t>11:03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  <c r="N497" s="6" t="n">
        <v>2023</v>
      </c>
      <c r="O497" s="5" t="inlineStr">
        <is>
          <t>2023-10</t>
        </is>
      </c>
    </row>
    <row r="498">
      <c r="A498" s="2" t="inlineStr">
        <is>
          <t>Z002_02_102023_MATURIN.CSV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0028</t>
        </is>
      </c>
      <c r="H498" s="4" t="n">
        <v>45232</v>
      </c>
      <c r="I498" s="2" t="inlineStr">
        <is>
          <t>11:03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  <c r="N498" s="6" t="n">
        <v>2023</v>
      </c>
      <c r="O498" s="5" t="inlineStr">
        <is>
          <t>2023-10</t>
        </is>
      </c>
    </row>
    <row r="499">
      <c r="A499" s="2" t="inlineStr">
        <is>
          <t>Z002_02_102023_MATURIN.CSV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0028</t>
        </is>
      </c>
      <c r="H499" s="4" t="n">
        <v>45232</v>
      </c>
      <c r="I499" s="2" t="inlineStr">
        <is>
          <t>11:03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  <c r="N499" s="6" t="n">
        <v>2023</v>
      </c>
      <c r="O499" s="5" t="inlineStr">
        <is>
          <t>2023-10</t>
        </is>
      </c>
    </row>
    <row r="500">
      <c r="A500" s="2" t="inlineStr">
        <is>
          <t>Z002_02_102023_MATURIN.CSV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0028</t>
        </is>
      </c>
      <c r="H500" s="4" t="n">
        <v>45232</v>
      </c>
      <c r="I500" s="2" t="inlineStr">
        <is>
          <t>11:03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  <c r="N500" s="6" t="n">
        <v>2023</v>
      </c>
      <c r="O500" s="5" t="inlineStr">
        <is>
          <t>2023-10</t>
        </is>
      </c>
    </row>
    <row r="501">
      <c r="A501" s="2" t="inlineStr">
        <is>
          <t>Z002_02_102023_MATURIN.CSV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0028</t>
        </is>
      </c>
      <c r="H501" s="4" t="n">
        <v>45232</v>
      </c>
      <c r="I501" s="2" t="inlineStr">
        <is>
          <t>11:03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  <c r="N501" s="6" t="n">
        <v>2023</v>
      </c>
      <c r="O501" s="5" t="inlineStr">
        <is>
          <t>2023-10</t>
        </is>
      </c>
    </row>
    <row r="502">
      <c r="A502" s="2" t="inlineStr">
        <is>
          <t>Z102_05_122023_MATURIN.CSV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0022</t>
        </is>
      </c>
      <c r="H502" s="4" t="n">
        <v>45296</v>
      </c>
      <c r="I502" s="2" t="inlineStr">
        <is>
          <t>16:23</t>
        </is>
      </c>
      <c r="J502" s="3" t="inlineStr">
        <is>
          <t>0001</t>
        </is>
      </c>
      <c r="K502" s="2" t="inlineStr">
        <is>
          <t>ESPECES</t>
        </is>
      </c>
      <c r="L502" s="5" t="n">
        <v>20</v>
      </c>
      <c r="M502" s="5" t="n">
        <v>-11520</v>
      </c>
      <c r="N502" s="6" t="n">
        <v>2023</v>
      </c>
      <c r="O502" s="5" t="inlineStr">
        <is>
          <t>2023-12</t>
        </is>
      </c>
    </row>
    <row r="503">
      <c r="A503" s="2" t="inlineStr">
        <is>
          <t>Z102_05_122023_MATURIN.CSV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0022</t>
        </is>
      </c>
      <c r="H503" s="4" t="n">
        <v>45296</v>
      </c>
      <c r="I503" s="2" t="inlineStr">
        <is>
          <t>16:23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  <c r="N503" s="6" t="n">
        <v>2023</v>
      </c>
      <c r="O503" s="5" t="inlineStr">
        <is>
          <t>2023-12</t>
        </is>
      </c>
    </row>
    <row r="504">
      <c r="A504" s="2" t="inlineStr">
        <is>
          <t>Z102_05_122023_MATURIN.CSV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0022</t>
        </is>
      </c>
      <c r="H504" s="4" t="n">
        <v>45296</v>
      </c>
      <c r="I504" s="2" t="inlineStr">
        <is>
          <t>16:23</t>
        </is>
      </c>
      <c r="J504" s="3" t="inlineStr">
        <is>
          <t>0003</t>
        </is>
      </c>
      <c r="K504" s="2" t="inlineStr">
        <is>
          <t>CARTES</t>
        </is>
      </c>
      <c r="L504" s="5" t="n">
        <v>15</v>
      </c>
      <c r="M504" s="5" t="n">
        <v>-8301</v>
      </c>
      <c r="N504" s="6" t="n">
        <v>2023</v>
      </c>
      <c r="O504" s="5" t="inlineStr">
        <is>
          <t>2023-12</t>
        </is>
      </c>
    </row>
    <row r="505">
      <c r="A505" s="2" t="inlineStr">
        <is>
          <t>Z102_05_122023_MATURIN.CSV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0022</t>
        </is>
      </c>
      <c r="H505" s="4" t="n">
        <v>45296</v>
      </c>
      <c r="I505" s="2" t="inlineStr">
        <is>
          <t>16:23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  <c r="N505" s="6" t="n">
        <v>2023</v>
      </c>
      <c r="O505" s="5" t="inlineStr">
        <is>
          <t>2023-12</t>
        </is>
      </c>
    </row>
    <row r="506">
      <c r="A506" s="2" t="inlineStr">
        <is>
          <t>Z102_05_122023_MATURIN.CSV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0022</t>
        </is>
      </c>
      <c r="H506" s="4" t="n">
        <v>45296</v>
      </c>
      <c r="I506" s="2" t="inlineStr">
        <is>
          <t>16:23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  <c r="N506" s="6" t="n">
        <v>2023</v>
      </c>
      <c r="O506" s="5" t="inlineStr">
        <is>
          <t>2023-12</t>
        </is>
      </c>
    </row>
    <row r="507">
      <c r="A507" s="2" t="inlineStr">
        <is>
          <t>Z102_05_122023_MATURIN.CSV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0022</t>
        </is>
      </c>
      <c r="H507" s="4" t="n">
        <v>45296</v>
      </c>
      <c r="I507" s="2" t="inlineStr">
        <is>
          <t>16:23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  <c r="N507" s="6" t="n">
        <v>2023</v>
      </c>
      <c r="O507" s="5" t="inlineStr">
        <is>
          <t>2023-12</t>
        </is>
      </c>
    </row>
    <row r="508">
      <c r="A508" s="2" t="inlineStr">
        <is>
          <t>Z102_05_122023_MATURIN.CSV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0022</t>
        </is>
      </c>
      <c r="H508" s="4" t="n">
        <v>45296</v>
      </c>
      <c r="I508" s="2" t="inlineStr">
        <is>
          <t>16:23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  <c r="N508" s="6" t="n">
        <v>2023</v>
      </c>
      <c r="O508" s="5" t="inlineStr">
        <is>
          <t>2023-12</t>
        </is>
      </c>
    </row>
    <row r="509">
      <c r="A509" s="2" t="inlineStr">
        <is>
          <t>Z102_05_122023_MATURIN.CSV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0022</t>
        </is>
      </c>
      <c r="H509" s="4" t="n">
        <v>45296</v>
      </c>
      <c r="I509" s="2" t="inlineStr">
        <is>
          <t>16:23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  <c r="N509" s="6" t="n">
        <v>2023</v>
      </c>
      <c r="O509" s="5" t="inlineStr">
        <is>
          <t>2023-12</t>
        </is>
      </c>
    </row>
    <row r="510">
      <c r="A510" s="2" t="inlineStr">
        <is>
          <t>Z102_05_122023_MATURIN.CSV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0022</t>
        </is>
      </c>
      <c r="H510" s="4" t="n">
        <v>45296</v>
      </c>
      <c r="I510" s="2" t="inlineStr">
        <is>
          <t>16:23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  <c r="N510" s="6" t="n">
        <v>2023</v>
      </c>
      <c r="O510" s="5" t="inlineStr">
        <is>
          <t>2023-12</t>
        </is>
      </c>
    </row>
    <row r="511">
      <c r="A511" s="2" t="inlineStr">
        <is>
          <t>Z102_05_122023_MATURIN.CSV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0022</t>
        </is>
      </c>
      <c r="H511" s="4" t="n">
        <v>45296</v>
      </c>
      <c r="I511" s="2" t="inlineStr">
        <is>
          <t>16:23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  <c r="N511" s="6" t="n">
        <v>2023</v>
      </c>
      <c r="O511" s="5" t="inlineStr">
        <is>
          <t>2023-12</t>
        </is>
      </c>
    </row>
    <row r="512">
      <c r="A512" s="2" t="inlineStr">
        <is>
          <t>Z102_05_122023_MATURIN.CSV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0022</t>
        </is>
      </c>
      <c r="H512" s="4" t="n">
        <v>45296</v>
      </c>
      <c r="I512" s="2" t="inlineStr">
        <is>
          <t>16:23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  <c r="N512" s="6" t="n">
        <v>2023</v>
      </c>
      <c r="O512" s="5" t="inlineStr">
        <is>
          <t>2023-12</t>
        </is>
      </c>
    </row>
    <row r="513">
      <c r="A513" s="2" t="inlineStr">
        <is>
          <t>Z102_05_122023_MATURIN.CSV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0022</t>
        </is>
      </c>
      <c r="H513" s="4" t="n">
        <v>45296</v>
      </c>
      <c r="I513" s="2" t="inlineStr">
        <is>
          <t>16:23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  <c r="N513" s="6" t="n">
        <v>2023</v>
      </c>
      <c r="O513" s="5" t="inlineStr">
        <is>
          <t>2023-12</t>
        </is>
      </c>
    </row>
    <row r="514">
      <c r="A514" s="2" t="inlineStr">
        <is>
          <t>Z102_05_122023_MATURIN.CSV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0022</t>
        </is>
      </c>
      <c r="H514" s="4" t="n">
        <v>45296</v>
      </c>
      <c r="I514" s="2" t="inlineStr">
        <is>
          <t>16:23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  <c r="N514" s="6" t="n">
        <v>2023</v>
      </c>
      <c r="O514" s="5" t="inlineStr">
        <is>
          <t>2023-12</t>
        </is>
      </c>
    </row>
    <row r="515">
      <c r="A515" s="2" t="inlineStr">
        <is>
          <t>Z102_05_122023_MATURIN.CSV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0022</t>
        </is>
      </c>
      <c r="H515" s="4" t="n">
        <v>45296</v>
      </c>
      <c r="I515" s="2" t="inlineStr">
        <is>
          <t>16:23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  <c r="N515" s="6" t="n">
        <v>2023</v>
      </c>
      <c r="O515" s="5" t="inlineStr">
        <is>
          <t>2023-12</t>
        </is>
      </c>
    </row>
    <row r="516">
      <c r="A516" s="2" t="inlineStr">
        <is>
          <t>Z102_05_122023_MATURIN.CSV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0022</t>
        </is>
      </c>
      <c r="H516" s="4" t="n">
        <v>45296</v>
      </c>
      <c r="I516" s="2" t="inlineStr">
        <is>
          <t>16:23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  <c r="N516" s="6" t="n">
        <v>2023</v>
      </c>
      <c r="O516" s="5" t="inlineStr">
        <is>
          <t>2023-12</t>
        </is>
      </c>
    </row>
    <row r="517">
      <c r="A517" s="2" t="inlineStr">
        <is>
          <t>Z102_05_122023_MATURIN.CSV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0022</t>
        </is>
      </c>
      <c r="H517" s="4" t="n">
        <v>45296</v>
      </c>
      <c r="I517" s="2" t="inlineStr">
        <is>
          <t>16:23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  <c r="N517" s="6" t="n">
        <v>2023</v>
      </c>
      <c r="O517" s="5" t="inlineStr">
        <is>
          <t>2023-12</t>
        </is>
      </c>
    </row>
    <row r="518">
      <c r="A518" s="2" t="inlineStr">
        <is>
          <t>Z102_05_122023_MATURIN.CSV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0022</t>
        </is>
      </c>
      <c r="H518" s="4" t="n">
        <v>45296</v>
      </c>
      <c r="I518" s="2" t="inlineStr">
        <is>
          <t>16:23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  <c r="N518" s="6" t="n">
        <v>2023</v>
      </c>
      <c r="O518" s="5" t="inlineStr">
        <is>
          <t>2023-12</t>
        </is>
      </c>
    </row>
    <row r="519">
      <c r="A519" s="2" t="inlineStr">
        <is>
          <t>Z102_05_122023_MATURIN.CSV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0022</t>
        </is>
      </c>
      <c r="H519" s="4" t="n">
        <v>45296</v>
      </c>
      <c r="I519" s="2" t="inlineStr">
        <is>
          <t>16:23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  <c r="N519" s="6" t="n">
        <v>2023</v>
      </c>
      <c r="O519" s="5" t="inlineStr">
        <is>
          <t>2023-12</t>
        </is>
      </c>
    </row>
    <row r="520">
      <c r="A520" s="2" t="inlineStr">
        <is>
          <t>Z102_05_122023_MATURIN.CSV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0022</t>
        </is>
      </c>
      <c r="H520" s="4" t="n">
        <v>45296</v>
      </c>
      <c r="I520" s="2" t="inlineStr">
        <is>
          <t>16:23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  <c r="N520" s="6" t="n">
        <v>2023</v>
      </c>
      <c r="O520" s="5" t="inlineStr">
        <is>
          <t>2023-12</t>
        </is>
      </c>
    </row>
    <row r="521">
      <c r="A521" s="2" t="inlineStr">
        <is>
          <t>Z102_05_122023_MATURIN.CSV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0022</t>
        </is>
      </c>
      <c r="H521" s="4" t="n">
        <v>45296</v>
      </c>
      <c r="I521" s="2" t="inlineStr">
        <is>
          <t>16:23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  <c r="N521" s="6" t="n">
        <v>2023</v>
      </c>
      <c r="O521" s="5" t="inlineStr">
        <is>
          <t>2023-12</t>
        </is>
      </c>
    </row>
    <row r="522">
      <c r="A522" s="2" t="inlineStr">
        <is>
          <t>Z102_05_122023_MATURIN.CSV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0022</t>
        </is>
      </c>
      <c r="H522" s="4" t="n">
        <v>45296</v>
      </c>
      <c r="I522" s="2" t="inlineStr">
        <is>
          <t>16:23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  <c r="N522" s="6" t="n">
        <v>2023</v>
      </c>
      <c r="O522" s="5" t="inlineStr">
        <is>
          <t>2023-12</t>
        </is>
      </c>
    </row>
    <row r="523">
      <c r="A523" s="2" t="inlineStr">
        <is>
          <t>Z102_05_122023_MATURIN.CSV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0022</t>
        </is>
      </c>
      <c r="H523" s="4" t="n">
        <v>45296</v>
      </c>
      <c r="I523" s="2" t="inlineStr">
        <is>
          <t>16:23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  <c r="N523" s="6" t="n">
        <v>2023</v>
      </c>
      <c r="O523" s="5" t="inlineStr">
        <is>
          <t>2023-12</t>
        </is>
      </c>
    </row>
    <row r="524">
      <c r="A524" s="2" t="inlineStr">
        <is>
          <t>Z102_05_122023_MATURIN.CSV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0022</t>
        </is>
      </c>
      <c r="H524" s="4" t="n">
        <v>45296</v>
      </c>
      <c r="I524" s="2" t="inlineStr">
        <is>
          <t>16:23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  <c r="N524" s="6" t="n">
        <v>2023</v>
      </c>
      <c r="O524" s="5" t="inlineStr">
        <is>
          <t>2023-12</t>
        </is>
      </c>
    </row>
    <row r="525">
      <c r="A525" s="2" t="inlineStr">
        <is>
          <t>Z102_05_122023_MATURIN.CSV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0022</t>
        </is>
      </c>
      <c r="H525" s="4" t="n">
        <v>45296</v>
      </c>
      <c r="I525" s="2" t="inlineStr">
        <is>
          <t>16:23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  <c r="N525" s="6" t="n">
        <v>2023</v>
      </c>
      <c r="O525" s="5" t="inlineStr">
        <is>
          <t>2023-12</t>
        </is>
      </c>
    </row>
    <row r="526">
      <c r="A526" s="2" t="inlineStr">
        <is>
          <t>Z102_05_122023_MATURIN.CSV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0022</t>
        </is>
      </c>
      <c r="H526" s="4" t="n">
        <v>45296</v>
      </c>
      <c r="I526" s="2" t="inlineStr">
        <is>
          <t>16:23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  <c r="N526" s="6" t="n">
        <v>2023</v>
      </c>
      <c r="O526" s="5" t="inlineStr">
        <is>
          <t>2023-12</t>
        </is>
      </c>
    </row>
    <row r="527">
      <c r="A527" s="2" t="inlineStr">
        <is>
          <t>Z102_05_122023_MATURIN.CSV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0022</t>
        </is>
      </c>
      <c r="H527" s="4" t="n">
        <v>45296</v>
      </c>
      <c r="I527" s="2" t="inlineStr">
        <is>
          <t>16:23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  <c r="N527" s="6" t="n">
        <v>2023</v>
      </c>
      <c r="O527" s="5" t="inlineStr">
        <is>
          <t>2023-12</t>
        </is>
      </c>
    </row>
    <row r="528">
      <c r="A528" s="2" t="inlineStr">
        <is>
          <t>Z102_05_122023_MATURIN.CSV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0022</t>
        </is>
      </c>
      <c r="H528" s="4" t="n">
        <v>45296</v>
      </c>
      <c r="I528" s="2" t="inlineStr">
        <is>
          <t>16:23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  <c r="N528" s="6" t="n">
        <v>2023</v>
      </c>
      <c r="O528" s="5" t="inlineStr">
        <is>
          <t>2023-12</t>
        </is>
      </c>
    </row>
    <row r="529">
      <c r="A529" s="2" t="inlineStr">
        <is>
          <t>Z102_05_122023_MATURIN.CSV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0022</t>
        </is>
      </c>
      <c r="H529" s="4" t="n">
        <v>45296</v>
      </c>
      <c r="I529" s="2" t="inlineStr">
        <is>
          <t>16:23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  <c r="N529" s="6" t="n">
        <v>2023</v>
      </c>
      <c r="O529" s="5" t="inlineStr">
        <is>
          <t>2023-12</t>
        </is>
      </c>
    </row>
    <row r="530">
      <c r="A530" s="2" t="inlineStr">
        <is>
          <t>Z102_05_122023_MATURIN.CSV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0022</t>
        </is>
      </c>
      <c r="H530" s="4" t="n">
        <v>45296</v>
      </c>
      <c r="I530" s="2" t="inlineStr">
        <is>
          <t>16:23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  <c r="N530" s="6" t="n">
        <v>2023</v>
      </c>
      <c r="O530" s="5" t="inlineStr">
        <is>
          <t>2023-12</t>
        </is>
      </c>
    </row>
    <row r="531">
      <c r="A531" s="2" t="inlineStr">
        <is>
          <t>Z102_05_122023_MATURIN.CSV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0022</t>
        </is>
      </c>
      <c r="H531" s="4" t="n">
        <v>45296</v>
      </c>
      <c r="I531" s="2" t="inlineStr">
        <is>
          <t>16:23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  <c r="N531" s="6" t="n">
        <v>2023</v>
      </c>
      <c r="O531" s="5" t="inlineStr">
        <is>
          <t>2023-12</t>
        </is>
      </c>
    </row>
    <row r="532">
      <c r="A532" s="2" t="inlineStr">
        <is>
          <t>Z102_05_122023_MATURIN.CSV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0022</t>
        </is>
      </c>
      <c r="H532" s="4" t="n">
        <v>45296</v>
      </c>
      <c r="I532" s="2" t="inlineStr">
        <is>
          <t>16:23</t>
        </is>
      </c>
      <c r="J532" s="3" t="inlineStr">
        <is>
          <t>0031</t>
        </is>
      </c>
      <c r="K532" s="2" t="inlineStr">
        <is>
          <t>REF./TIROIR</t>
        </is>
      </c>
      <c r="L532" s="5" t="n">
        <v>3</v>
      </c>
      <c r="M532" s="5" t="n">
        <v>0</v>
      </c>
      <c r="N532" s="6" t="n">
        <v>2023</v>
      </c>
      <c r="O532" s="5" t="inlineStr">
        <is>
          <t>2023-12</t>
        </is>
      </c>
    </row>
    <row r="533">
      <c r="A533" s="2" t="inlineStr">
        <is>
          <t>Z102_05_122023_MATURIN.CSV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0022</t>
        </is>
      </c>
      <c r="H533" s="4" t="n">
        <v>45296</v>
      </c>
      <c r="I533" s="2" t="inlineStr">
        <is>
          <t>16:23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  <c r="N533" s="6" t="n">
        <v>2023</v>
      </c>
      <c r="O533" s="5" t="inlineStr">
        <is>
          <t>2023-12</t>
        </is>
      </c>
    </row>
    <row r="534">
      <c r="A534" s="2" t="inlineStr">
        <is>
          <t>Z102_05_122023_MATURIN.CSV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0022</t>
        </is>
      </c>
      <c r="H534" s="4" t="n">
        <v>45296</v>
      </c>
      <c r="I534" s="2" t="inlineStr">
        <is>
          <t>16:23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  <c r="N534" s="6" t="n">
        <v>2023</v>
      </c>
      <c r="O534" s="5" t="inlineStr">
        <is>
          <t>2023-12</t>
        </is>
      </c>
    </row>
    <row r="535">
      <c r="A535" s="2" t="inlineStr">
        <is>
          <t>Z102_05_122023_MATURIN.CSV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0022</t>
        </is>
      </c>
      <c r="H535" s="4" t="n">
        <v>45296</v>
      </c>
      <c r="I535" s="2" t="inlineStr">
        <is>
          <t>16:23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  <c r="N535" s="6" t="n">
        <v>2023</v>
      </c>
      <c r="O535" s="5" t="inlineStr">
        <is>
          <t>2023-12</t>
        </is>
      </c>
    </row>
    <row r="536">
      <c r="A536" s="2" t="inlineStr">
        <is>
          <t>Z102_05_122023_MATURIN.CSV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0022</t>
        </is>
      </c>
      <c r="H536" s="4" t="n">
        <v>45296</v>
      </c>
      <c r="I536" s="2" t="inlineStr">
        <is>
          <t>16:23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  <c r="N536" s="6" t="n">
        <v>2023</v>
      </c>
      <c r="O536" s="5" t="inlineStr">
        <is>
          <t>2023-12</t>
        </is>
      </c>
    </row>
    <row r="537">
      <c r="A537" s="2" t="inlineStr">
        <is>
          <t>Z102_05_122023_MATURIN.CSV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0022</t>
        </is>
      </c>
      <c r="H537" s="4" t="n">
        <v>45296</v>
      </c>
      <c r="I537" s="2" t="inlineStr">
        <is>
          <t>16:23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  <c r="N537" s="6" t="n">
        <v>2023</v>
      </c>
      <c r="O537" s="5" t="inlineStr">
        <is>
          <t>2023-12</t>
        </is>
      </c>
    </row>
    <row r="538">
      <c r="A538" s="2" t="inlineStr">
        <is>
          <t>Z102_05_122023_MATURIN.CSV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0022</t>
        </is>
      </c>
      <c r="H538" s="4" t="n">
        <v>45296</v>
      </c>
      <c r="I538" s="2" t="inlineStr">
        <is>
          <t>16:23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  <c r="N538" s="6" t="n">
        <v>2023</v>
      </c>
      <c r="O538" s="5" t="inlineStr">
        <is>
          <t>2023-12</t>
        </is>
      </c>
    </row>
    <row r="539">
      <c r="A539" s="2" t="inlineStr">
        <is>
          <t>Z102_05_122023_MATURIN.CSV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0022</t>
        </is>
      </c>
      <c r="H539" s="4" t="n">
        <v>45296</v>
      </c>
      <c r="I539" s="2" t="inlineStr">
        <is>
          <t>16:23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  <c r="N539" s="6" t="n">
        <v>2023</v>
      </c>
      <c r="O539" s="5" t="inlineStr">
        <is>
          <t>2023-12</t>
        </is>
      </c>
    </row>
    <row r="540">
      <c r="A540" s="2" t="inlineStr">
        <is>
          <t>Z102_05_122023_MATURIN.CSV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0022</t>
        </is>
      </c>
      <c r="H540" s="4" t="n">
        <v>45296</v>
      </c>
      <c r="I540" s="2" t="inlineStr">
        <is>
          <t>16:23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  <c r="N540" s="6" t="n">
        <v>2023</v>
      </c>
      <c r="O540" s="5" t="inlineStr">
        <is>
          <t>2023-12</t>
        </is>
      </c>
    </row>
    <row r="541">
      <c r="A541" s="2" t="inlineStr">
        <is>
          <t>Z102_05_122023_MATURIN.CSV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0022</t>
        </is>
      </c>
      <c r="H541" s="4" t="n">
        <v>45296</v>
      </c>
      <c r="I541" s="2" t="inlineStr">
        <is>
          <t>16:23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  <c r="N541" s="6" t="n">
        <v>2023</v>
      </c>
      <c r="O541" s="5" t="inlineStr">
        <is>
          <t>2023-12</t>
        </is>
      </c>
    </row>
    <row r="542">
      <c r="A542" s="2" t="inlineStr">
        <is>
          <t>Z102_05_122023_MATURIN.CSV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0022</t>
        </is>
      </c>
      <c r="H542" s="4" t="n">
        <v>45296</v>
      </c>
      <c r="I542" s="2" t="inlineStr">
        <is>
          <t>16:23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  <c r="N542" s="6" t="n">
        <v>2023</v>
      </c>
      <c r="O542" s="5" t="inlineStr">
        <is>
          <t>2023-12</t>
        </is>
      </c>
    </row>
    <row r="543">
      <c r="A543" s="2" t="inlineStr">
        <is>
          <t>Z102_05_122023_MATURIN.CSV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0022</t>
        </is>
      </c>
      <c r="H543" s="4" t="n">
        <v>45296</v>
      </c>
      <c r="I543" s="2" t="inlineStr">
        <is>
          <t>16:23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  <c r="N543" s="6" t="n">
        <v>2023</v>
      </c>
      <c r="O543" s="5" t="inlineStr">
        <is>
          <t>2023-12</t>
        </is>
      </c>
    </row>
    <row r="544">
      <c r="A544" s="2" t="inlineStr">
        <is>
          <t>Z102_05_122023_MATURIN.CSV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0022</t>
        </is>
      </c>
      <c r="H544" s="4" t="n">
        <v>45296</v>
      </c>
      <c r="I544" s="2" t="inlineStr">
        <is>
          <t>16:23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  <c r="N544" s="6" t="n">
        <v>2023</v>
      </c>
      <c r="O544" s="5" t="inlineStr">
        <is>
          <t>2023-12</t>
        </is>
      </c>
    </row>
    <row r="545">
      <c r="A545" s="2" t="inlineStr">
        <is>
          <t>Z102_05_122023_MATURIN.CSV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0022</t>
        </is>
      </c>
      <c r="H545" s="4" t="n">
        <v>45296</v>
      </c>
      <c r="I545" s="2" t="inlineStr">
        <is>
          <t>16:23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  <c r="N545" s="6" t="n">
        <v>2023</v>
      </c>
      <c r="O545" s="5" t="inlineStr">
        <is>
          <t>2023-12</t>
        </is>
      </c>
    </row>
    <row r="546">
      <c r="A546" s="2" t="inlineStr">
        <is>
          <t>Z102_05_122023_MATURIN.CSV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0022</t>
        </is>
      </c>
      <c r="H546" s="4" t="n">
        <v>45296</v>
      </c>
      <c r="I546" s="2" t="inlineStr">
        <is>
          <t>16:23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  <c r="N546" s="6" t="n">
        <v>2023</v>
      </c>
      <c r="O546" s="5" t="inlineStr">
        <is>
          <t>2023-12</t>
        </is>
      </c>
    </row>
    <row r="547">
      <c r="A547" s="2" t="inlineStr">
        <is>
          <t>Z102_05_122023_MATURIN.CSV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0022</t>
        </is>
      </c>
      <c r="H547" s="4" t="n">
        <v>45296</v>
      </c>
      <c r="I547" s="2" t="inlineStr">
        <is>
          <t>16:23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  <c r="N547" s="6" t="n">
        <v>2023</v>
      </c>
      <c r="O547" s="5" t="inlineStr">
        <is>
          <t>2023-12</t>
        </is>
      </c>
    </row>
    <row r="548">
      <c r="A548" s="2" t="inlineStr">
        <is>
          <t>Z102_05_122023_MATURIN.CSV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0022</t>
        </is>
      </c>
      <c r="H548" s="4" t="n">
        <v>45296</v>
      </c>
      <c r="I548" s="2" t="inlineStr">
        <is>
          <t>16:23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  <c r="N548" s="6" t="n">
        <v>2023</v>
      </c>
      <c r="O548" s="5" t="inlineStr">
        <is>
          <t>2023-12</t>
        </is>
      </c>
    </row>
    <row r="549">
      <c r="A549" s="2" t="inlineStr">
        <is>
          <t>Z102_05_122023_MATURIN.CSV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0022</t>
        </is>
      </c>
      <c r="H549" s="4" t="n">
        <v>45296</v>
      </c>
      <c r="I549" s="2" t="inlineStr">
        <is>
          <t>16:23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  <c r="N549" s="6" t="n">
        <v>2023</v>
      </c>
      <c r="O549" s="5" t="inlineStr">
        <is>
          <t>2023-12</t>
        </is>
      </c>
    </row>
    <row r="550">
      <c r="A550" s="2" t="inlineStr">
        <is>
          <t>Z102_05_122023_MATURIN.CSV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0022</t>
        </is>
      </c>
      <c r="H550" s="4" t="n">
        <v>45296</v>
      </c>
      <c r="I550" s="2" t="inlineStr">
        <is>
          <t>16:23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  <c r="N550" s="6" t="n">
        <v>2023</v>
      </c>
      <c r="O550" s="5" t="inlineStr">
        <is>
          <t>2023-12</t>
        </is>
      </c>
    </row>
    <row r="551">
      <c r="A551" s="2" t="inlineStr">
        <is>
          <t>Z102_05_122023_MATURIN.CSV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0022</t>
        </is>
      </c>
      <c r="H551" s="4" t="n">
        <v>45296</v>
      </c>
      <c r="I551" s="2" t="inlineStr">
        <is>
          <t>16:23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  <c r="N551" s="6" t="n">
        <v>2023</v>
      </c>
      <c r="O551" s="5" t="inlineStr">
        <is>
          <t>2023-12</t>
        </is>
      </c>
    </row>
    <row r="552">
      <c r="A552" s="2" t="inlineStr">
        <is>
          <t>Z102_06_112023_MATURIN.CSV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0021</t>
        </is>
      </c>
      <c r="H552" s="4" t="n">
        <v>45266</v>
      </c>
      <c r="I552" s="2" t="inlineStr">
        <is>
          <t>15:53</t>
        </is>
      </c>
      <c r="J552" s="3" t="inlineStr">
        <is>
          <t>0001</t>
        </is>
      </c>
      <c r="K552" s="2" t="inlineStr">
        <is>
          <t>ESPECES</t>
        </is>
      </c>
      <c r="L552" s="5" t="n">
        <v>163</v>
      </c>
      <c r="M552" s="5" t="n">
        <v>98982.74000000001</v>
      </c>
      <c r="N552" s="6" t="n">
        <v>2023</v>
      </c>
      <c r="O552" s="5" t="inlineStr">
        <is>
          <t>2023-11</t>
        </is>
      </c>
    </row>
    <row r="553">
      <c r="A553" s="2" t="inlineStr">
        <is>
          <t>Z102_06_112023_MATURIN.CSV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0021</t>
        </is>
      </c>
      <c r="H553" s="4" t="n">
        <v>45266</v>
      </c>
      <c r="I553" s="2" t="inlineStr">
        <is>
          <t>15:53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  <c r="N553" s="6" t="n">
        <v>2023</v>
      </c>
      <c r="O553" s="5" t="inlineStr">
        <is>
          <t>2023-11</t>
        </is>
      </c>
    </row>
    <row r="554">
      <c r="A554" s="2" t="inlineStr">
        <is>
          <t>Z102_06_112023_MATURIN.CSV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0021</t>
        </is>
      </c>
      <c r="H554" s="4" t="n">
        <v>45266</v>
      </c>
      <c r="I554" s="2" t="inlineStr">
        <is>
          <t>15:53</t>
        </is>
      </c>
      <c r="J554" s="3" t="inlineStr">
        <is>
          <t>0003</t>
        </is>
      </c>
      <c r="K554" s="2" t="inlineStr">
        <is>
          <t>CARTES</t>
        </is>
      </c>
      <c r="L554" s="5" t="n">
        <v>297</v>
      </c>
      <c r="M554" s="5" t="n">
        <v>246113.08</v>
      </c>
      <c r="N554" s="6" t="n">
        <v>2023</v>
      </c>
      <c r="O554" s="5" t="inlineStr">
        <is>
          <t>2023-11</t>
        </is>
      </c>
    </row>
    <row r="555">
      <c r="A555" s="2" t="inlineStr">
        <is>
          <t>Z102_06_112023_MATURIN.CSV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0021</t>
        </is>
      </c>
      <c r="H555" s="4" t="n">
        <v>45266</v>
      </c>
      <c r="I555" s="2" t="inlineStr">
        <is>
          <t>15:53</t>
        </is>
      </c>
      <c r="J555" s="3" t="inlineStr">
        <is>
          <t>0004</t>
        </is>
      </c>
      <c r="K555" s="2" t="inlineStr">
        <is>
          <t>CHEQUES</t>
        </is>
      </c>
      <c r="L555" s="5" t="n">
        <v>1</v>
      </c>
      <c r="M555" s="5" t="n">
        <v>329</v>
      </c>
      <c r="N555" s="6" t="n">
        <v>2023</v>
      </c>
      <c r="O555" s="5" t="inlineStr">
        <is>
          <t>2023-11</t>
        </is>
      </c>
    </row>
    <row r="556">
      <c r="A556" s="2" t="inlineStr">
        <is>
          <t>Z102_06_112023_MATURIN.CSV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0021</t>
        </is>
      </c>
      <c r="H556" s="4" t="n">
        <v>45266</v>
      </c>
      <c r="I556" s="2" t="inlineStr">
        <is>
          <t>15:53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  <c r="N556" s="6" t="n">
        <v>2023</v>
      </c>
      <c r="O556" s="5" t="inlineStr">
        <is>
          <t>2023-11</t>
        </is>
      </c>
    </row>
    <row r="557">
      <c r="A557" s="2" t="inlineStr">
        <is>
          <t>Z102_06_112023_MATURIN.CSV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0021</t>
        </is>
      </c>
      <c r="H557" s="4" t="n">
        <v>45266</v>
      </c>
      <c r="I557" s="2" t="inlineStr">
        <is>
          <t>15:53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  <c r="N557" s="6" t="n">
        <v>2023</v>
      </c>
      <c r="O557" s="5" t="inlineStr">
        <is>
          <t>2023-11</t>
        </is>
      </c>
    </row>
    <row r="558">
      <c r="A558" s="2" t="inlineStr">
        <is>
          <t>Z102_06_112023_MATURIN.CSV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0021</t>
        </is>
      </c>
      <c r="H558" s="4" t="n">
        <v>45266</v>
      </c>
      <c r="I558" s="2" t="inlineStr">
        <is>
          <t>15:53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  <c r="N558" s="6" t="n">
        <v>2023</v>
      </c>
      <c r="O558" s="5" t="inlineStr">
        <is>
          <t>2023-11</t>
        </is>
      </c>
    </row>
    <row r="559">
      <c r="A559" s="2" t="inlineStr">
        <is>
          <t>Z102_06_112023_MATURIN.CSV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0021</t>
        </is>
      </c>
      <c r="H559" s="4" t="n">
        <v>45266</v>
      </c>
      <c r="I559" s="2" t="inlineStr">
        <is>
          <t>15:53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  <c r="N559" s="6" t="n">
        <v>2023</v>
      </c>
      <c r="O559" s="5" t="inlineStr">
        <is>
          <t>2023-11</t>
        </is>
      </c>
    </row>
    <row r="560">
      <c r="A560" s="2" t="inlineStr">
        <is>
          <t>Z102_06_112023_MATURIN.CSV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0021</t>
        </is>
      </c>
      <c r="H560" s="4" t="n">
        <v>45266</v>
      </c>
      <c r="I560" s="2" t="inlineStr">
        <is>
          <t>15:53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  <c r="N560" s="6" t="n">
        <v>2023</v>
      </c>
      <c r="O560" s="5" t="inlineStr">
        <is>
          <t>2023-11</t>
        </is>
      </c>
    </row>
    <row r="561">
      <c r="A561" s="2" t="inlineStr">
        <is>
          <t>Z102_06_112023_MATURIN.CSV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0021</t>
        </is>
      </c>
      <c r="H561" s="4" t="n">
        <v>45266</v>
      </c>
      <c r="I561" s="2" t="inlineStr">
        <is>
          <t>15:53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  <c r="N561" s="6" t="n">
        <v>2023</v>
      </c>
      <c r="O561" s="5" t="inlineStr">
        <is>
          <t>2023-11</t>
        </is>
      </c>
    </row>
    <row r="562">
      <c r="A562" s="2" t="inlineStr">
        <is>
          <t>Z102_06_112023_MATURIN.CSV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0021</t>
        </is>
      </c>
      <c r="H562" s="4" t="n">
        <v>45266</v>
      </c>
      <c r="I562" s="2" t="inlineStr">
        <is>
          <t>15:53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  <c r="N562" s="6" t="n">
        <v>2023</v>
      </c>
      <c r="O562" s="5" t="inlineStr">
        <is>
          <t>2023-11</t>
        </is>
      </c>
    </row>
    <row r="563">
      <c r="A563" s="2" t="inlineStr">
        <is>
          <t>Z102_06_112023_MATURIN.CSV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0021</t>
        </is>
      </c>
      <c r="H563" s="4" t="n">
        <v>45266</v>
      </c>
      <c r="I563" s="2" t="inlineStr">
        <is>
          <t>15:53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  <c r="N563" s="6" t="n">
        <v>2023</v>
      </c>
      <c r="O563" s="5" t="inlineStr">
        <is>
          <t>2023-11</t>
        </is>
      </c>
    </row>
    <row r="564">
      <c r="A564" s="2" t="inlineStr">
        <is>
          <t>Z102_06_112023_MATURIN.CSV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0021</t>
        </is>
      </c>
      <c r="H564" s="4" t="n">
        <v>45266</v>
      </c>
      <c r="I564" s="2" t="inlineStr">
        <is>
          <t>15:53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  <c r="N564" s="6" t="n">
        <v>2023</v>
      </c>
      <c r="O564" s="5" t="inlineStr">
        <is>
          <t>2023-11</t>
        </is>
      </c>
    </row>
    <row r="565">
      <c r="A565" s="2" t="inlineStr">
        <is>
          <t>Z102_06_112023_MATURIN.CSV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0021</t>
        </is>
      </c>
      <c r="H565" s="4" t="n">
        <v>45266</v>
      </c>
      <c r="I565" s="2" t="inlineStr">
        <is>
          <t>15:53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  <c r="N565" s="6" t="n">
        <v>2023</v>
      </c>
      <c r="O565" s="5" t="inlineStr">
        <is>
          <t>2023-11</t>
        </is>
      </c>
    </row>
    <row r="566">
      <c r="A566" s="2" t="inlineStr">
        <is>
          <t>Z102_06_112023_MATURIN.CSV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0021</t>
        </is>
      </c>
      <c r="H566" s="4" t="n">
        <v>45266</v>
      </c>
      <c r="I566" s="2" t="inlineStr">
        <is>
          <t>15:53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  <c r="N566" s="6" t="n">
        <v>2023</v>
      </c>
      <c r="O566" s="5" t="inlineStr">
        <is>
          <t>2023-11</t>
        </is>
      </c>
    </row>
    <row r="567">
      <c r="A567" s="2" t="inlineStr">
        <is>
          <t>Z102_06_112023_MATURIN.CSV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0021</t>
        </is>
      </c>
      <c r="H567" s="4" t="n">
        <v>45266</v>
      </c>
      <c r="I567" s="2" t="inlineStr">
        <is>
          <t>15:53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  <c r="N567" s="6" t="n">
        <v>2023</v>
      </c>
      <c r="O567" s="5" t="inlineStr">
        <is>
          <t>2023-11</t>
        </is>
      </c>
    </row>
    <row r="568">
      <c r="A568" s="2" t="inlineStr">
        <is>
          <t>Z102_06_112023_MATURIN.CSV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0021</t>
        </is>
      </c>
      <c r="H568" s="4" t="n">
        <v>45266</v>
      </c>
      <c r="I568" s="2" t="inlineStr">
        <is>
          <t>15:53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  <c r="N568" s="6" t="n">
        <v>2023</v>
      </c>
      <c r="O568" s="5" t="inlineStr">
        <is>
          <t>2023-11</t>
        </is>
      </c>
    </row>
    <row r="569">
      <c r="A569" s="2" t="inlineStr">
        <is>
          <t>Z102_06_112023_MATURIN.CSV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0021</t>
        </is>
      </c>
      <c r="H569" s="4" t="n">
        <v>45266</v>
      </c>
      <c r="I569" s="2" t="inlineStr">
        <is>
          <t>15:53</t>
        </is>
      </c>
      <c r="J569" s="3" t="inlineStr">
        <is>
          <t>0018</t>
        </is>
      </c>
      <c r="K569" s="2" t="inlineStr">
        <is>
          <t>CORRECTION</t>
        </is>
      </c>
      <c r="L569" s="5" t="n">
        <v>5</v>
      </c>
      <c r="M569" s="5" t="n">
        <v>346.13</v>
      </c>
      <c r="N569" s="6" t="n">
        <v>2023</v>
      </c>
      <c r="O569" s="5" t="inlineStr">
        <is>
          <t>2023-11</t>
        </is>
      </c>
    </row>
    <row r="570">
      <c r="A570" s="2" t="inlineStr">
        <is>
          <t>Z102_06_112023_MATURIN.CSV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0021</t>
        </is>
      </c>
      <c r="H570" s="4" t="n">
        <v>45266</v>
      </c>
      <c r="I570" s="2" t="inlineStr">
        <is>
          <t>15:53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  <c r="N570" s="6" t="n">
        <v>2023</v>
      </c>
      <c r="O570" s="5" t="inlineStr">
        <is>
          <t>2023-11</t>
        </is>
      </c>
    </row>
    <row r="571">
      <c r="A571" s="2" t="inlineStr">
        <is>
          <t>Z102_06_112023_MATURIN.CSV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0021</t>
        </is>
      </c>
      <c r="H571" s="4" t="n">
        <v>45266</v>
      </c>
      <c r="I571" s="2" t="inlineStr">
        <is>
          <t>15:53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  <c r="N571" s="6" t="n">
        <v>2023</v>
      </c>
      <c r="O571" s="5" t="inlineStr">
        <is>
          <t>2023-11</t>
        </is>
      </c>
    </row>
    <row r="572">
      <c r="A572" s="2" t="inlineStr">
        <is>
          <t>Z102_06_112023_MATURIN.CSV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0021</t>
        </is>
      </c>
      <c r="H572" s="4" t="n">
        <v>45266</v>
      </c>
      <c r="I572" s="2" t="inlineStr">
        <is>
          <t>15:53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  <c r="N572" s="6" t="n">
        <v>2023</v>
      </c>
      <c r="O572" s="5" t="inlineStr">
        <is>
          <t>2023-11</t>
        </is>
      </c>
    </row>
    <row r="573">
      <c r="A573" s="2" t="inlineStr">
        <is>
          <t>Z102_06_112023_MATURIN.CSV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0021</t>
        </is>
      </c>
      <c r="H573" s="4" t="n">
        <v>45266</v>
      </c>
      <c r="I573" s="2" t="inlineStr">
        <is>
          <t>15:53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  <c r="N573" s="6" t="n">
        <v>2023</v>
      </c>
      <c r="O573" s="5" t="inlineStr">
        <is>
          <t>2023-11</t>
        </is>
      </c>
    </row>
    <row r="574">
      <c r="A574" s="2" t="inlineStr">
        <is>
          <t>Z102_06_112023_MATURIN.CSV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0021</t>
        </is>
      </c>
      <c r="H574" s="4" t="n">
        <v>45266</v>
      </c>
      <c r="I574" s="2" t="inlineStr">
        <is>
          <t>15:53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  <c r="N574" s="6" t="n">
        <v>2023</v>
      </c>
      <c r="O574" s="5" t="inlineStr">
        <is>
          <t>2023-11</t>
        </is>
      </c>
    </row>
    <row r="575">
      <c r="A575" s="2" t="inlineStr">
        <is>
          <t>Z102_06_112023_MATURIN.CSV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0021</t>
        </is>
      </c>
      <c r="H575" s="4" t="n">
        <v>45266</v>
      </c>
      <c r="I575" s="2" t="inlineStr">
        <is>
          <t>15:53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  <c r="N575" s="6" t="n">
        <v>2023</v>
      </c>
      <c r="O575" s="5" t="inlineStr">
        <is>
          <t>2023-11</t>
        </is>
      </c>
    </row>
    <row r="576">
      <c r="A576" s="2" t="inlineStr">
        <is>
          <t>Z102_06_112023_MATURIN.CSV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0021</t>
        </is>
      </c>
      <c r="H576" s="4" t="n">
        <v>45266</v>
      </c>
      <c r="I576" s="2" t="inlineStr">
        <is>
          <t>15:53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  <c r="N576" s="6" t="n">
        <v>2023</v>
      </c>
      <c r="O576" s="5" t="inlineStr">
        <is>
          <t>2023-11</t>
        </is>
      </c>
    </row>
    <row r="577">
      <c r="A577" s="2" t="inlineStr">
        <is>
          <t>Z102_06_112023_MATURIN.CSV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0021</t>
        </is>
      </c>
      <c r="H577" s="4" t="n">
        <v>45266</v>
      </c>
      <c r="I577" s="2" t="inlineStr">
        <is>
          <t>15:53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  <c r="N577" s="6" t="n">
        <v>2023</v>
      </c>
      <c r="O577" s="5" t="inlineStr">
        <is>
          <t>2023-11</t>
        </is>
      </c>
    </row>
    <row r="578">
      <c r="A578" s="2" t="inlineStr">
        <is>
          <t>Z102_06_112023_MATURIN.CSV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0021</t>
        </is>
      </c>
      <c r="H578" s="4" t="n">
        <v>45266</v>
      </c>
      <c r="I578" s="2" t="inlineStr">
        <is>
          <t>15:53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  <c r="N578" s="6" t="n">
        <v>2023</v>
      </c>
      <c r="O578" s="5" t="inlineStr">
        <is>
          <t>2023-11</t>
        </is>
      </c>
    </row>
    <row r="579">
      <c r="A579" s="2" t="inlineStr">
        <is>
          <t>Z102_06_112023_MATURIN.CSV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0021</t>
        </is>
      </c>
      <c r="H579" s="4" t="n">
        <v>45266</v>
      </c>
      <c r="I579" s="2" t="inlineStr">
        <is>
          <t>15:53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  <c r="N579" s="6" t="n">
        <v>2023</v>
      </c>
      <c r="O579" s="5" t="inlineStr">
        <is>
          <t>2023-11</t>
        </is>
      </c>
    </row>
    <row r="580">
      <c r="A580" s="2" t="inlineStr">
        <is>
          <t>Z102_06_112023_MATURIN.CSV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0021</t>
        </is>
      </c>
      <c r="H580" s="4" t="n">
        <v>45266</v>
      </c>
      <c r="I580" s="2" t="inlineStr">
        <is>
          <t>15:53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  <c r="N580" s="6" t="n">
        <v>2023</v>
      </c>
      <c r="O580" s="5" t="inlineStr">
        <is>
          <t>2023-11</t>
        </is>
      </c>
    </row>
    <row r="581">
      <c r="A581" s="2" t="inlineStr">
        <is>
          <t>Z102_06_112023_MATURIN.CSV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0021</t>
        </is>
      </c>
      <c r="H581" s="4" t="n">
        <v>45266</v>
      </c>
      <c r="I581" s="2" t="inlineStr">
        <is>
          <t>15:53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  <c r="N581" s="6" t="n">
        <v>2023</v>
      </c>
      <c r="O581" s="5" t="inlineStr">
        <is>
          <t>2023-11</t>
        </is>
      </c>
    </row>
    <row r="582">
      <c r="A582" s="2" t="inlineStr">
        <is>
          <t>Z102_06_112023_MATURIN.CSV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0021</t>
        </is>
      </c>
      <c r="H582" s="4" t="n">
        <v>45266</v>
      </c>
      <c r="I582" s="2" t="inlineStr">
        <is>
          <t>15:53</t>
        </is>
      </c>
      <c r="J582" s="3" t="inlineStr">
        <is>
          <t>0031</t>
        </is>
      </c>
      <c r="K582" s="2" t="inlineStr">
        <is>
          <t>REF./TIROIR</t>
        </is>
      </c>
      <c r="L582" s="5" t="n">
        <v>172</v>
      </c>
      <c r="M582" s="5" t="n">
        <v>0</v>
      </c>
      <c r="N582" s="6" t="n">
        <v>2023</v>
      </c>
      <c r="O582" s="5" t="inlineStr">
        <is>
          <t>2023-11</t>
        </is>
      </c>
    </row>
    <row r="583">
      <c r="A583" s="2" t="inlineStr">
        <is>
          <t>Z102_06_112023_MATURIN.CSV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0021</t>
        </is>
      </c>
      <c r="H583" s="4" t="n">
        <v>45266</v>
      </c>
      <c r="I583" s="2" t="inlineStr">
        <is>
          <t>15:53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  <c r="N583" s="6" t="n">
        <v>2023</v>
      </c>
      <c r="O583" s="5" t="inlineStr">
        <is>
          <t>2023-11</t>
        </is>
      </c>
    </row>
    <row r="584">
      <c r="A584" s="2" t="inlineStr">
        <is>
          <t>Z102_06_112023_MATURIN.CSV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0021</t>
        </is>
      </c>
      <c r="H584" s="4" t="n">
        <v>45266</v>
      </c>
      <c r="I584" s="2" t="inlineStr">
        <is>
          <t>15:53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  <c r="N584" s="6" t="n">
        <v>2023</v>
      </c>
      <c r="O584" s="5" t="inlineStr">
        <is>
          <t>2023-11</t>
        </is>
      </c>
    </row>
    <row r="585">
      <c r="A585" s="2" t="inlineStr">
        <is>
          <t>Z102_06_112023_MATURIN.CSV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0021</t>
        </is>
      </c>
      <c r="H585" s="4" t="n">
        <v>45266</v>
      </c>
      <c r="I585" s="2" t="inlineStr">
        <is>
          <t>15:53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  <c r="N585" s="6" t="n">
        <v>2023</v>
      </c>
      <c r="O585" s="5" t="inlineStr">
        <is>
          <t>2023-11</t>
        </is>
      </c>
    </row>
    <row r="586">
      <c r="A586" s="2" t="inlineStr">
        <is>
          <t>Z102_06_112023_MATURIN.CSV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0021</t>
        </is>
      </c>
      <c r="H586" s="4" t="n">
        <v>45266</v>
      </c>
      <c r="I586" s="2" t="inlineStr">
        <is>
          <t>15:53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  <c r="N586" s="6" t="n">
        <v>2023</v>
      </c>
      <c r="O586" s="5" t="inlineStr">
        <is>
          <t>2023-11</t>
        </is>
      </c>
    </row>
    <row r="587">
      <c r="A587" s="2" t="inlineStr">
        <is>
          <t>Z102_06_112023_MATURIN.CSV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0021</t>
        </is>
      </c>
      <c r="H587" s="4" t="n">
        <v>45266</v>
      </c>
      <c r="I587" s="2" t="inlineStr">
        <is>
          <t>15:53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  <c r="N587" s="6" t="n">
        <v>2023</v>
      </c>
      <c r="O587" s="5" t="inlineStr">
        <is>
          <t>2023-11</t>
        </is>
      </c>
    </row>
    <row r="588">
      <c r="A588" s="2" t="inlineStr">
        <is>
          <t>Z102_06_112023_MATURIN.CSV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0021</t>
        </is>
      </c>
      <c r="H588" s="4" t="n">
        <v>45266</v>
      </c>
      <c r="I588" s="2" t="inlineStr">
        <is>
          <t>15:53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  <c r="N588" s="6" t="n">
        <v>2023</v>
      </c>
      <c r="O588" s="5" t="inlineStr">
        <is>
          <t>2023-11</t>
        </is>
      </c>
    </row>
    <row r="589">
      <c r="A589" s="2" t="inlineStr">
        <is>
          <t>Z102_06_112023_MATURIN.CSV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0021</t>
        </is>
      </c>
      <c r="H589" s="4" t="n">
        <v>45266</v>
      </c>
      <c r="I589" s="2" t="inlineStr">
        <is>
          <t>15:53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  <c r="N589" s="6" t="n">
        <v>2023</v>
      </c>
      <c r="O589" s="5" t="inlineStr">
        <is>
          <t>2023-11</t>
        </is>
      </c>
    </row>
    <row r="590">
      <c r="A590" s="2" t="inlineStr">
        <is>
          <t>Z102_06_112023_MATURIN.CSV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0021</t>
        </is>
      </c>
      <c r="H590" s="4" t="n">
        <v>45266</v>
      </c>
      <c r="I590" s="2" t="inlineStr">
        <is>
          <t>15:53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  <c r="N590" s="6" t="n">
        <v>2023</v>
      </c>
      <c r="O590" s="5" t="inlineStr">
        <is>
          <t>2023-11</t>
        </is>
      </c>
    </row>
    <row r="591">
      <c r="A591" s="2" t="inlineStr">
        <is>
          <t>Z102_06_112023_MATURIN.CSV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0021</t>
        </is>
      </c>
      <c r="H591" s="4" t="n">
        <v>45266</v>
      </c>
      <c r="I591" s="2" t="inlineStr">
        <is>
          <t>15:53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  <c r="N591" s="6" t="n">
        <v>2023</v>
      </c>
      <c r="O591" s="5" t="inlineStr">
        <is>
          <t>2023-11</t>
        </is>
      </c>
    </row>
    <row r="592">
      <c r="A592" s="2" t="inlineStr">
        <is>
          <t>Z102_06_112023_MATURIN.CSV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0021</t>
        </is>
      </c>
      <c r="H592" s="4" t="n">
        <v>45266</v>
      </c>
      <c r="I592" s="2" t="inlineStr">
        <is>
          <t>15:53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  <c r="N592" s="6" t="n">
        <v>2023</v>
      </c>
      <c r="O592" s="5" t="inlineStr">
        <is>
          <t>2023-11</t>
        </is>
      </c>
    </row>
    <row r="593">
      <c r="A593" s="2" t="inlineStr">
        <is>
          <t>Z102_06_112023_MATURIN.CSV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0021</t>
        </is>
      </c>
      <c r="H593" s="4" t="n">
        <v>45266</v>
      </c>
      <c r="I593" s="2" t="inlineStr">
        <is>
          <t>15:53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  <c r="N593" s="6" t="n">
        <v>2023</v>
      </c>
      <c r="O593" s="5" t="inlineStr">
        <is>
          <t>2023-11</t>
        </is>
      </c>
    </row>
    <row r="594">
      <c r="A594" s="2" t="inlineStr">
        <is>
          <t>Z102_06_112023_MATURIN.CSV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0021</t>
        </is>
      </c>
      <c r="H594" s="4" t="n">
        <v>45266</v>
      </c>
      <c r="I594" s="2" t="inlineStr">
        <is>
          <t>15:53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  <c r="N594" s="6" t="n">
        <v>2023</v>
      </c>
      <c r="O594" s="5" t="inlineStr">
        <is>
          <t>2023-11</t>
        </is>
      </c>
    </row>
    <row r="595">
      <c r="A595" s="2" t="inlineStr">
        <is>
          <t>Z102_06_112023_MATURIN.CSV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0021</t>
        </is>
      </c>
      <c r="H595" s="4" t="n">
        <v>45266</v>
      </c>
      <c r="I595" s="2" t="inlineStr">
        <is>
          <t>15:53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  <c r="N595" s="6" t="n">
        <v>2023</v>
      </c>
      <c r="O595" s="5" t="inlineStr">
        <is>
          <t>2023-11</t>
        </is>
      </c>
    </row>
    <row r="596">
      <c r="A596" s="2" t="inlineStr">
        <is>
          <t>Z102_06_112023_MATURIN.CSV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0021</t>
        </is>
      </c>
      <c r="H596" s="4" t="n">
        <v>45266</v>
      </c>
      <c r="I596" s="2" t="inlineStr">
        <is>
          <t>15:53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  <c r="N596" s="6" t="n">
        <v>2023</v>
      </c>
      <c r="O596" s="5" t="inlineStr">
        <is>
          <t>2023-11</t>
        </is>
      </c>
    </row>
    <row r="597">
      <c r="A597" s="2" t="inlineStr">
        <is>
          <t>Z102_06_112023_MATURIN.CSV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0021</t>
        </is>
      </c>
      <c r="H597" s="4" t="n">
        <v>45266</v>
      </c>
      <c r="I597" s="2" t="inlineStr">
        <is>
          <t>15:53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  <c r="N597" s="6" t="n">
        <v>2023</v>
      </c>
      <c r="O597" s="5" t="inlineStr">
        <is>
          <t>2023-11</t>
        </is>
      </c>
    </row>
    <row r="598">
      <c r="A598" s="2" t="inlineStr">
        <is>
          <t>Z102_06_112023_MATURIN.CSV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0021</t>
        </is>
      </c>
      <c r="H598" s="4" t="n">
        <v>45266</v>
      </c>
      <c r="I598" s="2" t="inlineStr">
        <is>
          <t>15:53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  <c r="N598" s="6" t="n">
        <v>2023</v>
      </c>
      <c r="O598" s="5" t="inlineStr">
        <is>
          <t>2023-11</t>
        </is>
      </c>
    </row>
    <row r="599">
      <c r="A599" s="2" t="inlineStr">
        <is>
          <t>Z102_06_112023_MATURIN.CSV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0021</t>
        </is>
      </c>
      <c r="H599" s="4" t="n">
        <v>45266</v>
      </c>
      <c r="I599" s="2" t="inlineStr">
        <is>
          <t>15:53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  <c r="N599" s="6" t="n">
        <v>2023</v>
      </c>
      <c r="O599" s="5" t="inlineStr">
        <is>
          <t>2023-11</t>
        </is>
      </c>
    </row>
    <row r="600">
      <c r="A600" s="2" t="inlineStr">
        <is>
          <t>Z102_06_112023_MATURIN.CSV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0021</t>
        </is>
      </c>
      <c r="H600" s="4" t="n">
        <v>45266</v>
      </c>
      <c r="I600" s="2" t="inlineStr">
        <is>
          <t>15:53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  <c r="N600" s="6" t="n">
        <v>2023</v>
      </c>
      <c r="O600" s="5" t="inlineStr">
        <is>
          <t>2023-11</t>
        </is>
      </c>
    </row>
    <row r="601">
      <c r="A601" s="2" t="inlineStr">
        <is>
          <t>Z102_06_112023_MATURIN.CSV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0021</t>
        </is>
      </c>
      <c r="H601" s="4" t="n">
        <v>45266</v>
      </c>
      <c r="I601" s="2" t="inlineStr">
        <is>
          <t>15:53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  <c r="N601" s="6" t="n">
        <v>2023</v>
      </c>
      <c r="O601" s="5" t="inlineStr">
        <is>
          <t>2023-11</t>
        </is>
      </c>
    </row>
    <row r="602">
      <c r="A602" s="2" t="inlineStr">
        <is>
          <t>Z202_05A_122023_MATURIN.CSV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0009</t>
        </is>
      </c>
      <c r="H602" s="4" t="n">
        <v>45296</v>
      </c>
      <c r="I602" s="2" t="inlineStr">
        <is>
          <t>16:31</t>
        </is>
      </c>
      <c r="J602" s="3" t="inlineStr">
        <is>
          <t>0001</t>
        </is>
      </c>
      <c r="K602" s="2" t="inlineStr">
        <is>
          <t>ESPECES</t>
        </is>
      </c>
      <c r="L602" s="5" t="n">
        <v>20</v>
      </c>
      <c r="M602" s="5" t="n">
        <v>-11520</v>
      </c>
      <c r="N602" s="6" t="n">
        <v>2023</v>
      </c>
      <c r="O602" s="5" t="inlineStr">
        <is>
          <t>2023-12</t>
        </is>
      </c>
    </row>
    <row r="603">
      <c r="A603" s="2" t="inlineStr">
        <is>
          <t>Z202_05A_122023_MATURIN.CSV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0009</t>
        </is>
      </c>
      <c r="H603" s="4" t="n">
        <v>45296</v>
      </c>
      <c r="I603" s="2" t="inlineStr">
        <is>
          <t>16:31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5" t="n">
        <v>0</v>
      </c>
      <c r="N603" s="6" t="n">
        <v>2023</v>
      </c>
      <c r="O603" s="5" t="inlineStr">
        <is>
          <t>2023-12</t>
        </is>
      </c>
    </row>
    <row r="604">
      <c r="A604" s="2" t="inlineStr">
        <is>
          <t>Z202_05A_122023_MATURIN.CSV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0009</t>
        </is>
      </c>
      <c r="H604" s="4" t="n">
        <v>45296</v>
      </c>
      <c r="I604" s="2" t="inlineStr">
        <is>
          <t>16:31</t>
        </is>
      </c>
      <c r="J604" s="3" t="inlineStr">
        <is>
          <t>0003</t>
        </is>
      </c>
      <c r="K604" s="2" t="inlineStr">
        <is>
          <t>CARTES</t>
        </is>
      </c>
      <c r="L604" s="5" t="n">
        <v>15</v>
      </c>
      <c r="M604" s="5" t="n">
        <v>-8301</v>
      </c>
      <c r="N604" s="6" t="n">
        <v>2023</v>
      </c>
      <c r="O604" s="5" t="inlineStr">
        <is>
          <t>2023-12</t>
        </is>
      </c>
    </row>
    <row r="605">
      <c r="A605" s="2" t="inlineStr">
        <is>
          <t>Z202_05A_122023_MATURIN.CSV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0009</t>
        </is>
      </c>
      <c r="H605" s="4" t="n">
        <v>45296</v>
      </c>
      <c r="I605" s="2" t="inlineStr">
        <is>
          <t>16:31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5" t="n">
        <v>0</v>
      </c>
      <c r="N605" s="6" t="n">
        <v>2023</v>
      </c>
      <c r="O605" s="5" t="inlineStr">
        <is>
          <t>2023-12</t>
        </is>
      </c>
    </row>
    <row r="606">
      <c r="A606" s="2" t="inlineStr">
        <is>
          <t>Z202_05A_122023_MATURIN.CSV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0009</t>
        </is>
      </c>
      <c r="H606" s="4" t="n">
        <v>45296</v>
      </c>
      <c r="I606" s="2" t="inlineStr">
        <is>
          <t>16:31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5" t="n">
        <v>0</v>
      </c>
      <c r="N606" s="6" t="n">
        <v>2023</v>
      </c>
      <c r="O606" s="5" t="inlineStr">
        <is>
          <t>2023-12</t>
        </is>
      </c>
    </row>
    <row r="607">
      <c r="A607" s="2" t="inlineStr">
        <is>
          <t>Z202_05A_122023_MATURIN.CSV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0009</t>
        </is>
      </c>
      <c r="H607" s="4" t="n">
        <v>45296</v>
      </c>
      <c r="I607" s="2" t="inlineStr">
        <is>
          <t>16:31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5" t="n">
        <v>0</v>
      </c>
      <c r="N607" s="6" t="n">
        <v>2023</v>
      </c>
      <c r="O607" s="5" t="inlineStr">
        <is>
          <t>2023-12</t>
        </is>
      </c>
    </row>
    <row r="608">
      <c r="A608" s="2" t="inlineStr">
        <is>
          <t>Z202_05A_122023_MATURIN.CSV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0009</t>
        </is>
      </c>
      <c r="H608" s="4" t="n">
        <v>45296</v>
      </c>
      <c r="I608" s="2" t="inlineStr">
        <is>
          <t>16:31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5" t="n">
        <v>0</v>
      </c>
      <c r="N608" s="6" t="n">
        <v>2023</v>
      </c>
      <c r="O608" s="5" t="inlineStr">
        <is>
          <t>2023-12</t>
        </is>
      </c>
    </row>
    <row r="609">
      <c r="A609" s="2" t="inlineStr">
        <is>
          <t>Z202_05A_122023_MATURIN.CSV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0009</t>
        </is>
      </c>
      <c r="H609" s="4" t="n">
        <v>45296</v>
      </c>
      <c r="I609" s="2" t="inlineStr">
        <is>
          <t>16:31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5" t="n">
        <v>0</v>
      </c>
      <c r="N609" s="6" t="n">
        <v>2023</v>
      </c>
      <c r="O609" s="5" t="inlineStr">
        <is>
          <t>2023-12</t>
        </is>
      </c>
    </row>
    <row r="610">
      <c r="A610" s="2" t="inlineStr">
        <is>
          <t>Z202_05A_122023_MATURIN.CSV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0009</t>
        </is>
      </c>
      <c r="H610" s="4" t="n">
        <v>45296</v>
      </c>
      <c r="I610" s="2" t="inlineStr">
        <is>
          <t>16:31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5" t="n">
        <v>0</v>
      </c>
      <c r="N610" s="6" t="n">
        <v>2023</v>
      </c>
      <c r="O610" s="5" t="inlineStr">
        <is>
          <t>2023-12</t>
        </is>
      </c>
    </row>
    <row r="611">
      <c r="A611" s="2" t="inlineStr">
        <is>
          <t>Z202_05A_122023_MATURIN.CSV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0009</t>
        </is>
      </c>
      <c r="H611" s="4" t="n">
        <v>45296</v>
      </c>
      <c r="I611" s="2" t="inlineStr">
        <is>
          <t>16:31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5" t="n">
        <v>0</v>
      </c>
      <c r="N611" s="6" t="n">
        <v>2023</v>
      </c>
      <c r="O611" s="5" t="inlineStr">
        <is>
          <t>2023-12</t>
        </is>
      </c>
    </row>
    <row r="612">
      <c r="A612" s="2" t="inlineStr">
        <is>
          <t>Z202_05A_122023_MATURIN.CSV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0009</t>
        </is>
      </c>
      <c r="H612" s="4" t="n">
        <v>45296</v>
      </c>
      <c r="I612" s="2" t="inlineStr">
        <is>
          <t>16:31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5" t="n">
        <v>0</v>
      </c>
      <c r="N612" s="6" t="n">
        <v>2023</v>
      </c>
      <c r="O612" s="5" t="inlineStr">
        <is>
          <t>2023-12</t>
        </is>
      </c>
    </row>
    <row r="613">
      <c r="A613" s="2" t="inlineStr">
        <is>
          <t>Z202_05A_122023_MATURIN.CSV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0009</t>
        </is>
      </c>
      <c r="H613" s="4" t="n">
        <v>45296</v>
      </c>
      <c r="I613" s="2" t="inlineStr">
        <is>
          <t>16:31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5" t="n">
        <v>0</v>
      </c>
      <c r="N613" s="6" t="n">
        <v>2023</v>
      </c>
      <c r="O613" s="5" t="inlineStr">
        <is>
          <t>2023-12</t>
        </is>
      </c>
    </row>
    <row r="614">
      <c r="A614" s="2" t="inlineStr">
        <is>
          <t>Z202_05A_122023_MATURIN.CSV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0009</t>
        </is>
      </c>
      <c r="H614" s="4" t="n">
        <v>45296</v>
      </c>
      <c r="I614" s="2" t="inlineStr">
        <is>
          <t>16:31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5" t="n">
        <v>0</v>
      </c>
      <c r="N614" s="6" t="n">
        <v>2023</v>
      </c>
      <c r="O614" s="5" t="inlineStr">
        <is>
          <t>2023-12</t>
        </is>
      </c>
    </row>
    <row r="615">
      <c r="A615" s="2" t="inlineStr">
        <is>
          <t>Z202_05A_122023_MATURIN.CSV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0009</t>
        </is>
      </c>
      <c r="H615" s="4" t="n">
        <v>45296</v>
      </c>
      <c r="I615" s="2" t="inlineStr">
        <is>
          <t>16:31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5" t="n">
        <v>0</v>
      </c>
      <c r="N615" s="6" t="n">
        <v>2023</v>
      </c>
      <c r="O615" s="5" t="inlineStr">
        <is>
          <t>2023-12</t>
        </is>
      </c>
    </row>
    <row r="616">
      <c r="A616" s="2" t="inlineStr">
        <is>
          <t>Z202_05A_122023_MATURIN.CSV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0009</t>
        </is>
      </c>
      <c r="H616" s="4" t="n">
        <v>45296</v>
      </c>
      <c r="I616" s="2" t="inlineStr">
        <is>
          <t>16:31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5" t="n">
        <v>0</v>
      </c>
      <c r="N616" s="6" t="n">
        <v>2023</v>
      </c>
      <c r="O616" s="5" t="inlineStr">
        <is>
          <t>2023-12</t>
        </is>
      </c>
    </row>
    <row r="617">
      <c r="A617" s="2" t="inlineStr">
        <is>
          <t>Z202_05A_122023_MATURIN.CSV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0009</t>
        </is>
      </c>
      <c r="H617" s="4" t="n">
        <v>45296</v>
      </c>
      <c r="I617" s="2" t="inlineStr">
        <is>
          <t>16:31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5" t="n">
        <v>0</v>
      </c>
      <c r="N617" s="6" t="n">
        <v>2023</v>
      </c>
      <c r="O617" s="5" t="inlineStr">
        <is>
          <t>2023-12</t>
        </is>
      </c>
    </row>
    <row r="618">
      <c r="A618" s="2" t="inlineStr">
        <is>
          <t>Z202_05A_122023_MATURIN.CSV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0009</t>
        </is>
      </c>
      <c r="H618" s="4" t="n">
        <v>45296</v>
      </c>
      <c r="I618" s="2" t="inlineStr">
        <is>
          <t>16:31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5" t="n">
        <v>0</v>
      </c>
      <c r="N618" s="6" t="n">
        <v>2023</v>
      </c>
      <c r="O618" s="5" t="inlineStr">
        <is>
          <t>2023-12</t>
        </is>
      </c>
    </row>
    <row r="619">
      <c r="A619" s="2" t="inlineStr">
        <is>
          <t>Z202_05A_122023_MATURIN.CSV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0009</t>
        </is>
      </c>
      <c r="H619" s="4" t="n">
        <v>45296</v>
      </c>
      <c r="I619" s="2" t="inlineStr">
        <is>
          <t>16:31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5" t="n">
        <v>0</v>
      </c>
      <c r="N619" s="6" t="n">
        <v>2023</v>
      </c>
      <c r="O619" s="5" t="inlineStr">
        <is>
          <t>2023-12</t>
        </is>
      </c>
    </row>
    <row r="620">
      <c r="A620" s="2" t="inlineStr">
        <is>
          <t>Z202_05A_122023_MATURIN.CSV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0009</t>
        </is>
      </c>
      <c r="H620" s="4" t="n">
        <v>45296</v>
      </c>
      <c r="I620" s="2" t="inlineStr">
        <is>
          <t>16:31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5" t="n">
        <v>0</v>
      </c>
      <c r="N620" s="6" t="n">
        <v>2023</v>
      </c>
      <c r="O620" s="5" t="inlineStr">
        <is>
          <t>2023-12</t>
        </is>
      </c>
    </row>
    <row r="621">
      <c r="A621" s="2" t="inlineStr">
        <is>
          <t>Z202_05A_122023_MATURIN.CSV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0009</t>
        </is>
      </c>
      <c r="H621" s="4" t="n">
        <v>45296</v>
      </c>
      <c r="I621" s="2" t="inlineStr">
        <is>
          <t>16:31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5" t="n">
        <v>0</v>
      </c>
      <c r="N621" s="6" t="n">
        <v>2023</v>
      </c>
      <c r="O621" s="5" t="inlineStr">
        <is>
          <t>2023-12</t>
        </is>
      </c>
    </row>
    <row r="622">
      <c r="A622" s="2" t="inlineStr">
        <is>
          <t>Z202_05A_122023_MATURIN.CSV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0009</t>
        </is>
      </c>
      <c r="H622" s="4" t="n">
        <v>45296</v>
      </c>
      <c r="I622" s="2" t="inlineStr">
        <is>
          <t>16:31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5" t="n">
        <v>0</v>
      </c>
      <c r="N622" s="6" t="n">
        <v>2023</v>
      </c>
      <c r="O622" s="5" t="inlineStr">
        <is>
          <t>2023-12</t>
        </is>
      </c>
    </row>
    <row r="623">
      <c r="A623" s="2" t="inlineStr">
        <is>
          <t>Z202_05A_122023_MATURIN.CSV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0009</t>
        </is>
      </c>
      <c r="H623" s="4" t="n">
        <v>45296</v>
      </c>
      <c r="I623" s="2" t="inlineStr">
        <is>
          <t>16:31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5" t="n">
        <v>0</v>
      </c>
      <c r="N623" s="6" t="n">
        <v>2023</v>
      </c>
      <c r="O623" s="5" t="inlineStr">
        <is>
          <t>2023-12</t>
        </is>
      </c>
    </row>
    <row r="624">
      <c r="A624" s="2" t="inlineStr">
        <is>
          <t>Z202_05A_122023_MATURIN.CSV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0009</t>
        </is>
      </c>
      <c r="H624" s="4" t="n">
        <v>45296</v>
      </c>
      <c r="I624" s="2" t="inlineStr">
        <is>
          <t>16:31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5" t="n">
        <v>0</v>
      </c>
      <c r="N624" s="6" t="n">
        <v>2023</v>
      </c>
      <c r="O624" s="5" t="inlineStr">
        <is>
          <t>2023-12</t>
        </is>
      </c>
    </row>
    <row r="625">
      <c r="A625" s="2" t="inlineStr">
        <is>
          <t>Z202_05A_122023_MATURIN.CSV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0009</t>
        </is>
      </c>
      <c r="H625" s="4" t="n">
        <v>45296</v>
      </c>
      <c r="I625" s="2" t="inlineStr">
        <is>
          <t>16:31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5" t="n">
        <v>0</v>
      </c>
      <c r="N625" s="6" t="n">
        <v>2023</v>
      </c>
      <c r="O625" s="5" t="inlineStr">
        <is>
          <t>2023-12</t>
        </is>
      </c>
    </row>
    <row r="626">
      <c r="A626" s="2" t="inlineStr">
        <is>
          <t>Z202_05A_122023_MATURIN.CSV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0009</t>
        </is>
      </c>
      <c r="H626" s="4" t="n">
        <v>45296</v>
      </c>
      <c r="I626" s="2" t="inlineStr">
        <is>
          <t>16:31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5" t="n">
        <v>0</v>
      </c>
      <c r="N626" s="6" t="n">
        <v>2023</v>
      </c>
      <c r="O626" s="5" t="inlineStr">
        <is>
          <t>2023-12</t>
        </is>
      </c>
    </row>
    <row r="627">
      <c r="A627" s="2" t="inlineStr">
        <is>
          <t>Z202_05A_122023_MATURIN.CSV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0009</t>
        </is>
      </c>
      <c r="H627" s="4" t="n">
        <v>45296</v>
      </c>
      <c r="I627" s="2" t="inlineStr">
        <is>
          <t>16:31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5" t="n">
        <v>0</v>
      </c>
      <c r="N627" s="6" t="n">
        <v>2023</v>
      </c>
      <c r="O627" s="5" t="inlineStr">
        <is>
          <t>2023-12</t>
        </is>
      </c>
    </row>
    <row r="628">
      <c r="A628" s="2" t="inlineStr">
        <is>
          <t>Z202_05A_122023_MATURIN.CSV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0009</t>
        </is>
      </c>
      <c r="H628" s="4" t="n">
        <v>45296</v>
      </c>
      <c r="I628" s="2" t="inlineStr">
        <is>
          <t>16:31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5" t="n">
        <v>0</v>
      </c>
      <c r="N628" s="6" t="n">
        <v>2023</v>
      </c>
      <c r="O628" s="5" t="inlineStr">
        <is>
          <t>2023-12</t>
        </is>
      </c>
    </row>
    <row r="629">
      <c r="A629" s="2" t="inlineStr">
        <is>
          <t>Z202_05A_122023_MATURIN.CSV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0009</t>
        </is>
      </c>
      <c r="H629" s="4" t="n">
        <v>45296</v>
      </c>
      <c r="I629" s="2" t="inlineStr">
        <is>
          <t>16:31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5" t="n">
        <v>0</v>
      </c>
      <c r="N629" s="6" t="n">
        <v>2023</v>
      </c>
      <c r="O629" s="5" t="inlineStr">
        <is>
          <t>2023-12</t>
        </is>
      </c>
    </row>
    <row r="630">
      <c r="A630" s="2" t="inlineStr">
        <is>
          <t>Z202_05A_122023_MATURIN.CSV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0009</t>
        </is>
      </c>
      <c r="H630" s="4" t="n">
        <v>45296</v>
      </c>
      <c r="I630" s="2" t="inlineStr">
        <is>
          <t>16:31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5" t="n">
        <v>0</v>
      </c>
      <c r="N630" s="6" t="n">
        <v>2023</v>
      </c>
      <c r="O630" s="5" t="inlineStr">
        <is>
          <t>2023-12</t>
        </is>
      </c>
    </row>
    <row r="631">
      <c r="A631" s="2" t="inlineStr">
        <is>
          <t>Z202_05A_122023_MATURIN.CSV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0009</t>
        </is>
      </c>
      <c r="H631" s="4" t="n">
        <v>45296</v>
      </c>
      <c r="I631" s="2" t="inlineStr">
        <is>
          <t>16:31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5" t="n">
        <v>0</v>
      </c>
      <c r="N631" s="6" t="n">
        <v>2023</v>
      </c>
      <c r="O631" s="5" t="inlineStr">
        <is>
          <t>2023-12</t>
        </is>
      </c>
    </row>
    <row r="632">
      <c r="A632" s="2" t="inlineStr">
        <is>
          <t>Z202_05A_122023_MATURIN.CSV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0009</t>
        </is>
      </c>
      <c r="H632" s="4" t="n">
        <v>45296</v>
      </c>
      <c r="I632" s="2" t="inlineStr">
        <is>
          <t>16:31</t>
        </is>
      </c>
      <c r="J632" s="3" t="inlineStr">
        <is>
          <t>0031</t>
        </is>
      </c>
      <c r="K632" s="2" t="inlineStr">
        <is>
          <t>REF./TIROIR</t>
        </is>
      </c>
      <c r="L632" s="5" t="n">
        <v>3</v>
      </c>
      <c r="M632" s="5" t="n">
        <v>0</v>
      </c>
      <c r="N632" s="6" t="n">
        <v>2023</v>
      </c>
      <c r="O632" s="5" t="inlineStr">
        <is>
          <t>2023-12</t>
        </is>
      </c>
    </row>
    <row r="633">
      <c r="A633" s="2" t="inlineStr">
        <is>
          <t>Z202_05A_122023_MATURIN.CSV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0009</t>
        </is>
      </c>
      <c r="H633" s="4" t="n">
        <v>45296</v>
      </c>
      <c r="I633" s="2" t="inlineStr">
        <is>
          <t>16:31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5" t="n">
        <v>0</v>
      </c>
      <c r="N633" s="6" t="n">
        <v>2023</v>
      </c>
      <c r="O633" s="5" t="inlineStr">
        <is>
          <t>2023-12</t>
        </is>
      </c>
    </row>
    <row r="634">
      <c r="A634" s="2" t="inlineStr">
        <is>
          <t>Z202_05A_122023_MATURIN.CSV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0009</t>
        </is>
      </c>
      <c r="H634" s="4" t="n">
        <v>45296</v>
      </c>
      <c r="I634" s="2" t="inlineStr">
        <is>
          <t>16:31</t>
        </is>
      </c>
      <c r="J634" s="3" t="inlineStr">
        <is>
          <t>0033</t>
        </is>
      </c>
      <c r="K634" s="2" t="inlineStr"/>
      <c r="L634" s="5" t="n">
        <v>0</v>
      </c>
      <c r="M634" s="5" t="n">
        <v>0</v>
      </c>
      <c r="N634" s="6" t="n">
        <v>2023</v>
      </c>
      <c r="O634" s="5" t="inlineStr">
        <is>
          <t>2023-12</t>
        </is>
      </c>
    </row>
    <row r="635">
      <c r="A635" s="2" t="inlineStr">
        <is>
          <t>Z202_05A_122023_MATURIN.CSV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0009</t>
        </is>
      </c>
      <c r="H635" s="4" t="n">
        <v>45296</v>
      </c>
      <c r="I635" s="2" t="inlineStr">
        <is>
          <t>16:31</t>
        </is>
      </c>
      <c r="J635" s="3" t="inlineStr">
        <is>
          <t>0034</t>
        </is>
      </c>
      <c r="K635" s="2" t="inlineStr"/>
      <c r="L635" s="5" t="n">
        <v>0</v>
      </c>
      <c r="M635" s="5" t="n">
        <v>0</v>
      </c>
      <c r="N635" s="6" t="n">
        <v>2023</v>
      </c>
      <c r="O635" s="5" t="inlineStr">
        <is>
          <t>2023-12</t>
        </is>
      </c>
    </row>
    <row r="636">
      <c r="A636" s="2" t="inlineStr">
        <is>
          <t>Z202_05A_122023_MATURIN.CSV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0009</t>
        </is>
      </c>
      <c r="H636" s="4" t="n">
        <v>45296</v>
      </c>
      <c r="I636" s="2" t="inlineStr">
        <is>
          <t>16:31</t>
        </is>
      </c>
      <c r="J636" s="3" t="inlineStr">
        <is>
          <t>0035</t>
        </is>
      </c>
      <c r="K636" s="2" t="inlineStr"/>
      <c r="L636" s="5" t="n">
        <v>0</v>
      </c>
      <c r="M636" s="5" t="n">
        <v>0</v>
      </c>
      <c r="N636" s="6" t="n">
        <v>2023</v>
      </c>
      <c r="O636" s="5" t="inlineStr">
        <is>
          <t>2023-12</t>
        </is>
      </c>
    </row>
    <row r="637">
      <c r="A637" s="2" t="inlineStr">
        <is>
          <t>Z202_05A_122023_MATURIN.CSV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0009</t>
        </is>
      </c>
      <c r="H637" s="4" t="n">
        <v>45296</v>
      </c>
      <c r="I637" s="2" t="inlineStr">
        <is>
          <t>16:31</t>
        </is>
      </c>
      <c r="J637" s="3" t="inlineStr">
        <is>
          <t>0036</t>
        </is>
      </c>
      <c r="K637" s="2" t="inlineStr"/>
      <c r="L637" s="5" t="n">
        <v>0</v>
      </c>
      <c r="M637" s="5" t="n">
        <v>0</v>
      </c>
      <c r="N637" s="6" t="n">
        <v>2023</v>
      </c>
      <c r="O637" s="5" t="inlineStr">
        <is>
          <t>2023-12</t>
        </is>
      </c>
    </row>
    <row r="638">
      <c r="A638" s="2" t="inlineStr">
        <is>
          <t>Z202_05A_122023_MATURIN.CSV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0009</t>
        </is>
      </c>
      <c r="H638" s="4" t="n">
        <v>45296</v>
      </c>
      <c r="I638" s="2" t="inlineStr">
        <is>
          <t>16:31</t>
        </is>
      </c>
      <c r="J638" s="3" t="inlineStr">
        <is>
          <t>0037</t>
        </is>
      </c>
      <c r="K638" s="2" t="inlineStr"/>
      <c r="L638" s="5" t="n">
        <v>0</v>
      </c>
      <c r="M638" s="5" t="n">
        <v>0</v>
      </c>
      <c r="N638" s="6" t="n">
        <v>2023</v>
      </c>
      <c r="O638" s="5" t="inlineStr">
        <is>
          <t>2023-12</t>
        </is>
      </c>
    </row>
    <row r="639">
      <c r="A639" s="2" t="inlineStr">
        <is>
          <t>Z202_05A_122023_MATURIN.CSV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0009</t>
        </is>
      </c>
      <c r="H639" s="4" t="n">
        <v>45296</v>
      </c>
      <c r="I639" s="2" t="inlineStr">
        <is>
          <t>16:31</t>
        </is>
      </c>
      <c r="J639" s="3" t="inlineStr">
        <is>
          <t>0038</t>
        </is>
      </c>
      <c r="K639" s="2" t="inlineStr"/>
      <c r="L639" s="5" t="n">
        <v>0</v>
      </c>
      <c r="M639" s="5" t="n">
        <v>0</v>
      </c>
      <c r="N639" s="6" t="n">
        <v>2023</v>
      </c>
      <c r="O639" s="5" t="inlineStr">
        <is>
          <t>2023-12</t>
        </is>
      </c>
    </row>
    <row r="640">
      <c r="A640" s="2" t="inlineStr">
        <is>
          <t>Z202_05A_122023_MATURIN.CSV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0009</t>
        </is>
      </c>
      <c r="H640" s="4" t="n">
        <v>45296</v>
      </c>
      <c r="I640" s="2" t="inlineStr">
        <is>
          <t>16:31</t>
        </is>
      </c>
      <c r="J640" s="3" t="inlineStr">
        <is>
          <t>0039</t>
        </is>
      </c>
      <c r="K640" s="2" t="inlineStr"/>
      <c r="L640" s="5" t="n">
        <v>0</v>
      </c>
      <c r="M640" s="5" t="n">
        <v>0</v>
      </c>
      <c r="N640" s="6" t="n">
        <v>2023</v>
      </c>
      <c r="O640" s="5" t="inlineStr">
        <is>
          <t>2023-12</t>
        </is>
      </c>
    </row>
    <row r="641">
      <c r="A641" s="2" t="inlineStr">
        <is>
          <t>Z202_05A_122023_MATURIN.CSV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0009</t>
        </is>
      </c>
      <c r="H641" s="4" t="n">
        <v>45296</v>
      </c>
      <c r="I641" s="2" t="inlineStr">
        <is>
          <t>16:31</t>
        </is>
      </c>
      <c r="J641" s="3" t="inlineStr">
        <is>
          <t>0040</t>
        </is>
      </c>
      <c r="K641" s="2" t="inlineStr"/>
      <c r="L641" s="5" t="n">
        <v>0</v>
      </c>
      <c r="M641" s="5" t="n">
        <v>0</v>
      </c>
      <c r="N641" s="6" t="n">
        <v>2023</v>
      </c>
      <c r="O641" s="5" t="inlineStr">
        <is>
          <t>2023-12</t>
        </is>
      </c>
    </row>
    <row r="642">
      <c r="A642" s="2" t="inlineStr">
        <is>
          <t>Z202_05A_122023_MATURIN.CSV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0009</t>
        </is>
      </c>
      <c r="H642" s="4" t="n">
        <v>45296</v>
      </c>
      <c r="I642" s="2" t="inlineStr">
        <is>
          <t>16:31</t>
        </is>
      </c>
      <c r="J642" s="3" t="inlineStr">
        <is>
          <t>0041</t>
        </is>
      </c>
      <c r="K642" s="2" t="inlineStr"/>
      <c r="L642" s="5" t="n">
        <v>0</v>
      </c>
      <c r="M642" s="5" t="n">
        <v>0</v>
      </c>
      <c r="N642" s="6" t="n">
        <v>2023</v>
      </c>
      <c r="O642" s="5" t="inlineStr">
        <is>
          <t>2023-12</t>
        </is>
      </c>
    </row>
    <row r="643">
      <c r="A643" s="2" t="inlineStr">
        <is>
          <t>Z202_05A_122023_MATURIN.CSV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0009</t>
        </is>
      </c>
      <c r="H643" s="4" t="n">
        <v>45296</v>
      </c>
      <c r="I643" s="2" t="inlineStr">
        <is>
          <t>16:31</t>
        </is>
      </c>
      <c r="J643" s="3" t="inlineStr">
        <is>
          <t>0042</t>
        </is>
      </c>
      <c r="K643" s="2" t="inlineStr"/>
      <c r="L643" s="5" t="n">
        <v>0</v>
      </c>
      <c r="M643" s="5" t="n">
        <v>0</v>
      </c>
      <c r="N643" s="6" t="n">
        <v>2023</v>
      </c>
      <c r="O643" s="5" t="inlineStr">
        <is>
          <t>2023-12</t>
        </is>
      </c>
    </row>
    <row r="644">
      <c r="A644" s="2" t="inlineStr">
        <is>
          <t>Z202_05A_122023_MATURIN.CSV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0009</t>
        </is>
      </c>
      <c r="H644" s="4" t="n">
        <v>45296</v>
      </c>
      <c r="I644" s="2" t="inlineStr">
        <is>
          <t>16:31</t>
        </is>
      </c>
      <c r="J644" s="3" t="inlineStr">
        <is>
          <t>0043</t>
        </is>
      </c>
      <c r="K644" s="2" t="inlineStr"/>
      <c r="L644" s="5" t="n">
        <v>0</v>
      </c>
      <c r="M644" s="5" t="n">
        <v>0</v>
      </c>
      <c r="N644" s="6" t="n">
        <v>2023</v>
      </c>
      <c r="O644" s="5" t="inlineStr">
        <is>
          <t>2023-12</t>
        </is>
      </c>
    </row>
    <row r="645">
      <c r="A645" s="2" t="inlineStr">
        <is>
          <t>Z202_05A_122023_MATURIN.CSV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0009</t>
        </is>
      </c>
      <c r="H645" s="4" t="n">
        <v>45296</v>
      </c>
      <c r="I645" s="2" t="inlineStr">
        <is>
          <t>16:31</t>
        </is>
      </c>
      <c r="J645" s="3" t="inlineStr">
        <is>
          <t>0044</t>
        </is>
      </c>
      <c r="K645" s="2" t="inlineStr"/>
      <c r="L645" s="5" t="n">
        <v>0</v>
      </c>
      <c r="M645" s="5" t="n">
        <v>0</v>
      </c>
      <c r="N645" s="6" t="n">
        <v>2023</v>
      </c>
      <c r="O645" s="5" t="inlineStr">
        <is>
          <t>2023-12</t>
        </is>
      </c>
    </row>
    <row r="646">
      <c r="A646" s="2" t="inlineStr">
        <is>
          <t>Z202_05A_122023_MATURIN.CSV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0009</t>
        </is>
      </c>
      <c r="H646" s="4" t="n">
        <v>45296</v>
      </c>
      <c r="I646" s="2" t="inlineStr">
        <is>
          <t>16:31</t>
        </is>
      </c>
      <c r="J646" s="3" t="inlineStr">
        <is>
          <t>0045</t>
        </is>
      </c>
      <c r="K646" s="2" t="inlineStr"/>
      <c r="L646" s="5" t="n">
        <v>0</v>
      </c>
      <c r="M646" s="5" t="n">
        <v>0</v>
      </c>
      <c r="N646" s="6" t="n">
        <v>2023</v>
      </c>
      <c r="O646" s="5" t="inlineStr">
        <is>
          <t>2023-12</t>
        </is>
      </c>
    </row>
    <row r="647">
      <c r="A647" s="2" t="inlineStr">
        <is>
          <t>Z202_05A_122023_MATURIN.CSV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0009</t>
        </is>
      </c>
      <c r="H647" s="4" t="n">
        <v>45296</v>
      </c>
      <c r="I647" s="2" t="inlineStr">
        <is>
          <t>16:31</t>
        </is>
      </c>
      <c r="J647" s="3" t="inlineStr">
        <is>
          <t>0046</t>
        </is>
      </c>
      <c r="K647" s="2" t="inlineStr"/>
      <c r="L647" s="5" t="n">
        <v>0</v>
      </c>
      <c r="M647" s="5" t="n">
        <v>0</v>
      </c>
      <c r="N647" s="6" t="n">
        <v>2023</v>
      </c>
      <c r="O647" s="5" t="inlineStr">
        <is>
          <t>2023-12</t>
        </is>
      </c>
    </row>
    <row r="648">
      <c r="A648" s="2" t="inlineStr">
        <is>
          <t>Z202_05A_122023_MATURIN.CSV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0009</t>
        </is>
      </c>
      <c r="H648" s="4" t="n">
        <v>45296</v>
      </c>
      <c r="I648" s="2" t="inlineStr">
        <is>
          <t>16:31</t>
        </is>
      </c>
      <c r="J648" s="3" t="inlineStr">
        <is>
          <t>0047</t>
        </is>
      </c>
      <c r="K648" s="2" t="inlineStr"/>
      <c r="L648" s="5" t="n">
        <v>0</v>
      </c>
      <c r="M648" s="5" t="n">
        <v>0</v>
      </c>
      <c r="N648" s="6" t="n">
        <v>2023</v>
      </c>
      <c r="O648" s="5" t="inlineStr">
        <is>
          <t>2023-12</t>
        </is>
      </c>
    </row>
    <row r="649">
      <c r="A649" s="2" t="inlineStr">
        <is>
          <t>Z202_05A_122023_MATURIN.CSV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0009</t>
        </is>
      </c>
      <c r="H649" s="4" t="n">
        <v>45296</v>
      </c>
      <c r="I649" s="2" t="inlineStr">
        <is>
          <t>16:31</t>
        </is>
      </c>
      <c r="J649" s="3" t="inlineStr">
        <is>
          <t>0048</t>
        </is>
      </c>
      <c r="K649" s="2" t="inlineStr"/>
      <c r="L649" s="5" t="n">
        <v>0</v>
      </c>
      <c r="M649" s="5" t="n">
        <v>0</v>
      </c>
      <c r="N649" s="6" t="n">
        <v>2023</v>
      </c>
      <c r="O649" s="5" t="inlineStr">
        <is>
          <t>2023-12</t>
        </is>
      </c>
    </row>
    <row r="650">
      <c r="A650" s="2" t="inlineStr">
        <is>
          <t>Z202_05A_122023_MATURIN.CSV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0009</t>
        </is>
      </c>
      <c r="H650" s="4" t="n">
        <v>45296</v>
      </c>
      <c r="I650" s="2" t="inlineStr">
        <is>
          <t>16:31</t>
        </is>
      </c>
      <c r="J650" s="3" t="inlineStr">
        <is>
          <t>0049</t>
        </is>
      </c>
      <c r="K650" s="2" t="inlineStr"/>
      <c r="L650" s="5" t="n">
        <v>0</v>
      </c>
      <c r="M650" s="5" t="n">
        <v>0</v>
      </c>
      <c r="N650" s="6" t="n">
        <v>2023</v>
      </c>
      <c r="O650" s="5" t="inlineStr">
        <is>
          <t>2023-12</t>
        </is>
      </c>
    </row>
    <row r="651">
      <c r="A651" s="2" t="inlineStr">
        <is>
          <t>Z202_05A_122023_MATURIN.CSV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0009</t>
        </is>
      </c>
      <c r="H651" s="4" t="n">
        <v>45296</v>
      </c>
      <c r="I651" s="2" t="inlineStr">
        <is>
          <t>16:31</t>
        </is>
      </c>
      <c r="J651" s="3" t="inlineStr">
        <is>
          <t>0050</t>
        </is>
      </c>
      <c r="K651" s="2" t="inlineStr"/>
      <c r="L651" s="5" t="n">
        <v>0</v>
      </c>
      <c r="M651" s="5" t="n">
        <v>0</v>
      </c>
      <c r="N651" s="6" t="n">
        <v>2023</v>
      </c>
      <c r="O651" s="5" t="inlineStr">
        <is>
          <t>2023-12</t>
        </is>
      </c>
    </row>
    <row r="652">
      <c r="A652" s="2" t="inlineStr">
        <is>
          <t>Z202_05B_122023_MATURIN.CSV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0010</t>
        </is>
      </c>
      <c r="H652" s="4" t="n">
        <v>45296</v>
      </c>
      <c r="I652" s="2" t="inlineStr">
        <is>
          <t>16:33</t>
        </is>
      </c>
      <c r="J652" s="3" t="inlineStr">
        <is>
          <t>0001</t>
        </is>
      </c>
      <c r="K652" s="2" t="inlineStr">
        <is>
          <t>ESPECES</t>
        </is>
      </c>
      <c r="L652" s="5" t="n">
        <v>0</v>
      </c>
      <c r="M652" s="5" t="n">
        <v>0</v>
      </c>
      <c r="N652" s="6" t="n">
        <v>2023</v>
      </c>
      <c r="O652" s="5" t="inlineStr">
        <is>
          <t>2023-12</t>
        </is>
      </c>
    </row>
    <row r="653">
      <c r="A653" s="2" t="inlineStr">
        <is>
          <t>Z202_05B_122023_MATURIN.CSV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0010</t>
        </is>
      </c>
      <c r="H653" s="4" t="n">
        <v>45296</v>
      </c>
      <c r="I653" s="2" t="inlineStr">
        <is>
          <t>16:33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5" t="n">
        <v>0</v>
      </c>
      <c r="N653" s="6" t="n">
        <v>2023</v>
      </c>
      <c r="O653" s="5" t="inlineStr">
        <is>
          <t>2023-12</t>
        </is>
      </c>
    </row>
    <row r="654">
      <c r="A654" s="2" t="inlineStr">
        <is>
          <t>Z202_05B_122023_MATURIN.CSV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0010</t>
        </is>
      </c>
      <c r="H654" s="4" t="n">
        <v>45296</v>
      </c>
      <c r="I654" s="2" t="inlineStr">
        <is>
          <t>16:33</t>
        </is>
      </c>
      <c r="J654" s="3" t="inlineStr">
        <is>
          <t>0003</t>
        </is>
      </c>
      <c r="K654" s="2" t="inlineStr">
        <is>
          <t>CARTES</t>
        </is>
      </c>
      <c r="L654" s="5" t="n">
        <v>0</v>
      </c>
      <c r="M654" s="5" t="n">
        <v>0</v>
      </c>
      <c r="N654" s="6" t="n">
        <v>2023</v>
      </c>
      <c r="O654" s="5" t="inlineStr">
        <is>
          <t>2023-12</t>
        </is>
      </c>
    </row>
    <row r="655">
      <c r="A655" s="2" t="inlineStr">
        <is>
          <t>Z202_05B_122023_MATURIN.CSV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0010</t>
        </is>
      </c>
      <c r="H655" s="4" t="n">
        <v>45296</v>
      </c>
      <c r="I655" s="2" t="inlineStr">
        <is>
          <t>16:33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5" t="n">
        <v>0</v>
      </c>
      <c r="N655" s="6" t="n">
        <v>2023</v>
      </c>
      <c r="O655" s="5" t="inlineStr">
        <is>
          <t>2023-12</t>
        </is>
      </c>
    </row>
    <row r="656">
      <c r="A656" s="2" t="inlineStr">
        <is>
          <t>Z202_05B_122023_MATURIN.CSV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0010</t>
        </is>
      </c>
      <c r="H656" s="4" t="n">
        <v>45296</v>
      </c>
      <c r="I656" s="2" t="inlineStr">
        <is>
          <t>16:33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5" t="n">
        <v>0</v>
      </c>
      <c r="N656" s="6" t="n">
        <v>2023</v>
      </c>
      <c r="O656" s="5" t="inlineStr">
        <is>
          <t>2023-12</t>
        </is>
      </c>
    </row>
    <row r="657">
      <c r="A657" s="2" t="inlineStr">
        <is>
          <t>Z202_05B_122023_MATURIN.CSV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0010</t>
        </is>
      </c>
      <c r="H657" s="4" t="n">
        <v>45296</v>
      </c>
      <c r="I657" s="2" t="inlineStr">
        <is>
          <t>16:33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5" t="n">
        <v>0</v>
      </c>
      <c r="N657" s="6" t="n">
        <v>2023</v>
      </c>
      <c r="O657" s="5" t="inlineStr">
        <is>
          <t>2023-12</t>
        </is>
      </c>
    </row>
    <row r="658">
      <c r="A658" s="2" t="inlineStr">
        <is>
          <t>Z202_05B_122023_MATURIN.CSV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0010</t>
        </is>
      </c>
      <c r="H658" s="4" t="n">
        <v>45296</v>
      </c>
      <c r="I658" s="2" t="inlineStr">
        <is>
          <t>16:33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5" t="n">
        <v>0</v>
      </c>
      <c r="N658" s="6" t="n">
        <v>2023</v>
      </c>
      <c r="O658" s="5" t="inlineStr">
        <is>
          <t>2023-12</t>
        </is>
      </c>
    </row>
    <row r="659">
      <c r="A659" s="2" t="inlineStr">
        <is>
          <t>Z202_05B_122023_MATURIN.CSV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0010</t>
        </is>
      </c>
      <c r="H659" s="4" t="n">
        <v>45296</v>
      </c>
      <c r="I659" s="2" t="inlineStr">
        <is>
          <t>16:33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5" t="n">
        <v>0</v>
      </c>
      <c r="N659" s="6" t="n">
        <v>2023</v>
      </c>
      <c r="O659" s="5" t="inlineStr">
        <is>
          <t>2023-12</t>
        </is>
      </c>
    </row>
    <row r="660">
      <c r="A660" s="2" t="inlineStr">
        <is>
          <t>Z202_05B_122023_MATURIN.CSV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0010</t>
        </is>
      </c>
      <c r="H660" s="4" t="n">
        <v>45296</v>
      </c>
      <c r="I660" s="2" t="inlineStr">
        <is>
          <t>16:33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5" t="n">
        <v>0</v>
      </c>
      <c r="N660" s="6" t="n">
        <v>2023</v>
      </c>
      <c r="O660" s="5" t="inlineStr">
        <is>
          <t>2023-12</t>
        </is>
      </c>
    </row>
    <row r="661">
      <c r="A661" s="2" t="inlineStr">
        <is>
          <t>Z202_05B_122023_MATURIN.CSV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0010</t>
        </is>
      </c>
      <c r="H661" s="4" t="n">
        <v>45296</v>
      </c>
      <c r="I661" s="2" t="inlineStr">
        <is>
          <t>16:33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5" t="n">
        <v>0</v>
      </c>
      <c r="N661" s="6" t="n">
        <v>2023</v>
      </c>
      <c r="O661" s="5" t="inlineStr">
        <is>
          <t>2023-12</t>
        </is>
      </c>
    </row>
    <row r="662">
      <c r="A662" s="2" t="inlineStr">
        <is>
          <t>Z202_05B_122023_MATURIN.CSV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0010</t>
        </is>
      </c>
      <c r="H662" s="4" t="n">
        <v>45296</v>
      </c>
      <c r="I662" s="2" t="inlineStr">
        <is>
          <t>16:33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5" t="n">
        <v>0</v>
      </c>
      <c r="N662" s="6" t="n">
        <v>2023</v>
      </c>
      <c r="O662" s="5" t="inlineStr">
        <is>
          <t>2023-12</t>
        </is>
      </c>
    </row>
    <row r="663">
      <c r="A663" s="2" t="inlineStr">
        <is>
          <t>Z202_05B_122023_MATURIN.CSV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0010</t>
        </is>
      </c>
      <c r="H663" s="4" t="n">
        <v>45296</v>
      </c>
      <c r="I663" s="2" t="inlineStr">
        <is>
          <t>16:33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5" t="n">
        <v>0</v>
      </c>
      <c r="N663" s="6" t="n">
        <v>2023</v>
      </c>
      <c r="O663" s="5" t="inlineStr">
        <is>
          <t>2023-12</t>
        </is>
      </c>
    </row>
    <row r="664">
      <c r="A664" s="2" t="inlineStr">
        <is>
          <t>Z202_05B_122023_MATURIN.CSV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0010</t>
        </is>
      </c>
      <c r="H664" s="4" t="n">
        <v>45296</v>
      </c>
      <c r="I664" s="2" t="inlineStr">
        <is>
          <t>16:33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5" t="n">
        <v>0</v>
      </c>
      <c r="N664" s="6" t="n">
        <v>2023</v>
      </c>
      <c r="O664" s="5" t="inlineStr">
        <is>
          <t>2023-12</t>
        </is>
      </c>
    </row>
    <row r="665">
      <c r="A665" s="2" t="inlineStr">
        <is>
          <t>Z202_05B_122023_MATURIN.CSV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0010</t>
        </is>
      </c>
      <c r="H665" s="4" t="n">
        <v>45296</v>
      </c>
      <c r="I665" s="2" t="inlineStr">
        <is>
          <t>16:33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5" t="n">
        <v>0</v>
      </c>
      <c r="N665" s="6" t="n">
        <v>2023</v>
      </c>
      <c r="O665" s="5" t="inlineStr">
        <is>
          <t>2023-12</t>
        </is>
      </c>
    </row>
    <row r="666">
      <c r="A666" s="2" t="inlineStr">
        <is>
          <t>Z202_05B_122023_MATURIN.CSV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0010</t>
        </is>
      </c>
      <c r="H666" s="4" t="n">
        <v>45296</v>
      </c>
      <c r="I666" s="2" t="inlineStr">
        <is>
          <t>16:33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5" t="n">
        <v>0</v>
      </c>
      <c r="N666" s="6" t="n">
        <v>2023</v>
      </c>
      <c r="O666" s="5" t="inlineStr">
        <is>
          <t>2023-12</t>
        </is>
      </c>
    </row>
    <row r="667">
      <c r="A667" s="2" t="inlineStr">
        <is>
          <t>Z202_05B_122023_MATURIN.CSV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0010</t>
        </is>
      </c>
      <c r="H667" s="4" t="n">
        <v>45296</v>
      </c>
      <c r="I667" s="2" t="inlineStr">
        <is>
          <t>16:33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5" t="n">
        <v>0</v>
      </c>
      <c r="N667" s="6" t="n">
        <v>2023</v>
      </c>
      <c r="O667" s="5" t="inlineStr">
        <is>
          <t>2023-12</t>
        </is>
      </c>
    </row>
    <row r="668">
      <c r="A668" s="2" t="inlineStr">
        <is>
          <t>Z202_05B_122023_MATURIN.CSV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0010</t>
        </is>
      </c>
      <c r="H668" s="4" t="n">
        <v>45296</v>
      </c>
      <c r="I668" s="2" t="inlineStr">
        <is>
          <t>16:33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5" t="n">
        <v>0</v>
      </c>
      <c r="N668" s="6" t="n">
        <v>2023</v>
      </c>
      <c r="O668" s="5" t="inlineStr">
        <is>
          <t>2023-12</t>
        </is>
      </c>
    </row>
    <row r="669">
      <c r="A669" s="2" t="inlineStr">
        <is>
          <t>Z202_05B_122023_MATURIN.CSV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0010</t>
        </is>
      </c>
      <c r="H669" s="4" t="n">
        <v>45296</v>
      </c>
      <c r="I669" s="2" t="inlineStr">
        <is>
          <t>16:33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5" t="n">
        <v>0</v>
      </c>
      <c r="N669" s="6" t="n">
        <v>2023</v>
      </c>
      <c r="O669" s="5" t="inlineStr">
        <is>
          <t>2023-12</t>
        </is>
      </c>
    </row>
    <row r="670">
      <c r="A670" s="2" t="inlineStr">
        <is>
          <t>Z202_05B_122023_MATURIN.CSV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0010</t>
        </is>
      </c>
      <c r="H670" s="4" t="n">
        <v>45296</v>
      </c>
      <c r="I670" s="2" t="inlineStr">
        <is>
          <t>16:33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5" t="n">
        <v>0</v>
      </c>
      <c r="N670" s="6" t="n">
        <v>2023</v>
      </c>
      <c r="O670" s="5" t="inlineStr">
        <is>
          <t>2023-12</t>
        </is>
      </c>
    </row>
    <row r="671">
      <c r="A671" s="2" t="inlineStr">
        <is>
          <t>Z202_05B_122023_MATURIN.CSV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0010</t>
        </is>
      </c>
      <c r="H671" s="4" t="n">
        <v>45296</v>
      </c>
      <c r="I671" s="2" t="inlineStr">
        <is>
          <t>16:33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5" t="n">
        <v>0</v>
      </c>
      <c r="N671" s="6" t="n">
        <v>2023</v>
      </c>
      <c r="O671" s="5" t="inlineStr">
        <is>
          <t>2023-12</t>
        </is>
      </c>
    </row>
    <row r="672">
      <c r="A672" s="2" t="inlineStr">
        <is>
          <t>Z202_05B_122023_MATURIN.CSV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0010</t>
        </is>
      </c>
      <c r="H672" s="4" t="n">
        <v>45296</v>
      </c>
      <c r="I672" s="2" t="inlineStr">
        <is>
          <t>16:33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5" t="n">
        <v>0</v>
      </c>
      <c r="N672" s="6" t="n">
        <v>2023</v>
      </c>
      <c r="O672" s="5" t="inlineStr">
        <is>
          <t>2023-12</t>
        </is>
      </c>
    </row>
    <row r="673">
      <c r="A673" s="2" t="inlineStr">
        <is>
          <t>Z202_05B_122023_MATURIN.CSV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0010</t>
        </is>
      </c>
      <c r="H673" s="4" t="n">
        <v>45296</v>
      </c>
      <c r="I673" s="2" t="inlineStr">
        <is>
          <t>16:33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5" t="n">
        <v>0</v>
      </c>
      <c r="N673" s="6" t="n">
        <v>2023</v>
      </c>
      <c r="O673" s="5" t="inlineStr">
        <is>
          <t>2023-12</t>
        </is>
      </c>
    </row>
    <row r="674">
      <c r="A674" s="2" t="inlineStr">
        <is>
          <t>Z202_05B_122023_MATURIN.CSV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0010</t>
        </is>
      </c>
      <c r="H674" s="4" t="n">
        <v>45296</v>
      </c>
      <c r="I674" s="2" t="inlineStr">
        <is>
          <t>16:33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5" t="n">
        <v>0</v>
      </c>
      <c r="N674" s="6" t="n">
        <v>2023</v>
      </c>
      <c r="O674" s="5" t="inlineStr">
        <is>
          <t>2023-12</t>
        </is>
      </c>
    </row>
    <row r="675">
      <c r="A675" s="2" t="inlineStr">
        <is>
          <t>Z202_05B_122023_MATURIN.CSV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0010</t>
        </is>
      </c>
      <c r="H675" s="4" t="n">
        <v>45296</v>
      </c>
      <c r="I675" s="2" t="inlineStr">
        <is>
          <t>16:33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5" t="n">
        <v>0</v>
      </c>
      <c r="N675" s="6" t="n">
        <v>2023</v>
      </c>
      <c r="O675" s="5" t="inlineStr">
        <is>
          <t>2023-12</t>
        </is>
      </c>
    </row>
    <row r="676">
      <c r="A676" s="2" t="inlineStr">
        <is>
          <t>Z202_05B_122023_MATURIN.CSV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0010</t>
        </is>
      </c>
      <c r="H676" s="4" t="n">
        <v>45296</v>
      </c>
      <c r="I676" s="2" t="inlineStr">
        <is>
          <t>16:33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5" t="n">
        <v>0</v>
      </c>
      <c r="N676" s="6" t="n">
        <v>2023</v>
      </c>
      <c r="O676" s="5" t="inlineStr">
        <is>
          <t>2023-12</t>
        </is>
      </c>
    </row>
    <row r="677">
      <c r="A677" s="2" t="inlineStr">
        <is>
          <t>Z202_05B_122023_MATURIN.CSV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0010</t>
        </is>
      </c>
      <c r="H677" s="4" t="n">
        <v>45296</v>
      </c>
      <c r="I677" s="2" t="inlineStr">
        <is>
          <t>16:33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5" t="n">
        <v>0</v>
      </c>
      <c r="N677" s="6" t="n">
        <v>2023</v>
      </c>
      <c r="O677" s="5" t="inlineStr">
        <is>
          <t>2023-12</t>
        </is>
      </c>
    </row>
    <row r="678">
      <c r="A678" s="2" t="inlineStr">
        <is>
          <t>Z202_05B_122023_MATURIN.CSV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0010</t>
        </is>
      </c>
      <c r="H678" s="4" t="n">
        <v>45296</v>
      </c>
      <c r="I678" s="2" t="inlineStr">
        <is>
          <t>16:33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5" t="n">
        <v>0</v>
      </c>
      <c r="N678" s="6" t="n">
        <v>2023</v>
      </c>
      <c r="O678" s="5" t="inlineStr">
        <is>
          <t>2023-12</t>
        </is>
      </c>
    </row>
    <row r="679">
      <c r="A679" s="2" t="inlineStr">
        <is>
          <t>Z202_05B_122023_MATURIN.CSV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0010</t>
        </is>
      </c>
      <c r="H679" s="4" t="n">
        <v>45296</v>
      </c>
      <c r="I679" s="2" t="inlineStr">
        <is>
          <t>16:33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5" t="n">
        <v>0</v>
      </c>
      <c r="N679" s="6" t="n">
        <v>2023</v>
      </c>
      <c r="O679" s="5" t="inlineStr">
        <is>
          <t>2023-12</t>
        </is>
      </c>
    </row>
    <row r="680">
      <c r="A680" s="2" t="inlineStr">
        <is>
          <t>Z202_05B_122023_MATURIN.CSV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0010</t>
        </is>
      </c>
      <c r="H680" s="4" t="n">
        <v>45296</v>
      </c>
      <c r="I680" s="2" t="inlineStr">
        <is>
          <t>16:33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5" t="n">
        <v>0</v>
      </c>
      <c r="N680" s="6" t="n">
        <v>2023</v>
      </c>
      <c r="O680" s="5" t="inlineStr">
        <is>
          <t>2023-12</t>
        </is>
      </c>
    </row>
    <row r="681">
      <c r="A681" s="2" t="inlineStr">
        <is>
          <t>Z202_05B_122023_MATURIN.CSV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0010</t>
        </is>
      </c>
      <c r="H681" s="4" t="n">
        <v>45296</v>
      </c>
      <c r="I681" s="2" t="inlineStr">
        <is>
          <t>16:33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5" t="n">
        <v>0</v>
      </c>
      <c r="N681" s="6" t="n">
        <v>2023</v>
      </c>
      <c r="O681" s="5" t="inlineStr">
        <is>
          <t>2023-12</t>
        </is>
      </c>
    </row>
    <row r="682">
      <c r="A682" s="2" t="inlineStr">
        <is>
          <t>Z202_05B_122023_MATURIN.CSV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0010</t>
        </is>
      </c>
      <c r="H682" s="4" t="n">
        <v>45296</v>
      </c>
      <c r="I682" s="2" t="inlineStr">
        <is>
          <t>16:33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5" t="n">
        <v>0</v>
      </c>
      <c r="N682" s="6" t="n">
        <v>2023</v>
      </c>
      <c r="O682" s="5" t="inlineStr">
        <is>
          <t>2023-12</t>
        </is>
      </c>
    </row>
    <row r="683">
      <c r="A683" s="2" t="inlineStr">
        <is>
          <t>Z202_05B_122023_MATURIN.CSV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0010</t>
        </is>
      </c>
      <c r="H683" s="4" t="n">
        <v>45296</v>
      </c>
      <c r="I683" s="2" t="inlineStr">
        <is>
          <t>16:33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5" t="n">
        <v>0</v>
      </c>
      <c r="N683" s="6" t="n">
        <v>2023</v>
      </c>
      <c r="O683" s="5" t="inlineStr">
        <is>
          <t>2023-12</t>
        </is>
      </c>
    </row>
    <row r="684">
      <c r="A684" s="2" t="inlineStr">
        <is>
          <t>Z202_05B_122023_MATURIN.CSV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0010</t>
        </is>
      </c>
      <c r="H684" s="4" t="n">
        <v>45296</v>
      </c>
      <c r="I684" s="2" t="inlineStr">
        <is>
          <t>16:33</t>
        </is>
      </c>
      <c r="J684" s="3" t="inlineStr">
        <is>
          <t>0033</t>
        </is>
      </c>
      <c r="K684" s="2" t="inlineStr"/>
      <c r="L684" s="5" t="n">
        <v>0</v>
      </c>
      <c r="M684" s="5" t="n">
        <v>0</v>
      </c>
      <c r="N684" s="6" t="n">
        <v>2023</v>
      </c>
      <c r="O684" s="5" t="inlineStr">
        <is>
          <t>2023-12</t>
        </is>
      </c>
    </row>
    <row r="685">
      <c r="A685" s="2" t="inlineStr">
        <is>
          <t>Z202_05B_122023_MATURIN.CSV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0010</t>
        </is>
      </c>
      <c r="H685" s="4" t="n">
        <v>45296</v>
      </c>
      <c r="I685" s="2" t="inlineStr">
        <is>
          <t>16:33</t>
        </is>
      </c>
      <c r="J685" s="3" t="inlineStr">
        <is>
          <t>0034</t>
        </is>
      </c>
      <c r="K685" s="2" t="inlineStr"/>
      <c r="L685" s="5" t="n">
        <v>0</v>
      </c>
      <c r="M685" s="5" t="n">
        <v>0</v>
      </c>
      <c r="N685" s="6" t="n">
        <v>2023</v>
      </c>
      <c r="O685" s="5" t="inlineStr">
        <is>
          <t>2023-12</t>
        </is>
      </c>
    </row>
    <row r="686">
      <c r="A686" s="2" t="inlineStr">
        <is>
          <t>Z202_05B_122023_MATURIN.CSV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0010</t>
        </is>
      </c>
      <c r="H686" s="4" t="n">
        <v>45296</v>
      </c>
      <c r="I686" s="2" t="inlineStr">
        <is>
          <t>16:33</t>
        </is>
      </c>
      <c r="J686" s="3" t="inlineStr">
        <is>
          <t>0035</t>
        </is>
      </c>
      <c r="K686" s="2" t="inlineStr"/>
      <c r="L686" s="5" t="n">
        <v>0</v>
      </c>
      <c r="M686" s="5" t="n">
        <v>0</v>
      </c>
      <c r="N686" s="6" t="n">
        <v>2023</v>
      </c>
      <c r="O686" s="5" t="inlineStr">
        <is>
          <t>2023-12</t>
        </is>
      </c>
    </row>
    <row r="687">
      <c r="A687" s="2" t="inlineStr">
        <is>
          <t>Z202_05B_122023_MATURIN.CSV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0010</t>
        </is>
      </c>
      <c r="H687" s="4" t="n">
        <v>45296</v>
      </c>
      <c r="I687" s="2" t="inlineStr">
        <is>
          <t>16:33</t>
        </is>
      </c>
      <c r="J687" s="3" t="inlineStr">
        <is>
          <t>0036</t>
        </is>
      </c>
      <c r="K687" s="2" t="inlineStr"/>
      <c r="L687" s="5" t="n">
        <v>0</v>
      </c>
      <c r="M687" s="5" t="n">
        <v>0</v>
      </c>
      <c r="N687" s="6" t="n">
        <v>2023</v>
      </c>
      <c r="O687" s="5" t="inlineStr">
        <is>
          <t>2023-12</t>
        </is>
      </c>
    </row>
    <row r="688">
      <c r="A688" s="2" t="inlineStr">
        <is>
          <t>Z202_05B_122023_MATURIN.CSV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0010</t>
        </is>
      </c>
      <c r="H688" s="4" t="n">
        <v>45296</v>
      </c>
      <c r="I688" s="2" t="inlineStr">
        <is>
          <t>16:33</t>
        </is>
      </c>
      <c r="J688" s="3" t="inlineStr">
        <is>
          <t>0037</t>
        </is>
      </c>
      <c r="K688" s="2" t="inlineStr"/>
      <c r="L688" s="5" t="n">
        <v>0</v>
      </c>
      <c r="M688" s="5" t="n">
        <v>0</v>
      </c>
      <c r="N688" s="6" t="n">
        <v>2023</v>
      </c>
      <c r="O688" s="5" t="inlineStr">
        <is>
          <t>2023-12</t>
        </is>
      </c>
    </row>
    <row r="689">
      <c r="A689" s="2" t="inlineStr">
        <is>
          <t>Z202_05B_122023_MATURIN.CSV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0010</t>
        </is>
      </c>
      <c r="H689" s="4" t="n">
        <v>45296</v>
      </c>
      <c r="I689" s="2" t="inlineStr">
        <is>
          <t>16:33</t>
        </is>
      </c>
      <c r="J689" s="3" t="inlineStr">
        <is>
          <t>0038</t>
        </is>
      </c>
      <c r="K689" s="2" t="inlineStr"/>
      <c r="L689" s="5" t="n">
        <v>0</v>
      </c>
      <c r="M689" s="5" t="n">
        <v>0</v>
      </c>
      <c r="N689" s="6" t="n">
        <v>2023</v>
      </c>
      <c r="O689" s="5" t="inlineStr">
        <is>
          <t>2023-12</t>
        </is>
      </c>
    </row>
    <row r="690">
      <c r="A690" s="2" t="inlineStr">
        <is>
          <t>Z202_05B_122023_MATURIN.CSV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0010</t>
        </is>
      </c>
      <c r="H690" s="4" t="n">
        <v>45296</v>
      </c>
      <c r="I690" s="2" t="inlineStr">
        <is>
          <t>16:33</t>
        </is>
      </c>
      <c r="J690" s="3" t="inlineStr">
        <is>
          <t>0039</t>
        </is>
      </c>
      <c r="K690" s="2" t="inlineStr"/>
      <c r="L690" s="5" t="n">
        <v>0</v>
      </c>
      <c r="M690" s="5" t="n">
        <v>0</v>
      </c>
      <c r="N690" s="6" t="n">
        <v>2023</v>
      </c>
      <c r="O690" s="5" t="inlineStr">
        <is>
          <t>2023-12</t>
        </is>
      </c>
    </row>
    <row r="691">
      <c r="A691" s="2" t="inlineStr">
        <is>
          <t>Z202_05B_122023_MATURIN.CSV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0010</t>
        </is>
      </c>
      <c r="H691" s="4" t="n">
        <v>45296</v>
      </c>
      <c r="I691" s="2" t="inlineStr">
        <is>
          <t>16:33</t>
        </is>
      </c>
      <c r="J691" s="3" t="inlineStr">
        <is>
          <t>0040</t>
        </is>
      </c>
      <c r="K691" s="2" t="inlineStr"/>
      <c r="L691" s="5" t="n">
        <v>0</v>
      </c>
      <c r="M691" s="5" t="n">
        <v>0</v>
      </c>
      <c r="N691" s="6" t="n">
        <v>2023</v>
      </c>
      <c r="O691" s="5" t="inlineStr">
        <is>
          <t>2023-12</t>
        </is>
      </c>
    </row>
    <row r="692">
      <c r="A692" s="2" t="inlineStr">
        <is>
          <t>Z202_05B_122023_MATURIN.CSV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0010</t>
        </is>
      </c>
      <c r="H692" s="4" t="n">
        <v>45296</v>
      </c>
      <c r="I692" s="2" t="inlineStr">
        <is>
          <t>16:33</t>
        </is>
      </c>
      <c r="J692" s="3" t="inlineStr">
        <is>
          <t>0041</t>
        </is>
      </c>
      <c r="K692" s="2" t="inlineStr"/>
      <c r="L692" s="5" t="n">
        <v>0</v>
      </c>
      <c r="M692" s="5" t="n">
        <v>0</v>
      </c>
      <c r="N692" s="6" t="n">
        <v>2023</v>
      </c>
      <c r="O692" s="5" t="inlineStr">
        <is>
          <t>2023-12</t>
        </is>
      </c>
    </row>
    <row r="693">
      <c r="A693" s="2" t="inlineStr">
        <is>
          <t>Z202_05B_122023_MATURIN.CSV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0010</t>
        </is>
      </c>
      <c r="H693" s="4" t="n">
        <v>45296</v>
      </c>
      <c r="I693" s="2" t="inlineStr">
        <is>
          <t>16:33</t>
        </is>
      </c>
      <c r="J693" s="3" t="inlineStr">
        <is>
          <t>0042</t>
        </is>
      </c>
      <c r="K693" s="2" t="inlineStr"/>
      <c r="L693" s="5" t="n">
        <v>0</v>
      </c>
      <c r="M693" s="5" t="n">
        <v>0</v>
      </c>
      <c r="N693" s="6" t="n">
        <v>2023</v>
      </c>
      <c r="O693" s="5" t="inlineStr">
        <is>
          <t>2023-12</t>
        </is>
      </c>
    </row>
    <row r="694">
      <c r="A694" s="2" t="inlineStr">
        <is>
          <t>Z202_05B_122023_MATURIN.CSV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0010</t>
        </is>
      </c>
      <c r="H694" s="4" t="n">
        <v>45296</v>
      </c>
      <c r="I694" s="2" t="inlineStr">
        <is>
          <t>16:33</t>
        </is>
      </c>
      <c r="J694" s="3" t="inlineStr">
        <is>
          <t>0043</t>
        </is>
      </c>
      <c r="K694" s="2" t="inlineStr"/>
      <c r="L694" s="5" t="n">
        <v>0</v>
      </c>
      <c r="M694" s="5" t="n">
        <v>0</v>
      </c>
      <c r="N694" s="6" t="n">
        <v>2023</v>
      </c>
      <c r="O694" s="5" t="inlineStr">
        <is>
          <t>2023-12</t>
        </is>
      </c>
    </row>
    <row r="695">
      <c r="A695" s="2" t="inlineStr">
        <is>
          <t>Z202_05B_122023_MATURIN.CSV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0010</t>
        </is>
      </c>
      <c r="H695" s="4" t="n">
        <v>45296</v>
      </c>
      <c r="I695" s="2" t="inlineStr">
        <is>
          <t>16:33</t>
        </is>
      </c>
      <c r="J695" s="3" t="inlineStr">
        <is>
          <t>0044</t>
        </is>
      </c>
      <c r="K695" s="2" t="inlineStr"/>
      <c r="L695" s="5" t="n">
        <v>0</v>
      </c>
      <c r="M695" s="5" t="n">
        <v>0</v>
      </c>
      <c r="N695" s="6" t="n">
        <v>2023</v>
      </c>
      <c r="O695" s="5" t="inlineStr">
        <is>
          <t>2023-12</t>
        </is>
      </c>
    </row>
    <row r="696">
      <c r="A696" s="2" t="inlineStr">
        <is>
          <t>Z202_05B_122023_MATURIN.CSV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0010</t>
        </is>
      </c>
      <c r="H696" s="4" t="n">
        <v>45296</v>
      </c>
      <c r="I696" s="2" t="inlineStr">
        <is>
          <t>16:33</t>
        </is>
      </c>
      <c r="J696" s="3" t="inlineStr">
        <is>
          <t>0045</t>
        </is>
      </c>
      <c r="K696" s="2" t="inlineStr"/>
      <c r="L696" s="5" t="n">
        <v>0</v>
      </c>
      <c r="M696" s="5" t="n">
        <v>0</v>
      </c>
      <c r="N696" s="6" t="n">
        <v>2023</v>
      </c>
      <c r="O696" s="5" t="inlineStr">
        <is>
          <t>2023-12</t>
        </is>
      </c>
    </row>
    <row r="697">
      <c r="A697" s="2" t="inlineStr">
        <is>
          <t>Z202_05B_122023_MATURIN.CSV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0010</t>
        </is>
      </c>
      <c r="H697" s="4" t="n">
        <v>45296</v>
      </c>
      <c r="I697" s="2" t="inlineStr">
        <is>
          <t>16:33</t>
        </is>
      </c>
      <c r="J697" s="3" t="inlineStr">
        <is>
          <t>0046</t>
        </is>
      </c>
      <c r="K697" s="2" t="inlineStr"/>
      <c r="L697" s="5" t="n">
        <v>0</v>
      </c>
      <c r="M697" s="5" t="n">
        <v>0</v>
      </c>
      <c r="N697" s="6" t="n">
        <v>2023</v>
      </c>
      <c r="O697" s="5" t="inlineStr">
        <is>
          <t>2023-12</t>
        </is>
      </c>
    </row>
    <row r="698">
      <c r="A698" s="2" t="inlineStr">
        <is>
          <t>Z202_05B_122023_MATURIN.CSV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0010</t>
        </is>
      </c>
      <c r="H698" s="4" t="n">
        <v>45296</v>
      </c>
      <c r="I698" s="2" t="inlineStr">
        <is>
          <t>16:33</t>
        </is>
      </c>
      <c r="J698" s="3" t="inlineStr">
        <is>
          <t>0047</t>
        </is>
      </c>
      <c r="K698" s="2" t="inlineStr"/>
      <c r="L698" s="5" t="n">
        <v>0</v>
      </c>
      <c r="M698" s="5" t="n">
        <v>0</v>
      </c>
      <c r="N698" s="6" t="n">
        <v>2023</v>
      </c>
      <c r="O698" s="5" t="inlineStr">
        <is>
          <t>2023-12</t>
        </is>
      </c>
    </row>
    <row r="699">
      <c r="A699" s="2" t="inlineStr">
        <is>
          <t>Z202_05B_122023_MATURIN.CSV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0010</t>
        </is>
      </c>
      <c r="H699" s="4" t="n">
        <v>45296</v>
      </c>
      <c r="I699" s="2" t="inlineStr">
        <is>
          <t>16:33</t>
        </is>
      </c>
      <c r="J699" s="3" t="inlineStr">
        <is>
          <t>0048</t>
        </is>
      </c>
      <c r="K699" s="2" t="inlineStr"/>
      <c r="L699" s="5" t="n">
        <v>0</v>
      </c>
      <c r="M699" s="5" t="n">
        <v>0</v>
      </c>
      <c r="N699" s="6" t="n">
        <v>2023</v>
      </c>
      <c r="O699" s="5" t="inlineStr">
        <is>
          <t>2023-12</t>
        </is>
      </c>
    </row>
    <row r="700">
      <c r="A700" s="2" t="inlineStr">
        <is>
          <t>Z202_05B_122023_MATURIN.CSV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0010</t>
        </is>
      </c>
      <c r="H700" s="4" t="n">
        <v>45296</v>
      </c>
      <c r="I700" s="2" t="inlineStr">
        <is>
          <t>16:33</t>
        </is>
      </c>
      <c r="J700" s="3" t="inlineStr">
        <is>
          <t>0049</t>
        </is>
      </c>
      <c r="K700" s="2" t="inlineStr"/>
      <c r="L700" s="5" t="n">
        <v>0</v>
      </c>
      <c r="M700" s="5" t="n">
        <v>0</v>
      </c>
      <c r="N700" s="6" t="n">
        <v>2023</v>
      </c>
      <c r="O700" s="5" t="inlineStr">
        <is>
          <t>2023-12</t>
        </is>
      </c>
    </row>
    <row r="701">
      <c r="A701" s="2" t="inlineStr">
        <is>
          <t>Z202_05B_122023_MATURIN.CSV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0010</t>
        </is>
      </c>
      <c r="H701" s="4" t="n">
        <v>45296</v>
      </c>
      <c r="I701" s="2" t="inlineStr">
        <is>
          <t>16:33</t>
        </is>
      </c>
      <c r="J701" s="3" t="inlineStr">
        <is>
          <t>0050</t>
        </is>
      </c>
      <c r="K701" s="2" t="inlineStr"/>
      <c r="L701" s="5" t="n">
        <v>0</v>
      </c>
      <c r="M701" s="5" t="n">
        <v>0</v>
      </c>
      <c r="N701" s="6" t="n">
        <v>2023</v>
      </c>
      <c r="O701" s="5" t="inlineStr">
        <is>
          <t>2023-12</t>
        </is>
      </c>
    </row>
    <row r="702">
      <c r="A702" s="2" t="inlineStr">
        <is>
          <t>Z202_06A_112023_MATURIN.CSV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0008</t>
        </is>
      </c>
      <c r="H702" s="4" t="n">
        <v>45266</v>
      </c>
      <c r="I702" s="2" t="inlineStr">
        <is>
          <t>15:54</t>
        </is>
      </c>
      <c r="J702" s="3" t="inlineStr">
        <is>
          <t>0001</t>
        </is>
      </c>
      <c r="K702" s="2" t="inlineStr">
        <is>
          <t>ESPECES</t>
        </is>
      </c>
      <c r="L702" s="5" t="n">
        <v>278</v>
      </c>
      <c r="M702" s="5" t="n">
        <v>160130.74</v>
      </c>
      <c r="N702" s="6" t="n">
        <v>2023</v>
      </c>
      <c r="O702" s="5" t="inlineStr">
        <is>
          <t>2023-11</t>
        </is>
      </c>
    </row>
    <row r="703">
      <c r="A703" s="2" t="inlineStr">
        <is>
          <t>Z202_06A_112023_MATURIN.CSV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0008</t>
        </is>
      </c>
      <c r="H703" s="4" t="n">
        <v>45266</v>
      </c>
      <c r="I703" s="2" t="inlineStr">
        <is>
          <t>15:54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5" t="n">
        <v>0</v>
      </c>
      <c r="N703" s="6" t="n">
        <v>2023</v>
      </c>
      <c r="O703" s="5" t="inlineStr">
        <is>
          <t>2023-11</t>
        </is>
      </c>
    </row>
    <row r="704">
      <c r="A704" s="2" t="inlineStr">
        <is>
          <t>Z202_06A_112023_MATURIN.CSV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0008</t>
        </is>
      </c>
      <c r="H704" s="4" t="n">
        <v>45266</v>
      </c>
      <c r="I704" s="2" t="inlineStr">
        <is>
          <t>15:54</t>
        </is>
      </c>
      <c r="J704" s="3" t="inlineStr">
        <is>
          <t>0003</t>
        </is>
      </c>
      <c r="K704" s="2" t="inlineStr">
        <is>
          <t>CARTES</t>
        </is>
      </c>
      <c r="L704" s="5" t="n">
        <v>443</v>
      </c>
      <c r="M704" s="5" t="n">
        <v>321543.18</v>
      </c>
      <c r="N704" s="6" t="n">
        <v>2023</v>
      </c>
      <c r="O704" s="5" t="inlineStr">
        <is>
          <t>2023-11</t>
        </is>
      </c>
    </row>
    <row r="705">
      <c r="A705" s="2" t="inlineStr">
        <is>
          <t>Z202_06A_112023_MATURIN.CSV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0008</t>
        </is>
      </c>
      <c r="H705" s="4" t="n">
        <v>45266</v>
      </c>
      <c r="I705" s="2" t="inlineStr">
        <is>
          <t>15:54</t>
        </is>
      </c>
      <c r="J705" s="3" t="inlineStr">
        <is>
          <t>0004</t>
        </is>
      </c>
      <c r="K705" s="2" t="inlineStr">
        <is>
          <t>CHEQUES</t>
        </is>
      </c>
      <c r="L705" s="5" t="n">
        <v>1</v>
      </c>
      <c r="M705" s="5" t="n">
        <v>329</v>
      </c>
      <c r="N705" s="6" t="n">
        <v>2023</v>
      </c>
      <c r="O705" s="5" t="inlineStr">
        <is>
          <t>2023-11</t>
        </is>
      </c>
    </row>
    <row r="706">
      <c r="A706" s="2" t="inlineStr">
        <is>
          <t>Z202_06A_112023_MATURIN.CSV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0008</t>
        </is>
      </c>
      <c r="H706" s="4" t="n">
        <v>45266</v>
      </c>
      <c r="I706" s="2" t="inlineStr">
        <is>
          <t>15:54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5" t="n">
        <v>0</v>
      </c>
      <c r="N706" s="6" t="n">
        <v>2023</v>
      </c>
      <c r="O706" s="5" t="inlineStr">
        <is>
          <t>2023-11</t>
        </is>
      </c>
    </row>
    <row r="707">
      <c r="A707" s="2" t="inlineStr">
        <is>
          <t>Z202_06A_112023_MATURIN.CSV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0008</t>
        </is>
      </c>
      <c r="H707" s="4" t="n">
        <v>45266</v>
      </c>
      <c r="I707" s="2" t="inlineStr">
        <is>
          <t>15:54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5" t="n">
        <v>0</v>
      </c>
      <c r="N707" s="6" t="n">
        <v>2023</v>
      </c>
      <c r="O707" s="5" t="inlineStr">
        <is>
          <t>2023-11</t>
        </is>
      </c>
    </row>
    <row r="708">
      <c r="A708" s="2" t="inlineStr">
        <is>
          <t>Z202_06A_112023_MATURIN.CSV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0008</t>
        </is>
      </c>
      <c r="H708" s="4" t="n">
        <v>45266</v>
      </c>
      <c r="I708" s="2" t="inlineStr">
        <is>
          <t>15:54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5" t="n">
        <v>0</v>
      </c>
      <c r="N708" s="6" t="n">
        <v>2023</v>
      </c>
      <c r="O708" s="5" t="inlineStr">
        <is>
          <t>2023-11</t>
        </is>
      </c>
    </row>
    <row r="709">
      <c r="A709" s="2" t="inlineStr">
        <is>
          <t>Z202_06A_112023_MATURIN.CSV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0008</t>
        </is>
      </c>
      <c r="H709" s="4" t="n">
        <v>45266</v>
      </c>
      <c r="I709" s="2" t="inlineStr">
        <is>
          <t>15:54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5" t="n">
        <v>0</v>
      </c>
      <c r="N709" s="6" t="n">
        <v>2023</v>
      </c>
      <c r="O709" s="5" t="inlineStr">
        <is>
          <t>2023-11</t>
        </is>
      </c>
    </row>
    <row r="710">
      <c r="A710" s="2" t="inlineStr">
        <is>
          <t>Z202_06A_112023_MATURIN.CSV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0008</t>
        </is>
      </c>
      <c r="H710" s="4" t="n">
        <v>45266</v>
      </c>
      <c r="I710" s="2" t="inlineStr">
        <is>
          <t>15:54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5" t="n">
        <v>0</v>
      </c>
      <c r="N710" s="6" t="n">
        <v>2023</v>
      </c>
      <c r="O710" s="5" t="inlineStr">
        <is>
          <t>2023-11</t>
        </is>
      </c>
    </row>
    <row r="711">
      <c r="A711" s="2" t="inlineStr">
        <is>
          <t>Z202_06A_112023_MATURIN.CSV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0008</t>
        </is>
      </c>
      <c r="H711" s="4" t="n">
        <v>45266</v>
      </c>
      <c r="I711" s="2" t="inlineStr">
        <is>
          <t>15:54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5" t="n">
        <v>0</v>
      </c>
      <c r="N711" s="6" t="n">
        <v>2023</v>
      </c>
      <c r="O711" s="5" t="inlineStr">
        <is>
          <t>2023-11</t>
        </is>
      </c>
    </row>
    <row r="712">
      <c r="A712" s="2" t="inlineStr">
        <is>
          <t>Z202_06A_112023_MATURIN.CSV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0008</t>
        </is>
      </c>
      <c r="H712" s="4" t="n">
        <v>45266</v>
      </c>
      <c r="I712" s="2" t="inlineStr">
        <is>
          <t>15:54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5" t="n">
        <v>0</v>
      </c>
      <c r="N712" s="6" t="n">
        <v>2023</v>
      </c>
      <c r="O712" s="5" t="inlineStr">
        <is>
          <t>2023-11</t>
        </is>
      </c>
    </row>
    <row r="713">
      <c r="A713" s="2" t="inlineStr">
        <is>
          <t>Z202_06A_112023_MATURIN.CSV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0008</t>
        </is>
      </c>
      <c r="H713" s="4" t="n">
        <v>45266</v>
      </c>
      <c r="I713" s="2" t="inlineStr">
        <is>
          <t>15:54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5" t="n">
        <v>0</v>
      </c>
      <c r="N713" s="6" t="n">
        <v>2023</v>
      </c>
      <c r="O713" s="5" t="inlineStr">
        <is>
          <t>2023-11</t>
        </is>
      </c>
    </row>
    <row r="714">
      <c r="A714" s="2" t="inlineStr">
        <is>
          <t>Z202_06A_112023_MATURIN.CSV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0008</t>
        </is>
      </c>
      <c r="H714" s="4" t="n">
        <v>45266</v>
      </c>
      <c r="I714" s="2" t="inlineStr">
        <is>
          <t>15:54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5" t="n">
        <v>0</v>
      </c>
      <c r="N714" s="6" t="n">
        <v>2023</v>
      </c>
      <c r="O714" s="5" t="inlineStr">
        <is>
          <t>2023-11</t>
        </is>
      </c>
    </row>
    <row r="715">
      <c r="A715" s="2" t="inlineStr">
        <is>
          <t>Z202_06A_112023_MATURIN.CSV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0008</t>
        </is>
      </c>
      <c r="H715" s="4" t="n">
        <v>45266</v>
      </c>
      <c r="I715" s="2" t="inlineStr">
        <is>
          <t>15:54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5" t="n">
        <v>0</v>
      </c>
      <c r="N715" s="6" t="n">
        <v>2023</v>
      </c>
      <c r="O715" s="5" t="inlineStr">
        <is>
          <t>2023-11</t>
        </is>
      </c>
    </row>
    <row r="716">
      <c r="A716" s="2" t="inlineStr">
        <is>
          <t>Z202_06A_112023_MATURIN.CSV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0008</t>
        </is>
      </c>
      <c r="H716" s="4" t="n">
        <v>45266</v>
      </c>
      <c r="I716" s="2" t="inlineStr">
        <is>
          <t>15:54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5" t="n">
        <v>0</v>
      </c>
      <c r="N716" s="6" t="n">
        <v>2023</v>
      </c>
      <c r="O716" s="5" t="inlineStr">
        <is>
          <t>2023-11</t>
        </is>
      </c>
    </row>
    <row r="717">
      <c r="A717" s="2" t="inlineStr">
        <is>
          <t>Z202_06A_112023_MATURIN.CSV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0008</t>
        </is>
      </c>
      <c r="H717" s="4" t="n">
        <v>45266</v>
      </c>
      <c r="I717" s="2" t="inlineStr">
        <is>
          <t>15:54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5" t="n">
        <v>0</v>
      </c>
      <c r="N717" s="6" t="n">
        <v>2023</v>
      </c>
      <c r="O717" s="5" t="inlineStr">
        <is>
          <t>2023-11</t>
        </is>
      </c>
    </row>
    <row r="718">
      <c r="A718" s="2" t="inlineStr">
        <is>
          <t>Z202_06A_112023_MATURIN.CSV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0008</t>
        </is>
      </c>
      <c r="H718" s="4" t="n">
        <v>45266</v>
      </c>
      <c r="I718" s="2" t="inlineStr">
        <is>
          <t>15:54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5" t="n">
        <v>0</v>
      </c>
      <c r="N718" s="6" t="n">
        <v>2023</v>
      </c>
      <c r="O718" s="5" t="inlineStr">
        <is>
          <t>2023-11</t>
        </is>
      </c>
    </row>
    <row r="719">
      <c r="A719" s="2" t="inlineStr">
        <is>
          <t>Z202_06A_112023_MATURIN.CSV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0008</t>
        </is>
      </c>
      <c r="H719" s="4" t="n">
        <v>45266</v>
      </c>
      <c r="I719" s="2" t="inlineStr">
        <is>
          <t>15:54</t>
        </is>
      </c>
      <c r="J719" s="3" t="inlineStr">
        <is>
          <t>0018</t>
        </is>
      </c>
      <c r="K719" s="2" t="inlineStr">
        <is>
          <t>CORRECTION</t>
        </is>
      </c>
      <c r="L719" s="5" t="n">
        <v>5</v>
      </c>
      <c r="M719" s="5" t="n">
        <v>346.13</v>
      </c>
      <c r="N719" s="6" t="n">
        <v>2023</v>
      </c>
      <c r="O719" s="5" t="inlineStr">
        <is>
          <t>2023-11</t>
        </is>
      </c>
    </row>
    <row r="720">
      <c r="A720" s="2" t="inlineStr">
        <is>
          <t>Z202_06A_112023_MATURIN.CSV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0008</t>
        </is>
      </c>
      <c r="H720" s="4" t="n">
        <v>45266</v>
      </c>
      <c r="I720" s="2" t="inlineStr">
        <is>
          <t>15:54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5" t="n">
        <v>0</v>
      </c>
      <c r="N720" s="6" t="n">
        <v>2023</v>
      </c>
      <c r="O720" s="5" t="inlineStr">
        <is>
          <t>2023-11</t>
        </is>
      </c>
    </row>
    <row r="721">
      <c r="A721" s="2" t="inlineStr">
        <is>
          <t>Z202_06A_112023_MATURIN.CSV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0008</t>
        </is>
      </c>
      <c r="H721" s="4" t="n">
        <v>45266</v>
      </c>
      <c r="I721" s="2" t="inlineStr">
        <is>
          <t>15:54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5" t="n">
        <v>0</v>
      </c>
      <c r="N721" s="6" t="n">
        <v>2023</v>
      </c>
      <c r="O721" s="5" t="inlineStr">
        <is>
          <t>2023-11</t>
        </is>
      </c>
    </row>
    <row r="722">
      <c r="A722" s="2" t="inlineStr">
        <is>
          <t>Z202_06A_112023_MATURIN.CSV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0008</t>
        </is>
      </c>
      <c r="H722" s="4" t="n">
        <v>45266</v>
      </c>
      <c r="I722" s="2" t="inlineStr">
        <is>
          <t>15:54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5" t="n">
        <v>0</v>
      </c>
      <c r="N722" s="6" t="n">
        <v>2023</v>
      </c>
      <c r="O722" s="5" t="inlineStr">
        <is>
          <t>2023-11</t>
        </is>
      </c>
    </row>
    <row r="723">
      <c r="A723" s="2" t="inlineStr">
        <is>
          <t>Z202_06A_112023_MATURIN.CSV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0008</t>
        </is>
      </c>
      <c r="H723" s="4" t="n">
        <v>45266</v>
      </c>
      <c r="I723" s="2" t="inlineStr">
        <is>
          <t>15:54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5" t="n">
        <v>0</v>
      </c>
      <c r="N723" s="6" t="n">
        <v>2023</v>
      </c>
      <c r="O723" s="5" t="inlineStr">
        <is>
          <t>2023-11</t>
        </is>
      </c>
    </row>
    <row r="724">
      <c r="A724" s="2" t="inlineStr">
        <is>
          <t>Z202_06A_112023_MATURIN.CSV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0008</t>
        </is>
      </c>
      <c r="H724" s="4" t="n">
        <v>45266</v>
      </c>
      <c r="I724" s="2" t="inlineStr">
        <is>
          <t>15:54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5" t="n">
        <v>0</v>
      </c>
      <c r="N724" s="6" t="n">
        <v>2023</v>
      </c>
      <c r="O724" s="5" t="inlineStr">
        <is>
          <t>2023-11</t>
        </is>
      </c>
    </row>
    <row r="725">
      <c r="A725" s="2" t="inlineStr">
        <is>
          <t>Z202_06A_112023_MATURIN.CSV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0008</t>
        </is>
      </c>
      <c r="H725" s="4" t="n">
        <v>45266</v>
      </c>
      <c r="I725" s="2" t="inlineStr">
        <is>
          <t>15:54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5" t="n">
        <v>0</v>
      </c>
      <c r="N725" s="6" t="n">
        <v>2023</v>
      </c>
      <c r="O725" s="5" t="inlineStr">
        <is>
          <t>2023-11</t>
        </is>
      </c>
    </row>
    <row r="726">
      <c r="A726" s="2" t="inlineStr">
        <is>
          <t>Z202_06A_112023_MATURIN.CSV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0008</t>
        </is>
      </c>
      <c r="H726" s="4" t="n">
        <v>45266</v>
      </c>
      <c r="I726" s="2" t="inlineStr">
        <is>
          <t>15:54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5" t="n">
        <v>0</v>
      </c>
      <c r="N726" s="6" t="n">
        <v>2023</v>
      </c>
      <c r="O726" s="5" t="inlineStr">
        <is>
          <t>2023-11</t>
        </is>
      </c>
    </row>
    <row r="727">
      <c r="A727" s="2" t="inlineStr">
        <is>
          <t>Z202_06A_112023_MATURIN.CSV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0008</t>
        </is>
      </c>
      <c r="H727" s="4" t="n">
        <v>45266</v>
      </c>
      <c r="I727" s="2" t="inlineStr">
        <is>
          <t>15:54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5" t="n">
        <v>0</v>
      </c>
      <c r="N727" s="6" t="n">
        <v>2023</v>
      </c>
      <c r="O727" s="5" t="inlineStr">
        <is>
          <t>2023-11</t>
        </is>
      </c>
    </row>
    <row r="728">
      <c r="A728" s="2" t="inlineStr">
        <is>
          <t>Z202_06A_112023_MATURIN.CSV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0008</t>
        </is>
      </c>
      <c r="H728" s="4" t="n">
        <v>45266</v>
      </c>
      <c r="I728" s="2" t="inlineStr">
        <is>
          <t>15:54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5" t="n">
        <v>0</v>
      </c>
      <c r="N728" s="6" t="n">
        <v>2023</v>
      </c>
      <c r="O728" s="5" t="inlineStr">
        <is>
          <t>2023-11</t>
        </is>
      </c>
    </row>
    <row r="729">
      <c r="A729" s="2" t="inlineStr">
        <is>
          <t>Z202_06A_112023_MATURIN.CSV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0008</t>
        </is>
      </c>
      <c r="H729" s="4" t="n">
        <v>45266</v>
      </c>
      <c r="I729" s="2" t="inlineStr">
        <is>
          <t>15:54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5" t="n">
        <v>0</v>
      </c>
      <c r="N729" s="6" t="n">
        <v>2023</v>
      </c>
      <c r="O729" s="5" t="inlineStr">
        <is>
          <t>2023-11</t>
        </is>
      </c>
    </row>
    <row r="730">
      <c r="A730" s="2" t="inlineStr">
        <is>
          <t>Z202_06A_112023_MATURIN.CSV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0008</t>
        </is>
      </c>
      <c r="H730" s="4" t="n">
        <v>45266</v>
      </c>
      <c r="I730" s="2" t="inlineStr">
        <is>
          <t>15:54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5" t="n">
        <v>0</v>
      </c>
      <c r="N730" s="6" t="n">
        <v>2023</v>
      </c>
      <c r="O730" s="5" t="inlineStr">
        <is>
          <t>2023-11</t>
        </is>
      </c>
    </row>
    <row r="731">
      <c r="A731" s="2" t="inlineStr">
        <is>
          <t>Z202_06A_112023_MATURIN.CSV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0008</t>
        </is>
      </c>
      <c r="H731" s="4" t="n">
        <v>45266</v>
      </c>
      <c r="I731" s="2" t="inlineStr">
        <is>
          <t>15:54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5" t="n">
        <v>0</v>
      </c>
      <c r="N731" s="6" t="n">
        <v>2023</v>
      </c>
      <c r="O731" s="5" t="inlineStr">
        <is>
          <t>2023-11</t>
        </is>
      </c>
    </row>
    <row r="732">
      <c r="A732" s="2" t="inlineStr">
        <is>
          <t>Z202_06A_112023_MATURIN.CSV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0008</t>
        </is>
      </c>
      <c r="H732" s="4" t="n">
        <v>45266</v>
      </c>
      <c r="I732" s="2" t="inlineStr">
        <is>
          <t>15:54</t>
        </is>
      </c>
      <c r="J732" s="3" t="inlineStr">
        <is>
          <t>0031</t>
        </is>
      </c>
      <c r="K732" s="2" t="inlineStr">
        <is>
          <t>REF./TIROIR</t>
        </is>
      </c>
      <c r="L732" s="5" t="n">
        <v>270</v>
      </c>
      <c r="M732" s="5" t="n">
        <v>0</v>
      </c>
      <c r="N732" s="6" t="n">
        <v>2023</v>
      </c>
      <c r="O732" s="5" t="inlineStr">
        <is>
          <t>2023-11</t>
        </is>
      </c>
    </row>
    <row r="733">
      <c r="A733" s="2" t="inlineStr">
        <is>
          <t>Z202_06A_112023_MATURIN.CSV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0008</t>
        </is>
      </c>
      <c r="H733" s="4" t="n">
        <v>45266</v>
      </c>
      <c r="I733" s="2" t="inlineStr">
        <is>
          <t>15:54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5" t="n">
        <v>0</v>
      </c>
      <c r="N733" s="6" t="n">
        <v>2023</v>
      </c>
      <c r="O733" s="5" t="inlineStr">
        <is>
          <t>2023-11</t>
        </is>
      </c>
    </row>
    <row r="734">
      <c r="A734" s="2" t="inlineStr">
        <is>
          <t>Z202_06A_112023_MATURIN.CSV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0008</t>
        </is>
      </c>
      <c r="H734" s="4" t="n">
        <v>45266</v>
      </c>
      <c r="I734" s="2" t="inlineStr">
        <is>
          <t>15:54</t>
        </is>
      </c>
      <c r="J734" s="3" t="inlineStr">
        <is>
          <t>0033</t>
        </is>
      </c>
      <c r="K734" s="2" t="inlineStr"/>
      <c r="L734" s="5" t="n">
        <v>0</v>
      </c>
      <c r="M734" s="5" t="n">
        <v>0</v>
      </c>
      <c r="N734" s="6" t="n">
        <v>2023</v>
      </c>
      <c r="O734" s="5" t="inlineStr">
        <is>
          <t>2023-11</t>
        </is>
      </c>
    </row>
    <row r="735">
      <c r="A735" s="2" t="inlineStr">
        <is>
          <t>Z202_06A_112023_MATURIN.CSV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0008</t>
        </is>
      </c>
      <c r="H735" s="4" t="n">
        <v>45266</v>
      </c>
      <c r="I735" s="2" t="inlineStr">
        <is>
          <t>15:54</t>
        </is>
      </c>
      <c r="J735" s="3" t="inlineStr">
        <is>
          <t>0034</t>
        </is>
      </c>
      <c r="K735" s="2" t="inlineStr"/>
      <c r="L735" s="5" t="n">
        <v>0</v>
      </c>
      <c r="M735" s="5" t="n">
        <v>0</v>
      </c>
      <c r="N735" s="6" t="n">
        <v>2023</v>
      </c>
      <c r="O735" s="5" t="inlineStr">
        <is>
          <t>2023-11</t>
        </is>
      </c>
    </row>
    <row r="736">
      <c r="A736" s="2" t="inlineStr">
        <is>
          <t>Z202_06A_112023_MATURIN.CSV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0008</t>
        </is>
      </c>
      <c r="H736" s="4" t="n">
        <v>45266</v>
      </c>
      <c r="I736" s="2" t="inlineStr">
        <is>
          <t>15:54</t>
        </is>
      </c>
      <c r="J736" s="3" t="inlineStr">
        <is>
          <t>0035</t>
        </is>
      </c>
      <c r="K736" s="2" t="inlineStr"/>
      <c r="L736" s="5" t="n">
        <v>0</v>
      </c>
      <c r="M736" s="5" t="n">
        <v>0</v>
      </c>
      <c r="N736" s="6" t="n">
        <v>2023</v>
      </c>
      <c r="O736" s="5" t="inlineStr">
        <is>
          <t>2023-11</t>
        </is>
      </c>
    </row>
    <row r="737">
      <c r="A737" s="2" t="inlineStr">
        <is>
          <t>Z202_06A_112023_MATURIN.CSV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0008</t>
        </is>
      </c>
      <c r="H737" s="4" t="n">
        <v>45266</v>
      </c>
      <c r="I737" s="2" t="inlineStr">
        <is>
          <t>15:54</t>
        </is>
      </c>
      <c r="J737" s="3" t="inlineStr">
        <is>
          <t>0036</t>
        </is>
      </c>
      <c r="K737" s="2" t="inlineStr"/>
      <c r="L737" s="5" t="n">
        <v>0</v>
      </c>
      <c r="M737" s="5" t="n">
        <v>0</v>
      </c>
      <c r="N737" s="6" t="n">
        <v>2023</v>
      </c>
      <c r="O737" s="5" t="inlineStr">
        <is>
          <t>2023-11</t>
        </is>
      </c>
    </row>
    <row r="738">
      <c r="A738" s="2" t="inlineStr">
        <is>
          <t>Z202_06A_112023_MATURIN.CSV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0008</t>
        </is>
      </c>
      <c r="H738" s="4" t="n">
        <v>45266</v>
      </c>
      <c r="I738" s="2" t="inlineStr">
        <is>
          <t>15:54</t>
        </is>
      </c>
      <c r="J738" s="3" t="inlineStr">
        <is>
          <t>0037</t>
        </is>
      </c>
      <c r="K738" s="2" t="inlineStr"/>
      <c r="L738" s="5" t="n">
        <v>0</v>
      </c>
      <c r="M738" s="5" t="n">
        <v>0</v>
      </c>
      <c r="N738" s="6" t="n">
        <v>2023</v>
      </c>
      <c r="O738" s="5" t="inlineStr">
        <is>
          <t>2023-11</t>
        </is>
      </c>
    </row>
    <row r="739">
      <c r="A739" s="2" t="inlineStr">
        <is>
          <t>Z202_06A_112023_MATURIN.CSV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0008</t>
        </is>
      </c>
      <c r="H739" s="4" t="n">
        <v>45266</v>
      </c>
      <c r="I739" s="2" t="inlineStr">
        <is>
          <t>15:54</t>
        </is>
      </c>
      <c r="J739" s="3" t="inlineStr">
        <is>
          <t>0038</t>
        </is>
      </c>
      <c r="K739" s="2" t="inlineStr"/>
      <c r="L739" s="5" t="n">
        <v>0</v>
      </c>
      <c r="M739" s="5" t="n">
        <v>0</v>
      </c>
      <c r="N739" s="6" t="n">
        <v>2023</v>
      </c>
      <c r="O739" s="5" t="inlineStr">
        <is>
          <t>2023-11</t>
        </is>
      </c>
    </row>
    <row r="740">
      <c r="A740" s="2" t="inlineStr">
        <is>
          <t>Z202_06A_112023_MATURIN.CSV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0008</t>
        </is>
      </c>
      <c r="H740" s="4" t="n">
        <v>45266</v>
      </c>
      <c r="I740" s="2" t="inlineStr">
        <is>
          <t>15:54</t>
        </is>
      </c>
      <c r="J740" s="3" t="inlineStr">
        <is>
          <t>0039</t>
        </is>
      </c>
      <c r="K740" s="2" t="inlineStr"/>
      <c r="L740" s="5" t="n">
        <v>0</v>
      </c>
      <c r="M740" s="5" t="n">
        <v>0</v>
      </c>
      <c r="N740" s="6" t="n">
        <v>2023</v>
      </c>
      <c r="O740" s="5" t="inlineStr">
        <is>
          <t>2023-11</t>
        </is>
      </c>
    </row>
    <row r="741">
      <c r="A741" s="2" t="inlineStr">
        <is>
          <t>Z202_06A_112023_MATURIN.CSV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0008</t>
        </is>
      </c>
      <c r="H741" s="4" t="n">
        <v>45266</v>
      </c>
      <c r="I741" s="2" t="inlineStr">
        <is>
          <t>15:54</t>
        </is>
      </c>
      <c r="J741" s="3" t="inlineStr">
        <is>
          <t>0040</t>
        </is>
      </c>
      <c r="K741" s="2" t="inlineStr"/>
      <c r="L741" s="5" t="n">
        <v>0</v>
      </c>
      <c r="M741" s="5" t="n">
        <v>0</v>
      </c>
      <c r="N741" s="6" t="n">
        <v>2023</v>
      </c>
      <c r="O741" s="5" t="inlineStr">
        <is>
          <t>2023-11</t>
        </is>
      </c>
    </row>
    <row r="742">
      <c r="A742" s="2" t="inlineStr">
        <is>
          <t>Z202_06A_112023_MATURIN.CSV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0008</t>
        </is>
      </c>
      <c r="H742" s="4" t="n">
        <v>45266</v>
      </c>
      <c r="I742" s="2" t="inlineStr">
        <is>
          <t>15:54</t>
        </is>
      </c>
      <c r="J742" s="3" t="inlineStr">
        <is>
          <t>0041</t>
        </is>
      </c>
      <c r="K742" s="2" t="inlineStr"/>
      <c r="L742" s="5" t="n">
        <v>0</v>
      </c>
      <c r="M742" s="5" t="n">
        <v>0</v>
      </c>
      <c r="N742" s="6" t="n">
        <v>2023</v>
      </c>
      <c r="O742" s="5" t="inlineStr">
        <is>
          <t>2023-11</t>
        </is>
      </c>
    </row>
    <row r="743">
      <c r="A743" s="2" t="inlineStr">
        <is>
          <t>Z202_06A_112023_MATURIN.CSV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0008</t>
        </is>
      </c>
      <c r="H743" s="4" t="n">
        <v>45266</v>
      </c>
      <c r="I743" s="2" t="inlineStr">
        <is>
          <t>15:54</t>
        </is>
      </c>
      <c r="J743" s="3" t="inlineStr">
        <is>
          <t>0042</t>
        </is>
      </c>
      <c r="K743" s="2" t="inlineStr"/>
      <c r="L743" s="5" t="n">
        <v>0</v>
      </c>
      <c r="M743" s="5" t="n">
        <v>0</v>
      </c>
      <c r="N743" s="6" t="n">
        <v>2023</v>
      </c>
      <c r="O743" s="5" t="inlineStr">
        <is>
          <t>2023-11</t>
        </is>
      </c>
    </row>
    <row r="744">
      <c r="A744" s="2" t="inlineStr">
        <is>
          <t>Z202_06A_112023_MATURIN.CSV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0008</t>
        </is>
      </c>
      <c r="H744" s="4" t="n">
        <v>45266</v>
      </c>
      <c r="I744" s="2" t="inlineStr">
        <is>
          <t>15:54</t>
        </is>
      </c>
      <c r="J744" s="3" t="inlineStr">
        <is>
          <t>0043</t>
        </is>
      </c>
      <c r="K744" s="2" t="inlineStr"/>
      <c r="L744" s="5" t="n">
        <v>0</v>
      </c>
      <c r="M744" s="5" t="n">
        <v>0</v>
      </c>
      <c r="N744" s="6" t="n">
        <v>2023</v>
      </c>
      <c r="O744" s="5" t="inlineStr">
        <is>
          <t>2023-11</t>
        </is>
      </c>
    </row>
    <row r="745">
      <c r="A745" s="2" t="inlineStr">
        <is>
          <t>Z202_06A_112023_MATURIN.CSV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0008</t>
        </is>
      </c>
      <c r="H745" s="4" t="n">
        <v>45266</v>
      </c>
      <c r="I745" s="2" t="inlineStr">
        <is>
          <t>15:54</t>
        </is>
      </c>
      <c r="J745" s="3" t="inlineStr">
        <is>
          <t>0044</t>
        </is>
      </c>
      <c r="K745" s="2" t="inlineStr"/>
      <c r="L745" s="5" t="n">
        <v>0</v>
      </c>
      <c r="M745" s="5" t="n">
        <v>0</v>
      </c>
      <c r="N745" s="6" t="n">
        <v>2023</v>
      </c>
      <c r="O745" s="5" t="inlineStr">
        <is>
          <t>2023-11</t>
        </is>
      </c>
    </row>
    <row r="746">
      <c r="A746" s="2" t="inlineStr">
        <is>
          <t>Z202_06A_112023_MATURIN.CSV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0008</t>
        </is>
      </c>
      <c r="H746" s="4" t="n">
        <v>45266</v>
      </c>
      <c r="I746" s="2" t="inlineStr">
        <is>
          <t>15:54</t>
        </is>
      </c>
      <c r="J746" s="3" t="inlineStr">
        <is>
          <t>0045</t>
        </is>
      </c>
      <c r="K746" s="2" t="inlineStr"/>
      <c r="L746" s="5" t="n">
        <v>0</v>
      </c>
      <c r="M746" s="5" t="n">
        <v>0</v>
      </c>
      <c r="N746" s="6" t="n">
        <v>2023</v>
      </c>
      <c r="O746" s="5" t="inlineStr">
        <is>
          <t>2023-11</t>
        </is>
      </c>
    </row>
    <row r="747">
      <c r="A747" s="2" t="inlineStr">
        <is>
          <t>Z202_06A_112023_MATURIN.CSV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0008</t>
        </is>
      </c>
      <c r="H747" s="4" t="n">
        <v>45266</v>
      </c>
      <c r="I747" s="2" t="inlineStr">
        <is>
          <t>15:54</t>
        </is>
      </c>
      <c r="J747" s="3" t="inlineStr">
        <is>
          <t>0046</t>
        </is>
      </c>
      <c r="K747" s="2" t="inlineStr"/>
      <c r="L747" s="5" t="n">
        <v>0</v>
      </c>
      <c r="M747" s="5" t="n">
        <v>0</v>
      </c>
      <c r="N747" s="6" t="n">
        <v>2023</v>
      </c>
      <c r="O747" s="5" t="inlineStr">
        <is>
          <t>2023-11</t>
        </is>
      </c>
    </row>
    <row r="748">
      <c r="A748" s="2" t="inlineStr">
        <is>
          <t>Z202_06A_112023_MATURIN.CSV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0008</t>
        </is>
      </c>
      <c r="H748" s="4" t="n">
        <v>45266</v>
      </c>
      <c r="I748" s="2" t="inlineStr">
        <is>
          <t>15:54</t>
        </is>
      </c>
      <c r="J748" s="3" t="inlineStr">
        <is>
          <t>0047</t>
        </is>
      </c>
      <c r="K748" s="2" t="inlineStr"/>
      <c r="L748" s="5" t="n">
        <v>0</v>
      </c>
      <c r="M748" s="5" t="n">
        <v>0</v>
      </c>
      <c r="N748" s="6" t="n">
        <v>2023</v>
      </c>
      <c r="O748" s="5" t="inlineStr">
        <is>
          <t>2023-11</t>
        </is>
      </c>
    </row>
    <row r="749">
      <c r="A749" s="2" t="inlineStr">
        <is>
          <t>Z202_06A_112023_MATURIN.CSV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0008</t>
        </is>
      </c>
      <c r="H749" s="4" t="n">
        <v>45266</v>
      </c>
      <c r="I749" s="2" t="inlineStr">
        <is>
          <t>15:54</t>
        </is>
      </c>
      <c r="J749" s="3" t="inlineStr">
        <is>
          <t>0048</t>
        </is>
      </c>
      <c r="K749" s="2" t="inlineStr"/>
      <c r="L749" s="5" t="n">
        <v>0</v>
      </c>
      <c r="M749" s="5" t="n">
        <v>0</v>
      </c>
      <c r="N749" s="6" t="n">
        <v>2023</v>
      </c>
      <c r="O749" s="5" t="inlineStr">
        <is>
          <t>2023-11</t>
        </is>
      </c>
    </row>
    <row r="750">
      <c r="A750" s="2" t="inlineStr">
        <is>
          <t>Z202_06A_112023_MATURIN.CSV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0008</t>
        </is>
      </c>
      <c r="H750" s="4" t="n">
        <v>45266</v>
      </c>
      <c r="I750" s="2" t="inlineStr">
        <is>
          <t>15:54</t>
        </is>
      </c>
      <c r="J750" s="3" t="inlineStr">
        <is>
          <t>0049</t>
        </is>
      </c>
      <c r="K750" s="2" t="inlineStr"/>
      <c r="L750" s="5" t="n">
        <v>0</v>
      </c>
      <c r="M750" s="5" t="n">
        <v>0</v>
      </c>
      <c r="N750" s="6" t="n">
        <v>2023</v>
      </c>
      <c r="O750" s="5" t="inlineStr">
        <is>
          <t>2023-11</t>
        </is>
      </c>
    </row>
    <row r="751">
      <c r="A751" s="2" t="inlineStr">
        <is>
          <t>Z202_06A_112023_MATURIN.CSV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0008</t>
        </is>
      </c>
      <c r="H751" s="4" t="n">
        <v>45266</v>
      </c>
      <c r="I751" s="2" t="inlineStr">
        <is>
          <t>15:54</t>
        </is>
      </c>
      <c r="J751" s="3" t="inlineStr">
        <is>
          <t>0050</t>
        </is>
      </c>
      <c r="K751" s="2" t="inlineStr"/>
      <c r="L751" s="5" t="n">
        <v>0</v>
      </c>
      <c r="M751" s="5" t="n">
        <v>0</v>
      </c>
      <c r="N751" s="6" t="n">
        <v>2023</v>
      </c>
      <c r="O751" s="5" t="inlineStr">
        <is>
          <t>2023-11</t>
        </is>
      </c>
    </row>
  </sheetData>
  <autoFilter ref="A1:O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6" t="n">
        <v>2023</v>
      </c>
      <c r="B2" s="5" t="inlineStr">
        <is>
          <t>2023-01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SUMIFS('Z2_CplteAnneeMois'!$L$2:$L$751,'Z2_CplteAnneeMois'!$O$2:$O$751,B2,'Z2_CplteAnneeMois'!$F$2:$F$751,C2,'Z2_CplteAnneeMois'!$K$2:$K$751,D2)</f>
        <v/>
      </c>
      <c r="F2" s="5">
        <f>SUMIFS('Z2_CplteAnneeMois'!$M$2:$M$751,'Z2_CplteAnneeMois'!$O$2:$O$751,B2,'Z2_CplteAnneeMois'!$F$2:$F$751,C2,'Z2_CplteAnneeMois'!$K$2:$K$751,D2)</f>
        <v/>
      </c>
    </row>
    <row r="3">
      <c r="A3" s="6" t="n">
        <v>2023</v>
      </c>
      <c r="B3" s="5" t="inlineStr">
        <is>
          <t>2023-01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SUMIFS('Z2_CplteAnneeMois'!$L$2:$L$751,'Z2_CplteAnneeMois'!$O$2:$O$751,B3,'Z2_CplteAnneeMois'!$F$2:$F$751,C3,'Z2_CplteAnneeMois'!$K$2:$K$751,D3)</f>
        <v/>
      </c>
      <c r="F3" s="5">
        <f>SUMIFS('Z2_CplteAnneeMois'!$M$2:$M$751,'Z2_CplteAnneeMois'!$O$2:$O$751,B3,'Z2_CplteAnneeMois'!$F$2:$F$751,C3,'Z2_CplteAnneeMois'!$K$2:$K$751,D3)</f>
        <v/>
      </c>
    </row>
    <row r="4">
      <c r="A4" s="6" t="n">
        <v>2023</v>
      </c>
      <c r="B4" s="5" t="inlineStr">
        <is>
          <t>2023-01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SUMIFS('Z2_CplteAnneeMois'!$L$2:$L$751,'Z2_CplteAnneeMois'!$O$2:$O$751,B4,'Z2_CplteAnneeMois'!$F$2:$F$751,C4,'Z2_CplteAnneeMois'!$K$2:$K$751,D4)</f>
        <v/>
      </c>
      <c r="F4" s="5">
        <f>SUMIFS('Z2_CplteAnneeMois'!$M$2:$M$751,'Z2_CplteAnneeMois'!$O$2:$O$751,B4,'Z2_CplteAnneeMois'!$F$2:$F$751,C4,'Z2_CplteAnneeMois'!$K$2:$K$751,D4)</f>
        <v/>
      </c>
    </row>
    <row r="5">
      <c r="A5" s="6" t="n">
        <v>2023</v>
      </c>
      <c r="B5" s="5" t="inlineStr">
        <is>
          <t>2023-01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SUMIFS('Z2_CplteAnneeMois'!$L$2:$L$751,'Z2_CplteAnneeMois'!$O$2:$O$751,B5,'Z2_CplteAnneeMois'!$F$2:$F$751,C5,'Z2_CplteAnneeMois'!$K$2:$K$751,D5)</f>
        <v/>
      </c>
      <c r="F5" s="5">
        <f>SUMIFS('Z2_CplteAnneeMois'!$M$2:$M$751,'Z2_CplteAnneeMois'!$O$2:$O$751,B5,'Z2_CplteAnneeMois'!$F$2:$F$751,C5,'Z2_CplteAnneeMois'!$K$2:$K$751,D5)</f>
        <v/>
      </c>
    </row>
    <row r="6">
      <c r="A6" s="6" t="n">
        <v>2023</v>
      </c>
      <c r="B6" s="5" t="inlineStr">
        <is>
          <t>2023-01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SUMIFS('Z2_CplteAnneeMois'!$L$2:$L$751,'Z2_CplteAnneeMois'!$O$2:$O$751,B6,'Z2_CplteAnneeMois'!$F$2:$F$751,C6,'Z2_CplteAnneeMois'!$K$2:$K$751,D6)</f>
        <v/>
      </c>
      <c r="F6" s="5">
        <f>SUMIFS('Z2_CplteAnneeMois'!$M$2:$M$751,'Z2_CplteAnneeMois'!$O$2:$O$751,B6,'Z2_CplteAnneeMois'!$F$2:$F$751,C6,'Z2_CplteAnneeMois'!$K$2:$K$751,D6)</f>
        <v/>
      </c>
    </row>
    <row r="7">
      <c r="A7" s="6" t="n">
        <v>2023</v>
      </c>
      <c r="B7" s="5" t="inlineStr">
        <is>
          <t>2023-01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SUMIFS('Z2_CplteAnneeMois'!$L$2:$L$751,'Z2_CplteAnneeMois'!$O$2:$O$751,B7,'Z2_CplteAnneeMois'!$F$2:$F$751,C7,'Z2_CplteAnneeMois'!$K$2:$K$751,D7)</f>
        <v/>
      </c>
      <c r="F7" s="5">
        <f>SUMIFS('Z2_CplteAnneeMois'!$M$2:$M$751,'Z2_CplteAnneeMois'!$O$2:$O$751,B7,'Z2_CplteAnneeMois'!$F$2:$F$751,C7,'Z2_CplteAnneeMois'!$K$2:$K$751,D7)</f>
        <v/>
      </c>
    </row>
    <row r="8">
      <c r="A8" s="6" t="n">
        <v>2023</v>
      </c>
      <c r="B8" s="5" t="inlineStr">
        <is>
          <t>2023-01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SUMIFS('Z2_CplteAnneeMois'!$L$2:$L$751,'Z2_CplteAnneeMois'!$O$2:$O$751,B8,'Z2_CplteAnneeMois'!$F$2:$F$751,C8,'Z2_CplteAnneeMois'!$K$2:$K$751,D8)</f>
        <v/>
      </c>
      <c r="F8" s="5">
        <f>SUMIFS('Z2_CplteAnneeMois'!$M$2:$M$751,'Z2_CplteAnneeMois'!$O$2:$O$751,B8,'Z2_CplteAnneeMois'!$F$2:$F$751,C8,'Z2_CplteAnneeMois'!$K$2:$K$751,D8)</f>
        <v/>
      </c>
    </row>
    <row r="9">
      <c r="A9" s="6" t="n">
        <v>2023</v>
      </c>
      <c r="B9" s="5" t="inlineStr">
        <is>
          <t>2023-01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SUMIFS('Z2_CplteAnneeMois'!$L$2:$L$751,'Z2_CplteAnneeMois'!$O$2:$O$751,B9,'Z2_CplteAnneeMois'!$F$2:$F$751,C9,'Z2_CplteAnneeMois'!$K$2:$K$751,D9)</f>
        <v/>
      </c>
      <c r="F9" s="5">
        <f>SUMIFS('Z2_CplteAnneeMois'!$M$2:$M$751,'Z2_CplteAnneeMois'!$O$2:$O$751,B9,'Z2_CplteAnneeMois'!$F$2:$F$751,C9,'Z2_CplteAnneeMois'!$K$2:$K$751,D9)</f>
        <v/>
      </c>
    </row>
    <row r="10">
      <c r="A10" s="6" t="n">
        <v>2023</v>
      </c>
      <c r="B10" s="5" t="inlineStr">
        <is>
          <t>2023-01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SUMIFS('Z2_CplteAnneeMois'!$L$2:$L$751,'Z2_CplteAnneeMois'!$O$2:$O$751,B10,'Z2_CplteAnneeMois'!$F$2:$F$751,C10,'Z2_CplteAnneeMois'!$K$2:$K$751,D10)</f>
        <v/>
      </c>
      <c r="F10" s="5">
        <f>SUMIFS('Z2_CplteAnneeMois'!$M$2:$M$751,'Z2_CplteAnneeMois'!$O$2:$O$751,B10,'Z2_CplteAnneeMois'!$F$2:$F$751,C10,'Z2_CplteAnneeMois'!$K$2:$K$751,D10)</f>
        <v/>
      </c>
    </row>
    <row r="11">
      <c r="A11" s="6" t="n">
        <v>2023</v>
      </c>
      <c r="B11" s="5" t="inlineStr">
        <is>
          <t>2023-01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SUMIFS('Z2_CplteAnneeMois'!$L$2:$L$751,'Z2_CplteAnneeMois'!$O$2:$O$751,B11,'Z2_CplteAnneeMois'!$F$2:$F$751,C11,'Z2_CplteAnneeMois'!$K$2:$K$751,D11)</f>
        <v/>
      </c>
      <c r="F11" s="5">
        <f>SUMIFS('Z2_CplteAnneeMois'!$M$2:$M$751,'Z2_CplteAnneeMois'!$O$2:$O$751,B11,'Z2_CplteAnneeMois'!$F$2:$F$751,C11,'Z2_CplteAnneeMois'!$K$2:$K$751,D11)</f>
        <v/>
      </c>
    </row>
    <row r="12">
      <c r="A12" s="6" t="n">
        <v>2023</v>
      </c>
      <c r="B12" s="5" t="inlineStr">
        <is>
          <t>2023-01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SUMIFS('Z2_CplteAnneeMois'!$L$2:$L$751,'Z2_CplteAnneeMois'!$O$2:$O$751,B12,'Z2_CplteAnneeMois'!$F$2:$F$751,C12,'Z2_CplteAnneeMois'!$K$2:$K$751,D12)</f>
        <v/>
      </c>
      <c r="F12" s="5">
        <f>SUMIFS('Z2_CplteAnneeMois'!$M$2:$M$751,'Z2_CplteAnneeMois'!$O$2:$O$751,B12,'Z2_CplteAnneeMois'!$F$2:$F$751,C12,'Z2_CplteAnneeMois'!$K$2:$K$751,D12)</f>
        <v/>
      </c>
    </row>
    <row r="13">
      <c r="A13" s="6" t="n">
        <v>2023</v>
      </c>
      <c r="B13" s="5" t="inlineStr">
        <is>
          <t>2023-01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SUMIFS('Z2_CplteAnneeMois'!$L$2:$L$751,'Z2_CplteAnneeMois'!$O$2:$O$751,B13,'Z2_CplteAnneeMois'!$F$2:$F$751,C13,'Z2_CplteAnneeMois'!$K$2:$K$751,D13)</f>
        <v/>
      </c>
      <c r="F13" s="5">
        <f>SUMIFS('Z2_CplteAnneeMois'!$M$2:$M$751,'Z2_CplteAnneeMois'!$O$2:$O$751,B13,'Z2_CplteAnneeMois'!$F$2:$F$751,C13,'Z2_CplteAnneeMois'!$K$2:$K$751,D13)</f>
        <v/>
      </c>
    </row>
    <row r="14">
      <c r="A14" s="6" t="n">
        <v>2023</v>
      </c>
      <c r="B14" s="5" t="inlineStr">
        <is>
          <t>2023-01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SUMIFS('Z2_CplteAnneeMois'!$L$2:$L$751,'Z2_CplteAnneeMois'!$O$2:$O$751,B14,'Z2_CplteAnneeMois'!$F$2:$F$751,C14,'Z2_CplteAnneeMois'!$K$2:$K$751,D14)</f>
        <v/>
      </c>
      <c r="F14" s="5">
        <f>SUMIFS('Z2_CplteAnneeMois'!$M$2:$M$751,'Z2_CplteAnneeMois'!$O$2:$O$751,B14,'Z2_CplteAnneeMois'!$F$2:$F$751,C14,'Z2_CplteAnneeMois'!$K$2:$K$751,D14)</f>
        <v/>
      </c>
    </row>
    <row r="15">
      <c r="A15" s="6" t="n">
        <v>2023</v>
      </c>
      <c r="B15" s="5" t="inlineStr">
        <is>
          <t>2023-01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SUMIFS('Z2_CplteAnneeMois'!$L$2:$L$751,'Z2_CplteAnneeMois'!$O$2:$O$751,B15,'Z2_CplteAnneeMois'!$F$2:$F$751,C15,'Z2_CplteAnneeMois'!$K$2:$K$751,D15)</f>
        <v/>
      </c>
      <c r="F15" s="5">
        <f>SUMIFS('Z2_CplteAnneeMois'!$M$2:$M$751,'Z2_CplteAnneeMois'!$O$2:$O$751,B15,'Z2_CplteAnneeMois'!$F$2:$F$751,C15,'Z2_CplteAnneeMois'!$K$2:$K$751,D15)</f>
        <v/>
      </c>
    </row>
    <row r="16">
      <c r="A16" s="6" t="n">
        <v>2023</v>
      </c>
      <c r="B16" s="5" t="inlineStr">
        <is>
          <t>2023-01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SUMIFS('Z2_CplteAnneeMois'!$L$2:$L$751,'Z2_CplteAnneeMois'!$O$2:$O$751,B16,'Z2_CplteAnneeMois'!$F$2:$F$751,C16,'Z2_CplteAnneeMois'!$K$2:$K$751,D16)</f>
        <v/>
      </c>
      <c r="F16" s="5">
        <f>SUMIFS('Z2_CplteAnneeMois'!$M$2:$M$751,'Z2_CplteAnneeMois'!$O$2:$O$751,B16,'Z2_CplteAnneeMois'!$F$2:$F$751,C16,'Z2_CplteAnneeMois'!$K$2:$K$751,D16)</f>
        <v/>
      </c>
    </row>
    <row r="17">
      <c r="A17" s="6" t="n">
        <v>2023</v>
      </c>
      <c r="B17" s="5" t="inlineStr">
        <is>
          <t>2023-02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SUMIFS('Z2_CplteAnneeMois'!$L$2:$L$751,'Z2_CplteAnneeMois'!$O$2:$O$751,B17,'Z2_CplteAnneeMois'!$F$2:$F$751,C17,'Z2_CplteAnneeMois'!$K$2:$K$751,D17)</f>
        <v/>
      </c>
      <c r="F17" s="5">
        <f>SUMIFS('Z2_CplteAnneeMois'!$M$2:$M$751,'Z2_CplteAnneeMois'!$O$2:$O$751,B17,'Z2_CplteAnneeMois'!$F$2:$F$751,C17,'Z2_CplteAnneeMois'!$K$2:$K$751,D17)</f>
        <v/>
      </c>
    </row>
    <row r="18">
      <c r="A18" s="6" t="n">
        <v>2023</v>
      </c>
      <c r="B18" s="5" t="inlineStr">
        <is>
          <t>2023-02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SUMIFS('Z2_CplteAnneeMois'!$L$2:$L$751,'Z2_CplteAnneeMois'!$O$2:$O$751,B18,'Z2_CplteAnneeMois'!$F$2:$F$751,C18,'Z2_CplteAnneeMois'!$K$2:$K$751,D18)</f>
        <v/>
      </c>
      <c r="F18" s="5">
        <f>SUMIFS('Z2_CplteAnneeMois'!$M$2:$M$751,'Z2_CplteAnneeMois'!$O$2:$O$751,B18,'Z2_CplteAnneeMois'!$F$2:$F$751,C18,'Z2_CplteAnneeMois'!$K$2:$K$751,D18)</f>
        <v/>
      </c>
    </row>
    <row r="19">
      <c r="A19" s="6" t="n">
        <v>2023</v>
      </c>
      <c r="B19" s="5" t="inlineStr">
        <is>
          <t>2023-02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SUMIFS('Z2_CplteAnneeMois'!$L$2:$L$751,'Z2_CplteAnneeMois'!$O$2:$O$751,B19,'Z2_CplteAnneeMois'!$F$2:$F$751,C19,'Z2_CplteAnneeMois'!$K$2:$K$751,D19)</f>
        <v/>
      </c>
      <c r="F19" s="5">
        <f>SUMIFS('Z2_CplteAnneeMois'!$M$2:$M$751,'Z2_CplteAnneeMois'!$O$2:$O$751,B19,'Z2_CplteAnneeMois'!$F$2:$F$751,C19,'Z2_CplteAnneeMois'!$K$2:$K$751,D19)</f>
        <v/>
      </c>
    </row>
    <row r="20">
      <c r="A20" s="6" t="n">
        <v>2023</v>
      </c>
      <c r="B20" s="5" t="inlineStr">
        <is>
          <t>2023-02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SUMIFS('Z2_CplteAnneeMois'!$L$2:$L$751,'Z2_CplteAnneeMois'!$O$2:$O$751,B20,'Z2_CplteAnneeMois'!$F$2:$F$751,C20,'Z2_CplteAnneeMois'!$K$2:$K$751,D20)</f>
        <v/>
      </c>
      <c r="F20" s="5">
        <f>SUMIFS('Z2_CplteAnneeMois'!$M$2:$M$751,'Z2_CplteAnneeMois'!$O$2:$O$751,B20,'Z2_CplteAnneeMois'!$F$2:$F$751,C20,'Z2_CplteAnneeMois'!$K$2:$K$751,D20)</f>
        <v/>
      </c>
    </row>
    <row r="21">
      <c r="A21" s="6" t="n">
        <v>2023</v>
      </c>
      <c r="B21" s="5" t="inlineStr">
        <is>
          <t>2023-02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SUMIFS('Z2_CplteAnneeMois'!$L$2:$L$751,'Z2_CplteAnneeMois'!$O$2:$O$751,B21,'Z2_CplteAnneeMois'!$F$2:$F$751,C21,'Z2_CplteAnneeMois'!$K$2:$K$751,D21)</f>
        <v/>
      </c>
      <c r="F21" s="5">
        <f>SUMIFS('Z2_CplteAnneeMois'!$M$2:$M$751,'Z2_CplteAnneeMois'!$O$2:$O$751,B21,'Z2_CplteAnneeMois'!$F$2:$F$751,C21,'Z2_CplteAnneeMois'!$K$2:$K$751,D21)</f>
        <v/>
      </c>
    </row>
    <row r="22">
      <c r="A22" s="6" t="n">
        <v>2023</v>
      </c>
      <c r="B22" s="5" t="inlineStr">
        <is>
          <t>2023-02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SUMIFS('Z2_CplteAnneeMois'!$L$2:$L$751,'Z2_CplteAnneeMois'!$O$2:$O$751,B22,'Z2_CplteAnneeMois'!$F$2:$F$751,C22,'Z2_CplteAnneeMois'!$K$2:$K$751,D22)</f>
        <v/>
      </c>
      <c r="F22" s="5">
        <f>SUMIFS('Z2_CplteAnneeMois'!$M$2:$M$751,'Z2_CplteAnneeMois'!$O$2:$O$751,B22,'Z2_CplteAnneeMois'!$F$2:$F$751,C22,'Z2_CplteAnneeMois'!$K$2:$K$751,D22)</f>
        <v/>
      </c>
    </row>
    <row r="23">
      <c r="A23" s="6" t="n">
        <v>2023</v>
      </c>
      <c r="B23" s="5" t="inlineStr">
        <is>
          <t>2023-02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SUMIFS('Z2_CplteAnneeMois'!$L$2:$L$751,'Z2_CplteAnneeMois'!$O$2:$O$751,B23,'Z2_CplteAnneeMois'!$F$2:$F$751,C23,'Z2_CplteAnneeMois'!$K$2:$K$751,D23)</f>
        <v/>
      </c>
      <c r="F23" s="5">
        <f>SUMIFS('Z2_CplteAnneeMois'!$M$2:$M$751,'Z2_CplteAnneeMois'!$O$2:$O$751,B23,'Z2_CplteAnneeMois'!$F$2:$F$751,C23,'Z2_CplteAnneeMois'!$K$2:$K$751,D23)</f>
        <v/>
      </c>
    </row>
    <row r="24">
      <c r="A24" s="6" t="n">
        <v>2023</v>
      </c>
      <c r="B24" s="5" t="inlineStr">
        <is>
          <t>2023-02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SUMIFS('Z2_CplteAnneeMois'!$L$2:$L$751,'Z2_CplteAnneeMois'!$O$2:$O$751,B24,'Z2_CplteAnneeMois'!$F$2:$F$751,C24,'Z2_CplteAnneeMois'!$K$2:$K$751,D24)</f>
        <v/>
      </c>
      <c r="F24" s="5">
        <f>SUMIFS('Z2_CplteAnneeMois'!$M$2:$M$751,'Z2_CplteAnneeMois'!$O$2:$O$751,B24,'Z2_CplteAnneeMois'!$F$2:$F$751,C24,'Z2_CplteAnneeMois'!$K$2:$K$751,D24)</f>
        <v/>
      </c>
    </row>
    <row r="25">
      <c r="A25" s="6" t="n">
        <v>2023</v>
      </c>
      <c r="B25" s="5" t="inlineStr">
        <is>
          <t>2023-02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SUMIFS('Z2_CplteAnneeMois'!$L$2:$L$751,'Z2_CplteAnneeMois'!$O$2:$O$751,B25,'Z2_CplteAnneeMois'!$F$2:$F$751,C25,'Z2_CplteAnneeMois'!$K$2:$K$751,D25)</f>
        <v/>
      </c>
      <c r="F25" s="5">
        <f>SUMIFS('Z2_CplteAnneeMois'!$M$2:$M$751,'Z2_CplteAnneeMois'!$O$2:$O$751,B25,'Z2_CplteAnneeMois'!$F$2:$F$751,C25,'Z2_CplteAnneeMois'!$K$2:$K$751,D25)</f>
        <v/>
      </c>
    </row>
    <row r="26">
      <c r="A26" s="6" t="n">
        <v>2023</v>
      </c>
      <c r="B26" s="5" t="inlineStr">
        <is>
          <t>2023-02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SUMIFS('Z2_CplteAnneeMois'!$L$2:$L$751,'Z2_CplteAnneeMois'!$O$2:$O$751,B26,'Z2_CplteAnneeMois'!$F$2:$F$751,C26,'Z2_CplteAnneeMois'!$K$2:$K$751,D26)</f>
        <v/>
      </c>
      <c r="F26" s="5">
        <f>SUMIFS('Z2_CplteAnneeMois'!$M$2:$M$751,'Z2_CplteAnneeMois'!$O$2:$O$751,B26,'Z2_CplteAnneeMois'!$F$2:$F$751,C26,'Z2_CplteAnneeMois'!$K$2:$K$751,D26)</f>
        <v/>
      </c>
    </row>
    <row r="27">
      <c r="A27" s="6" t="n">
        <v>2023</v>
      </c>
      <c r="B27" s="5" t="inlineStr">
        <is>
          <t>2023-02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SUMIFS('Z2_CplteAnneeMois'!$L$2:$L$751,'Z2_CplteAnneeMois'!$O$2:$O$751,B27,'Z2_CplteAnneeMois'!$F$2:$F$751,C27,'Z2_CplteAnneeMois'!$K$2:$K$751,D27)</f>
        <v/>
      </c>
      <c r="F27" s="5">
        <f>SUMIFS('Z2_CplteAnneeMois'!$M$2:$M$751,'Z2_CplteAnneeMois'!$O$2:$O$751,B27,'Z2_CplteAnneeMois'!$F$2:$F$751,C27,'Z2_CplteAnneeMois'!$K$2:$K$751,D27)</f>
        <v/>
      </c>
    </row>
    <row r="28">
      <c r="A28" s="6" t="n">
        <v>2023</v>
      </c>
      <c r="B28" s="5" t="inlineStr">
        <is>
          <t>2023-02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SUMIFS('Z2_CplteAnneeMois'!$L$2:$L$751,'Z2_CplteAnneeMois'!$O$2:$O$751,B28,'Z2_CplteAnneeMois'!$F$2:$F$751,C28,'Z2_CplteAnneeMois'!$K$2:$K$751,D28)</f>
        <v/>
      </c>
      <c r="F28" s="5">
        <f>SUMIFS('Z2_CplteAnneeMois'!$M$2:$M$751,'Z2_CplteAnneeMois'!$O$2:$O$751,B28,'Z2_CplteAnneeMois'!$F$2:$F$751,C28,'Z2_CplteAnneeMois'!$K$2:$K$751,D28)</f>
        <v/>
      </c>
    </row>
    <row r="29">
      <c r="A29" s="6" t="n">
        <v>2023</v>
      </c>
      <c r="B29" s="5" t="inlineStr">
        <is>
          <t>2023-02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SUMIFS('Z2_CplteAnneeMois'!$L$2:$L$751,'Z2_CplteAnneeMois'!$O$2:$O$751,B29,'Z2_CplteAnneeMois'!$F$2:$F$751,C29,'Z2_CplteAnneeMois'!$K$2:$K$751,D29)</f>
        <v/>
      </c>
      <c r="F29" s="5">
        <f>SUMIFS('Z2_CplteAnneeMois'!$M$2:$M$751,'Z2_CplteAnneeMois'!$O$2:$O$751,B29,'Z2_CplteAnneeMois'!$F$2:$F$751,C29,'Z2_CplteAnneeMois'!$K$2:$K$751,D29)</f>
        <v/>
      </c>
    </row>
    <row r="30">
      <c r="A30" s="6" t="n">
        <v>2023</v>
      </c>
      <c r="B30" s="5" t="inlineStr">
        <is>
          <t>2023-02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SUMIFS('Z2_CplteAnneeMois'!$L$2:$L$751,'Z2_CplteAnneeMois'!$O$2:$O$751,B30,'Z2_CplteAnneeMois'!$F$2:$F$751,C30,'Z2_CplteAnneeMois'!$K$2:$K$751,D30)</f>
        <v/>
      </c>
      <c r="F30" s="5">
        <f>SUMIFS('Z2_CplteAnneeMois'!$M$2:$M$751,'Z2_CplteAnneeMois'!$O$2:$O$751,B30,'Z2_CplteAnneeMois'!$F$2:$F$751,C30,'Z2_CplteAnneeMois'!$K$2:$K$751,D30)</f>
        <v/>
      </c>
    </row>
    <row r="31">
      <c r="A31" s="6" t="n">
        <v>2023</v>
      </c>
      <c r="B31" s="5" t="inlineStr">
        <is>
          <t>2023-02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SUMIFS('Z2_CplteAnneeMois'!$L$2:$L$751,'Z2_CplteAnneeMois'!$O$2:$O$751,B31,'Z2_CplteAnneeMois'!$F$2:$F$751,C31,'Z2_CplteAnneeMois'!$K$2:$K$751,D31)</f>
        <v/>
      </c>
      <c r="F31" s="5">
        <f>SUMIFS('Z2_CplteAnneeMois'!$M$2:$M$751,'Z2_CplteAnneeMois'!$O$2:$O$751,B31,'Z2_CplteAnneeMois'!$F$2:$F$751,C31,'Z2_CplteAnneeMois'!$K$2:$K$751,D31)</f>
        <v/>
      </c>
    </row>
    <row r="32">
      <c r="A32" s="6" t="n">
        <v>2023</v>
      </c>
      <c r="B32" s="5" t="inlineStr">
        <is>
          <t>2023-03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SUMIFS('Z2_CplteAnneeMois'!$L$2:$L$751,'Z2_CplteAnneeMois'!$O$2:$O$751,B32,'Z2_CplteAnneeMois'!$F$2:$F$751,C32,'Z2_CplteAnneeMois'!$K$2:$K$751,D32)</f>
        <v/>
      </c>
      <c r="F32" s="5">
        <f>SUMIFS('Z2_CplteAnneeMois'!$M$2:$M$751,'Z2_CplteAnneeMois'!$O$2:$O$751,B32,'Z2_CplteAnneeMois'!$F$2:$F$751,C32,'Z2_CplteAnneeMois'!$K$2:$K$751,D32)</f>
        <v/>
      </c>
    </row>
    <row r="33">
      <c r="A33" s="6" t="n">
        <v>2023</v>
      </c>
      <c r="B33" s="5" t="inlineStr">
        <is>
          <t>2023-03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SUMIFS('Z2_CplteAnneeMois'!$L$2:$L$751,'Z2_CplteAnneeMois'!$O$2:$O$751,B33,'Z2_CplteAnneeMois'!$F$2:$F$751,C33,'Z2_CplteAnneeMois'!$K$2:$K$751,D33)</f>
        <v/>
      </c>
      <c r="F33" s="5">
        <f>SUMIFS('Z2_CplteAnneeMois'!$M$2:$M$751,'Z2_CplteAnneeMois'!$O$2:$O$751,B33,'Z2_CplteAnneeMois'!$F$2:$F$751,C33,'Z2_CplteAnneeMois'!$K$2:$K$751,D33)</f>
        <v/>
      </c>
    </row>
    <row r="34">
      <c r="A34" s="6" t="n">
        <v>2023</v>
      </c>
      <c r="B34" s="5" t="inlineStr">
        <is>
          <t>2023-03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SUMIFS('Z2_CplteAnneeMois'!$L$2:$L$751,'Z2_CplteAnneeMois'!$O$2:$O$751,B34,'Z2_CplteAnneeMois'!$F$2:$F$751,C34,'Z2_CplteAnneeMois'!$K$2:$K$751,D34)</f>
        <v/>
      </c>
      <c r="F34" s="5">
        <f>SUMIFS('Z2_CplteAnneeMois'!$M$2:$M$751,'Z2_CplteAnneeMois'!$O$2:$O$751,B34,'Z2_CplteAnneeMois'!$F$2:$F$751,C34,'Z2_CplteAnneeMois'!$K$2:$K$751,D34)</f>
        <v/>
      </c>
    </row>
    <row r="35">
      <c r="A35" s="6" t="n">
        <v>2023</v>
      </c>
      <c r="B35" s="5" t="inlineStr">
        <is>
          <t>2023-03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SUMIFS('Z2_CplteAnneeMois'!$L$2:$L$751,'Z2_CplteAnneeMois'!$O$2:$O$751,B35,'Z2_CplteAnneeMois'!$F$2:$F$751,C35,'Z2_CplteAnneeMois'!$K$2:$K$751,D35)</f>
        <v/>
      </c>
      <c r="F35" s="5">
        <f>SUMIFS('Z2_CplteAnneeMois'!$M$2:$M$751,'Z2_CplteAnneeMois'!$O$2:$O$751,B35,'Z2_CplteAnneeMois'!$F$2:$F$751,C35,'Z2_CplteAnneeMois'!$K$2:$K$751,D35)</f>
        <v/>
      </c>
    </row>
    <row r="36">
      <c r="A36" s="6" t="n">
        <v>2023</v>
      </c>
      <c r="B36" s="5" t="inlineStr">
        <is>
          <t>2023-03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SUMIFS('Z2_CplteAnneeMois'!$L$2:$L$751,'Z2_CplteAnneeMois'!$O$2:$O$751,B36,'Z2_CplteAnneeMois'!$F$2:$F$751,C36,'Z2_CplteAnneeMois'!$K$2:$K$751,D36)</f>
        <v/>
      </c>
      <c r="F36" s="5">
        <f>SUMIFS('Z2_CplteAnneeMois'!$M$2:$M$751,'Z2_CplteAnneeMois'!$O$2:$O$751,B36,'Z2_CplteAnneeMois'!$F$2:$F$751,C36,'Z2_CplteAnneeMois'!$K$2:$K$751,D36)</f>
        <v/>
      </c>
    </row>
    <row r="37">
      <c r="A37" s="6" t="n">
        <v>2023</v>
      </c>
      <c r="B37" s="5" t="inlineStr">
        <is>
          <t>2023-03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SUMIFS('Z2_CplteAnneeMois'!$L$2:$L$751,'Z2_CplteAnneeMois'!$O$2:$O$751,B37,'Z2_CplteAnneeMois'!$F$2:$F$751,C37,'Z2_CplteAnneeMois'!$K$2:$K$751,D37)</f>
        <v/>
      </c>
      <c r="F37" s="5">
        <f>SUMIFS('Z2_CplteAnneeMois'!$M$2:$M$751,'Z2_CplteAnneeMois'!$O$2:$O$751,B37,'Z2_CplteAnneeMois'!$F$2:$F$751,C37,'Z2_CplteAnneeMois'!$K$2:$K$751,D37)</f>
        <v/>
      </c>
    </row>
    <row r="38">
      <c r="A38" s="6" t="n">
        <v>2023</v>
      </c>
      <c r="B38" s="5" t="inlineStr">
        <is>
          <t>2023-03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SUMIFS('Z2_CplteAnneeMois'!$L$2:$L$751,'Z2_CplteAnneeMois'!$O$2:$O$751,B38,'Z2_CplteAnneeMois'!$F$2:$F$751,C38,'Z2_CplteAnneeMois'!$K$2:$K$751,D38)</f>
        <v/>
      </c>
      <c r="F38" s="5">
        <f>SUMIFS('Z2_CplteAnneeMois'!$M$2:$M$751,'Z2_CplteAnneeMois'!$O$2:$O$751,B38,'Z2_CplteAnneeMois'!$F$2:$F$751,C38,'Z2_CplteAnneeMois'!$K$2:$K$751,D38)</f>
        <v/>
      </c>
    </row>
    <row r="39">
      <c r="A39" s="6" t="n">
        <v>2023</v>
      </c>
      <c r="B39" s="5" t="inlineStr">
        <is>
          <t>2023-03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SUMIFS('Z2_CplteAnneeMois'!$L$2:$L$751,'Z2_CplteAnneeMois'!$O$2:$O$751,B39,'Z2_CplteAnneeMois'!$F$2:$F$751,C39,'Z2_CplteAnneeMois'!$K$2:$K$751,D39)</f>
        <v/>
      </c>
      <c r="F39" s="5">
        <f>SUMIFS('Z2_CplteAnneeMois'!$M$2:$M$751,'Z2_CplteAnneeMois'!$O$2:$O$751,B39,'Z2_CplteAnneeMois'!$F$2:$F$751,C39,'Z2_CplteAnneeMois'!$K$2:$K$751,D39)</f>
        <v/>
      </c>
    </row>
    <row r="40">
      <c r="A40" s="6" t="n">
        <v>2023</v>
      </c>
      <c r="B40" s="5" t="inlineStr">
        <is>
          <t>2023-03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SUMIFS('Z2_CplteAnneeMois'!$L$2:$L$751,'Z2_CplteAnneeMois'!$O$2:$O$751,B40,'Z2_CplteAnneeMois'!$F$2:$F$751,C40,'Z2_CplteAnneeMois'!$K$2:$K$751,D40)</f>
        <v/>
      </c>
      <c r="F40" s="5">
        <f>SUMIFS('Z2_CplteAnneeMois'!$M$2:$M$751,'Z2_CplteAnneeMois'!$O$2:$O$751,B40,'Z2_CplteAnneeMois'!$F$2:$F$751,C40,'Z2_CplteAnneeMois'!$K$2:$K$751,D40)</f>
        <v/>
      </c>
    </row>
    <row r="41">
      <c r="A41" s="6" t="n">
        <v>2023</v>
      </c>
      <c r="B41" s="5" t="inlineStr">
        <is>
          <t>2023-03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SUMIFS('Z2_CplteAnneeMois'!$L$2:$L$751,'Z2_CplteAnneeMois'!$O$2:$O$751,B41,'Z2_CplteAnneeMois'!$F$2:$F$751,C41,'Z2_CplteAnneeMois'!$K$2:$K$751,D41)</f>
        <v/>
      </c>
      <c r="F41" s="5">
        <f>SUMIFS('Z2_CplteAnneeMois'!$M$2:$M$751,'Z2_CplteAnneeMois'!$O$2:$O$751,B41,'Z2_CplteAnneeMois'!$F$2:$F$751,C41,'Z2_CplteAnneeMois'!$K$2:$K$751,D41)</f>
        <v/>
      </c>
    </row>
    <row r="42">
      <c r="A42" s="6" t="n">
        <v>2023</v>
      </c>
      <c r="B42" s="5" t="inlineStr">
        <is>
          <t>2023-03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SUMIFS('Z2_CplteAnneeMois'!$L$2:$L$751,'Z2_CplteAnneeMois'!$O$2:$O$751,B42,'Z2_CplteAnneeMois'!$F$2:$F$751,C42,'Z2_CplteAnneeMois'!$K$2:$K$751,D42)</f>
        <v/>
      </c>
      <c r="F42" s="5">
        <f>SUMIFS('Z2_CplteAnneeMois'!$M$2:$M$751,'Z2_CplteAnneeMois'!$O$2:$O$751,B42,'Z2_CplteAnneeMois'!$F$2:$F$751,C42,'Z2_CplteAnneeMois'!$K$2:$K$751,D42)</f>
        <v/>
      </c>
    </row>
    <row r="43">
      <c r="A43" s="6" t="n">
        <v>2023</v>
      </c>
      <c r="B43" s="5" t="inlineStr">
        <is>
          <t>2023-03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SUMIFS('Z2_CplteAnneeMois'!$L$2:$L$751,'Z2_CplteAnneeMois'!$O$2:$O$751,B43,'Z2_CplteAnneeMois'!$F$2:$F$751,C43,'Z2_CplteAnneeMois'!$K$2:$K$751,D43)</f>
        <v/>
      </c>
      <c r="F43" s="5">
        <f>SUMIFS('Z2_CplteAnneeMois'!$M$2:$M$751,'Z2_CplteAnneeMois'!$O$2:$O$751,B43,'Z2_CplteAnneeMois'!$F$2:$F$751,C43,'Z2_CplteAnneeMois'!$K$2:$K$751,D43)</f>
        <v/>
      </c>
    </row>
    <row r="44">
      <c r="A44" s="6" t="n">
        <v>2023</v>
      </c>
      <c r="B44" s="5" t="inlineStr">
        <is>
          <t>2023-03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SUMIFS('Z2_CplteAnneeMois'!$L$2:$L$751,'Z2_CplteAnneeMois'!$O$2:$O$751,B44,'Z2_CplteAnneeMois'!$F$2:$F$751,C44,'Z2_CplteAnneeMois'!$K$2:$K$751,D44)</f>
        <v/>
      </c>
      <c r="F44" s="5">
        <f>SUMIFS('Z2_CplteAnneeMois'!$M$2:$M$751,'Z2_CplteAnneeMois'!$O$2:$O$751,B44,'Z2_CplteAnneeMois'!$F$2:$F$751,C44,'Z2_CplteAnneeMois'!$K$2:$K$751,D44)</f>
        <v/>
      </c>
    </row>
    <row r="45">
      <c r="A45" s="6" t="n">
        <v>2023</v>
      </c>
      <c r="B45" s="5" t="inlineStr">
        <is>
          <t>2023-03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SUMIFS('Z2_CplteAnneeMois'!$L$2:$L$751,'Z2_CplteAnneeMois'!$O$2:$O$751,B45,'Z2_CplteAnneeMois'!$F$2:$F$751,C45,'Z2_CplteAnneeMois'!$K$2:$K$751,D45)</f>
        <v/>
      </c>
      <c r="F45" s="5">
        <f>SUMIFS('Z2_CplteAnneeMois'!$M$2:$M$751,'Z2_CplteAnneeMois'!$O$2:$O$751,B45,'Z2_CplteAnneeMois'!$F$2:$F$751,C45,'Z2_CplteAnneeMois'!$K$2:$K$751,D45)</f>
        <v/>
      </c>
    </row>
    <row r="46">
      <c r="A46" s="6" t="n">
        <v>2023</v>
      </c>
      <c r="B46" s="5" t="inlineStr">
        <is>
          <t>2023-03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SUMIFS('Z2_CplteAnneeMois'!$L$2:$L$751,'Z2_CplteAnneeMois'!$O$2:$O$751,B46,'Z2_CplteAnneeMois'!$F$2:$F$751,C46,'Z2_CplteAnneeMois'!$K$2:$K$751,D46)</f>
        <v/>
      </c>
      <c r="F46" s="5">
        <f>SUMIFS('Z2_CplteAnneeMois'!$M$2:$M$751,'Z2_CplteAnneeMois'!$O$2:$O$751,B46,'Z2_CplteAnneeMois'!$F$2:$F$751,C46,'Z2_CplteAnneeMois'!$K$2:$K$751,D46)</f>
        <v/>
      </c>
    </row>
    <row r="47">
      <c r="A47" s="6" t="n">
        <v>2023</v>
      </c>
      <c r="B47" s="5" t="inlineStr">
        <is>
          <t>2023-04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SUMIFS('Z2_CplteAnneeMois'!$L$2:$L$751,'Z2_CplteAnneeMois'!$O$2:$O$751,B47,'Z2_CplteAnneeMois'!$F$2:$F$751,C47,'Z2_CplteAnneeMois'!$K$2:$K$751,D47)</f>
        <v/>
      </c>
      <c r="F47" s="5">
        <f>SUMIFS('Z2_CplteAnneeMois'!$M$2:$M$751,'Z2_CplteAnneeMois'!$O$2:$O$751,B47,'Z2_CplteAnneeMois'!$F$2:$F$751,C47,'Z2_CplteAnneeMois'!$K$2:$K$751,D47)</f>
        <v/>
      </c>
    </row>
    <row r="48">
      <c r="A48" s="6" t="n">
        <v>2023</v>
      </c>
      <c r="B48" s="5" t="inlineStr">
        <is>
          <t>2023-04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SUMIFS('Z2_CplteAnneeMois'!$L$2:$L$751,'Z2_CplteAnneeMois'!$O$2:$O$751,B48,'Z2_CplteAnneeMois'!$F$2:$F$751,C48,'Z2_CplteAnneeMois'!$K$2:$K$751,D48)</f>
        <v/>
      </c>
      <c r="F48" s="5">
        <f>SUMIFS('Z2_CplteAnneeMois'!$M$2:$M$751,'Z2_CplteAnneeMois'!$O$2:$O$751,B48,'Z2_CplteAnneeMois'!$F$2:$F$751,C48,'Z2_CplteAnneeMois'!$K$2:$K$751,D48)</f>
        <v/>
      </c>
    </row>
    <row r="49">
      <c r="A49" s="6" t="n">
        <v>2023</v>
      </c>
      <c r="B49" s="5" t="inlineStr">
        <is>
          <t>2023-04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SUMIFS('Z2_CplteAnneeMois'!$L$2:$L$751,'Z2_CplteAnneeMois'!$O$2:$O$751,B49,'Z2_CplteAnneeMois'!$F$2:$F$751,C49,'Z2_CplteAnneeMois'!$K$2:$K$751,D49)</f>
        <v/>
      </c>
      <c r="F49" s="5">
        <f>SUMIFS('Z2_CplteAnneeMois'!$M$2:$M$751,'Z2_CplteAnneeMois'!$O$2:$O$751,B49,'Z2_CplteAnneeMois'!$F$2:$F$751,C49,'Z2_CplteAnneeMois'!$K$2:$K$751,D49)</f>
        <v/>
      </c>
    </row>
    <row r="50">
      <c r="A50" s="6" t="n">
        <v>2023</v>
      </c>
      <c r="B50" s="5" t="inlineStr">
        <is>
          <t>2023-04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SUMIFS('Z2_CplteAnneeMois'!$L$2:$L$751,'Z2_CplteAnneeMois'!$O$2:$O$751,B50,'Z2_CplteAnneeMois'!$F$2:$F$751,C50,'Z2_CplteAnneeMois'!$K$2:$K$751,D50)</f>
        <v/>
      </c>
      <c r="F50" s="5">
        <f>SUMIFS('Z2_CplteAnneeMois'!$M$2:$M$751,'Z2_CplteAnneeMois'!$O$2:$O$751,B50,'Z2_CplteAnneeMois'!$F$2:$F$751,C50,'Z2_CplteAnneeMois'!$K$2:$K$751,D50)</f>
        <v/>
      </c>
    </row>
    <row r="51">
      <c r="A51" s="6" t="n">
        <v>2023</v>
      </c>
      <c r="B51" s="5" t="inlineStr">
        <is>
          <t>2023-04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SUMIFS('Z2_CplteAnneeMois'!$L$2:$L$751,'Z2_CplteAnneeMois'!$O$2:$O$751,B51,'Z2_CplteAnneeMois'!$F$2:$F$751,C51,'Z2_CplteAnneeMois'!$K$2:$K$751,D51)</f>
        <v/>
      </c>
      <c r="F51" s="5">
        <f>SUMIFS('Z2_CplteAnneeMois'!$M$2:$M$751,'Z2_CplteAnneeMois'!$O$2:$O$751,B51,'Z2_CplteAnneeMois'!$F$2:$F$751,C51,'Z2_CplteAnneeMois'!$K$2:$K$751,D51)</f>
        <v/>
      </c>
    </row>
    <row r="52">
      <c r="A52" s="6" t="n">
        <v>2023</v>
      </c>
      <c r="B52" s="5" t="inlineStr">
        <is>
          <t>2023-04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SUMIFS('Z2_CplteAnneeMois'!$L$2:$L$751,'Z2_CplteAnneeMois'!$O$2:$O$751,B52,'Z2_CplteAnneeMois'!$F$2:$F$751,C52,'Z2_CplteAnneeMois'!$K$2:$K$751,D52)</f>
        <v/>
      </c>
      <c r="F52" s="5">
        <f>SUMIFS('Z2_CplteAnneeMois'!$M$2:$M$751,'Z2_CplteAnneeMois'!$O$2:$O$751,B52,'Z2_CplteAnneeMois'!$F$2:$F$751,C52,'Z2_CplteAnneeMois'!$K$2:$K$751,D52)</f>
        <v/>
      </c>
    </row>
    <row r="53">
      <c r="A53" s="6" t="n">
        <v>2023</v>
      </c>
      <c r="B53" s="5" t="inlineStr">
        <is>
          <t>2023-04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SUMIFS('Z2_CplteAnneeMois'!$L$2:$L$751,'Z2_CplteAnneeMois'!$O$2:$O$751,B53,'Z2_CplteAnneeMois'!$F$2:$F$751,C53,'Z2_CplteAnneeMois'!$K$2:$K$751,D53)</f>
        <v/>
      </c>
      <c r="F53" s="5">
        <f>SUMIFS('Z2_CplteAnneeMois'!$M$2:$M$751,'Z2_CplteAnneeMois'!$O$2:$O$751,B53,'Z2_CplteAnneeMois'!$F$2:$F$751,C53,'Z2_CplteAnneeMois'!$K$2:$K$751,D53)</f>
        <v/>
      </c>
    </row>
    <row r="54">
      <c r="A54" s="6" t="n">
        <v>2023</v>
      </c>
      <c r="B54" s="5" t="inlineStr">
        <is>
          <t>2023-04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SUMIFS('Z2_CplteAnneeMois'!$L$2:$L$751,'Z2_CplteAnneeMois'!$O$2:$O$751,B54,'Z2_CplteAnneeMois'!$F$2:$F$751,C54,'Z2_CplteAnneeMois'!$K$2:$K$751,D54)</f>
        <v/>
      </c>
      <c r="F54" s="5">
        <f>SUMIFS('Z2_CplteAnneeMois'!$M$2:$M$751,'Z2_CplteAnneeMois'!$O$2:$O$751,B54,'Z2_CplteAnneeMois'!$F$2:$F$751,C54,'Z2_CplteAnneeMois'!$K$2:$K$751,D54)</f>
        <v/>
      </c>
    </row>
    <row r="55">
      <c r="A55" s="6" t="n">
        <v>2023</v>
      </c>
      <c r="B55" s="5" t="inlineStr">
        <is>
          <t>2023-04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SUMIFS('Z2_CplteAnneeMois'!$L$2:$L$751,'Z2_CplteAnneeMois'!$O$2:$O$751,B55,'Z2_CplteAnneeMois'!$F$2:$F$751,C55,'Z2_CplteAnneeMois'!$K$2:$K$751,D55)</f>
        <v/>
      </c>
      <c r="F55" s="5">
        <f>SUMIFS('Z2_CplteAnneeMois'!$M$2:$M$751,'Z2_CplteAnneeMois'!$O$2:$O$751,B55,'Z2_CplteAnneeMois'!$F$2:$F$751,C55,'Z2_CplteAnneeMois'!$K$2:$K$751,D55)</f>
        <v/>
      </c>
    </row>
    <row r="56">
      <c r="A56" s="6" t="n">
        <v>2023</v>
      </c>
      <c r="B56" s="5" t="inlineStr">
        <is>
          <t>2023-04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SUMIFS('Z2_CplteAnneeMois'!$L$2:$L$751,'Z2_CplteAnneeMois'!$O$2:$O$751,B56,'Z2_CplteAnneeMois'!$F$2:$F$751,C56,'Z2_CplteAnneeMois'!$K$2:$K$751,D56)</f>
        <v/>
      </c>
      <c r="F56" s="5">
        <f>SUMIFS('Z2_CplteAnneeMois'!$M$2:$M$751,'Z2_CplteAnneeMois'!$O$2:$O$751,B56,'Z2_CplteAnneeMois'!$F$2:$F$751,C56,'Z2_CplteAnneeMois'!$K$2:$K$751,D56)</f>
        <v/>
      </c>
    </row>
    <row r="57">
      <c r="A57" s="6" t="n">
        <v>2023</v>
      </c>
      <c r="B57" s="5" t="inlineStr">
        <is>
          <t>2023-04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SUMIFS('Z2_CplteAnneeMois'!$L$2:$L$751,'Z2_CplteAnneeMois'!$O$2:$O$751,B57,'Z2_CplteAnneeMois'!$F$2:$F$751,C57,'Z2_CplteAnneeMois'!$K$2:$K$751,D57)</f>
        <v/>
      </c>
      <c r="F57" s="5">
        <f>SUMIFS('Z2_CplteAnneeMois'!$M$2:$M$751,'Z2_CplteAnneeMois'!$O$2:$O$751,B57,'Z2_CplteAnneeMois'!$F$2:$F$751,C57,'Z2_CplteAnneeMois'!$K$2:$K$751,D57)</f>
        <v/>
      </c>
    </row>
    <row r="58">
      <c r="A58" s="6" t="n">
        <v>2023</v>
      </c>
      <c r="B58" s="5" t="inlineStr">
        <is>
          <t>2023-04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SUMIFS('Z2_CplteAnneeMois'!$L$2:$L$751,'Z2_CplteAnneeMois'!$O$2:$O$751,B58,'Z2_CplteAnneeMois'!$F$2:$F$751,C58,'Z2_CplteAnneeMois'!$K$2:$K$751,D58)</f>
        <v/>
      </c>
      <c r="F58" s="5">
        <f>SUMIFS('Z2_CplteAnneeMois'!$M$2:$M$751,'Z2_CplteAnneeMois'!$O$2:$O$751,B58,'Z2_CplteAnneeMois'!$F$2:$F$751,C58,'Z2_CplteAnneeMois'!$K$2:$K$751,D58)</f>
        <v/>
      </c>
    </row>
    <row r="59">
      <c r="A59" s="6" t="n">
        <v>2023</v>
      </c>
      <c r="B59" s="5" t="inlineStr">
        <is>
          <t>2023-04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SUMIFS('Z2_CplteAnneeMois'!$L$2:$L$751,'Z2_CplteAnneeMois'!$O$2:$O$751,B59,'Z2_CplteAnneeMois'!$F$2:$F$751,C59,'Z2_CplteAnneeMois'!$K$2:$K$751,D59)</f>
        <v/>
      </c>
      <c r="F59" s="5">
        <f>SUMIFS('Z2_CplteAnneeMois'!$M$2:$M$751,'Z2_CplteAnneeMois'!$O$2:$O$751,B59,'Z2_CplteAnneeMois'!$F$2:$F$751,C59,'Z2_CplteAnneeMois'!$K$2:$K$751,D59)</f>
        <v/>
      </c>
    </row>
    <row r="60">
      <c r="A60" s="6" t="n">
        <v>2023</v>
      </c>
      <c r="B60" s="5" t="inlineStr">
        <is>
          <t>2023-04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SUMIFS('Z2_CplteAnneeMois'!$L$2:$L$751,'Z2_CplteAnneeMois'!$O$2:$O$751,B60,'Z2_CplteAnneeMois'!$F$2:$F$751,C60,'Z2_CplteAnneeMois'!$K$2:$K$751,D60)</f>
        <v/>
      </c>
      <c r="F60" s="5">
        <f>SUMIFS('Z2_CplteAnneeMois'!$M$2:$M$751,'Z2_CplteAnneeMois'!$O$2:$O$751,B60,'Z2_CplteAnneeMois'!$F$2:$F$751,C60,'Z2_CplteAnneeMois'!$K$2:$K$751,D60)</f>
        <v/>
      </c>
    </row>
    <row r="61">
      <c r="A61" s="6" t="n">
        <v>2023</v>
      </c>
      <c r="B61" s="5" t="inlineStr">
        <is>
          <t>2023-04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SUMIFS('Z2_CplteAnneeMois'!$L$2:$L$751,'Z2_CplteAnneeMois'!$O$2:$O$751,B61,'Z2_CplteAnneeMois'!$F$2:$F$751,C61,'Z2_CplteAnneeMois'!$K$2:$K$751,D61)</f>
        <v/>
      </c>
      <c r="F61" s="5">
        <f>SUMIFS('Z2_CplteAnneeMois'!$M$2:$M$751,'Z2_CplteAnneeMois'!$O$2:$O$751,B61,'Z2_CplteAnneeMois'!$F$2:$F$751,C61,'Z2_CplteAnneeMois'!$K$2:$K$751,D61)</f>
        <v/>
      </c>
    </row>
    <row r="62">
      <c r="A62" s="6" t="n">
        <v>2023</v>
      </c>
      <c r="B62" s="5" t="inlineStr">
        <is>
          <t>2023-05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SUMIFS('Z2_CplteAnneeMois'!$L$2:$L$751,'Z2_CplteAnneeMois'!$O$2:$O$751,B62,'Z2_CplteAnneeMois'!$F$2:$F$751,C62,'Z2_CplteAnneeMois'!$K$2:$K$751,D62)</f>
        <v/>
      </c>
      <c r="F62" s="5">
        <f>SUMIFS('Z2_CplteAnneeMois'!$M$2:$M$751,'Z2_CplteAnneeMois'!$O$2:$O$751,B62,'Z2_CplteAnneeMois'!$F$2:$F$751,C62,'Z2_CplteAnneeMois'!$K$2:$K$751,D62)</f>
        <v/>
      </c>
    </row>
    <row r="63">
      <c r="A63" s="6" t="n">
        <v>2023</v>
      </c>
      <c r="B63" s="5" t="inlineStr">
        <is>
          <t>2023-05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SUMIFS('Z2_CplteAnneeMois'!$L$2:$L$751,'Z2_CplteAnneeMois'!$O$2:$O$751,B63,'Z2_CplteAnneeMois'!$F$2:$F$751,C63,'Z2_CplteAnneeMois'!$K$2:$K$751,D63)</f>
        <v/>
      </c>
      <c r="F63" s="5">
        <f>SUMIFS('Z2_CplteAnneeMois'!$M$2:$M$751,'Z2_CplteAnneeMois'!$O$2:$O$751,B63,'Z2_CplteAnneeMois'!$F$2:$F$751,C63,'Z2_CplteAnneeMois'!$K$2:$K$751,D63)</f>
        <v/>
      </c>
    </row>
    <row r="64">
      <c r="A64" s="6" t="n">
        <v>2023</v>
      </c>
      <c r="B64" s="5" t="inlineStr">
        <is>
          <t>2023-05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SUMIFS('Z2_CplteAnneeMois'!$L$2:$L$751,'Z2_CplteAnneeMois'!$O$2:$O$751,B64,'Z2_CplteAnneeMois'!$F$2:$F$751,C64,'Z2_CplteAnneeMois'!$K$2:$K$751,D64)</f>
        <v/>
      </c>
      <c r="F64" s="5">
        <f>SUMIFS('Z2_CplteAnneeMois'!$M$2:$M$751,'Z2_CplteAnneeMois'!$O$2:$O$751,B64,'Z2_CplteAnneeMois'!$F$2:$F$751,C64,'Z2_CplteAnneeMois'!$K$2:$K$751,D64)</f>
        <v/>
      </c>
    </row>
    <row r="65">
      <c r="A65" s="6" t="n">
        <v>2023</v>
      </c>
      <c r="B65" s="5" t="inlineStr">
        <is>
          <t>2023-05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SUMIFS('Z2_CplteAnneeMois'!$L$2:$L$751,'Z2_CplteAnneeMois'!$O$2:$O$751,B65,'Z2_CplteAnneeMois'!$F$2:$F$751,C65,'Z2_CplteAnneeMois'!$K$2:$K$751,D65)</f>
        <v/>
      </c>
      <c r="F65" s="5">
        <f>SUMIFS('Z2_CplteAnneeMois'!$M$2:$M$751,'Z2_CplteAnneeMois'!$O$2:$O$751,B65,'Z2_CplteAnneeMois'!$F$2:$F$751,C65,'Z2_CplteAnneeMois'!$K$2:$K$751,D65)</f>
        <v/>
      </c>
    </row>
    <row r="66">
      <c r="A66" s="6" t="n">
        <v>2023</v>
      </c>
      <c r="B66" s="5" t="inlineStr">
        <is>
          <t>2023-05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SUMIFS('Z2_CplteAnneeMois'!$L$2:$L$751,'Z2_CplteAnneeMois'!$O$2:$O$751,B66,'Z2_CplteAnneeMois'!$F$2:$F$751,C66,'Z2_CplteAnneeMois'!$K$2:$K$751,D66)</f>
        <v/>
      </c>
      <c r="F66" s="5">
        <f>SUMIFS('Z2_CplteAnneeMois'!$M$2:$M$751,'Z2_CplteAnneeMois'!$O$2:$O$751,B66,'Z2_CplteAnneeMois'!$F$2:$F$751,C66,'Z2_CplteAnneeMois'!$K$2:$K$751,D66)</f>
        <v/>
      </c>
    </row>
    <row r="67">
      <c r="A67" s="6" t="n">
        <v>2023</v>
      </c>
      <c r="B67" s="5" t="inlineStr">
        <is>
          <t>2023-05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SUMIFS('Z2_CplteAnneeMois'!$L$2:$L$751,'Z2_CplteAnneeMois'!$O$2:$O$751,B67,'Z2_CplteAnneeMois'!$F$2:$F$751,C67,'Z2_CplteAnneeMois'!$K$2:$K$751,D67)</f>
        <v/>
      </c>
      <c r="F67" s="5">
        <f>SUMIFS('Z2_CplteAnneeMois'!$M$2:$M$751,'Z2_CplteAnneeMois'!$O$2:$O$751,B67,'Z2_CplteAnneeMois'!$F$2:$F$751,C67,'Z2_CplteAnneeMois'!$K$2:$K$751,D67)</f>
        <v/>
      </c>
    </row>
    <row r="68">
      <c r="A68" s="6" t="n">
        <v>2023</v>
      </c>
      <c r="B68" s="5" t="inlineStr">
        <is>
          <t>2023-05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SUMIFS('Z2_CplteAnneeMois'!$L$2:$L$751,'Z2_CplteAnneeMois'!$O$2:$O$751,B68,'Z2_CplteAnneeMois'!$F$2:$F$751,C68,'Z2_CplteAnneeMois'!$K$2:$K$751,D68)</f>
        <v/>
      </c>
      <c r="F68" s="5">
        <f>SUMIFS('Z2_CplteAnneeMois'!$M$2:$M$751,'Z2_CplteAnneeMois'!$O$2:$O$751,B68,'Z2_CplteAnneeMois'!$F$2:$F$751,C68,'Z2_CplteAnneeMois'!$K$2:$K$751,D68)</f>
        <v/>
      </c>
    </row>
    <row r="69">
      <c r="A69" s="6" t="n">
        <v>2023</v>
      </c>
      <c r="B69" s="5" t="inlineStr">
        <is>
          <t>2023-05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SUMIFS('Z2_CplteAnneeMois'!$L$2:$L$751,'Z2_CplteAnneeMois'!$O$2:$O$751,B69,'Z2_CplteAnneeMois'!$F$2:$F$751,C69,'Z2_CplteAnneeMois'!$K$2:$K$751,D69)</f>
        <v/>
      </c>
      <c r="F69" s="5">
        <f>SUMIFS('Z2_CplteAnneeMois'!$M$2:$M$751,'Z2_CplteAnneeMois'!$O$2:$O$751,B69,'Z2_CplteAnneeMois'!$F$2:$F$751,C69,'Z2_CplteAnneeMois'!$K$2:$K$751,D69)</f>
        <v/>
      </c>
    </row>
    <row r="70">
      <c r="A70" s="6" t="n">
        <v>2023</v>
      </c>
      <c r="B70" s="5" t="inlineStr">
        <is>
          <t>2023-05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SUMIFS('Z2_CplteAnneeMois'!$L$2:$L$751,'Z2_CplteAnneeMois'!$O$2:$O$751,B70,'Z2_CplteAnneeMois'!$F$2:$F$751,C70,'Z2_CplteAnneeMois'!$K$2:$K$751,D70)</f>
        <v/>
      </c>
      <c r="F70" s="5">
        <f>SUMIFS('Z2_CplteAnneeMois'!$M$2:$M$751,'Z2_CplteAnneeMois'!$O$2:$O$751,B70,'Z2_CplteAnneeMois'!$F$2:$F$751,C70,'Z2_CplteAnneeMois'!$K$2:$K$751,D70)</f>
        <v/>
      </c>
    </row>
    <row r="71">
      <c r="A71" s="6" t="n">
        <v>2023</v>
      </c>
      <c r="B71" s="5" t="inlineStr">
        <is>
          <t>2023-05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SUMIFS('Z2_CplteAnneeMois'!$L$2:$L$751,'Z2_CplteAnneeMois'!$O$2:$O$751,B71,'Z2_CplteAnneeMois'!$F$2:$F$751,C71,'Z2_CplteAnneeMois'!$K$2:$K$751,D71)</f>
        <v/>
      </c>
      <c r="F71" s="5">
        <f>SUMIFS('Z2_CplteAnneeMois'!$M$2:$M$751,'Z2_CplteAnneeMois'!$O$2:$O$751,B71,'Z2_CplteAnneeMois'!$F$2:$F$751,C71,'Z2_CplteAnneeMois'!$K$2:$K$751,D71)</f>
        <v/>
      </c>
    </row>
    <row r="72">
      <c r="A72" s="6" t="n">
        <v>2023</v>
      </c>
      <c r="B72" s="5" t="inlineStr">
        <is>
          <t>2023-05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SUMIFS('Z2_CplteAnneeMois'!$L$2:$L$751,'Z2_CplteAnneeMois'!$O$2:$O$751,B72,'Z2_CplteAnneeMois'!$F$2:$F$751,C72,'Z2_CplteAnneeMois'!$K$2:$K$751,D72)</f>
        <v/>
      </c>
      <c r="F72" s="5">
        <f>SUMIFS('Z2_CplteAnneeMois'!$M$2:$M$751,'Z2_CplteAnneeMois'!$O$2:$O$751,B72,'Z2_CplteAnneeMois'!$F$2:$F$751,C72,'Z2_CplteAnneeMois'!$K$2:$K$751,D72)</f>
        <v/>
      </c>
    </row>
    <row r="73">
      <c r="A73" s="6" t="n">
        <v>2023</v>
      </c>
      <c r="B73" s="5" t="inlineStr">
        <is>
          <t>2023-05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SUMIFS('Z2_CplteAnneeMois'!$L$2:$L$751,'Z2_CplteAnneeMois'!$O$2:$O$751,B73,'Z2_CplteAnneeMois'!$F$2:$F$751,C73,'Z2_CplteAnneeMois'!$K$2:$K$751,D73)</f>
        <v/>
      </c>
      <c r="F73" s="5">
        <f>SUMIFS('Z2_CplteAnneeMois'!$M$2:$M$751,'Z2_CplteAnneeMois'!$O$2:$O$751,B73,'Z2_CplteAnneeMois'!$F$2:$F$751,C73,'Z2_CplteAnneeMois'!$K$2:$K$751,D73)</f>
        <v/>
      </c>
    </row>
    <row r="74">
      <c r="A74" s="6" t="n">
        <v>2023</v>
      </c>
      <c r="B74" s="5" t="inlineStr">
        <is>
          <t>2023-05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SUMIFS('Z2_CplteAnneeMois'!$L$2:$L$751,'Z2_CplteAnneeMois'!$O$2:$O$751,B74,'Z2_CplteAnneeMois'!$F$2:$F$751,C74,'Z2_CplteAnneeMois'!$K$2:$K$751,D74)</f>
        <v/>
      </c>
      <c r="F74" s="5">
        <f>SUMIFS('Z2_CplteAnneeMois'!$M$2:$M$751,'Z2_CplteAnneeMois'!$O$2:$O$751,B74,'Z2_CplteAnneeMois'!$F$2:$F$751,C74,'Z2_CplteAnneeMois'!$K$2:$K$751,D74)</f>
        <v/>
      </c>
    </row>
    <row r="75">
      <c r="A75" s="6" t="n">
        <v>2023</v>
      </c>
      <c r="B75" s="5" t="inlineStr">
        <is>
          <t>2023-05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SUMIFS('Z2_CplteAnneeMois'!$L$2:$L$751,'Z2_CplteAnneeMois'!$O$2:$O$751,B75,'Z2_CplteAnneeMois'!$F$2:$F$751,C75,'Z2_CplteAnneeMois'!$K$2:$K$751,D75)</f>
        <v/>
      </c>
      <c r="F75" s="5">
        <f>SUMIFS('Z2_CplteAnneeMois'!$M$2:$M$751,'Z2_CplteAnneeMois'!$O$2:$O$751,B75,'Z2_CplteAnneeMois'!$F$2:$F$751,C75,'Z2_CplteAnneeMois'!$K$2:$K$751,D75)</f>
        <v/>
      </c>
    </row>
    <row r="76">
      <c r="A76" s="6" t="n">
        <v>2023</v>
      </c>
      <c r="B76" s="5" t="inlineStr">
        <is>
          <t>2023-05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SUMIFS('Z2_CplteAnneeMois'!$L$2:$L$751,'Z2_CplteAnneeMois'!$O$2:$O$751,B76,'Z2_CplteAnneeMois'!$F$2:$F$751,C76,'Z2_CplteAnneeMois'!$K$2:$K$751,D76)</f>
        <v/>
      </c>
      <c r="F76" s="5">
        <f>SUMIFS('Z2_CplteAnneeMois'!$M$2:$M$751,'Z2_CplteAnneeMois'!$O$2:$O$751,B76,'Z2_CplteAnneeMois'!$F$2:$F$751,C76,'Z2_CplteAnneeMois'!$K$2:$K$751,D76)</f>
        <v/>
      </c>
    </row>
    <row r="77">
      <c r="A77" s="6" t="n">
        <v>2023</v>
      </c>
      <c r="B77" s="5" t="inlineStr">
        <is>
          <t>2023-06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SUMIFS('Z2_CplteAnneeMois'!$L$2:$L$751,'Z2_CplteAnneeMois'!$O$2:$O$751,B77,'Z2_CplteAnneeMois'!$F$2:$F$751,C77,'Z2_CplteAnneeMois'!$K$2:$K$751,D77)</f>
        <v/>
      </c>
      <c r="F77" s="5">
        <f>SUMIFS('Z2_CplteAnneeMois'!$M$2:$M$751,'Z2_CplteAnneeMois'!$O$2:$O$751,B77,'Z2_CplteAnneeMois'!$F$2:$F$751,C77,'Z2_CplteAnneeMois'!$K$2:$K$751,D77)</f>
        <v/>
      </c>
    </row>
    <row r="78">
      <c r="A78" s="6" t="n">
        <v>2023</v>
      </c>
      <c r="B78" s="5" t="inlineStr">
        <is>
          <t>2023-06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SUMIFS('Z2_CplteAnneeMois'!$L$2:$L$751,'Z2_CplteAnneeMois'!$O$2:$O$751,B78,'Z2_CplteAnneeMois'!$F$2:$F$751,C78,'Z2_CplteAnneeMois'!$K$2:$K$751,D78)</f>
        <v/>
      </c>
      <c r="F78" s="5">
        <f>SUMIFS('Z2_CplteAnneeMois'!$M$2:$M$751,'Z2_CplteAnneeMois'!$O$2:$O$751,B78,'Z2_CplteAnneeMois'!$F$2:$F$751,C78,'Z2_CplteAnneeMois'!$K$2:$K$751,D78)</f>
        <v/>
      </c>
    </row>
    <row r="79">
      <c r="A79" s="6" t="n">
        <v>2023</v>
      </c>
      <c r="B79" s="5" t="inlineStr">
        <is>
          <t>2023-06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SUMIFS('Z2_CplteAnneeMois'!$L$2:$L$751,'Z2_CplteAnneeMois'!$O$2:$O$751,B79,'Z2_CplteAnneeMois'!$F$2:$F$751,C79,'Z2_CplteAnneeMois'!$K$2:$K$751,D79)</f>
        <v/>
      </c>
      <c r="F79" s="5">
        <f>SUMIFS('Z2_CplteAnneeMois'!$M$2:$M$751,'Z2_CplteAnneeMois'!$O$2:$O$751,B79,'Z2_CplteAnneeMois'!$F$2:$F$751,C79,'Z2_CplteAnneeMois'!$K$2:$K$751,D79)</f>
        <v/>
      </c>
    </row>
    <row r="80">
      <c r="A80" s="6" t="n">
        <v>2023</v>
      </c>
      <c r="B80" s="5" t="inlineStr">
        <is>
          <t>2023-06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SUMIFS('Z2_CplteAnneeMois'!$L$2:$L$751,'Z2_CplteAnneeMois'!$O$2:$O$751,B80,'Z2_CplteAnneeMois'!$F$2:$F$751,C80,'Z2_CplteAnneeMois'!$K$2:$K$751,D80)</f>
        <v/>
      </c>
      <c r="F80" s="5">
        <f>SUMIFS('Z2_CplteAnneeMois'!$M$2:$M$751,'Z2_CplteAnneeMois'!$O$2:$O$751,B80,'Z2_CplteAnneeMois'!$F$2:$F$751,C80,'Z2_CplteAnneeMois'!$K$2:$K$751,D80)</f>
        <v/>
      </c>
    </row>
    <row r="81">
      <c r="A81" s="6" t="n">
        <v>2023</v>
      </c>
      <c r="B81" s="5" t="inlineStr">
        <is>
          <t>2023-06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SUMIFS('Z2_CplteAnneeMois'!$L$2:$L$751,'Z2_CplteAnneeMois'!$O$2:$O$751,B81,'Z2_CplteAnneeMois'!$F$2:$F$751,C81,'Z2_CplteAnneeMois'!$K$2:$K$751,D81)</f>
        <v/>
      </c>
      <c r="F81" s="5">
        <f>SUMIFS('Z2_CplteAnneeMois'!$M$2:$M$751,'Z2_CplteAnneeMois'!$O$2:$O$751,B81,'Z2_CplteAnneeMois'!$F$2:$F$751,C81,'Z2_CplteAnneeMois'!$K$2:$K$751,D81)</f>
        <v/>
      </c>
    </row>
    <row r="82">
      <c r="A82" s="6" t="n">
        <v>2023</v>
      </c>
      <c r="B82" s="5" t="inlineStr">
        <is>
          <t>2023-06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SUMIFS('Z2_CplteAnneeMois'!$L$2:$L$751,'Z2_CplteAnneeMois'!$O$2:$O$751,B82,'Z2_CplteAnneeMois'!$F$2:$F$751,C82,'Z2_CplteAnneeMois'!$K$2:$K$751,D82)</f>
        <v/>
      </c>
      <c r="F82" s="5">
        <f>SUMIFS('Z2_CplteAnneeMois'!$M$2:$M$751,'Z2_CplteAnneeMois'!$O$2:$O$751,B82,'Z2_CplteAnneeMois'!$F$2:$F$751,C82,'Z2_CplteAnneeMois'!$K$2:$K$751,D82)</f>
        <v/>
      </c>
    </row>
    <row r="83">
      <c r="A83" s="6" t="n">
        <v>2023</v>
      </c>
      <c r="B83" s="5" t="inlineStr">
        <is>
          <t>2023-06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SUMIFS('Z2_CplteAnneeMois'!$L$2:$L$751,'Z2_CplteAnneeMois'!$O$2:$O$751,B83,'Z2_CplteAnneeMois'!$F$2:$F$751,C83,'Z2_CplteAnneeMois'!$K$2:$K$751,D83)</f>
        <v/>
      </c>
      <c r="F83" s="5">
        <f>SUMIFS('Z2_CplteAnneeMois'!$M$2:$M$751,'Z2_CplteAnneeMois'!$O$2:$O$751,B83,'Z2_CplteAnneeMois'!$F$2:$F$751,C83,'Z2_CplteAnneeMois'!$K$2:$K$751,D83)</f>
        <v/>
      </c>
    </row>
    <row r="84">
      <c r="A84" s="6" t="n">
        <v>2023</v>
      </c>
      <c r="B84" s="5" t="inlineStr">
        <is>
          <t>2023-06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SUMIFS('Z2_CplteAnneeMois'!$L$2:$L$751,'Z2_CplteAnneeMois'!$O$2:$O$751,B84,'Z2_CplteAnneeMois'!$F$2:$F$751,C84,'Z2_CplteAnneeMois'!$K$2:$K$751,D84)</f>
        <v/>
      </c>
      <c r="F84" s="5">
        <f>SUMIFS('Z2_CplteAnneeMois'!$M$2:$M$751,'Z2_CplteAnneeMois'!$O$2:$O$751,B84,'Z2_CplteAnneeMois'!$F$2:$F$751,C84,'Z2_CplteAnneeMois'!$K$2:$K$751,D84)</f>
        <v/>
      </c>
    </row>
    <row r="85">
      <c r="A85" s="6" t="n">
        <v>2023</v>
      </c>
      <c r="B85" s="5" t="inlineStr">
        <is>
          <t>2023-06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SUMIFS('Z2_CplteAnneeMois'!$L$2:$L$751,'Z2_CplteAnneeMois'!$O$2:$O$751,B85,'Z2_CplteAnneeMois'!$F$2:$F$751,C85,'Z2_CplteAnneeMois'!$K$2:$K$751,D85)</f>
        <v/>
      </c>
      <c r="F85" s="5">
        <f>SUMIFS('Z2_CplteAnneeMois'!$M$2:$M$751,'Z2_CplteAnneeMois'!$O$2:$O$751,B85,'Z2_CplteAnneeMois'!$F$2:$F$751,C85,'Z2_CplteAnneeMois'!$K$2:$K$751,D85)</f>
        <v/>
      </c>
    </row>
    <row r="86">
      <c r="A86" s="6" t="n">
        <v>2023</v>
      </c>
      <c r="B86" s="5" t="inlineStr">
        <is>
          <t>2023-06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SUMIFS('Z2_CplteAnneeMois'!$L$2:$L$751,'Z2_CplteAnneeMois'!$O$2:$O$751,B86,'Z2_CplteAnneeMois'!$F$2:$F$751,C86,'Z2_CplteAnneeMois'!$K$2:$K$751,D86)</f>
        <v/>
      </c>
      <c r="F86" s="5">
        <f>SUMIFS('Z2_CplteAnneeMois'!$M$2:$M$751,'Z2_CplteAnneeMois'!$O$2:$O$751,B86,'Z2_CplteAnneeMois'!$F$2:$F$751,C86,'Z2_CplteAnneeMois'!$K$2:$K$751,D86)</f>
        <v/>
      </c>
    </row>
    <row r="87">
      <c r="A87" s="6" t="n">
        <v>2023</v>
      </c>
      <c r="B87" s="5" t="inlineStr">
        <is>
          <t>2023-06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SUMIFS('Z2_CplteAnneeMois'!$L$2:$L$751,'Z2_CplteAnneeMois'!$O$2:$O$751,B87,'Z2_CplteAnneeMois'!$F$2:$F$751,C87,'Z2_CplteAnneeMois'!$K$2:$K$751,D87)</f>
        <v/>
      </c>
      <c r="F87" s="5">
        <f>SUMIFS('Z2_CplteAnneeMois'!$M$2:$M$751,'Z2_CplteAnneeMois'!$O$2:$O$751,B87,'Z2_CplteAnneeMois'!$F$2:$F$751,C87,'Z2_CplteAnneeMois'!$K$2:$K$751,D87)</f>
        <v/>
      </c>
    </row>
    <row r="88">
      <c r="A88" s="6" t="n">
        <v>2023</v>
      </c>
      <c r="B88" s="5" t="inlineStr">
        <is>
          <t>2023-06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SUMIFS('Z2_CplteAnneeMois'!$L$2:$L$751,'Z2_CplteAnneeMois'!$O$2:$O$751,B88,'Z2_CplteAnneeMois'!$F$2:$F$751,C88,'Z2_CplteAnneeMois'!$K$2:$K$751,D88)</f>
        <v/>
      </c>
      <c r="F88" s="5">
        <f>SUMIFS('Z2_CplteAnneeMois'!$M$2:$M$751,'Z2_CplteAnneeMois'!$O$2:$O$751,B88,'Z2_CplteAnneeMois'!$F$2:$F$751,C88,'Z2_CplteAnneeMois'!$K$2:$K$751,D88)</f>
        <v/>
      </c>
    </row>
    <row r="89">
      <c r="A89" s="6" t="n">
        <v>2023</v>
      </c>
      <c r="B89" s="5" t="inlineStr">
        <is>
          <t>2023-06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SUMIFS('Z2_CplteAnneeMois'!$L$2:$L$751,'Z2_CplteAnneeMois'!$O$2:$O$751,B89,'Z2_CplteAnneeMois'!$F$2:$F$751,C89,'Z2_CplteAnneeMois'!$K$2:$K$751,D89)</f>
        <v/>
      </c>
      <c r="F89" s="5">
        <f>SUMIFS('Z2_CplteAnneeMois'!$M$2:$M$751,'Z2_CplteAnneeMois'!$O$2:$O$751,B89,'Z2_CplteAnneeMois'!$F$2:$F$751,C89,'Z2_CplteAnneeMois'!$K$2:$K$751,D89)</f>
        <v/>
      </c>
    </row>
    <row r="90">
      <c r="A90" s="6" t="n">
        <v>2023</v>
      </c>
      <c r="B90" s="5" t="inlineStr">
        <is>
          <t>2023-06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SUMIFS('Z2_CplteAnneeMois'!$L$2:$L$751,'Z2_CplteAnneeMois'!$O$2:$O$751,B90,'Z2_CplteAnneeMois'!$F$2:$F$751,C90,'Z2_CplteAnneeMois'!$K$2:$K$751,D90)</f>
        <v/>
      </c>
      <c r="F90" s="5">
        <f>SUMIFS('Z2_CplteAnneeMois'!$M$2:$M$751,'Z2_CplteAnneeMois'!$O$2:$O$751,B90,'Z2_CplteAnneeMois'!$F$2:$F$751,C90,'Z2_CplteAnneeMois'!$K$2:$K$751,D90)</f>
        <v/>
      </c>
    </row>
    <row r="91">
      <c r="A91" s="6" t="n">
        <v>2023</v>
      </c>
      <c r="B91" s="5" t="inlineStr">
        <is>
          <t>2023-06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SUMIFS('Z2_CplteAnneeMois'!$L$2:$L$751,'Z2_CplteAnneeMois'!$O$2:$O$751,B91,'Z2_CplteAnneeMois'!$F$2:$F$751,C91,'Z2_CplteAnneeMois'!$K$2:$K$751,D91)</f>
        <v/>
      </c>
      <c r="F91" s="5">
        <f>SUMIFS('Z2_CplteAnneeMois'!$M$2:$M$751,'Z2_CplteAnneeMois'!$O$2:$O$751,B91,'Z2_CplteAnneeMois'!$F$2:$F$751,C91,'Z2_CplteAnneeMois'!$K$2:$K$751,D91)</f>
        <v/>
      </c>
    </row>
    <row r="92">
      <c r="A92" s="6" t="n">
        <v>2023</v>
      </c>
      <c r="B92" s="5" t="inlineStr">
        <is>
          <t>2023-07</t>
        </is>
      </c>
      <c r="C92" s="2" t="inlineStr">
        <is>
          <t>Z</t>
        </is>
      </c>
      <c r="D92" s="2" t="inlineStr">
        <is>
          <t>CARTES</t>
        </is>
      </c>
      <c r="E92" s="5">
        <f>SUMIFS('Z2_CplteAnneeMois'!$L$2:$L$751,'Z2_CplteAnneeMois'!$O$2:$O$751,B92,'Z2_CplteAnneeMois'!$F$2:$F$751,C92,'Z2_CplteAnneeMois'!$K$2:$K$751,D92)</f>
        <v/>
      </c>
      <c r="F92" s="5">
        <f>SUMIFS('Z2_CplteAnneeMois'!$M$2:$M$751,'Z2_CplteAnneeMois'!$O$2:$O$751,B92,'Z2_CplteAnneeMois'!$F$2:$F$751,C92,'Z2_CplteAnneeMois'!$K$2:$K$751,D92)</f>
        <v/>
      </c>
    </row>
    <row r="93">
      <c r="A93" s="6" t="n">
        <v>2023</v>
      </c>
      <c r="B93" s="5" t="inlineStr">
        <is>
          <t>2023-07</t>
        </is>
      </c>
      <c r="C93" s="2" t="inlineStr">
        <is>
          <t>Z</t>
        </is>
      </c>
      <c r="D93" s="2" t="inlineStr">
        <is>
          <t>CHEQUES</t>
        </is>
      </c>
      <c r="E93" s="5">
        <f>SUMIFS('Z2_CplteAnneeMois'!$L$2:$L$751,'Z2_CplteAnneeMois'!$O$2:$O$751,B93,'Z2_CplteAnneeMois'!$F$2:$F$751,C93,'Z2_CplteAnneeMois'!$K$2:$K$751,D93)</f>
        <v/>
      </c>
      <c r="F93" s="5">
        <f>SUMIFS('Z2_CplteAnneeMois'!$M$2:$M$751,'Z2_CplteAnneeMois'!$O$2:$O$751,B93,'Z2_CplteAnneeMois'!$F$2:$F$751,C93,'Z2_CplteAnneeMois'!$K$2:$K$751,D93)</f>
        <v/>
      </c>
    </row>
    <row r="94">
      <c r="A94" s="6" t="n">
        <v>2023</v>
      </c>
      <c r="B94" s="5" t="inlineStr">
        <is>
          <t>2023-07</t>
        </is>
      </c>
      <c r="C94" s="2" t="inlineStr">
        <is>
          <t>Z</t>
        </is>
      </c>
      <c r="D94" s="2" t="inlineStr">
        <is>
          <t>CORRECTION</t>
        </is>
      </c>
      <c r="E94" s="5">
        <f>SUMIFS('Z2_CplteAnneeMois'!$L$2:$L$751,'Z2_CplteAnneeMois'!$O$2:$O$751,B94,'Z2_CplteAnneeMois'!$F$2:$F$751,C94,'Z2_CplteAnneeMois'!$K$2:$K$751,D94)</f>
        <v/>
      </c>
      <c r="F94" s="5">
        <f>SUMIFS('Z2_CplteAnneeMois'!$M$2:$M$751,'Z2_CplteAnneeMois'!$O$2:$O$751,B94,'Z2_CplteAnneeMois'!$F$2:$F$751,C94,'Z2_CplteAnneeMois'!$K$2:$K$751,D94)</f>
        <v/>
      </c>
    </row>
    <row r="95">
      <c r="A95" s="6" t="n">
        <v>2023</v>
      </c>
      <c r="B95" s="5" t="inlineStr">
        <is>
          <t>2023-07</t>
        </is>
      </c>
      <c r="C95" s="2" t="inlineStr">
        <is>
          <t>Z</t>
        </is>
      </c>
      <c r="D95" s="2" t="inlineStr">
        <is>
          <t>ESPECES</t>
        </is>
      </c>
      <c r="E95" s="5">
        <f>SUMIFS('Z2_CplteAnneeMois'!$L$2:$L$751,'Z2_CplteAnneeMois'!$O$2:$O$751,B95,'Z2_CplteAnneeMois'!$F$2:$F$751,C95,'Z2_CplteAnneeMois'!$K$2:$K$751,D95)</f>
        <v/>
      </c>
      <c r="F95" s="5">
        <f>SUMIFS('Z2_CplteAnneeMois'!$M$2:$M$751,'Z2_CplteAnneeMois'!$O$2:$O$751,B95,'Z2_CplteAnneeMois'!$F$2:$F$751,C95,'Z2_CplteAnneeMois'!$K$2:$K$751,D95)</f>
        <v/>
      </c>
    </row>
    <row r="96">
      <c r="A96" s="6" t="n">
        <v>2023</v>
      </c>
      <c r="B96" s="5" t="inlineStr">
        <is>
          <t>2023-07</t>
        </is>
      </c>
      <c r="C96" s="2" t="inlineStr">
        <is>
          <t>Z</t>
        </is>
      </c>
      <c r="D96" s="2" t="inlineStr">
        <is>
          <t>REF./TIROIR</t>
        </is>
      </c>
      <c r="E96" s="5">
        <f>SUMIFS('Z2_CplteAnneeMois'!$L$2:$L$751,'Z2_CplteAnneeMois'!$O$2:$O$751,B96,'Z2_CplteAnneeMois'!$F$2:$F$751,C96,'Z2_CplteAnneeMois'!$K$2:$K$751,D96)</f>
        <v/>
      </c>
      <c r="F96" s="5">
        <f>SUMIFS('Z2_CplteAnneeMois'!$M$2:$M$751,'Z2_CplteAnneeMois'!$O$2:$O$751,B96,'Z2_CplteAnneeMois'!$F$2:$F$751,C96,'Z2_CplteAnneeMois'!$K$2:$K$751,D96)</f>
        <v/>
      </c>
    </row>
    <row r="97">
      <c r="A97" s="6" t="n">
        <v>2023</v>
      </c>
      <c r="B97" s="5" t="inlineStr">
        <is>
          <t>2023-07</t>
        </is>
      </c>
      <c r="C97" s="2" t="inlineStr">
        <is>
          <t>ZZ1</t>
        </is>
      </c>
      <c r="D97" s="2" t="inlineStr">
        <is>
          <t>CARTES</t>
        </is>
      </c>
      <c r="E97" s="5">
        <f>SUMIFS('Z2_CplteAnneeMois'!$L$2:$L$751,'Z2_CplteAnneeMois'!$O$2:$O$751,B97,'Z2_CplteAnneeMois'!$F$2:$F$751,C97,'Z2_CplteAnneeMois'!$K$2:$K$751,D97)</f>
        <v/>
      </c>
      <c r="F97" s="5">
        <f>SUMIFS('Z2_CplteAnneeMois'!$M$2:$M$751,'Z2_CplteAnneeMois'!$O$2:$O$751,B97,'Z2_CplteAnneeMois'!$F$2:$F$751,C97,'Z2_CplteAnneeMois'!$K$2:$K$751,D97)</f>
        <v/>
      </c>
    </row>
    <row r="98">
      <c r="A98" s="6" t="n">
        <v>2023</v>
      </c>
      <c r="B98" s="5" t="inlineStr">
        <is>
          <t>2023-07</t>
        </is>
      </c>
      <c r="C98" s="2" t="inlineStr">
        <is>
          <t>ZZ1</t>
        </is>
      </c>
      <c r="D98" s="2" t="inlineStr">
        <is>
          <t>CHEQUES</t>
        </is>
      </c>
      <c r="E98" s="5">
        <f>SUMIFS('Z2_CplteAnneeMois'!$L$2:$L$751,'Z2_CplteAnneeMois'!$O$2:$O$751,B98,'Z2_CplteAnneeMois'!$F$2:$F$751,C98,'Z2_CplteAnneeMois'!$K$2:$K$751,D98)</f>
        <v/>
      </c>
      <c r="F98" s="5">
        <f>SUMIFS('Z2_CplteAnneeMois'!$M$2:$M$751,'Z2_CplteAnneeMois'!$O$2:$O$751,B98,'Z2_CplteAnneeMois'!$F$2:$F$751,C98,'Z2_CplteAnneeMois'!$K$2:$K$751,D98)</f>
        <v/>
      </c>
    </row>
    <row r="99">
      <c r="A99" s="6" t="n">
        <v>2023</v>
      </c>
      <c r="B99" s="5" t="inlineStr">
        <is>
          <t>2023-07</t>
        </is>
      </c>
      <c r="C99" s="2" t="inlineStr">
        <is>
          <t>ZZ1</t>
        </is>
      </c>
      <c r="D99" s="2" t="inlineStr">
        <is>
          <t>CORRECTION</t>
        </is>
      </c>
      <c r="E99" s="5">
        <f>SUMIFS('Z2_CplteAnneeMois'!$L$2:$L$751,'Z2_CplteAnneeMois'!$O$2:$O$751,B99,'Z2_CplteAnneeMois'!$F$2:$F$751,C99,'Z2_CplteAnneeMois'!$K$2:$K$751,D99)</f>
        <v/>
      </c>
      <c r="F99" s="5">
        <f>SUMIFS('Z2_CplteAnneeMois'!$M$2:$M$751,'Z2_CplteAnneeMois'!$O$2:$O$751,B99,'Z2_CplteAnneeMois'!$F$2:$F$751,C99,'Z2_CplteAnneeMois'!$K$2:$K$751,D99)</f>
        <v/>
      </c>
    </row>
    <row r="100">
      <c r="A100" s="6" t="n">
        <v>2023</v>
      </c>
      <c r="B100" s="5" t="inlineStr">
        <is>
          <t>2023-07</t>
        </is>
      </c>
      <c r="C100" s="2" t="inlineStr">
        <is>
          <t>ZZ1</t>
        </is>
      </c>
      <c r="D100" s="2" t="inlineStr">
        <is>
          <t>ESPECES</t>
        </is>
      </c>
      <c r="E100" s="5">
        <f>SUMIFS('Z2_CplteAnneeMois'!$L$2:$L$751,'Z2_CplteAnneeMois'!$O$2:$O$751,B100,'Z2_CplteAnneeMois'!$F$2:$F$751,C100,'Z2_CplteAnneeMois'!$K$2:$K$751,D100)</f>
        <v/>
      </c>
      <c r="F100" s="5">
        <f>SUMIFS('Z2_CplteAnneeMois'!$M$2:$M$751,'Z2_CplteAnneeMois'!$O$2:$O$751,B100,'Z2_CplteAnneeMois'!$F$2:$F$751,C100,'Z2_CplteAnneeMois'!$K$2:$K$751,D100)</f>
        <v/>
      </c>
    </row>
    <row r="101">
      <c r="A101" s="6" t="n">
        <v>2023</v>
      </c>
      <c r="B101" s="5" t="inlineStr">
        <is>
          <t>2023-07</t>
        </is>
      </c>
      <c r="C101" s="2" t="inlineStr">
        <is>
          <t>ZZ1</t>
        </is>
      </c>
      <c r="D101" s="2" t="inlineStr">
        <is>
          <t>REF./TIROIR</t>
        </is>
      </c>
      <c r="E101" s="5">
        <f>SUMIFS('Z2_CplteAnneeMois'!$L$2:$L$751,'Z2_CplteAnneeMois'!$O$2:$O$751,B101,'Z2_CplteAnneeMois'!$F$2:$F$751,C101,'Z2_CplteAnneeMois'!$K$2:$K$751,D101)</f>
        <v/>
      </c>
      <c r="F101" s="5">
        <f>SUMIFS('Z2_CplteAnneeMois'!$M$2:$M$751,'Z2_CplteAnneeMois'!$O$2:$O$751,B101,'Z2_CplteAnneeMois'!$F$2:$F$751,C101,'Z2_CplteAnneeMois'!$K$2:$K$751,D101)</f>
        <v/>
      </c>
    </row>
    <row r="102">
      <c r="A102" s="6" t="n">
        <v>2023</v>
      </c>
      <c r="B102" s="5" t="inlineStr">
        <is>
          <t>2023-07</t>
        </is>
      </c>
      <c r="C102" s="2" t="inlineStr">
        <is>
          <t>ZZ2</t>
        </is>
      </c>
      <c r="D102" s="2" t="inlineStr">
        <is>
          <t>CARTES</t>
        </is>
      </c>
      <c r="E102" s="5">
        <f>SUMIFS('Z2_CplteAnneeMois'!$L$2:$L$751,'Z2_CplteAnneeMois'!$O$2:$O$751,B102,'Z2_CplteAnneeMois'!$F$2:$F$751,C102,'Z2_CplteAnneeMois'!$K$2:$K$751,D102)</f>
        <v/>
      </c>
      <c r="F102" s="5">
        <f>SUMIFS('Z2_CplteAnneeMois'!$M$2:$M$751,'Z2_CplteAnneeMois'!$O$2:$O$751,B102,'Z2_CplteAnneeMois'!$F$2:$F$751,C102,'Z2_CplteAnneeMois'!$K$2:$K$751,D102)</f>
        <v/>
      </c>
    </row>
    <row r="103">
      <c r="A103" s="6" t="n">
        <v>2023</v>
      </c>
      <c r="B103" s="5" t="inlineStr">
        <is>
          <t>2023-07</t>
        </is>
      </c>
      <c r="C103" s="2" t="inlineStr">
        <is>
          <t>ZZ2</t>
        </is>
      </c>
      <c r="D103" s="2" t="inlineStr">
        <is>
          <t>CHEQUES</t>
        </is>
      </c>
      <c r="E103" s="5">
        <f>SUMIFS('Z2_CplteAnneeMois'!$L$2:$L$751,'Z2_CplteAnneeMois'!$O$2:$O$751,B103,'Z2_CplteAnneeMois'!$F$2:$F$751,C103,'Z2_CplteAnneeMois'!$K$2:$K$751,D103)</f>
        <v/>
      </c>
      <c r="F103" s="5">
        <f>SUMIFS('Z2_CplteAnneeMois'!$M$2:$M$751,'Z2_CplteAnneeMois'!$O$2:$O$751,B103,'Z2_CplteAnneeMois'!$F$2:$F$751,C103,'Z2_CplteAnneeMois'!$K$2:$K$751,D103)</f>
        <v/>
      </c>
    </row>
    <row r="104">
      <c r="A104" s="6" t="n">
        <v>2023</v>
      </c>
      <c r="B104" s="5" t="inlineStr">
        <is>
          <t>2023-07</t>
        </is>
      </c>
      <c r="C104" s="2" t="inlineStr">
        <is>
          <t>ZZ2</t>
        </is>
      </c>
      <c r="D104" s="2" t="inlineStr">
        <is>
          <t>CORRECTION</t>
        </is>
      </c>
      <c r="E104" s="5">
        <f>SUMIFS('Z2_CplteAnneeMois'!$L$2:$L$751,'Z2_CplteAnneeMois'!$O$2:$O$751,B104,'Z2_CplteAnneeMois'!$F$2:$F$751,C104,'Z2_CplteAnneeMois'!$K$2:$K$751,D104)</f>
        <v/>
      </c>
      <c r="F104" s="5">
        <f>SUMIFS('Z2_CplteAnneeMois'!$M$2:$M$751,'Z2_CplteAnneeMois'!$O$2:$O$751,B104,'Z2_CplteAnneeMois'!$F$2:$F$751,C104,'Z2_CplteAnneeMois'!$K$2:$K$751,D104)</f>
        <v/>
      </c>
    </row>
    <row r="105">
      <c r="A105" s="6" t="n">
        <v>2023</v>
      </c>
      <c r="B105" s="5" t="inlineStr">
        <is>
          <t>2023-07</t>
        </is>
      </c>
      <c r="C105" s="2" t="inlineStr">
        <is>
          <t>ZZ2</t>
        </is>
      </c>
      <c r="D105" s="2" t="inlineStr">
        <is>
          <t>ESPECES</t>
        </is>
      </c>
      <c r="E105" s="5">
        <f>SUMIFS('Z2_CplteAnneeMois'!$L$2:$L$751,'Z2_CplteAnneeMois'!$O$2:$O$751,B105,'Z2_CplteAnneeMois'!$F$2:$F$751,C105,'Z2_CplteAnneeMois'!$K$2:$K$751,D105)</f>
        <v/>
      </c>
      <c r="F105" s="5">
        <f>SUMIFS('Z2_CplteAnneeMois'!$M$2:$M$751,'Z2_CplteAnneeMois'!$O$2:$O$751,B105,'Z2_CplteAnneeMois'!$F$2:$F$751,C105,'Z2_CplteAnneeMois'!$K$2:$K$751,D105)</f>
        <v/>
      </c>
    </row>
    <row r="106">
      <c r="A106" s="6" t="n">
        <v>2023</v>
      </c>
      <c r="B106" s="5" t="inlineStr">
        <is>
          <t>2023-07</t>
        </is>
      </c>
      <c r="C106" s="2" t="inlineStr">
        <is>
          <t>ZZ2</t>
        </is>
      </c>
      <c r="D106" s="2" t="inlineStr">
        <is>
          <t>REF./TIROIR</t>
        </is>
      </c>
      <c r="E106" s="5">
        <f>SUMIFS('Z2_CplteAnneeMois'!$L$2:$L$751,'Z2_CplteAnneeMois'!$O$2:$O$751,B106,'Z2_CplteAnneeMois'!$F$2:$F$751,C106,'Z2_CplteAnneeMois'!$K$2:$K$751,D106)</f>
        <v/>
      </c>
      <c r="F106" s="5">
        <f>SUMIFS('Z2_CplteAnneeMois'!$M$2:$M$751,'Z2_CplteAnneeMois'!$O$2:$O$751,B106,'Z2_CplteAnneeMois'!$F$2:$F$751,C106,'Z2_CplteAnneeMois'!$K$2:$K$751,D106)</f>
        <v/>
      </c>
    </row>
    <row r="107">
      <c r="A107" s="6" t="n">
        <v>2023</v>
      </c>
      <c r="B107" s="5" t="inlineStr">
        <is>
          <t>2023-08</t>
        </is>
      </c>
      <c r="C107" s="2" t="inlineStr">
        <is>
          <t>Z</t>
        </is>
      </c>
      <c r="D107" s="2" t="inlineStr">
        <is>
          <t>CARTES</t>
        </is>
      </c>
      <c r="E107" s="5">
        <f>SUMIFS('Z2_CplteAnneeMois'!$L$2:$L$751,'Z2_CplteAnneeMois'!$O$2:$O$751,B107,'Z2_CplteAnneeMois'!$F$2:$F$751,C107,'Z2_CplteAnneeMois'!$K$2:$K$751,D107)</f>
        <v/>
      </c>
      <c r="F107" s="5">
        <f>SUMIFS('Z2_CplteAnneeMois'!$M$2:$M$751,'Z2_CplteAnneeMois'!$O$2:$O$751,B107,'Z2_CplteAnneeMois'!$F$2:$F$751,C107,'Z2_CplteAnneeMois'!$K$2:$K$751,D107)</f>
        <v/>
      </c>
    </row>
    <row r="108">
      <c r="A108" s="6" t="n">
        <v>2023</v>
      </c>
      <c r="B108" s="5" t="inlineStr">
        <is>
          <t>2023-08</t>
        </is>
      </c>
      <c r="C108" s="2" t="inlineStr">
        <is>
          <t>Z</t>
        </is>
      </c>
      <c r="D108" s="2" t="inlineStr">
        <is>
          <t>CHEQUES</t>
        </is>
      </c>
      <c r="E108" s="5">
        <f>SUMIFS('Z2_CplteAnneeMois'!$L$2:$L$751,'Z2_CplteAnneeMois'!$O$2:$O$751,B108,'Z2_CplteAnneeMois'!$F$2:$F$751,C108,'Z2_CplteAnneeMois'!$K$2:$K$751,D108)</f>
        <v/>
      </c>
      <c r="F108" s="5">
        <f>SUMIFS('Z2_CplteAnneeMois'!$M$2:$M$751,'Z2_CplteAnneeMois'!$O$2:$O$751,B108,'Z2_CplteAnneeMois'!$F$2:$F$751,C108,'Z2_CplteAnneeMois'!$K$2:$K$751,D108)</f>
        <v/>
      </c>
    </row>
    <row r="109">
      <c r="A109" s="6" t="n">
        <v>2023</v>
      </c>
      <c r="B109" s="5" t="inlineStr">
        <is>
          <t>2023-08</t>
        </is>
      </c>
      <c r="C109" s="2" t="inlineStr">
        <is>
          <t>Z</t>
        </is>
      </c>
      <c r="D109" s="2" t="inlineStr">
        <is>
          <t>CORRECTION</t>
        </is>
      </c>
      <c r="E109" s="5">
        <f>SUMIFS('Z2_CplteAnneeMois'!$L$2:$L$751,'Z2_CplteAnneeMois'!$O$2:$O$751,B109,'Z2_CplteAnneeMois'!$F$2:$F$751,C109,'Z2_CplteAnneeMois'!$K$2:$K$751,D109)</f>
        <v/>
      </c>
      <c r="F109" s="5">
        <f>SUMIFS('Z2_CplteAnneeMois'!$M$2:$M$751,'Z2_CplteAnneeMois'!$O$2:$O$751,B109,'Z2_CplteAnneeMois'!$F$2:$F$751,C109,'Z2_CplteAnneeMois'!$K$2:$K$751,D109)</f>
        <v/>
      </c>
    </row>
    <row r="110">
      <c r="A110" s="6" t="n">
        <v>2023</v>
      </c>
      <c r="B110" s="5" t="inlineStr">
        <is>
          <t>2023-08</t>
        </is>
      </c>
      <c r="C110" s="2" t="inlineStr">
        <is>
          <t>Z</t>
        </is>
      </c>
      <c r="D110" s="2" t="inlineStr">
        <is>
          <t>ESPECES</t>
        </is>
      </c>
      <c r="E110" s="5">
        <f>SUMIFS('Z2_CplteAnneeMois'!$L$2:$L$751,'Z2_CplteAnneeMois'!$O$2:$O$751,B110,'Z2_CplteAnneeMois'!$F$2:$F$751,C110,'Z2_CplteAnneeMois'!$K$2:$K$751,D110)</f>
        <v/>
      </c>
      <c r="F110" s="5">
        <f>SUMIFS('Z2_CplteAnneeMois'!$M$2:$M$751,'Z2_CplteAnneeMois'!$O$2:$O$751,B110,'Z2_CplteAnneeMois'!$F$2:$F$751,C110,'Z2_CplteAnneeMois'!$K$2:$K$751,D110)</f>
        <v/>
      </c>
    </row>
    <row r="111">
      <c r="A111" s="6" t="n">
        <v>2023</v>
      </c>
      <c r="B111" s="5" t="inlineStr">
        <is>
          <t>2023-08</t>
        </is>
      </c>
      <c r="C111" s="2" t="inlineStr">
        <is>
          <t>Z</t>
        </is>
      </c>
      <c r="D111" s="2" t="inlineStr">
        <is>
          <t>REF./TIROIR</t>
        </is>
      </c>
      <c r="E111" s="5">
        <f>SUMIFS('Z2_CplteAnneeMois'!$L$2:$L$751,'Z2_CplteAnneeMois'!$O$2:$O$751,B111,'Z2_CplteAnneeMois'!$F$2:$F$751,C111,'Z2_CplteAnneeMois'!$K$2:$K$751,D111)</f>
        <v/>
      </c>
      <c r="F111" s="5">
        <f>SUMIFS('Z2_CplteAnneeMois'!$M$2:$M$751,'Z2_CplteAnneeMois'!$O$2:$O$751,B111,'Z2_CplteAnneeMois'!$F$2:$F$751,C111,'Z2_CplteAnneeMois'!$K$2:$K$751,D111)</f>
        <v/>
      </c>
    </row>
    <row r="112">
      <c r="A112" s="6" t="n">
        <v>2023</v>
      </c>
      <c r="B112" s="5" t="inlineStr">
        <is>
          <t>2023-08</t>
        </is>
      </c>
      <c r="C112" s="2" t="inlineStr">
        <is>
          <t>ZZ1</t>
        </is>
      </c>
      <c r="D112" s="2" t="inlineStr">
        <is>
          <t>CARTES</t>
        </is>
      </c>
      <c r="E112" s="5">
        <f>SUMIFS('Z2_CplteAnneeMois'!$L$2:$L$751,'Z2_CplteAnneeMois'!$O$2:$O$751,B112,'Z2_CplteAnneeMois'!$F$2:$F$751,C112,'Z2_CplteAnneeMois'!$K$2:$K$751,D112)</f>
        <v/>
      </c>
      <c r="F112" s="5">
        <f>SUMIFS('Z2_CplteAnneeMois'!$M$2:$M$751,'Z2_CplteAnneeMois'!$O$2:$O$751,B112,'Z2_CplteAnneeMois'!$F$2:$F$751,C112,'Z2_CplteAnneeMois'!$K$2:$K$751,D112)</f>
        <v/>
      </c>
    </row>
    <row r="113">
      <c r="A113" s="6" t="n">
        <v>2023</v>
      </c>
      <c r="B113" s="5" t="inlineStr">
        <is>
          <t>2023-08</t>
        </is>
      </c>
      <c r="C113" s="2" t="inlineStr">
        <is>
          <t>ZZ1</t>
        </is>
      </c>
      <c r="D113" s="2" t="inlineStr">
        <is>
          <t>CHEQUES</t>
        </is>
      </c>
      <c r="E113" s="5">
        <f>SUMIFS('Z2_CplteAnneeMois'!$L$2:$L$751,'Z2_CplteAnneeMois'!$O$2:$O$751,B113,'Z2_CplteAnneeMois'!$F$2:$F$751,C113,'Z2_CplteAnneeMois'!$K$2:$K$751,D113)</f>
        <v/>
      </c>
      <c r="F113" s="5">
        <f>SUMIFS('Z2_CplteAnneeMois'!$M$2:$M$751,'Z2_CplteAnneeMois'!$O$2:$O$751,B113,'Z2_CplteAnneeMois'!$F$2:$F$751,C113,'Z2_CplteAnneeMois'!$K$2:$K$751,D113)</f>
        <v/>
      </c>
    </row>
    <row r="114">
      <c r="A114" s="6" t="n">
        <v>2023</v>
      </c>
      <c r="B114" s="5" t="inlineStr">
        <is>
          <t>2023-08</t>
        </is>
      </c>
      <c r="C114" s="2" t="inlineStr">
        <is>
          <t>ZZ1</t>
        </is>
      </c>
      <c r="D114" s="2" t="inlineStr">
        <is>
          <t>CORRECTION</t>
        </is>
      </c>
      <c r="E114" s="5">
        <f>SUMIFS('Z2_CplteAnneeMois'!$L$2:$L$751,'Z2_CplteAnneeMois'!$O$2:$O$751,B114,'Z2_CplteAnneeMois'!$F$2:$F$751,C114,'Z2_CplteAnneeMois'!$K$2:$K$751,D114)</f>
        <v/>
      </c>
      <c r="F114" s="5">
        <f>SUMIFS('Z2_CplteAnneeMois'!$M$2:$M$751,'Z2_CplteAnneeMois'!$O$2:$O$751,B114,'Z2_CplteAnneeMois'!$F$2:$F$751,C114,'Z2_CplteAnneeMois'!$K$2:$K$751,D114)</f>
        <v/>
      </c>
    </row>
    <row r="115">
      <c r="A115" s="6" t="n">
        <v>2023</v>
      </c>
      <c r="B115" s="5" t="inlineStr">
        <is>
          <t>2023-08</t>
        </is>
      </c>
      <c r="C115" s="2" t="inlineStr">
        <is>
          <t>ZZ1</t>
        </is>
      </c>
      <c r="D115" s="2" t="inlineStr">
        <is>
          <t>ESPECES</t>
        </is>
      </c>
      <c r="E115" s="5">
        <f>SUMIFS('Z2_CplteAnneeMois'!$L$2:$L$751,'Z2_CplteAnneeMois'!$O$2:$O$751,B115,'Z2_CplteAnneeMois'!$F$2:$F$751,C115,'Z2_CplteAnneeMois'!$K$2:$K$751,D115)</f>
        <v/>
      </c>
      <c r="F115" s="5">
        <f>SUMIFS('Z2_CplteAnneeMois'!$M$2:$M$751,'Z2_CplteAnneeMois'!$O$2:$O$751,B115,'Z2_CplteAnneeMois'!$F$2:$F$751,C115,'Z2_CplteAnneeMois'!$K$2:$K$751,D115)</f>
        <v/>
      </c>
    </row>
    <row r="116">
      <c r="A116" s="6" t="n">
        <v>2023</v>
      </c>
      <c r="B116" s="5" t="inlineStr">
        <is>
          <t>2023-08</t>
        </is>
      </c>
      <c r="C116" s="2" t="inlineStr">
        <is>
          <t>ZZ1</t>
        </is>
      </c>
      <c r="D116" s="2" t="inlineStr">
        <is>
          <t>REF./TIROIR</t>
        </is>
      </c>
      <c r="E116" s="5">
        <f>SUMIFS('Z2_CplteAnneeMois'!$L$2:$L$751,'Z2_CplteAnneeMois'!$O$2:$O$751,B116,'Z2_CplteAnneeMois'!$F$2:$F$751,C116,'Z2_CplteAnneeMois'!$K$2:$K$751,D116)</f>
        <v/>
      </c>
      <c r="F116" s="5">
        <f>SUMIFS('Z2_CplteAnneeMois'!$M$2:$M$751,'Z2_CplteAnneeMois'!$O$2:$O$751,B116,'Z2_CplteAnneeMois'!$F$2:$F$751,C116,'Z2_CplteAnneeMois'!$K$2:$K$751,D116)</f>
        <v/>
      </c>
    </row>
    <row r="117">
      <c r="A117" s="6" t="n">
        <v>2023</v>
      </c>
      <c r="B117" s="5" t="inlineStr">
        <is>
          <t>2023-08</t>
        </is>
      </c>
      <c r="C117" s="2" t="inlineStr">
        <is>
          <t>ZZ2</t>
        </is>
      </c>
      <c r="D117" s="2" t="inlineStr">
        <is>
          <t>CARTES</t>
        </is>
      </c>
      <c r="E117" s="5">
        <f>SUMIFS('Z2_CplteAnneeMois'!$L$2:$L$751,'Z2_CplteAnneeMois'!$O$2:$O$751,B117,'Z2_CplteAnneeMois'!$F$2:$F$751,C117,'Z2_CplteAnneeMois'!$K$2:$K$751,D117)</f>
        <v/>
      </c>
      <c r="F117" s="5">
        <f>SUMIFS('Z2_CplteAnneeMois'!$M$2:$M$751,'Z2_CplteAnneeMois'!$O$2:$O$751,B117,'Z2_CplteAnneeMois'!$F$2:$F$751,C117,'Z2_CplteAnneeMois'!$K$2:$K$751,D117)</f>
        <v/>
      </c>
    </row>
    <row r="118">
      <c r="A118" s="6" t="n">
        <v>2023</v>
      </c>
      <c r="B118" s="5" t="inlineStr">
        <is>
          <t>2023-08</t>
        </is>
      </c>
      <c r="C118" s="2" t="inlineStr">
        <is>
          <t>ZZ2</t>
        </is>
      </c>
      <c r="D118" s="2" t="inlineStr">
        <is>
          <t>CHEQUES</t>
        </is>
      </c>
      <c r="E118" s="5">
        <f>SUMIFS('Z2_CplteAnneeMois'!$L$2:$L$751,'Z2_CplteAnneeMois'!$O$2:$O$751,B118,'Z2_CplteAnneeMois'!$F$2:$F$751,C118,'Z2_CplteAnneeMois'!$K$2:$K$751,D118)</f>
        <v/>
      </c>
      <c r="F118" s="5">
        <f>SUMIFS('Z2_CplteAnneeMois'!$M$2:$M$751,'Z2_CplteAnneeMois'!$O$2:$O$751,B118,'Z2_CplteAnneeMois'!$F$2:$F$751,C118,'Z2_CplteAnneeMois'!$K$2:$K$751,D118)</f>
        <v/>
      </c>
    </row>
    <row r="119">
      <c r="A119" s="6" t="n">
        <v>2023</v>
      </c>
      <c r="B119" s="5" t="inlineStr">
        <is>
          <t>2023-08</t>
        </is>
      </c>
      <c r="C119" s="2" t="inlineStr">
        <is>
          <t>ZZ2</t>
        </is>
      </c>
      <c r="D119" s="2" t="inlineStr">
        <is>
          <t>CORRECTION</t>
        </is>
      </c>
      <c r="E119" s="5">
        <f>SUMIFS('Z2_CplteAnneeMois'!$L$2:$L$751,'Z2_CplteAnneeMois'!$O$2:$O$751,B119,'Z2_CplteAnneeMois'!$F$2:$F$751,C119,'Z2_CplteAnneeMois'!$K$2:$K$751,D119)</f>
        <v/>
      </c>
      <c r="F119" s="5">
        <f>SUMIFS('Z2_CplteAnneeMois'!$M$2:$M$751,'Z2_CplteAnneeMois'!$O$2:$O$751,B119,'Z2_CplteAnneeMois'!$F$2:$F$751,C119,'Z2_CplteAnneeMois'!$K$2:$K$751,D119)</f>
        <v/>
      </c>
    </row>
    <row r="120">
      <c r="A120" s="6" t="n">
        <v>2023</v>
      </c>
      <c r="B120" s="5" t="inlineStr">
        <is>
          <t>2023-08</t>
        </is>
      </c>
      <c r="C120" s="2" t="inlineStr">
        <is>
          <t>ZZ2</t>
        </is>
      </c>
      <c r="D120" s="2" t="inlineStr">
        <is>
          <t>ESPECES</t>
        </is>
      </c>
      <c r="E120" s="5">
        <f>SUMIFS('Z2_CplteAnneeMois'!$L$2:$L$751,'Z2_CplteAnneeMois'!$O$2:$O$751,B120,'Z2_CplteAnneeMois'!$F$2:$F$751,C120,'Z2_CplteAnneeMois'!$K$2:$K$751,D120)</f>
        <v/>
      </c>
      <c r="F120" s="5">
        <f>SUMIFS('Z2_CplteAnneeMois'!$M$2:$M$751,'Z2_CplteAnneeMois'!$O$2:$O$751,B120,'Z2_CplteAnneeMois'!$F$2:$F$751,C120,'Z2_CplteAnneeMois'!$K$2:$K$751,D120)</f>
        <v/>
      </c>
    </row>
    <row r="121">
      <c r="A121" s="6" t="n">
        <v>2023</v>
      </c>
      <c r="B121" s="5" t="inlineStr">
        <is>
          <t>2023-08</t>
        </is>
      </c>
      <c r="C121" s="2" t="inlineStr">
        <is>
          <t>ZZ2</t>
        </is>
      </c>
      <c r="D121" s="2" t="inlineStr">
        <is>
          <t>REF./TIROIR</t>
        </is>
      </c>
      <c r="E121" s="5">
        <f>SUMIFS('Z2_CplteAnneeMois'!$L$2:$L$751,'Z2_CplteAnneeMois'!$O$2:$O$751,B121,'Z2_CplteAnneeMois'!$F$2:$F$751,C121,'Z2_CplteAnneeMois'!$K$2:$K$751,D121)</f>
        <v/>
      </c>
      <c r="F121" s="5">
        <f>SUMIFS('Z2_CplteAnneeMois'!$M$2:$M$751,'Z2_CplteAnneeMois'!$O$2:$O$751,B121,'Z2_CplteAnneeMois'!$F$2:$F$751,C121,'Z2_CplteAnneeMois'!$K$2:$K$751,D121)</f>
        <v/>
      </c>
    </row>
    <row r="122">
      <c r="A122" s="6" t="n">
        <v>2023</v>
      </c>
      <c r="B122" s="5" t="inlineStr">
        <is>
          <t>2023-09</t>
        </is>
      </c>
      <c r="C122" s="2" t="inlineStr">
        <is>
          <t>Z</t>
        </is>
      </c>
      <c r="D122" s="2" t="inlineStr">
        <is>
          <t>CARTES</t>
        </is>
      </c>
      <c r="E122" s="5">
        <f>SUMIFS('Z2_CplteAnneeMois'!$L$2:$L$751,'Z2_CplteAnneeMois'!$O$2:$O$751,B122,'Z2_CplteAnneeMois'!$F$2:$F$751,C122,'Z2_CplteAnneeMois'!$K$2:$K$751,D122)</f>
        <v/>
      </c>
      <c r="F122" s="5">
        <f>SUMIFS('Z2_CplteAnneeMois'!$M$2:$M$751,'Z2_CplteAnneeMois'!$O$2:$O$751,B122,'Z2_CplteAnneeMois'!$F$2:$F$751,C122,'Z2_CplteAnneeMois'!$K$2:$K$751,D122)</f>
        <v/>
      </c>
    </row>
    <row r="123">
      <c r="A123" s="6" t="n">
        <v>2023</v>
      </c>
      <c r="B123" s="5" t="inlineStr">
        <is>
          <t>2023-09</t>
        </is>
      </c>
      <c r="C123" s="2" t="inlineStr">
        <is>
          <t>Z</t>
        </is>
      </c>
      <c r="D123" s="2" t="inlineStr">
        <is>
          <t>CHEQUES</t>
        </is>
      </c>
      <c r="E123" s="5">
        <f>SUMIFS('Z2_CplteAnneeMois'!$L$2:$L$751,'Z2_CplteAnneeMois'!$O$2:$O$751,B123,'Z2_CplteAnneeMois'!$F$2:$F$751,C123,'Z2_CplteAnneeMois'!$K$2:$K$751,D123)</f>
        <v/>
      </c>
      <c r="F123" s="5">
        <f>SUMIFS('Z2_CplteAnneeMois'!$M$2:$M$751,'Z2_CplteAnneeMois'!$O$2:$O$751,B123,'Z2_CplteAnneeMois'!$F$2:$F$751,C123,'Z2_CplteAnneeMois'!$K$2:$K$751,D123)</f>
        <v/>
      </c>
    </row>
    <row r="124">
      <c r="A124" s="6" t="n">
        <v>2023</v>
      </c>
      <c r="B124" s="5" t="inlineStr">
        <is>
          <t>2023-09</t>
        </is>
      </c>
      <c r="C124" s="2" t="inlineStr">
        <is>
          <t>Z</t>
        </is>
      </c>
      <c r="D124" s="2" t="inlineStr">
        <is>
          <t>CORRECTION</t>
        </is>
      </c>
      <c r="E124" s="5">
        <f>SUMIFS('Z2_CplteAnneeMois'!$L$2:$L$751,'Z2_CplteAnneeMois'!$O$2:$O$751,B124,'Z2_CplteAnneeMois'!$F$2:$F$751,C124,'Z2_CplteAnneeMois'!$K$2:$K$751,D124)</f>
        <v/>
      </c>
      <c r="F124" s="5">
        <f>SUMIFS('Z2_CplteAnneeMois'!$M$2:$M$751,'Z2_CplteAnneeMois'!$O$2:$O$751,B124,'Z2_CplteAnneeMois'!$F$2:$F$751,C124,'Z2_CplteAnneeMois'!$K$2:$K$751,D124)</f>
        <v/>
      </c>
    </row>
    <row r="125">
      <c r="A125" s="6" t="n">
        <v>2023</v>
      </c>
      <c r="B125" s="5" t="inlineStr">
        <is>
          <t>2023-09</t>
        </is>
      </c>
      <c r="C125" s="2" t="inlineStr">
        <is>
          <t>Z</t>
        </is>
      </c>
      <c r="D125" s="2" t="inlineStr">
        <is>
          <t>ESPECES</t>
        </is>
      </c>
      <c r="E125" s="5">
        <f>SUMIFS('Z2_CplteAnneeMois'!$L$2:$L$751,'Z2_CplteAnneeMois'!$O$2:$O$751,B125,'Z2_CplteAnneeMois'!$F$2:$F$751,C125,'Z2_CplteAnneeMois'!$K$2:$K$751,D125)</f>
        <v/>
      </c>
      <c r="F125" s="5">
        <f>SUMIFS('Z2_CplteAnneeMois'!$M$2:$M$751,'Z2_CplteAnneeMois'!$O$2:$O$751,B125,'Z2_CplteAnneeMois'!$F$2:$F$751,C125,'Z2_CplteAnneeMois'!$K$2:$K$751,D125)</f>
        <v/>
      </c>
    </row>
    <row r="126">
      <c r="A126" s="6" t="n">
        <v>2023</v>
      </c>
      <c r="B126" s="5" t="inlineStr">
        <is>
          <t>2023-09</t>
        </is>
      </c>
      <c r="C126" s="2" t="inlineStr">
        <is>
          <t>Z</t>
        </is>
      </c>
      <c r="D126" s="2" t="inlineStr">
        <is>
          <t>REF./TIROIR</t>
        </is>
      </c>
      <c r="E126" s="5">
        <f>SUMIFS('Z2_CplteAnneeMois'!$L$2:$L$751,'Z2_CplteAnneeMois'!$O$2:$O$751,B126,'Z2_CplteAnneeMois'!$F$2:$F$751,C126,'Z2_CplteAnneeMois'!$K$2:$K$751,D126)</f>
        <v/>
      </c>
      <c r="F126" s="5">
        <f>SUMIFS('Z2_CplteAnneeMois'!$M$2:$M$751,'Z2_CplteAnneeMois'!$O$2:$O$751,B126,'Z2_CplteAnneeMois'!$F$2:$F$751,C126,'Z2_CplteAnneeMois'!$K$2:$K$751,D126)</f>
        <v/>
      </c>
    </row>
    <row r="127">
      <c r="A127" s="6" t="n">
        <v>2023</v>
      </c>
      <c r="B127" s="5" t="inlineStr">
        <is>
          <t>2023-09</t>
        </is>
      </c>
      <c r="C127" s="2" t="inlineStr">
        <is>
          <t>ZZ1</t>
        </is>
      </c>
      <c r="D127" s="2" t="inlineStr">
        <is>
          <t>CARTES</t>
        </is>
      </c>
      <c r="E127" s="5">
        <f>SUMIFS('Z2_CplteAnneeMois'!$L$2:$L$751,'Z2_CplteAnneeMois'!$O$2:$O$751,B127,'Z2_CplteAnneeMois'!$F$2:$F$751,C127,'Z2_CplteAnneeMois'!$K$2:$K$751,D127)</f>
        <v/>
      </c>
      <c r="F127" s="5">
        <f>SUMIFS('Z2_CplteAnneeMois'!$M$2:$M$751,'Z2_CplteAnneeMois'!$O$2:$O$751,B127,'Z2_CplteAnneeMois'!$F$2:$F$751,C127,'Z2_CplteAnneeMois'!$K$2:$K$751,D127)</f>
        <v/>
      </c>
    </row>
    <row r="128">
      <c r="A128" s="6" t="n">
        <v>2023</v>
      </c>
      <c r="B128" s="5" t="inlineStr">
        <is>
          <t>2023-09</t>
        </is>
      </c>
      <c r="C128" s="2" t="inlineStr">
        <is>
          <t>ZZ1</t>
        </is>
      </c>
      <c r="D128" s="2" t="inlineStr">
        <is>
          <t>CHEQUES</t>
        </is>
      </c>
      <c r="E128" s="5">
        <f>SUMIFS('Z2_CplteAnneeMois'!$L$2:$L$751,'Z2_CplteAnneeMois'!$O$2:$O$751,B128,'Z2_CplteAnneeMois'!$F$2:$F$751,C128,'Z2_CplteAnneeMois'!$K$2:$K$751,D128)</f>
        <v/>
      </c>
      <c r="F128" s="5">
        <f>SUMIFS('Z2_CplteAnneeMois'!$M$2:$M$751,'Z2_CplteAnneeMois'!$O$2:$O$751,B128,'Z2_CplteAnneeMois'!$F$2:$F$751,C128,'Z2_CplteAnneeMois'!$K$2:$K$751,D128)</f>
        <v/>
      </c>
    </row>
    <row r="129">
      <c r="A129" s="6" t="n">
        <v>2023</v>
      </c>
      <c r="B129" s="5" t="inlineStr">
        <is>
          <t>2023-09</t>
        </is>
      </c>
      <c r="C129" s="2" t="inlineStr">
        <is>
          <t>ZZ1</t>
        </is>
      </c>
      <c r="D129" s="2" t="inlineStr">
        <is>
          <t>CORRECTION</t>
        </is>
      </c>
      <c r="E129" s="5">
        <f>SUMIFS('Z2_CplteAnneeMois'!$L$2:$L$751,'Z2_CplteAnneeMois'!$O$2:$O$751,B129,'Z2_CplteAnneeMois'!$F$2:$F$751,C129,'Z2_CplteAnneeMois'!$K$2:$K$751,D129)</f>
        <v/>
      </c>
      <c r="F129" s="5">
        <f>SUMIFS('Z2_CplteAnneeMois'!$M$2:$M$751,'Z2_CplteAnneeMois'!$O$2:$O$751,B129,'Z2_CplteAnneeMois'!$F$2:$F$751,C129,'Z2_CplteAnneeMois'!$K$2:$K$751,D129)</f>
        <v/>
      </c>
    </row>
    <row r="130">
      <c r="A130" s="6" t="n">
        <v>2023</v>
      </c>
      <c r="B130" s="5" t="inlineStr">
        <is>
          <t>2023-09</t>
        </is>
      </c>
      <c r="C130" s="2" t="inlineStr">
        <is>
          <t>ZZ1</t>
        </is>
      </c>
      <c r="D130" s="2" t="inlineStr">
        <is>
          <t>ESPECES</t>
        </is>
      </c>
      <c r="E130" s="5">
        <f>SUMIFS('Z2_CplteAnneeMois'!$L$2:$L$751,'Z2_CplteAnneeMois'!$O$2:$O$751,B130,'Z2_CplteAnneeMois'!$F$2:$F$751,C130,'Z2_CplteAnneeMois'!$K$2:$K$751,D130)</f>
        <v/>
      </c>
      <c r="F130" s="5">
        <f>SUMIFS('Z2_CplteAnneeMois'!$M$2:$M$751,'Z2_CplteAnneeMois'!$O$2:$O$751,B130,'Z2_CplteAnneeMois'!$F$2:$F$751,C130,'Z2_CplteAnneeMois'!$K$2:$K$751,D130)</f>
        <v/>
      </c>
    </row>
    <row r="131">
      <c r="A131" s="6" t="n">
        <v>2023</v>
      </c>
      <c r="B131" s="5" t="inlineStr">
        <is>
          <t>2023-09</t>
        </is>
      </c>
      <c r="C131" s="2" t="inlineStr">
        <is>
          <t>ZZ1</t>
        </is>
      </c>
      <c r="D131" s="2" t="inlineStr">
        <is>
          <t>REF./TIROIR</t>
        </is>
      </c>
      <c r="E131" s="5">
        <f>SUMIFS('Z2_CplteAnneeMois'!$L$2:$L$751,'Z2_CplteAnneeMois'!$O$2:$O$751,B131,'Z2_CplteAnneeMois'!$F$2:$F$751,C131,'Z2_CplteAnneeMois'!$K$2:$K$751,D131)</f>
        <v/>
      </c>
      <c r="F131" s="5">
        <f>SUMIFS('Z2_CplteAnneeMois'!$M$2:$M$751,'Z2_CplteAnneeMois'!$O$2:$O$751,B131,'Z2_CplteAnneeMois'!$F$2:$F$751,C131,'Z2_CplteAnneeMois'!$K$2:$K$751,D131)</f>
        <v/>
      </c>
    </row>
    <row r="132">
      <c r="A132" s="6" t="n">
        <v>2023</v>
      </c>
      <c r="B132" s="5" t="inlineStr">
        <is>
          <t>2023-09</t>
        </is>
      </c>
      <c r="C132" s="2" t="inlineStr">
        <is>
          <t>ZZ2</t>
        </is>
      </c>
      <c r="D132" s="2" t="inlineStr">
        <is>
          <t>CARTES</t>
        </is>
      </c>
      <c r="E132" s="5">
        <f>SUMIFS('Z2_CplteAnneeMois'!$L$2:$L$751,'Z2_CplteAnneeMois'!$O$2:$O$751,B132,'Z2_CplteAnneeMois'!$F$2:$F$751,C132,'Z2_CplteAnneeMois'!$K$2:$K$751,D132)</f>
        <v/>
      </c>
      <c r="F132" s="5">
        <f>SUMIFS('Z2_CplteAnneeMois'!$M$2:$M$751,'Z2_CplteAnneeMois'!$O$2:$O$751,B132,'Z2_CplteAnneeMois'!$F$2:$F$751,C132,'Z2_CplteAnneeMois'!$K$2:$K$751,D132)</f>
        <v/>
      </c>
    </row>
    <row r="133">
      <c r="A133" s="6" t="n">
        <v>2023</v>
      </c>
      <c r="B133" s="5" t="inlineStr">
        <is>
          <t>2023-09</t>
        </is>
      </c>
      <c r="C133" s="2" t="inlineStr">
        <is>
          <t>ZZ2</t>
        </is>
      </c>
      <c r="D133" s="2" t="inlineStr">
        <is>
          <t>CHEQUES</t>
        </is>
      </c>
      <c r="E133" s="5">
        <f>SUMIFS('Z2_CplteAnneeMois'!$L$2:$L$751,'Z2_CplteAnneeMois'!$O$2:$O$751,B133,'Z2_CplteAnneeMois'!$F$2:$F$751,C133,'Z2_CplteAnneeMois'!$K$2:$K$751,D133)</f>
        <v/>
      </c>
      <c r="F133" s="5">
        <f>SUMIFS('Z2_CplteAnneeMois'!$M$2:$M$751,'Z2_CplteAnneeMois'!$O$2:$O$751,B133,'Z2_CplteAnneeMois'!$F$2:$F$751,C133,'Z2_CplteAnneeMois'!$K$2:$K$751,D133)</f>
        <v/>
      </c>
    </row>
    <row r="134">
      <c r="A134" s="6" t="n">
        <v>2023</v>
      </c>
      <c r="B134" s="5" t="inlineStr">
        <is>
          <t>2023-09</t>
        </is>
      </c>
      <c r="C134" s="2" t="inlineStr">
        <is>
          <t>ZZ2</t>
        </is>
      </c>
      <c r="D134" s="2" t="inlineStr">
        <is>
          <t>CORRECTION</t>
        </is>
      </c>
      <c r="E134" s="5">
        <f>SUMIFS('Z2_CplteAnneeMois'!$L$2:$L$751,'Z2_CplteAnneeMois'!$O$2:$O$751,B134,'Z2_CplteAnneeMois'!$F$2:$F$751,C134,'Z2_CplteAnneeMois'!$K$2:$K$751,D134)</f>
        <v/>
      </c>
      <c r="F134" s="5">
        <f>SUMIFS('Z2_CplteAnneeMois'!$M$2:$M$751,'Z2_CplteAnneeMois'!$O$2:$O$751,B134,'Z2_CplteAnneeMois'!$F$2:$F$751,C134,'Z2_CplteAnneeMois'!$K$2:$K$751,D134)</f>
        <v/>
      </c>
    </row>
    <row r="135">
      <c r="A135" s="6" t="n">
        <v>2023</v>
      </c>
      <c r="B135" s="5" t="inlineStr">
        <is>
          <t>2023-09</t>
        </is>
      </c>
      <c r="C135" s="2" t="inlineStr">
        <is>
          <t>ZZ2</t>
        </is>
      </c>
      <c r="D135" s="2" t="inlineStr">
        <is>
          <t>ESPECES</t>
        </is>
      </c>
      <c r="E135" s="5">
        <f>SUMIFS('Z2_CplteAnneeMois'!$L$2:$L$751,'Z2_CplteAnneeMois'!$O$2:$O$751,B135,'Z2_CplteAnneeMois'!$F$2:$F$751,C135,'Z2_CplteAnneeMois'!$K$2:$K$751,D135)</f>
        <v/>
      </c>
      <c r="F135" s="5">
        <f>SUMIFS('Z2_CplteAnneeMois'!$M$2:$M$751,'Z2_CplteAnneeMois'!$O$2:$O$751,B135,'Z2_CplteAnneeMois'!$F$2:$F$751,C135,'Z2_CplteAnneeMois'!$K$2:$K$751,D135)</f>
        <v/>
      </c>
    </row>
    <row r="136">
      <c r="A136" s="6" t="n">
        <v>2023</v>
      </c>
      <c r="B136" s="5" t="inlineStr">
        <is>
          <t>2023-09</t>
        </is>
      </c>
      <c r="C136" s="2" t="inlineStr">
        <is>
          <t>ZZ2</t>
        </is>
      </c>
      <c r="D136" s="2" t="inlineStr">
        <is>
          <t>REF./TIROIR</t>
        </is>
      </c>
      <c r="E136" s="5">
        <f>SUMIFS('Z2_CplteAnneeMois'!$L$2:$L$751,'Z2_CplteAnneeMois'!$O$2:$O$751,B136,'Z2_CplteAnneeMois'!$F$2:$F$751,C136,'Z2_CplteAnneeMois'!$K$2:$K$751,D136)</f>
        <v/>
      </c>
      <c r="F136" s="5">
        <f>SUMIFS('Z2_CplteAnneeMois'!$M$2:$M$751,'Z2_CplteAnneeMois'!$O$2:$O$751,B136,'Z2_CplteAnneeMois'!$F$2:$F$751,C136,'Z2_CplteAnneeMois'!$K$2:$K$751,D136)</f>
        <v/>
      </c>
    </row>
    <row r="137">
      <c r="A137" s="6" t="n">
        <v>2023</v>
      </c>
      <c r="B137" s="5" t="inlineStr">
        <is>
          <t>2023-10</t>
        </is>
      </c>
      <c r="C137" s="2" t="inlineStr">
        <is>
          <t>Z</t>
        </is>
      </c>
      <c r="D137" s="2" t="inlineStr">
        <is>
          <t>CARTES</t>
        </is>
      </c>
      <c r="E137" s="5">
        <f>SUMIFS('Z2_CplteAnneeMois'!$L$2:$L$751,'Z2_CplteAnneeMois'!$O$2:$O$751,B137,'Z2_CplteAnneeMois'!$F$2:$F$751,C137,'Z2_CplteAnneeMois'!$K$2:$K$751,D137)</f>
        <v/>
      </c>
      <c r="F137" s="5">
        <f>SUMIFS('Z2_CplteAnneeMois'!$M$2:$M$751,'Z2_CplteAnneeMois'!$O$2:$O$751,B137,'Z2_CplteAnneeMois'!$F$2:$F$751,C137,'Z2_CplteAnneeMois'!$K$2:$K$751,D137)</f>
        <v/>
      </c>
    </row>
    <row r="138">
      <c r="A138" s="6" t="n">
        <v>2023</v>
      </c>
      <c r="B138" s="5" t="inlineStr">
        <is>
          <t>2023-10</t>
        </is>
      </c>
      <c r="C138" s="2" t="inlineStr">
        <is>
          <t>Z</t>
        </is>
      </c>
      <c r="D138" s="2" t="inlineStr">
        <is>
          <t>CHEQUES</t>
        </is>
      </c>
      <c r="E138" s="5">
        <f>SUMIFS('Z2_CplteAnneeMois'!$L$2:$L$751,'Z2_CplteAnneeMois'!$O$2:$O$751,B138,'Z2_CplteAnneeMois'!$F$2:$F$751,C138,'Z2_CplteAnneeMois'!$K$2:$K$751,D138)</f>
        <v/>
      </c>
      <c r="F138" s="5">
        <f>SUMIFS('Z2_CplteAnneeMois'!$M$2:$M$751,'Z2_CplteAnneeMois'!$O$2:$O$751,B138,'Z2_CplteAnneeMois'!$F$2:$F$751,C138,'Z2_CplteAnneeMois'!$K$2:$K$751,D138)</f>
        <v/>
      </c>
    </row>
    <row r="139">
      <c r="A139" s="6" t="n">
        <v>2023</v>
      </c>
      <c r="B139" s="5" t="inlineStr">
        <is>
          <t>2023-10</t>
        </is>
      </c>
      <c r="C139" s="2" t="inlineStr">
        <is>
          <t>Z</t>
        </is>
      </c>
      <c r="D139" s="2" t="inlineStr">
        <is>
          <t>CORRECTION</t>
        </is>
      </c>
      <c r="E139" s="5">
        <f>SUMIFS('Z2_CplteAnneeMois'!$L$2:$L$751,'Z2_CplteAnneeMois'!$O$2:$O$751,B139,'Z2_CplteAnneeMois'!$F$2:$F$751,C139,'Z2_CplteAnneeMois'!$K$2:$K$751,D139)</f>
        <v/>
      </c>
      <c r="F139" s="5">
        <f>SUMIFS('Z2_CplteAnneeMois'!$M$2:$M$751,'Z2_CplteAnneeMois'!$O$2:$O$751,B139,'Z2_CplteAnneeMois'!$F$2:$F$751,C139,'Z2_CplteAnneeMois'!$K$2:$K$751,D139)</f>
        <v/>
      </c>
    </row>
    <row r="140">
      <c r="A140" s="6" t="n">
        <v>2023</v>
      </c>
      <c r="B140" s="5" t="inlineStr">
        <is>
          <t>2023-10</t>
        </is>
      </c>
      <c r="C140" s="2" t="inlineStr">
        <is>
          <t>Z</t>
        </is>
      </c>
      <c r="D140" s="2" t="inlineStr">
        <is>
          <t>ESPECES</t>
        </is>
      </c>
      <c r="E140" s="5">
        <f>SUMIFS('Z2_CplteAnneeMois'!$L$2:$L$751,'Z2_CplteAnneeMois'!$O$2:$O$751,B140,'Z2_CplteAnneeMois'!$F$2:$F$751,C140,'Z2_CplteAnneeMois'!$K$2:$K$751,D140)</f>
        <v/>
      </c>
      <c r="F140" s="5">
        <f>SUMIFS('Z2_CplteAnneeMois'!$M$2:$M$751,'Z2_CplteAnneeMois'!$O$2:$O$751,B140,'Z2_CplteAnneeMois'!$F$2:$F$751,C140,'Z2_CplteAnneeMois'!$K$2:$K$751,D140)</f>
        <v/>
      </c>
    </row>
    <row r="141">
      <c r="A141" s="6" t="n">
        <v>2023</v>
      </c>
      <c r="B141" s="5" t="inlineStr">
        <is>
          <t>2023-10</t>
        </is>
      </c>
      <c r="C141" s="2" t="inlineStr">
        <is>
          <t>Z</t>
        </is>
      </c>
      <c r="D141" s="2" t="inlineStr">
        <is>
          <t>REF./TIROIR</t>
        </is>
      </c>
      <c r="E141" s="5">
        <f>SUMIFS('Z2_CplteAnneeMois'!$L$2:$L$751,'Z2_CplteAnneeMois'!$O$2:$O$751,B141,'Z2_CplteAnneeMois'!$F$2:$F$751,C141,'Z2_CplteAnneeMois'!$K$2:$K$751,D141)</f>
        <v/>
      </c>
      <c r="F141" s="5">
        <f>SUMIFS('Z2_CplteAnneeMois'!$M$2:$M$751,'Z2_CplteAnneeMois'!$O$2:$O$751,B141,'Z2_CplteAnneeMois'!$F$2:$F$751,C141,'Z2_CplteAnneeMois'!$K$2:$K$751,D141)</f>
        <v/>
      </c>
    </row>
    <row r="142">
      <c r="A142" s="6" t="n">
        <v>2023</v>
      </c>
      <c r="B142" s="5" t="inlineStr">
        <is>
          <t>2023-10</t>
        </is>
      </c>
      <c r="C142" s="2" t="inlineStr">
        <is>
          <t>ZZ1</t>
        </is>
      </c>
      <c r="D142" s="2" t="inlineStr">
        <is>
          <t>CARTES</t>
        </is>
      </c>
      <c r="E142" s="5">
        <f>SUMIFS('Z2_CplteAnneeMois'!$L$2:$L$751,'Z2_CplteAnneeMois'!$O$2:$O$751,B142,'Z2_CplteAnneeMois'!$F$2:$F$751,C142,'Z2_CplteAnneeMois'!$K$2:$K$751,D142)</f>
        <v/>
      </c>
      <c r="F142" s="5">
        <f>SUMIFS('Z2_CplteAnneeMois'!$M$2:$M$751,'Z2_CplteAnneeMois'!$O$2:$O$751,B142,'Z2_CplteAnneeMois'!$F$2:$F$751,C142,'Z2_CplteAnneeMois'!$K$2:$K$751,D142)</f>
        <v/>
      </c>
    </row>
    <row r="143">
      <c r="A143" s="6" t="n">
        <v>2023</v>
      </c>
      <c r="B143" s="5" t="inlineStr">
        <is>
          <t>2023-10</t>
        </is>
      </c>
      <c r="C143" s="2" t="inlineStr">
        <is>
          <t>ZZ1</t>
        </is>
      </c>
      <c r="D143" s="2" t="inlineStr">
        <is>
          <t>CHEQUES</t>
        </is>
      </c>
      <c r="E143" s="5">
        <f>SUMIFS('Z2_CplteAnneeMois'!$L$2:$L$751,'Z2_CplteAnneeMois'!$O$2:$O$751,B143,'Z2_CplteAnneeMois'!$F$2:$F$751,C143,'Z2_CplteAnneeMois'!$K$2:$K$751,D143)</f>
        <v/>
      </c>
      <c r="F143" s="5">
        <f>SUMIFS('Z2_CplteAnneeMois'!$M$2:$M$751,'Z2_CplteAnneeMois'!$O$2:$O$751,B143,'Z2_CplteAnneeMois'!$F$2:$F$751,C143,'Z2_CplteAnneeMois'!$K$2:$K$751,D143)</f>
        <v/>
      </c>
    </row>
    <row r="144">
      <c r="A144" s="6" t="n">
        <v>2023</v>
      </c>
      <c r="B144" s="5" t="inlineStr">
        <is>
          <t>2023-10</t>
        </is>
      </c>
      <c r="C144" s="2" t="inlineStr">
        <is>
          <t>ZZ1</t>
        </is>
      </c>
      <c r="D144" s="2" t="inlineStr">
        <is>
          <t>CORRECTION</t>
        </is>
      </c>
      <c r="E144" s="5">
        <f>SUMIFS('Z2_CplteAnneeMois'!$L$2:$L$751,'Z2_CplteAnneeMois'!$O$2:$O$751,B144,'Z2_CplteAnneeMois'!$F$2:$F$751,C144,'Z2_CplteAnneeMois'!$K$2:$K$751,D144)</f>
        <v/>
      </c>
      <c r="F144" s="5">
        <f>SUMIFS('Z2_CplteAnneeMois'!$M$2:$M$751,'Z2_CplteAnneeMois'!$O$2:$O$751,B144,'Z2_CplteAnneeMois'!$F$2:$F$751,C144,'Z2_CplteAnneeMois'!$K$2:$K$751,D144)</f>
        <v/>
      </c>
    </row>
    <row r="145">
      <c r="A145" s="6" t="n">
        <v>2023</v>
      </c>
      <c r="B145" s="5" t="inlineStr">
        <is>
          <t>2023-10</t>
        </is>
      </c>
      <c r="C145" s="2" t="inlineStr">
        <is>
          <t>ZZ1</t>
        </is>
      </c>
      <c r="D145" s="2" t="inlineStr">
        <is>
          <t>ESPECES</t>
        </is>
      </c>
      <c r="E145" s="5">
        <f>SUMIFS('Z2_CplteAnneeMois'!$L$2:$L$751,'Z2_CplteAnneeMois'!$O$2:$O$751,B145,'Z2_CplteAnneeMois'!$F$2:$F$751,C145,'Z2_CplteAnneeMois'!$K$2:$K$751,D145)</f>
        <v/>
      </c>
      <c r="F145" s="5">
        <f>SUMIFS('Z2_CplteAnneeMois'!$M$2:$M$751,'Z2_CplteAnneeMois'!$O$2:$O$751,B145,'Z2_CplteAnneeMois'!$F$2:$F$751,C145,'Z2_CplteAnneeMois'!$K$2:$K$751,D145)</f>
        <v/>
      </c>
    </row>
    <row r="146">
      <c r="A146" s="6" t="n">
        <v>2023</v>
      </c>
      <c r="B146" s="5" t="inlineStr">
        <is>
          <t>2023-10</t>
        </is>
      </c>
      <c r="C146" s="2" t="inlineStr">
        <is>
          <t>ZZ1</t>
        </is>
      </c>
      <c r="D146" s="2" t="inlineStr">
        <is>
          <t>REF./TIROIR</t>
        </is>
      </c>
      <c r="E146" s="5">
        <f>SUMIFS('Z2_CplteAnneeMois'!$L$2:$L$751,'Z2_CplteAnneeMois'!$O$2:$O$751,B146,'Z2_CplteAnneeMois'!$F$2:$F$751,C146,'Z2_CplteAnneeMois'!$K$2:$K$751,D146)</f>
        <v/>
      </c>
      <c r="F146" s="5">
        <f>SUMIFS('Z2_CplteAnneeMois'!$M$2:$M$751,'Z2_CplteAnneeMois'!$O$2:$O$751,B146,'Z2_CplteAnneeMois'!$F$2:$F$751,C146,'Z2_CplteAnneeMois'!$K$2:$K$751,D146)</f>
        <v/>
      </c>
    </row>
    <row r="147">
      <c r="A147" s="6" t="n">
        <v>2023</v>
      </c>
      <c r="B147" s="5" t="inlineStr">
        <is>
          <t>2023-10</t>
        </is>
      </c>
      <c r="C147" s="2" t="inlineStr">
        <is>
          <t>ZZ2</t>
        </is>
      </c>
      <c r="D147" s="2" t="inlineStr">
        <is>
          <t>CARTES</t>
        </is>
      </c>
      <c r="E147" s="5">
        <f>SUMIFS('Z2_CplteAnneeMois'!$L$2:$L$751,'Z2_CplteAnneeMois'!$O$2:$O$751,B147,'Z2_CplteAnneeMois'!$F$2:$F$751,C147,'Z2_CplteAnneeMois'!$K$2:$K$751,D147)</f>
        <v/>
      </c>
      <c r="F147" s="5">
        <f>SUMIFS('Z2_CplteAnneeMois'!$M$2:$M$751,'Z2_CplteAnneeMois'!$O$2:$O$751,B147,'Z2_CplteAnneeMois'!$F$2:$F$751,C147,'Z2_CplteAnneeMois'!$K$2:$K$751,D147)</f>
        <v/>
      </c>
    </row>
    <row r="148">
      <c r="A148" s="6" t="n">
        <v>2023</v>
      </c>
      <c r="B148" s="5" t="inlineStr">
        <is>
          <t>2023-10</t>
        </is>
      </c>
      <c r="C148" s="2" t="inlineStr">
        <is>
          <t>ZZ2</t>
        </is>
      </c>
      <c r="D148" s="2" t="inlineStr">
        <is>
          <t>CHEQUES</t>
        </is>
      </c>
      <c r="E148" s="5">
        <f>SUMIFS('Z2_CplteAnneeMois'!$L$2:$L$751,'Z2_CplteAnneeMois'!$O$2:$O$751,B148,'Z2_CplteAnneeMois'!$F$2:$F$751,C148,'Z2_CplteAnneeMois'!$K$2:$K$751,D148)</f>
        <v/>
      </c>
      <c r="F148" s="5">
        <f>SUMIFS('Z2_CplteAnneeMois'!$M$2:$M$751,'Z2_CplteAnneeMois'!$O$2:$O$751,B148,'Z2_CplteAnneeMois'!$F$2:$F$751,C148,'Z2_CplteAnneeMois'!$K$2:$K$751,D148)</f>
        <v/>
      </c>
    </row>
    <row r="149">
      <c r="A149" s="6" t="n">
        <v>2023</v>
      </c>
      <c r="B149" s="5" t="inlineStr">
        <is>
          <t>2023-10</t>
        </is>
      </c>
      <c r="C149" s="2" t="inlineStr">
        <is>
          <t>ZZ2</t>
        </is>
      </c>
      <c r="D149" s="2" t="inlineStr">
        <is>
          <t>CORRECTION</t>
        </is>
      </c>
      <c r="E149" s="5">
        <f>SUMIFS('Z2_CplteAnneeMois'!$L$2:$L$751,'Z2_CplteAnneeMois'!$O$2:$O$751,B149,'Z2_CplteAnneeMois'!$F$2:$F$751,C149,'Z2_CplteAnneeMois'!$K$2:$K$751,D149)</f>
        <v/>
      </c>
      <c r="F149" s="5">
        <f>SUMIFS('Z2_CplteAnneeMois'!$M$2:$M$751,'Z2_CplteAnneeMois'!$O$2:$O$751,B149,'Z2_CplteAnneeMois'!$F$2:$F$751,C149,'Z2_CplteAnneeMois'!$K$2:$K$751,D149)</f>
        <v/>
      </c>
    </row>
    <row r="150">
      <c r="A150" s="6" t="n">
        <v>2023</v>
      </c>
      <c r="B150" s="5" t="inlineStr">
        <is>
          <t>2023-10</t>
        </is>
      </c>
      <c r="C150" s="2" t="inlineStr">
        <is>
          <t>ZZ2</t>
        </is>
      </c>
      <c r="D150" s="2" t="inlineStr">
        <is>
          <t>ESPECES</t>
        </is>
      </c>
      <c r="E150" s="5">
        <f>SUMIFS('Z2_CplteAnneeMois'!$L$2:$L$751,'Z2_CplteAnneeMois'!$O$2:$O$751,B150,'Z2_CplteAnneeMois'!$F$2:$F$751,C150,'Z2_CplteAnneeMois'!$K$2:$K$751,D150)</f>
        <v/>
      </c>
      <c r="F150" s="5">
        <f>SUMIFS('Z2_CplteAnneeMois'!$M$2:$M$751,'Z2_CplteAnneeMois'!$O$2:$O$751,B150,'Z2_CplteAnneeMois'!$F$2:$F$751,C150,'Z2_CplteAnneeMois'!$K$2:$K$751,D150)</f>
        <v/>
      </c>
    </row>
    <row r="151">
      <c r="A151" s="6" t="n">
        <v>2023</v>
      </c>
      <c r="B151" s="5" t="inlineStr">
        <is>
          <t>2023-10</t>
        </is>
      </c>
      <c r="C151" s="2" t="inlineStr">
        <is>
          <t>ZZ2</t>
        </is>
      </c>
      <c r="D151" s="2" t="inlineStr">
        <is>
          <t>REF./TIROIR</t>
        </is>
      </c>
      <c r="E151" s="5">
        <f>SUMIFS('Z2_CplteAnneeMois'!$L$2:$L$751,'Z2_CplteAnneeMois'!$O$2:$O$751,B151,'Z2_CplteAnneeMois'!$F$2:$F$751,C151,'Z2_CplteAnneeMois'!$K$2:$K$751,D151)</f>
        <v/>
      </c>
      <c r="F151" s="5">
        <f>SUMIFS('Z2_CplteAnneeMois'!$M$2:$M$751,'Z2_CplteAnneeMois'!$O$2:$O$751,B151,'Z2_CplteAnneeMois'!$F$2:$F$751,C151,'Z2_CplteAnneeMois'!$K$2:$K$751,D151)</f>
        <v/>
      </c>
    </row>
    <row r="152">
      <c r="A152" s="6" t="n">
        <v>2023</v>
      </c>
      <c r="B152" s="5" t="inlineStr">
        <is>
          <t>2023-11</t>
        </is>
      </c>
      <c r="C152" s="2" t="inlineStr">
        <is>
          <t>Z</t>
        </is>
      </c>
      <c r="D152" s="2" t="inlineStr">
        <is>
          <t>CARTES</t>
        </is>
      </c>
      <c r="E152" s="5">
        <f>SUMIFS('Z2_CplteAnneeMois'!$L$2:$L$751,'Z2_CplteAnneeMois'!$O$2:$O$751,B152,'Z2_CplteAnneeMois'!$F$2:$F$751,C152,'Z2_CplteAnneeMois'!$K$2:$K$751,D152)</f>
        <v/>
      </c>
      <c r="F152" s="5">
        <f>SUMIFS('Z2_CplteAnneeMois'!$M$2:$M$751,'Z2_CplteAnneeMois'!$O$2:$O$751,B152,'Z2_CplteAnneeMois'!$F$2:$F$751,C152,'Z2_CplteAnneeMois'!$K$2:$K$751,D152)</f>
        <v/>
      </c>
    </row>
    <row r="153">
      <c r="A153" s="6" t="n">
        <v>2023</v>
      </c>
      <c r="B153" s="5" t="inlineStr">
        <is>
          <t>2023-11</t>
        </is>
      </c>
      <c r="C153" s="2" t="inlineStr">
        <is>
          <t>Z</t>
        </is>
      </c>
      <c r="D153" s="2" t="inlineStr">
        <is>
          <t>CHEQUES</t>
        </is>
      </c>
      <c r="E153" s="5">
        <f>SUMIFS('Z2_CplteAnneeMois'!$L$2:$L$751,'Z2_CplteAnneeMois'!$O$2:$O$751,B153,'Z2_CplteAnneeMois'!$F$2:$F$751,C153,'Z2_CplteAnneeMois'!$K$2:$K$751,D153)</f>
        <v/>
      </c>
      <c r="F153" s="5">
        <f>SUMIFS('Z2_CplteAnneeMois'!$M$2:$M$751,'Z2_CplteAnneeMois'!$O$2:$O$751,B153,'Z2_CplteAnneeMois'!$F$2:$F$751,C153,'Z2_CplteAnneeMois'!$K$2:$K$751,D153)</f>
        <v/>
      </c>
    </row>
    <row r="154">
      <c r="A154" s="6" t="n">
        <v>2023</v>
      </c>
      <c r="B154" s="5" t="inlineStr">
        <is>
          <t>2023-11</t>
        </is>
      </c>
      <c r="C154" s="2" t="inlineStr">
        <is>
          <t>Z</t>
        </is>
      </c>
      <c r="D154" s="2" t="inlineStr">
        <is>
          <t>CORRECTION</t>
        </is>
      </c>
      <c r="E154" s="5">
        <f>SUMIFS('Z2_CplteAnneeMois'!$L$2:$L$751,'Z2_CplteAnneeMois'!$O$2:$O$751,B154,'Z2_CplteAnneeMois'!$F$2:$F$751,C154,'Z2_CplteAnneeMois'!$K$2:$K$751,D154)</f>
        <v/>
      </c>
      <c r="F154" s="5">
        <f>SUMIFS('Z2_CplteAnneeMois'!$M$2:$M$751,'Z2_CplteAnneeMois'!$O$2:$O$751,B154,'Z2_CplteAnneeMois'!$F$2:$F$751,C154,'Z2_CplteAnneeMois'!$K$2:$K$751,D154)</f>
        <v/>
      </c>
    </row>
    <row r="155">
      <c r="A155" s="6" t="n">
        <v>2023</v>
      </c>
      <c r="B155" s="5" t="inlineStr">
        <is>
          <t>2023-11</t>
        </is>
      </c>
      <c r="C155" s="2" t="inlineStr">
        <is>
          <t>Z</t>
        </is>
      </c>
      <c r="D155" s="2" t="inlineStr">
        <is>
          <t>ESPECES</t>
        </is>
      </c>
      <c r="E155" s="5">
        <f>SUMIFS('Z2_CplteAnneeMois'!$L$2:$L$751,'Z2_CplteAnneeMois'!$O$2:$O$751,B155,'Z2_CplteAnneeMois'!$F$2:$F$751,C155,'Z2_CplteAnneeMois'!$K$2:$K$751,D155)</f>
        <v/>
      </c>
      <c r="F155" s="5">
        <f>SUMIFS('Z2_CplteAnneeMois'!$M$2:$M$751,'Z2_CplteAnneeMois'!$O$2:$O$751,B155,'Z2_CplteAnneeMois'!$F$2:$F$751,C155,'Z2_CplteAnneeMois'!$K$2:$K$751,D155)</f>
        <v/>
      </c>
    </row>
    <row r="156">
      <c r="A156" s="6" t="n">
        <v>2023</v>
      </c>
      <c r="B156" s="5" t="inlineStr">
        <is>
          <t>2023-11</t>
        </is>
      </c>
      <c r="C156" s="2" t="inlineStr">
        <is>
          <t>Z</t>
        </is>
      </c>
      <c r="D156" s="2" t="inlineStr">
        <is>
          <t>REF./TIROIR</t>
        </is>
      </c>
      <c r="E156" s="5">
        <f>SUMIFS('Z2_CplteAnneeMois'!$L$2:$L$751,'Z2_CplteAnneeMois'!$O$2:$O$751,B156,'Z2_CplteAnneeMois'!$F$2:$F$751,C156,'Z2_CplteAnneeMois'!$K$2:$K$751,D156)</f>
        <v/>
      </c>
      <c r="F156" s="5">
        <f>SUMIFS('Z2_CplteAnneeMois'!$M$2:$M$751,'Z2_CplteAnneeMois'!$O$2:$O$751,B156,'Z2_CplteAnneeMois'!$F$2:$F$751,C156,'Z2_CplteAnneeMois'!$K$2:$K$751,D156)</f>
        <v/>
      </c>
    </row>
    <row r="157">
      <c r="A157" s="6" t="n">
        <v>2023</v>
      </c>
      <c r="B157" s="5" t="inlineStr">
        <is>
          <t>2023-11</t>
        </is>
      </c>
      <c r="C157" s="2" t="inlineStr">
        <is>
          <t>ZZ1</t>
        </is>
      </c>
      <c r="D157" s="2" t="inlineStr">
        <is>
          <t>CARTES</t>
        </is>
      </c>
      <c r="E157" s="5">
        <f>SUMIFS('Z2_CplteAnneeMois'!$L$2:$L$751,'Z2_CplteAnneeMois'!$O$2:$O$751,B157,'Z2_CplteAnneeMois'!$F$2:$F$751,C157,'Z2_CplteAnneeMois'!$K$2:$K$751,D157)</f>
        <v/>
      </c>
      <c r="F157" s="5">
        <f>SUMIFS('Z2_CplteAnneeMois'!$M$2:$M$751,'Z2_CplteAnneeMois'!$O$2:$O$751,B157,'Z2_CplteAnneeMois'!$F$2:$F$751,C157,'Z2_CplteAnneeMois'!$K$2:$K$751,D157)</f>
        <v/>
      </c>
    </row>
    <row r="158">
      <c r="A158" s="6" t="n">
        <v>2023</v>
      </c>
      <c r="B158" s="5" t="inlineStr">
        <is>
          <t>2023-11</t>
        </is>
      </c>
      <c r="C158" s="2" t="inlineStr">
        <is>
          <t>ZZ1</t>
        </is>
      </c>
      <c r="D158" s="2" t="inlineStr">
        <is>
          <t>CHEQUES</t>
        </is>
      </c>
      <c r="E158" s="5">
        <f>SUMIFS('Z2_CplteAnneeMois'!$L$2:$L$751,'Z2_CplteAnneeMois'!$O$2:$O$751,B158,'Z2_CplteAnneeMois'!$F$2:$F$751,C158,'Z2_CplteAnneeMois'!$K$2:$K$751,D158)</f>
        <v/>
      </c>
      <c r="F158" s="5">
        <f>SUMIFS('Z2_CplteAnneeMois'!$M$2:$M$751,'Z2_CplteAnneeMois'!$O$2:$O$751,B158,'Z2_CplteAnneeMois'!$F$2:$F$751,C158,'Z2_CplteAnneeMois'!$K$2:$K$751,D158)</f>
        <v/>
      </c>
    </row>
    <row r="159">
      <c r="A159" s="6" t="n">
        <v>2023</v>
      </c>
      <c r="B159" s="5" t="inlineStr">
        <is>
          <t>2023-11</t>
        </is>
      </c>
      <c r="C159" s="2" t="inlineStr">
        <is>
          <t>ZZ1</t>
        </is>
      </c>
      <c r="D159" s="2" t="inlineStr">
        <is>
          <t>CORRECTION</t>
        </is>
      </c>
      <c r="E159" s="5">
        <f>SUMIFS('Z2_CplteAnneeMois'!$L$2:$L$751,'Z2_CplteAnneeMois'!$O$2:$O$751,B159,'Z2_CplteAnneeMois'!$F$2:$F$751,C159,'Z2_CplteAnneeMois'!$K$2:$K$751,D159)</f>
        <v/>
      </c>
      <c r="F159" s="5">
        <f>SUMIFS('Z2_CplteAnneeMois'!$M$2:$M$751,'Z2_CplteAnneeMois'!$O$2:$O$751,B159,'Z2_CplteAnneeMois'!$F$2:$F$751,C159,'Z2_CplteAnneeMois'!$K$2:$K$751,D159)</f>
        <v/>
      </c>
    </row>
    <row r="160">
      <c r="A160" s="6" t="n">
        <v>2023</v>
      </c>
      <c r="B160" s="5" t="inlineStr">
        <is>
          <t>2023-11</t>
        </is>
      </c>
      <c r="C160" s="2" t="inlineStr">
        <is>
          <t>ZZ1</t>
        </is>
      </c>
      <c r="D160" s="2" t="inlineStr">
        <is>
          <t>ESPECES</t>
        </is>
      </c>
      <c r="E160" s="5">
        <f>SUMIFS('Z2_CplteAnneeMois'!$L$2:$L$751,'Z2_CplteAnneeMois'!$O$2:$O$751,B160,'Z2_CplteAnneeMois'!$F$2:$F$751,C160,'Z2_CplteAnneeMois'!$K$2:$K$751,D160)</f>
        <v/>
      </c>
      <c r="F160" s="5">
        <f>SUMIFS('Z2_CplteAnneeMois'!$M$2:$M$751,'Z2_CplteAnneeMois'!$O$2:$O$751,B160,'Z2_CplteAnneeMois'!$F$2:$F$751,C160,'Z2_CplteAnneeMois'!$K$2:$K$751,D160)</f>
        <v/>
      </c>
    </row>
    <row r="161">
      <c r="A161" s="6" t="n">
        <v>2023</v>
      </c>
      <c r="B161" s="5" t="inlineStr">
        <is>
          <t>2023-11</t>
        </is>
      </c>
      <c r="C161" s="2" t="inlineStr">
        <is>
          <t>ZZ1</t>
        </is>
      </c>
      <c r="D161" s="2" t="inlineStr">
        <is>
          <t>REF./TIROIR</t>
        </is>
      </c>
      <c r="E161" s="5">
        <f>SUMIFS('Z2_CplteAnneeMois'!$L$2:$L$751,'Z2_CplteAnneeMois'!$O$2:$O$751,B161,'Z2_CplteAnneeMois'!$F$2:$F$751,C161,'Z2_CplteAnneeMois'!$K$2:$K$751,D161)</f>
        <v/>
      </c>
      <c r="F161" s="5">
        <f>SUMIFS('Z2_CplteAnneeMois'!$M$2:$M$751,'Z2_CplteAnneeMois'!$O$2:$O$751,B161,'Z2_CplteAnneeMois'!$F$2:$F$751,C161,'Z2_CplteAnneeMois'!$K$2:$K$751,D161)</f>
        <v/>
      </c>
    </row>
    <row r="162">
      <c r="A162" s="6" t="n">
        <v>2023</v>
      </c>
      <c r="B162" s="5" t="inlineStr">
        <is>
          <t>2023-11</t>
        </is>
      </c>
      <c r="C162" s="2" t="inlineStr">
        <is>
          <t>ZZ2</t>
        </is>
      </c>
      <c r="D162" s="2" t="inlineStr">
        <is>
          <t>CARTES</t>
        </is>
      </c>
      <c r="E162" s="5">
        <f>SUMIFS('Z2_CplteAnneeMois'!$L$2:$L$751,'Z2_CplteAnneeMois'!$O$2:$O$751,B162,'Z2_CplteAnneeMois'!$F$2:$F$751,C162,'Z2_CplteAnneeMois'!$K$2:$K$751,D162)</f>
        <v/>
      </c>
      <c r="F162" s="5">
        <f>SUMIFS('Z2_CplteAnneeMois'!$M$2:$M$751,'Z2_CplteAnneeMois'!$O$2:$O$751,B162,'Z2_CplteAnneeMois'!$F$2:$F$751,C162,'Z2_CplteAnneeMois'!$K$2:$K$751,D162)</f>
        <v/>
      </c>
    </row>
    <row r="163">
      <c r="A163" s="6" t="n">
        <v>2023</v>
      </c>
      <c r="B163" s="5" t="inlineStr">
        <is>
          <t>2023-11</t>
        </is>
      </c>
      <c r="C163" s="2" t="inlineStr">
        <is>
          <t>ZZ2</t>
        </is>
      </c>
      <c r="D163" s="2" t="inlineStr">
        <is>
          <t>CHEQUES</t>
        </is>
      </c>
      <c r="E163" s="5">
        <f>SUMIFS('Z2_CplteAnneeMois'!$L$2:$L$751,'Z2_CplteAnneeMois'!$O$2:$O$751,B163,'Z2_CplteAnneeMois'!$F$2:$F$751,C163,'Z2_CplteAnneeMois'!$K$2:$K$751,D163)</f>
        <v/>
      </c>
      <c r="F163" s="5">
        <f>SUMIFS('Z2_CplteAnneeMois'!$M$2:$M$751,'Z2_CplteAnneeMois'!$O$2:$O$751,B163,'Z2_CplteAnneeMois'!$F$2:$F$751,C163,'Z2_CplteAnneeMois'!$K$2:$K$751,D163)</f>
        <v/>
      </c>
    </row>
    <row r="164">
      <c r="A164" s="6" t="n">
        <v>2023</v>
      </c>
      <c r="B164" s="5" t="inlineStr">
        <is>
          <t>2023-11</t>
        </is>
      </c>
      <c r="C164" s="2" t="inlineStr">
        <is>
          <t>ZZ2</t>
        </is>
      </c>
      <c r="D164" s="2" t="inlineStr">
        <is>
          <t>CORRECTION</t>
        </is>
      </c>
      <c r="E164" s="5">
        <f>SUMIFS('Z2_CplteAnneeMois'!$L$2:$L$751,'Z2_CplteAnneeMois'!$O$2:$O$751,B164,'Z2_CplteAnneeMois'!$F$2:$F$751,C164,'Z2_CplteAnneeMois'!$K$2:$K$751,D164)</f>
        <v/>
      </c>
      <c r="F164" s="5">
        <f>SUMIFS('Z2_CplteAnneeMois'!$M$2:$M$751,'Z2_CplteAnneeMois'!$O$2:$O$751,B164,'Z2_CplteAnneeMois'!$F$2:$F$751,C164,'Z2_CplteAnneeMois'!$K$2:$K$751,D164)</f>
        <v/>
      </c>
    </row>
    <row r="165">
      <c r="A165" s="6" t="n">
        <v>2023</v>
      </c>
      <c r="B165" s="5" t="inlineStr">
        <is>
          <t>2023-11</t>
        </is>
      </c>
      <c r="C165" s="2" t="inlineStr">
        <is>
          <t>ZZ2</t>
        </is>
      </c>
      <c r="D165" s="2" t="inlineStr">
        <is>
          <t>ESPECES</t>
        </is>
      </c>
      <c r="E165" s="5">
        <f>SUMIFS('Z2_CplteAnneeMois'!$L$2:$L$751,'Z2_CplteAnneeMois'!$O$2:$O$751,B165,'Z2_CplteAnneeMois'!$F$2:$F$751,C165,'Z2_CplteAnneeMois'!$K$2:$K$751,D165)</f>
        <v/>
      </c>
      <c r="F165" s="5">
        <f>SUMIFS('Z2_CplteAnneeMois'!$M$2:$M$751,'Z2_CplteAnneeMois'!$O$2:$O$751,B165,'Z2_CplteAnneeMois'!$F$2:$F$751,C165,'Z2_CplteAnneeMois'!$K$2:$K$751,D165)</f>
        <v/>
      </c>
    </row>
    <row r="166">
      <c r="A166" s="6" t="n">
        <v>2023</v>
      </c>
      <c r="B166" s="5" t="inlineStr">
        <is>
          <t>2023-11</t>
        </is>
      </c>
      <c r="C166" s="2" t="inlineStr">
        <is>
          <t>ZZ2</t>
        </is>
      </c>
      <c r="D166" s="2" t="inlineStr">
        <is>
          <t>REF./TIROIR</t>
        </is>
      </c>
      <c r="E166" s="5">
        <f>SUMIFS('Z2_CplteAnneeMois'!$L$2:$L$751,'Z2_CplteAnneeMois'!$O$2:$O$751,B166,'Z2_CplteAnneeMois'!$F$2:$F$751,C166,'Z2_CplteAnneeMois'!$K$2:$K$751,D166)</f>
        <v/>
      </c>
      <c r="F166" s="5">
        <f>SUMIFS('Z2_CplteAnneeMois'!$M$2:$M$751,'Z2_CplteAnneeMois'!$O$2:$O$751,B166,'Z2_CplteAnneeMois'!$F$2:$F$751,C166,'Z2_CplteAnneeMois'!$K$2:$K$751,D166)</f>
        <v/>
      </c>
    </row>
    <row r="167">
      <c r="A167" s="6" t="n">
        <v>2023</v>
      </c>
      <c r="B167" s="5" t="inlineStr">
        <is>
          <t>2023-12</t>
        </is>
      </c>
      <c r="C167" s="2" t="inlineStr">
        <is>
          <t>Z</t>
        </is>
      </c>
      <c r="D167" s="2" t="inlineStr">
        <is>
          <t>CARTES</t>
        </is>
      </c>
      <c r="E167" s="5">
        <f>SUMIFS('Z2_CplteAnneeMois'!$L$2:$L$751,'Z2_CplteAnneeMois'!$O$2:$O$751,B167,'Z2_CplteAnneeMois'!$F$2:$F$751,C167,'Z2_CplteAnneeMois'!$K$2:$K$751,D167)</f>
        <v/>
      </c>
      <c r="F167" s="5">
        <f>SUMIFS('Z2_CplteAnneeMois'!$M$2:$M$751,'Z2_CplteAnneeMois'!$O$2:$O$751,B167,'Z2_CplteAnneeMois'!$F$2:$F$751,C167,'Z2_CplteAnneeMois'!$K$2:$K$751,D167)</f>
        <v/>
      </c>
    </row>
    <row r="168">
      <c r="A168" s="6" t="n">
        <v>2023</v>
      </c>
      <c r="B168" s="5" t="inlineStr">
        <is>
          <t>2023-12</t>
        </is>
      </c>
      <c r="C168" s="2" t="inlineStr">
        <is>
          <t>Z</t>
        </is>
      </c>
      <c r="D168" s="2" t="inlineStr">
        <is>
          <t>CHEQUES</t>
        </is>
      </c>
      <c r="E168" s="5">
        <f>SUMIFS('Z2_CplteAnneeMois'!$L$2:$L$751,'Z2_CplteAnneeMois'!$O$2:$O$751,B168,'Z2_CplteAnneeMois'!$F$2:$F$751,C168,'Z2_CplteAnneeMois'!$K$2:$K$751,D168)</f>
        <v/>
      </c>
      <c r="F168" s="5">
        <f>SUMIFS('Z2_CplteAnneeMois'!$M$2:$M$751,'Z2_CplteAnneeMois'!$O$2:$O$751,B168,'Z2_CplteAnneeMois'!$F$2:$F$751,C168,'Z2_CplteAnneeMois'!$K$2:$K$751,D168)</f>
        <v/>
      </c>
    </row>
    <row r="169">
      <c r="A169" s="6" t="n">
        <v>2023</v>
      </c>
      <c r="B169" s="5" t="inlineStr">
        <is>
          <t>2023-12</t>
        </is>
      </c>
      <c r="C169" s="2" t="inlineStr">
        <is>
          <t>Z</t>
        </is>
      </c>
      <c r="D169" s="2" t="inlineStr">
        <is>
          <t>CORRECTION</t>
        </is>
      </c>
      <c r="E169" s="5">
        <f>SUMIFS('Z2_CplteAnneeMois'!$L$2:$L$751,'Z2_CplteAnneeMois'!$O$2:$O$751,B169,'Z2_CplteAnneeMois'!$F$2:$F$751,C169,'Z2_CplteAnneeMois'!$K$2:$K$751,D169)</f>
        <v/>
      </c>
      <c r="F169" s="5">
        <f>SUMIFS('Z2_CplteAnneeMois'!$M$2:$M$751,'Z2_CplteAnneeMois'!$O$2:$O$751,B169,'Z2_CplteAnneeMois'!$F$2:$F$751,C169,'Z2_CplteAnneeMois'!$K$2:$K$751,D169)</f>
        <v/>
      </c>
    </row>
    <row r="170">
      <c r="A170" s="6" t="n">
        <v>2023</v>
      </c>
      <c r="B170" s="5" t="inlineStr">
        <is>
          <t>2023-12</t>
        </is>
      </c>
      <c r="C170" s="2" t="inlineStr">
        <is>
          <t>Z</t>
        </is>
      </c>
      <c r="D170" s="2" t="inlineStr">
        <is>
          <t>ESPECES</t>
        </is>
      </c>
      <c r="E170" s="5">
        <f>SUMIFS('Z2_CplteAnneeMois'!$L$2:$L$751,'Z2_CplteAnneeMois'!$O$2:$O$751,B170,'Z2_CplteAnneeMois'!$F$2:$F$751,C170,'Z2_CplteAnneeMois'!$K$2:$K$751,D170)</f>
        <v/>
      </c>
      <c r="F170" s="5">
        <f>SUMIFS('Z2_CplteAnneeMois'!$M$2:$M$751,'Z2_CplteAnneeMois'!$O$2:$O$751,B170,'Z2_CplteAnneeMois'!$F$2:$F$751,C170,'Z2_CplteAnneeMois'!$K$2:$K$751,D170)</f>
        <v/>
      </c>
    </row>
    <row r="171">
      <c r="A171" s="6" t="n">
        <v>2023</v>
      </c>
      <c r="B171" s="5" t="inlineStr">
        <is>
          <t>2023-12</t>
        </is>
      </c>
      <c r="C171" s="2" t="inlineStr">
        <is>
          <t>Z</t>
        </is>
      </c>
      <c r="D171" s="2" t="inlineStr">
        <is>
          <t>REF./TIROIR</t>
        </is>
      </c>
      <c r="E171" s="5">
        <f>SUMIFS('Z2_CplteAnneeMois'!$L$2:$L$751,'Z2_CplteAnneeMois'!$O$2:$O$751,B171,'Z2_CplteAnneeMois'!$F$2:$F$751,C171,'Z2_CplteAnneeMois'!$K$2:$K$751,D171)</f>
        <v/>
      </c>
      <c r="F171" s="5">
        <f>SUMIFS('Z2_CplteAnneeMois'!$M$2:$M$751,'Z2_CplteAnneeMois'!$O$2:$O$751,B171,'Z2_CplteAnneeMois'!$F$2:$F$751,C171,'Z2_CplteAnneeMois'!$K$2:$K$751,D171)</f>
        <v/>
      </c>
    </row>
    <row r="172">
      <c r="A172" s="6" t="n">
        <v>2023</v>
      </c>
      <c r="B172" s="5" t="inlineStr">
        <is>
          <t>2023-12</t>
        </is>
      </c>
      <c r="C172" s="2" t="inlineStr">
        <is>
          <t>ZZ1</t>
        </is>
      </c>
      <c r="D172" s="2" t="inlineStr">
        <is>
          <t>CARTES</t>
        </is>
      </c>
      <c r="E172" s="5">
        <f>SUMIFS('Z2_CplteAnneeMois'!$L$2:$L$751,'Z2_CplteAnneeMois'!$O$2:$O$751,B172,'Z2_CplteAnneeMois'!$F$2:$F$751,C172,'Z2_CplteAnneeMois'!$K$2:$K$751,D172)</f>
        <v/>
      </c>
      <c r="F172" s="5">
        <f>SUMIFS('Z2_CplteAnneeMois'!$M$2:$M$751,'Z2_CplteAnneeMois'!$O$2:$O$751,B172,'Z2_CplteAnneeMois'!$F$2:$F$751,C172,'Z2_CplteAnneeMois'!$K$2:$K$751,D172)</f>
        <v/>
      </c>
    </row>
    <row r="173">
      <c r="A173" s="6" t="n">
        <v>2023</v>
      </c>
      <c r="B173" s="5" t="inlineStr">
        <is>
          <t>2023-12</t>
        </is>
      </c>
      <c r="C173" s="2" t="inlineStr">
        <is>
          <t>ZZ1</t>
        </is>
      </c>
      <c r="D173" s="2" t="inlineStr">
        <is>
          <t>CHEQUES</t>
        </is>
      </c>
      <c r="E173" s="5">
        <f>SUMIFS('Z2_CplteAnneeMois'!$L$2:$L$751,'Z2_CplteAnneeMois'!$O$2:$O$751,B173,'Z2_CplteAnneeMois'!$F$2:$F$751,C173,'Z2_CplteAnneeMois'!$K$2:$K$751,D173)</f>
        <v/>
      </c>
      <c r="F173" s="5">
        <f>SUMIFS('Z2_CplteAnneeMois'!$M$2:$M$751,'Z2_CplteAnneeMois'!$O$2:$O$751,B173,'Z2_CplteAnneeMois'!$F$2:$F$751,C173,'Z2_CplteAnneeMois'!$K$2:$K$751,D173)</f>
        <v/>
      </c>
    </row>
    <row r="174">
      <c r="A174" s="6" t="n">
        <v>2023</v>
      </c>
      <c r="B174" s="5" t="inlineStr">
        <is>
          <t>2023-12</t>
        </is>
      </c>
      <c r="C174" s="2" t="inlineStr">
        <is>
          <t>ZZ1</t>
        </is>
      </c>
      <c r="D174" s="2" t="inlineStr">
        <is>
          <t>CORRECTION</t>
        </is>
      </c>
      <c r="E174" s="5">
        <f>SUMIFS('Z2_CplteAnneeMois'!$L$2:$L$751,'Z2_CplteAnneeMois'!$O$2:$O$751,B174,'Z2_CplteAnneeMois'!$F$2:$F$751,C174,'Z2_CplteAnneeMois'!$K$2:$K$751,D174)</f>
        <v/>
      </c>
      <c r="F174" s="5">
        <f>SUMIFS('Z2_CplteAnneeMois'!$M$2:$M$751,'Z2_CplteAnneeMois'!$O$2:$O$751,B174,'Z2_CplteAnneeMois'!$F$2:$F$751,C174,'Z2_CplteAnneeMois'!$K$2:$K$751,D174)</f>
        <v/>
      </c>
    </row>
    <row r="175">
      <c r="A175" s="6" t="n">
        <v>2023</v>
      </c>
      <c r="B175" s="5" t="inlineStr">
        <is>
          <t>2023-12</t>
        </is>
      </c>
      <c r="C175" s="2" t="inlineStr">
        <is>
          <t>ZZ1</t>
        </is>
      </c>
      <c r="D175" s="2" t="inlineStr">
        <is>
          <t>ESPECES</t>
        </is>
      </c>
      <c r="E175" s="5">
        <f>SUMIFS('Z2_CplteAnneeMois'!$L$2:$L$751,'Z2_CplteAnneeMois'!$O$2:$O$751,B175,'Z2_CplteAnneeMois'!$F$2:$F$751,C175,'Z2_CplteAnneeMois'!$K$2:$K$751,D175)</f>
        <v/>
      </c>
      <c r="F175" s="5">
        <f>SUMIFS('Z2_CplteAnneeMois'!$M$2:$M$751,'Z2_CplteAnneeMois'!$O$2:$O$751,B175,'Z2_CplteAnneeMois'!$F$2:$F$751,C175,'Z2_CplteAnneeMois'!$K$2:$K$751,D175)</f>
        <v/>
      </c>
    </row>
    <row r="176">
      <c r="A176" s="6" t="n">
        <v>2023</v>
      </c>
      <c r="B176" s="5" t="inlineStr">
        <is>
          <t>2023-12</t>
        </is>
      </c>
      <c r="C176" s="2" t="inlineStr">
        <is>
          <t>ZZ1</t>
        </is>
      </c>
      <c r="D176" s="2" t="inlineStr">
        <is>
          <t>REF./TIROIR</t>
        </is>
      </c>
      <c r="E176" s="5">
        <f>SUMIFS('Z2_CplteAnneeMois'!$L$2:$L$751,'Z2_CplteAnneeMois'!$O$2:$O$751,B176,'Z2_CplteAnneeMois'!$F$2:$F$751,C176,'Z2_CplteAnneeMois'!$K$2:$K$751,D176)</f>
        <v/>
      </c>
      <c r="F176" s="5">
        <f>SUMIFS('Z2_CplteAnneeMois'!$M$2:$M$751,'Z2_CplteAnneeMois'!$O$2:$O$751,B176,'Z2_CplteAnneeMois'!$F$2:$F$751,C176,'Z2_CplteAnneeMois'!$K$2:$K$751,D176)</f>
        <v/>
      </c>
    </row>
    <row r="177">
      <c r="A177" s="6" t="n">
        <v>2023</v>
      </c>
      <c r="B177" s="5" t="inlineStr">
        <is>
          <t>2023-12</t>
        </is>
      </c>
      <c r="C177" s="2" t="inlineStr">
        <is>
          <t>ZZ2</t>
        </is>
      </c>
      <c r="D177" s="2" t="inlineStr">
        <is>
          <t>CARTES</t>
        </is>
      </c>
      <c r="E177" s="5">
        <f>SUMIFS('Z2_CplteAnneeMois'!$L$2:$L$751,'Z2_CplteAnneeMois'!$O$2:$O$751,B177,'Z2_CplteAnneeMois'!$F$2:$F$751,C177,'Z2_CplteAnneeMois'!$K$2:$K$751,D177)</f>
        <v/>
      </c>
      <c r="F177" s="5">
        <f>SUMIFS('Z2_CplteAnneeMois'!$M$2:$M$751,'Z2_CplteAnneeMois'!$O$2:$O$751,B177,'Z2_CplteAnneeMois'!$F$2:$F$751,C177,'Z2_CplteAnneeMois'!$K$2:$K$751,D177)</f>
        <v/>
      </c>
    </row>
    <row r="178">
      <c r="A178" s="6" t="n">
        <v>2023</v>
      </c>
      <c r="B178" s="5" t="inlineStr">
        <is>
          <t>2023-12</t>
        </is>
      </c>
      <c r="C178" s="2" t="inlineStr">
        <is>
          <t>ZZ2</t>
        </is>
      </c>
      <c r="D178" s="2" t="inlineStr">
        <is>
          <t>CHEQUES</t>
        </is>
      </c>
      <c r="E178" s="5">
        <f>SUMIFS('Z2_CplteAnneeMois'!$L$2:$L$751,'Z2_CplteAnneeMois'!$O$2:$O$751,B178,'Z2_CplteAnneeMois'!$F$2:$F$751,C178,'Z2_CplteAnneeMois'!$K$2:$K$751,D178)</f>
        <v/>
      </c>
      <c r="F178" s="5">
        <f>SUMIFS('Z2_CplteAnneeMois'!$M$2:$M$751,'Z2_CplteAnneeMois'!$O$2:$O$751,B178,'Z2_CplteAnneeMois'!$F$2:$F$751,C178,'Z2_CplteAnneeMois'!$K$2:$K$751,D178)</f>
        <v/>
      </c>
    </row>
    <row r="179">
      <c r="A179" s="6" t="n">
        <v>2023</v>
      </c>
      <c r="B179" s="5" t="inlineStr">
        <is>
          <t>2023-12</t>
        </is>
      </c>
      <c r="C179" s="2" t="inlineStr">
        <is>
          <t>ZZ2</t>
        </is>
      </c>
      <c r="D179" s="2" t="inlineStr">
        <is>
          <t>CORRECTION</t>
        </is>
      </c>
      <c r="E179" s="5">
        <f>SUMIFS('Z2_CplteAnneeMois'!$L$2:$L$751,'Z2_CplteAnneeMois'!$O$2:$O$751,B179,'Z2_CplteAnneeMois'!$F$2:$F$751,C179,'Z2_CplteAnneeMois'!$K$2:$K$751,D179)</f>
        <v/>
      </c>
      <c r="F179" s="5">
        <f>SUMIFS('Z2_CplteAnneeMois'!$M$2:$M$751,'Z2_CplteAnneeMois'!$O$2:$O$751,B179,'Z2_CplteAnneeMois'!$F$2:$F$751,C179,'Z2_CplteAnneeMois'!$K$2:$K$751,D179)</f>
        <v/>
      </c>
    </row>
    <row r="180">
      <c r="A180" s="6" t="n">
        <v>2023</v>
      </c>
      <c r="B180" s="5" t="inlineStr">
        <is>
          <t>2023-12</t>
        </is>
      </c>
      <c r="C180" s="2" t="inlineStr">
        <is>
          <t>ZZ2</t>
        </is>
      </c>
      <c r="D180" s="2" t="inlineStr">
        <is>
          <t>ESPECES</t>
        </is>
      </c>
      <c r="E180" s="5">
        <f>SUMIFS('Z2_CplteAnneeMois'!$L$2:$L$751,'Z2_CplteAnneeMois'!$O$2:$O$751,B180,'Z2_CplteAnneeMois'!$F$2:$F$751,C180,'Z2_CplteAnneeMois'!$K$2:$K$751,D180)</f>
        <v/>
      </c>
      <c r="F180" s="5">
        <f>SUMIFS('Z2_CplteAnneeMois'!$M$2:$M$751,'Z2_CplteAnneeMois'!$O$2:$O$751,B180,'Z2_CplteAnneeMois'!$F$2:$F$751,C180,'Z2_CplteAnneeMois'!$K$2:$K$751,D180)</f>
        <v/>
      </c>
    </row>
    <row r="181">
      <c r="A181" s="6" t="n">
        <v>2023</v>
      </c>
      <c r="B181" s="5" t="inlineStr">
        <is>
          <t>2023-12</t>
        </is>
      </c>
      <c r="C181" s="2" t="inlineStr">
        <is>
          <t>ZZ2</t>
        </is>
      </c>
      <c r="D181" s="2" t="inlineStr">
        <is>
          <t>REF./TIROIR</t>
        </is>
      </c>
      <c r="E181" s="5">
        <f>SUMIFS('Z2_CplteAnneeMois'!$L$2:$L$751,'Z2_CplteAnneeMois'!$O$2:$O$751,B181,'Z2_CplteAnneeMois'!$F$2:$F$751,C181,'Z2_CplteAnneeMois'!$K$2:$K$751,D181)</f>
        <v/>
      </c>
      <c r="F181" s="5">
        <f>SUMIFS('Z2_CplteAnneeMois'!$M$2:$M$751,'Z2_CplteAnneeMois'!$O$2:$O$751,B181,'Z2_CplteAnneeMois'!$F$2:$F$751,C181,'Z2_CplteAnneeMois'!$K$2:$K$751,D181)</f>
        <v/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SUMIFS('TD_TotalNatureTransac'!$E$2:$E$181,'TD_TotalNatureTransac'!$B$2:$B$181,B2,'TD_TotalNatureTransac'!$C$2:$C$181,"ZZ1",'TD_TotalNatureTransac'!$D$2:$D$181,"CARTES")</f>
        <v/>
      </c>
      <c r="D2" s="5">
        <f>SUMIFS('TD_TotalNatureTransac'!$F$2:$F$181,'TD_TotalNatureTransac'!$B$2:$B$181,B2,'TD_TotalNatureTransac'!$C$2:$C$181,"ZZ1",'TD_TotalNatureTransac'!$D$2:$D$181,"CARTES")</f>
        <v/>
      </c>
      <c r="E2" s="5">
        <f>SUMIFS('TD_TotalNatureTransac'!$E$2:$E$181,'TD_TotalNatureTransac'!$B$2:$B$181,B2,'TD_TotalNatureTransac'!$C$2:$C$181,"ZZ1",'TD_TotalNatureTransac'!$D$2:$D$181,"CHEQUES")</f>
        <v/>
      </c>
      <c r="F2" s="5">
        <f>SUMIFS('TD_TotalNatureTransac'!$F$2:$F$181,'TD_TotalNatureTransac'!$B$2:$B$181,B2,'TD_TotalNatureTransac'!$C$2:$C$181,"ZZ1",'TD_TotalNatureTransac'!$D$2:$D$181,"CHEQUES")</f>
        <v/>
      </c>
      <c r="G2" s="5">
        <f>SUMIFS('TD_TotalNatureTransac'!$E$2:$E$181,'TD_TotalNatureTransac'!$B$2:$B$181,B2,'TD_TotalNatureTransac'!$C$2:$C$181,"ZZ1",'TD_TotalNatureTransac'!$D$2:$D$181,"CORRECTION")</f>
        <v/>
      </c>
      <c r="H2" s="5">
        <f>SUMIFS('TD_TotalNatureTransac'!$F$2:$F$181,'TD_TotalNatureTransac'!$B$2:$B$181,B2,'TD_TotalNatureTransac'!$C$2:$C$181,"ZZ1",'TD_TotalNatureTransac'!$D$2:$D$181,"CORRECTION")</f>
        <v/>
      </c>
      <c r="I2" s="5">
        <f>SUMIFS('TD_TotalNatureTransac'!$E$2:$E$181,'TD_TotalNatureTransac'!$B$2:$B$181,B2,'TD_TotalNatureTransac'!$C$2:$C$181,"ZZ1",'TD_TotalNatureTransac'!$D$2:$D$181,"ESPECES")</f>
        <v/>
      </c>
      <c r="J2" s="5">
        <f>SUMIFS('TD_TotalNatureTransac'!$F$2:$F$181,'TD_TotalNatureTransac'!$B$2:$B$181,B2,'TD_TotalNatureTransac'!$C$2:$C$181,"ZZ1",'TD_TotalNatureTransac'!$D$2:$D$181,"ESPECES")</f>
        <v/>
      </c>
      <c r="K2" s="5">
        <f>SUMIFS('TD_TotalNatureTransac'!$E$2:$E$181,'TD_TotalNatureTransac'!$B$2:$B$181,B2,'TD_TotalNatureTransac'!$C$2:$C$181,"ZZ1",'TD_TotalNatureTransac'!$D$2:$D$181,"REF./TIROIR")</f>
        <v/>
      </c>
      <c r="L2" s="5">
        <f>SUMIFS('TD_TotalNatureTransac'!$F$2:$F$181,'TD_TotalNatureTransac'!$B$2:$B$181,B2,'TD_TotalNatureTransac'!$C$2:$C$181,"ZZ1",'TD_TotalNatureTransac'!$D$2:$D$181,"REF./TIROIR")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SUMIFS('TD_TotalNatureTransac'!$E$2:$E$181,'TD_TotalNatureTransac'!$B$2:$B$181,B3,'TD_TotalNatureTransac'!$C$2:$C$181,"ZZ1",'TD_TotalNatureTransac'!$D$2:$D$181,"CARTES")</f>
        <v/>
      </c>
      <c r="D3" s="5">
        <f>SUMIFS('TD_TotalNatureTransac'!$F$2:$F$181,'TD_TotalNatureTransac'!$B$2:$B$181,B3,'TD_TotalNatureTransac'!$C$2:$C$181,"ZZ1",'TD_TotalNatureTransac'!$D$2:$D$181,"CARTES")</f>
        <v/>
      </c>
      <c r="E3" s="5">
        <f>SUMIFS('TD_TotalNatureTransac'!$E$2:$E$181,'TD_TotalNatureTransac'!$B$2:$B$181,B3,'TD_TotalNatureTransac'!$C$2:$C$181,"ZZ1",'TD_TotalNatureTransac'!$D$2:$D$181,"CHEQUES")</f>
        <v/>
      </c>
      <c r="F3" s="5">
        <f>SUMIFS('TD_TotalNatureTransac'!$F$2:$F$181,'TD_TotalNatureTransac'!$B$2:$B$181,B3,'TD_TotalNatureTransac'!$C$2:$C$181,"ZZ1",'TD_TotalNatureTransac'!$D$2:$D$181,"CHEQUES")</f>
        <v/>
      </c>
      <c r="G3" s="5">
        <f>SUMIFS('TD_TotalNatureTransac'!$E$2:$E$181,'TD_TotalNatureTransac'!$B$2:$B$181,B3,'TD_TotalNatureTransac'!$C$2:$C$181,"ZZ1",'TD_TotalNatureTransac'!$D$2:$D$181,"CORRECTION")</f>
        <v/>
      </c>
      <c r="H3" s="5">
        <f>SUMIFS('TD_TotalNatureTransac'!$F$2:$F$181,'TD_TotalNatureTransac'!$B$2:$B$181,B3,'TD_TotalNatureTransac'!$C$2:$C$181,"ZZ1",'TD_TotalNatureTransac'!$D$2:$D$181,"CORRECTION")</f>
        <v/>
      </c>
      <c r="I3" s="5">
        <f>SUMIFS('TD_TotalNatureTransac'!$E$2:$E$181,'TD_TotalNatureTransac'!$B$2:$B$181,B3,'TD_TotalNatureTransac'!$C$2:$C$181,"ZZ1",'TD_TotalNatureTransac'!$D$2:$D$181,"ESPECES")</f>
        <v/>
      </c>
      <c r="J3" s="5">
        <f>SUMIFS('TD_TotalNatureTransac'!$F$2:$F$181,'TD_TotalNatureTransac'!$B$2:$B$181,B3,'TD_TotalNatureTransac'!$C$2:$C$181,"ZZ1",'TD_TotalNatureTransac'!$D$2:$D$181,"ESPECES")</f>
        <v/>
      </c>
      <c r="K3" s="5">
        <f>SUMIFS('TD_TotalNatureTransac'!$E$2:$E$181,'TD_TotalNatureTransac'!$B$2:$B$181,B3,'TD_TotalNatureTransac'!$C$2:$C$181,"ZZ1",'TD_TotalNatureTransac'!$D$2:$D$181,"REF./TIROIR")</f>
        <v/>
      </c>
      <c r="L3" s="5">
        <f>SUMIFS('TD_TotalNatureTransac'!$F$2:$F$181,'TD_TotalNatureTransac'!$B$2:$B$181,B3,'TD_TotalNatureTransac'!$C$2:$C$181,"ZZ1",'TD_TotalNatureTransac'!$D$2:$D$181,"REF./TIROIR")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SUMIFS('TD_TotalNatureTransac'!$E$2:$E$181,'TD_TotalNatureTransac'!$B$2:$B$181,B4,'TD_TotalNatureTransac'!$C$2:$C$181,"ZZ1",'TD_TotalNatureTransac'!$D$2:$D$181,"CARTES")</f>
        <v/>
      </c>
      <c r="D4" s="5">
        <f>SUMIFS('TD_TotalNatureTransac'!$F$2:$F$181,'TD_TotalNatureTransac'!$B$2:$B$181,B4,'TD_TotalNatureTransac'!$C$2:$C$181,"ZZ1",'TD_TotalNatureTransac'!$D$2:$D$181,"CARTES")</f>
        <v/>
      </c>
      <c r="E4" s="5">
        <f>SUMIFS('TD_TotalNatureTransac'!$E$2:$E$181,'TD_TotalNatureTransac'!$B$2:$B$181,B4,'TD_TotalNatureTransac'!$C$2:$C$181,"ZZ1",'TD_TotalNatureTransac'!$D$2:$D$181,"CHEQUES")</f>
        <v/>
      </c>
      <c r="F4" s="5">
        <f>SUMIFS('TD_TotalNatureTransac'!$F$2:$F$181,'TD_TotalNatureTransac'!$B$2:$B$181,B4,'TD_TotalNatureTransac'!$C$2:$C$181,"ZZ1",'TD_TotalNatureTransac'!$D$2:$D$181,"CHEQUES")</f>
        <v/>
      </c>
      <c r="G4" s="5">
        <f>SUMIFS('TD_TotalNatureTransac'!$E$2:$E$181,'TD_TotalNatureTransac'!$B$2:$B$181,B4,'TD_TotalNatureTransac'!$C$2:$C$181,"ZZ1",'TD_TotalNatureTransac'!$D$2:$D$181,"CORRECTION")</f>
        <v/>
      </c>
      <c r="H4" s="5">
        <f>SUMIFS('TD_TotalNatureTransac'!$F$2:$F$181,'TD_TotalNatureTransac'!$B$2:$B$181,B4,'TD_TotalNatureTransac'!$C$2:$C$181,"ZZ1",'TD_TotalNatureTransac'!$D$2:$D$181,"CORRECTION")</f>
        <v/>
      </c>
      <c r="I4" s="5">
        <f>SUMIFS('TD_TotalNatureTransac'!$E$2:$E$181,'TD_TotalNatureTransac'!$B$2:$B$181,B4,'TD_TotalNatureTransac'!$C$2:$C$181,"ZZ1",'TD_TotalNatureTransac'!$D$2:$D$181,"ESPECES")</f>
        <v/>
      </c>
      <c r="J4" s="5">
        <f>SUMIFS('TD_TotalNatureTransac'!$F$2:$F$181,'TD_TotalNatureTransac'!$B$2:$B$181,B4,'TD_TotalNatureTransac'!$C$2:$C$181,"ZZ1",'TD_TotalNatureTransac'!$D$2:$D$181,"ESPECES")</f>
        <v/>
      </c>
      <c r="K4" s="5">
        <f>SUMIFS('TD_TotalNatureTransac'!$E$2:$E$181,'TD_TotalNatureTransac'!$B$2:$B$181,B4,'TD_TotalNatureTransac'!$C$2:$C$181,"ZZ1",'TD_TotalNatureTransac'!$D$2:$D$181,"REF./TIROIR")</f>
        <v/>
      </c>
      <c r="L4" s="5">
        <f>SUMIFS('TD_TotalNatureTransac'!$F$2:$F$181,'TD_TotalNatureTransac'!$B$2:$B$181,B4,'TD_TotalNatureTransac'!$C$2:$C$181,"ZZ1",'TD_TotalNatureTransac'!$D$2:$D$181,"REF./TIROIR")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SUMIFS('TD_TotalNatureTransac'!$E$2:$E$181,'TD_TotalNatureTransac'!$B$2:$B$181,B5,'TD_TotalNatureTransac'!$C$2:$C$181,"ZZ1",'TD_TotalNatureTransac'!$D$2:$D$181,"CARTES")</f>
        <v/>
      </c>
      <c r="D5" s="5">
        <f>SUMIFS('TD_TotalNatureTransac'!$F$2:$F$181,'TD_TotalNatureTransac'!$B$2:$B$181,B5,'TD_TotalNatureTransac'!$C$2:$C$181,"ZZ1",'TD_TotalNatureTransac'!$D$2:$D$181,"CARTES")</f>
        <v/>
      </c>
      <c r="E5" s="5">
        <f>SUMIFS('TD_TotalNatureTransac'!$E$2:$E$181,'TD_TotalNatureTransac'!$B$2:$B$181,B5,'TD_TotalNatureTransac'!$C$2:$C$181,"ZZ1",'TD_TotalNatureTransac'!$D$2:$D$181,"CHEQUES")</f>
        <v/>
      </c>
      <c r="F5" s="5">
        <f>SUMIFS('TD_TotalNatureTransac'!$F$2:$F$181,'TD_TotalNatureTransac'!$B$2:$B$181,B5,'TD_TotalNatureTransac'!$C$2:$C$181,"ZZ1",'TD_TotalNatureTransac'!$D$2:$D$181,"CHEQUES")</f>
        <v/>
      </c>
      <c r="G5" s="5">
        <f>SUMIFS('TD_TotalNatureTransac'!$E$2:$E$181,'TD_TotalNatureTransac'!$B$2:$B$181,B5,'TD_TotalNatureTransac'!$C$2:$C$181,"ZZ1",'TD_TotalNatureTransac'!$D$2:$D$181,"CORRECTION")</f>
        <v/>
      </c>
      <c r="H5" s="5">
        <f>SUMIFS('TD_TotalNatureTransac'!$F$2:$F$181,'TD_TotalNatureTransac'!$B$2:$B$181,B5,'TD_TotalNatureTransac'!$C$2:$C$181,"ZZ1",'TD_TotalNatureTransac'!$D$2:$D$181,"CORRECTION")</f>
        <v/>
      </c>
      <c r="I5" s="5">
        <f>SUMIFS('TD_TotalNatureTransac'!$E$2:$E$181,'TD_TotalNatureTransac'!$B$2:$B$181,B5,'TD_TotalNatureTransac'!$C$2:$C$181,"ZZ1",'TD_TotalNatureTransac'!$D$2:$D$181,"ESPECES")</f>
        <v/>
      </c>
      <c r="J5" s="5">
        <f>SUMIFS('TD_TotalNatureTransac'!$F$2:$F$181,'TD_TotalNatureTransac'!$B$2:$B$181,B5,'TD_TotalNatureTransac'!$C$2:$C$181,"ZZ1",'TD_TotalNatureTransac'!$D$2:$D$181,"ESPECES")</f>
        <v/>
      </c>
      <c r="K5" s="5">
        <f>SUMIFS('TD_TotalNatureTransac'!$E$2:$E$181,'TD_TotalNatureTransac'!$B$2:$B$181,B5,'TD_TotalNatureTransac'!$C$2:$C$181,"ZZ1",'TD_TotalNatureTransac'!$D$2:$D$181,"REF./TIROIR")</f>
        <v/>
      </c>
      <c r="L5" s="5">
        <f>SUMIFS('TD_TotalNatureTransac'!$F$2:$F$181,'TD_TotalNatureTransac'!$B$2:$B$181,B5,'TD_TotalNatureTransac'!$C$2:$C$181,"ZZ1",'TD_TotalNatureTransac'!$D$2:$D$181,"REF./TIROIR")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SUMIFS('TD_TotalNatureTransac'!$E$2:$E$181,'TD_TotalNatureTransac'!$B$2:$B$181,B6,'TD_TotalNatureTransac'!$C$2:$C$181,"ZZ1",'TD_TotalNatureTransac'!$D$2:$D$181,"CARTES")</f>
        <v/>
      </c>
      <c r="D6" s="5">
        <f>SUMIFS('TD_TotalNatureTransac'!$F$2:$F$181,'TD_TotalNatureTransac'!$B$2:$B$181,B6,'TD_TotalNatureTransac'!$C$2:$C$181,"ZZ1",'TD_TotalNatureTransac'!$D$2:$D$181,"CARTES")</f>
        <v/>
      </c>
      <c r="E6" s="5">
        <f>SUMIFS('TD_TotalNatureTransac'!$E$2:$E$181,'TD_TotalNatureTransac'!$B$2:$B$181,B6,'TD_TotalNatureTransac'!$C$2:$C$181,"ZZ1",'TD_TotalNatureTransac'!$D$2:$D$181,"CHEQUES")</f>
        <v/>
      </c>
      <c r="F6" s="5">
        <f>SUMIFS('TD_TotalNatureTransac'!$F$2:$F$181,'TD_TotalNatureTransac'!$B$2:$B$181,B6,'TD_TotalNatureTransac'!$C$2:$C$181,"ZZ1",'TD_TotalNatureTransac'!$D$2:$D$181,"CHEQUES")</f>
        <v/>
      </c>
      <c r="G6" s="5">
        <f>SUMIFS('TD_TotalNatureTransac'!$E$2:$E$181,'TD_TotalNatureTransac'!$B$2:$B$181,B6,'TD_TotalNatureTransac'!$C$2:$C$181,"ZZ1",'TD_TotalNatureTransac'!$D$2:$D$181,"CORRECTION")</f>
        <v/>
      </c>
      <c r="H6" s="5">
        <f>SUMIFS('TD_TotalNatureTransac'!$F$2:$F$181,'TD_TotalNatureTransac'!$B$2:$B$181,B6,'TD_TotalNatureTransac'!$C$2:$C$181,"ZZ1",'TD_TotalNatureTransac'!$D$2:$D$181,"CORRECTION")</f>
        <v/>
      </c>
      <c r="I6" s="5">
        <f>SUMIFS('TD_TotalNatureTransac'!$E$2:$E$181,'TD_TotalNatureTransac'!$B$2:$B$181,B6,'TD_TotalNatureTransac'!$C$2:$C$181,"ZZ1",'TD_TotalNatureTransac'!$D$2:$D$181,"ESPECES")</f>
        <v/>
      </c>
      <c r="J6" s="5">
        <f>SUMIFS('TD_TotalNatureTransac'!$F$2:$F$181,'TD_TotalNatureTransac'!$B$2:$B$181,B6,'TD_TotalNatureTransac'!$C$2:$C$181,"ZZ1",'TD_TotalNatureTransac'!$D$2:$D$181,"ESPECES")</f>
        <v/>
      </c>
      <c r="K6" s="5">
        <f>SUMIFS('TD_TotalNatureTransac'!$E$2:$E$181,'TD_TotalNatureTransac'!$B$2:$B$181,B6,'TD_TotalNatureTransac'!$C$2:$C$181,"ZZ1",'TD_TotalNatureTransac'!$D$2:$D$181,"REF./TIROIR")</f>
        <v/>
      </c>
      <c r="L6" s="5">
        <f>SUMIFS('TD_TotalNatureTransac'!$F$2:$F$181,'TD_TotalNatureTransac'!$B$2:$B$181,B6,'TD_TotalNatureTransac'!$C$2:$C$181,"ZZ1",'TD_TotalNatureTransac'!$D$2:$D$181,"REF./TIROIR")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SUMIFS('TD_TotalNatureTransac'!$E$2:$E$181,'TD_TotalNatureTransac'!$B$2:$B$181,B7,'TD_TotalNatureTransac'!$C$2:$C$181,"ZZ1",'TD_TotalNatureTransac'!$D$2:$D$181,"CARTES")</f>
        <v/>
      </c>
      <c r="D7" s="5">
        <f>SUMIFS('TD_TotalNatureTransac'!$F$2:$F$181,'TD_TotalNatureTransac'!$B$2:$B$181,B7,'TD_TotalNatureTransac'!$C$2:$C$181,"ZZ1",'TD_TotalNatureTransac'!$D$2:$D$181,"CARTES")</f>
        <v/>
      </c>
      <c r="E7" s="5">
        <f>SUMIFS('TD_TotalNatureTransac'!$E$2:$E$181,'TD_TotalNatureTransac'!$B$2:$B$181,B7,'TD_TotalNatureTransac'!$C$2:$C$181,"ZZ1",'TD_TotalNatureTransac'!$D$2:$D$181,"CHEQUES")</f>
        <v/>
      </c>
      <c r="F7" s="5">
        <f>SUMIFS('TD_TotalNatureTransac'!$F$2:$F$181,'TD_TotalNatureTransac'!$B$2:$B$181,B7,'TD_TotalNatureTransac'!$C$2:$C$181,"ZZ1",'TD_TotalNatureTransac'!$D$2:$D$181,"CHEQUES")</f>
        <v/>
      </c>
      <c r="G7" s="5">
        <f>SUMIFS('TD_TotalNatureTransac'!$E$2:$E$181,'TD_TotalNatureTransac'!$B$2:$B$181,B7,'TD_TotalNatureTransac'!$C$2:$C$181,"ZZ1",'TD_TotalNatureTransac'!$D$2:$D$181,"CORRECTION")</f>
        <v/>
      </c>
      <c r="H7" s="5">
        <f>SUMIFS('TD_TotalNatureTransac'!$F$2:$F$181,'TD_TotalNatureTransac'!$B$2:$B$181,B7,'TD_TotalNatureTransac'!$C$2:$C$181,"ZZ1",'TD_TotalNatureTransac'!$D$2:$D$181,"CORRECTION")</f>
        <v/>
      </c>
      <c r="I7" s="5">
        <f>SUMIFS('TD_TotalNatureTransac'!$E$2:$E$181,'TD_TotalNatureTransac'!$B$2:$B$181,B7,'TD_TotalNatureTransac'!$C$2:$C$181,"ZZ1",'TD_TotalNatureTransac'!$D$2:$D$181,"ESPECES")</f>
        <v/>
      </c>
      <c r="J7" s="5">
        <f>SUMIFS('TD_TotalNatureTransac'!$F$2:$F$181,'TD_TotalNatureTransac'!$B$2:$B$181,B7,'TD_TotalNatureTransac'!$C$2:$C$181,"ZZ1",'TD_TotalNatureTransac'!$D$2:$D$181,"ESPECES")</f>
        <v/>
      </c>
      <c r="K7" s="5">
        <f>SUMIFS('TD_TotalNatureTransac'!$E$2:$E$181,'TD_TotalNatureTransac'!$B$2:$B$181,B7,'TD_TotalNatureTransac'!$C$2:$C$181,"ZZ1",'TD_TotalNatureTransac'!$D$2:$D$181,"REF./TIROIR")</f>
        <v/>
      </c>
      <c r="L7" s="5">
        <f>SUMIFS('TD_TotalNatureTransac'!$F$2:$F$181,'TD_TotalNatureTransac'!$B$2:$B$181,B7,'TD_TotalNatureTransac'!$C$2:$C$181,"ZZ1",'TD_TotalNatureTransac'!$D$2:$D$181,"REF./TIROIR")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SUMIFS('TD_TotalNatureTransac'!$E$2:$E$181,'TD_TotalNatureTransac'!$B$2:$B$181,B8,'TD_TotalNatureTransac'!$C$2:$C$181,"ZZ1",'TD_TotalNatureTransac'!$D$2:$D$181,"CARTES")</f>
        <v/>
      </c>
      <c r="D8" s="5">
        <f>SUMIFS('TD_TotalNatureTransac'!$F$2:$F$181,'TD_TotalNatureTransac'!$B$2:$B$181,B8,'TD_TotalNatureTransac'!$C$2:$C$181,"ZZ1",'TD_TotalNatureTransac'!$D$2:$D$181,"CARTES")</f>
        <v/>
      </c>
      <c r="E8" s="5">
        <f>SUMIFS('TD_TotalNatureTransac'!$E$2:$E$181,'TD_TotalNatureTransac'!$B$2:$B$181,B8,'TD_TotalNatureTransac'!$C$2:$C$181,"ZZ1",'TD_TotalNatureTransac'!$D$2:$D$181,"CHEQUES")</f>
        <v/>
      </c>
      <c r="F8" s="5">
        <f>SUMIFS('TD_TotalNatureTransac'!$F$2:$F$181,'TD_TotalNatureTransac'!$B$2:$B$181,B8,'TD_TotalNatureTransac'!$C$2:$C$181,"ZZ1",'TD_TotalNatureTransac'!$D$2:$D$181,"CHEQUES")</f>
        <v/>
      </c>
      <c r="G8" s="5">
        <f>SUMIFS('TD_TotalNatureTransac'!$E$2:$E$181,'TD_TotalNatureTransac'!$B$2:$B$181,B8,'TD_TotalNatureTransac'!$C$2:$C$181,"ZZ1",'TD_TotalNatureTransac'!$D$2:$D$181,"CORRECTION")</f>
        <v/>
      </c>
      <c r="H8" s="5">
        <f>SUMIFS('TD_TotalNatureTransac'!$F$2:$F$181,'TD_TotalNatureTransac'!$B$2:$B$181,B8,'TD_TotalNatureTransac'!$C$2:$C$181,"ZZ1",'TD_TotalNatureTransac'!$D$2:$D$181,"CORRECTION")</f>
        <v/>
      </c>
      <c r="I8" s="5">
        <f>SUMIFS('TD_TotalNatureTransac'!$E$2:$E$181,'TD_TotalNatureTransac'!$B$2:$B$181,B8,'TD_TotalNatureTransac'!$C$2:$C$181,"ZZ1",'TD_TotalNatureTransac'!$D$2:$D$181,"ESPECES")</f>
        <v/>
      </c>
      <c r="J8" s="5">
        <f>SUMIFS('TD_TotalNatureTransac'!$F$2:$F$181,'TD_TotalNatureTransac'!$B$2:$B$181,B8,'TD_TotalNatureTransac'!$C$2:$C$181,"ZZ1",'TD_TotalNatureTransac'!$D$2:$D$181,"ESPECES")</f>
        <v/>
      </c>
      <c r="K8" s="5">
        <f>SUMIFS('TD_TotalNatureTransac'!$E$2:$E$181,'TD_TotalNatureTransac'!$B$2:$B$181,B8,'TD_TotalNatureTransac'!$C$2:$C$181,"ZZ1",'TD_TotalNatureTransac'!$D$2:$D$181,"REF./TIROIR")</f>
        <v/>
      </c>
      <c r="L8" s="5">
        <f>SUMIFS('TD_TotalNatureTransac'!$F$2:$F$181,'TD_TotalNatureTransac'!$B$2:$B$181,B8,'TD_TotalNatureTransac'!$C$2:$C$181,"ZZ1",'TD_TotalNatureTransac'!$D$2:$D$181,"REF./TIROIR")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SUMIFS('TD_TotalNatureTransac'!$E$2:$E$181,'TD_TotalNatureTransac'!$B$2:$B$181,B9,'TD_TotalNatureTransac'!$C$2:$C$181,"ZZ1",'TD_TotalNatureTransac'!$D$2:$D$181,"CARTES")</f>
        <v/>
      </c>
      <c r="D9" s="5">
        <f>SUMIFS('TD_TotalNatureTransac'!$F$2:$F$181,'TD_TotalNatureTransac'!$B$2:$B$181,B9,'TD_TotalNatureTransac'!$C$2:$C$181,"ZZ1",'TD_TotalNatureTransac'!$D$2:$D$181,"CARTES")</f>
        <v/>
      </c>
      <c r="E9" s="5">
        <f>SUMIFS('TD_TotalNatureTransac'!$E$2:$E$181,'TD_TotalNatureTransac'!$B$2:$B$181,B9,'TD_TotalNatureTransac'!$C$2:$C$181,"ZZ1",'TD_TotalNatureTransac'!$D$2:$D$181,"CHEQUES")</f>
        <v/>
      </c>
      <c r="F9" s="5">
        <f>SUMIFS('TD_TotalNatureTransac'!$F$2:$F$181,'TD_TotalNatureTransac'!$B$2:$B$181,B9,'TD_TotalNatureTransac'!$C$2:$C$181,"ZZ1",'TD_TotalNatureTransac'!$D$2:$D$181,"CHEQUES")</f>
        <v/>
      </c>
      <c r="G9" s="5">
        <f>SUMIFS('TD_TotalNatureTransac'!$E$2:$E$181,'TD_TotalNatureTransac'!$B$2:$B$181,B9,'TD_TotalNatureTransac'!$C$2:$C$181,"ZZ1",'TD_TotalNatureTransac'!$D$2:$D$181,"CORRECTION")</f>
        <v/>
      </c>
      <c r="H9" s="5">
        <f>SUMIFS('TD_TotalNatureTransac'!$F$2:$F$181,'TD_TotalNatureTransac'!$B$2:$B$181,B9,'TD_TotalNatureTransac'!$C$2:$C$181,"ZZ1",'TD_TotalNatureTransac'!$D$2:$D$181,"CORRECTION")</f>
        <v/>
      </c>
      <c r="I9" s="5">
        <f>SUMIFS('TD_TotalNatureTransac'!$E$2:$E$181,'TD_TotalNatureTransac'!$B$2:$B$181,B9,'TD_TotalNatureTransac'!$C$2:$C$181,"ZZ1",'TD_TotalNatureTransac'!$D$2:$D$181,"ESPECES")</f>
        <v/>
      </c>
      <c r="J9" s="5">
        <f>SUMIFS('TD_TotalNatureTransac'!$F$2:$F$181,'TD_TotalNatureTransac'!$B$2:$B$181,B9,'TD_TotalNatureTransac'!$C$2:$C$181,"ZZ1",'TD_TotalNatureTransac'!$D$2:$D$181,"ESPECES")</f>
        <v/>
      </c>
      <c r="K9" s="5">
        <f>SUMIFS('TD_TotalNatureTransac'!$E$2:$E$181,'TD_TotalNatureTransac'!$B$2:$B$181,B9,'TD_TotalNatureTransac'!$C$2:$C$181,"ZZ1",'TD_TotalNatureTransac'!$D$2:$D$181,"REF./TIROIR")</f>
        <v/>
      </c>
      <c r="L9" s="5">
        <f>SUMIFS('TD_TotalNatureTransac'!$F$2:$F$181,'TD_TotalNatureTransac'!$B$2:$B$181,B9,'TD_TotalNatureTransac'!$C$2:$C$181,"ZZ1",'TD_TotalNatureTransac'!$D$2:$D$181,"REF./TIROIR")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SUMIFS('TD_TotalNatureTransac'!$E$2:$E$181,'TD_TotalNatureTransac'!$B$2:$B$181,B10,'TD_TotalNatureTransac'!$C$2:$C$181,"ZZ1",'TD_TotalNatureTransac'!$D$2:$D$181,"CARTES")</f>
        <v/>
      </c>
      <c r="D10" s="5">
        <f>SUMIFS('TD_TotalNatureTransac'!$F$2:$F$181,'TD_TotalNatureTransac'!$B$2:$B$181,B10,'TD_TotalNatureTransac'!$C$2:$C$181,"ZZ1",'TD_TotalNatureTransac'!$D$2:$D$181,"CARTES")</f>
        <v/>
      </c>
      <c r="E10" s="5">
        <f>SUMIFS('TD_TotalNatureTransac'!$E$2:$E$181,'TD_TotalNatureTransac'!$B$2:$B$181,B10,'TD_TotalNatureTransac'!$C$2:$C$181,"ZZ1",'TD_TotalNatureTransac'!$D$2:$D$181,"CHEQUES")</f>
        <v/>
      </c>
      <c r="F10" s="5">
        <f>SUMIFS('TD_TotalNatureTransac'!$F$2:$F$181,'TD_TotalNatureTransac'!$B$2:$B$181,B10,'TD_TotalNatureTransac'!$C$2:$C$181,"ZZ1",'TD_TotalNatureTransac'!$D$2:$D$181,"CHEQUES")</f>
        <v/>
      </c>
      <c r="G10" s="5">
        <f>SUMIFS('TD_TotalNatureTransac'!$E$2:$E$181,'TD_TotalNatureTransac'!$B$2:$B$181,B10,'TD_TotalNatureTransac'!$C$2:$C$181,"ZZ1",'TD_TotalNatureTransac'!$D$2:$D$181,"CORRECTION")</f>
        <v/>
      </c>
      <c r="H10" s="5">
        <f>SUMIFS('TD_TotalNatureTransac'!$F$2:$F$181,'TD_TotalNatureTransac'!$B$2:$B$181,B10,'TD_TotalNatureTransac'!$C$2:$C$181,"ZZ1",'TD_TotalNatureTransac'!$D$2:$D$181,"CORRECTION")</f>
        <v/>
      </c>
      <c r="I10" s="5">
        <f>SUMIFS('TD_TotalNatureTransac'!$E$2:$E$181,'TD_TotalNatureTransac'!$B$2:$B$181,B10,'TD_TotalNatureTransac'!$C$2:$C$181,"ZZ1",'TD_TotalNatureTransac'!$D$2:$D$181,"ESPECES")</f>
        <v/>
      </c>
      <c r="J10" s="5">
        <f>SUMIFS('TD_TotalNatureTransac'!$F$2:$F$181,'TD_TotalNatureTransac'!$B$2:$B$181,B10,'TD_TotalNatureTransac'!$C$2:$C$181,"ZZ1",'TD_TotalNatureTransac'!$D$2:$D$181,"ESPECES")</f>
        <v/>
      </c>
      <c r="K10" s="5">
        <f>SUMIFS('TD_TotalNatureTransac'!$E$2:$E$181,'TD_TotalNatureTransac'!$B$2:$B$181,B10,'TD_TotalNatureTransac'!$C$2:$C$181,"ZZ1",'TD_TotalNatureTransac'!$D$2:$D$181,"REF./TIROIR")</f>
        <v/>
      </c>
      <c r="L10" s="5">
        <f>SUMIFS('TD_TotalNatureTransac'!$F$2:$F$181,'TD_TotalNatureTransac'!$B$2:$B$181,B10,'TD_TotalNatureTransac'!$C$2:$C$181,"ZZ1",'TD_TotalNatureTransac'!$D$2:$D$181,"REF./TIROIR")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SUMIFS('TD_TotalNatureTransac'!$E$2:$E$181,'TD_TotalNatureTransac'!$B$2:$B$181,B11,'TD_TotalNatureTransac'!$C$2:$C$181,"ZZ1",'TD_TotalNatureTransac'!$D$2:$D$181,"CARTES")</f>
        <v/>
      </c>
      <c r="D11" s="5">
        <f>SUMIFS('TD_TotalNatureTransac'!$F$2:$F$181,'TD_TotalNatureTransac'!$B$2:$B$181,B11,'TD_TotalNatureTransac'!$C$2:$C$181,"ZZ1",'TD_TotalNatureTransac'!$D$2:$D$181,"CARTES")</f>
        <v/>
      </c>
      <c r="E11" s="5">
        <f>SUMIFS('TD_TotalNatureTransac'!$E$2:$E$181,'TD_TotalNatureTransac'!$B$2:$B$181,B11,'TD_TotalNatureTransac'!$C$2:$C$181,"ZZ1",'TD_TotalNatureTransac'!$D$2:$D$181,"CHEQUES")</f>
        <v/>
      </c>
      <c r="F11" s="5">
        <f>SUMIFS('TD_TotalNatureTransac'!$F$2:$F$181,'TD_TotalNatureTransac'!$B$2:$B$181,B11,'TD_TotalNatureTransac'!$C$2:$C$181,"ZZ1",'TD_TotalNatureTransac'!$D$2:$D$181,"CHEQUES")</f>
        <v/>
      </c>
      <c r="G11" s="5">
        <f>SUMIFS('TD_TotalNatureTransac'!$E$2:$E$181,'TD_TotalNatureTransac'!$B$2:$B$181,B11,'TD_TotalNatureTransac'!$C$2:$C$181,"ZZ1",'TD_TotalNatureTransac'!$D$2:$D$181,"CORRECTION")</f>
        <v/>
      </c>
      <c r="H11" s="5">
        <f>SUMIFS('TD_TotalNatureTransac'!$F$2:$F$181,'TD_TotalNatureTransac'!$B$2:$B$181,B11,'TD_TotalNatureTransac'!$C$2:$C$181,"ZZ1",'TD_TotalNatureTransac'!$D$2:$D$181,"CORRECTION")</f>
        <v/>
      </c>
      <c r="I11" s="5">
        <f>SUMIFS('TD_TotalNatureTransac'!$E$2:$E$181,'TD_TotalNatureTransac'!$B$2:$B$181,B11,'TD_TotalNatureTransac'!$C$2:$C$181,"ZZ1",'TD_TotalNatureTransac'!$D$2:$D$181,"ESPECES")</f>
        <v/>
      </c>
      <c r="J11" s="5">
        <f>SUMIFS('TD_TotalNatureTransac'!$F$2:$F$181,'TD_TotalNatureTransac'!$B$2:$B$181,B11,'TD_TotalNatureTransac'!$C$2:$C$181,"ZZ1",'TD_TotalNatureTransac'!$D$2:$D$181,"ESPECES")</f>
        <v/>
      </c>
      <c r="K11" s="5">
        <f>SUMIFS('TD_TotalNatureTransac'!$E$2:$E$181,'TD_TotalNatureTransac'!$B$2:$B$181,B11,'TD_TotalNatureTransac'!$C$2:$C$181,"ZZ1",'TD_TotalNatureTransac'!$D$2:$D$181,"REF./TIROIR")</f>
        <v/>
      </c>
      <c r="L11" s="5">
        <f>SUMIFS('TD_TotalNatureTransac'!$F$2:$F$181,'TD_TotalNatureTransac'!$B$2:$B$181,B11,'TD_TotalNatureTransac'!$C$2:$C$181,"ZZ1",'TD_TotalNatureTransac'!$D$2:$D$181,"REF./TIROIR")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SUMIFS('TD_TotalNatureTransac'!$E$2:$E$181,'TD_TotalNatureTransac'!$B$2:$B$181,B12,'TD_TotalNatureTransac'!$C$2:$C$181,"ZZ1",'TD_TotalNatureTransac'!$D$2:$D$181,"CARTES")</f>
        <v/>
      </c>
      <c r="D12" s="5">
        <f>SUMIFS('TD_TotalNatureTransac'!$F$2:$F$181,'TD_TotalNatureTransac'!$B$2:$B$181,B12,'TD_TotalNatureTransac'!$C$2:$C$181,"ZZ1",'TD_TotalNatureTransac'!$D$2:$D$181,"CARTES")</f>
        <v/>
      </c>
      <c r="E12" s="5">
        <f>SUMIFS('TD_TotalNatureTransac'!$E$2:$E$181,'TD_TotalNatureTransac'!$B$2:$B$181,B12,'TD_TotalNatureTransac'!$C$2:$C$181,"ZZ1",'TD_TotalNatureTransac'!$D$2:$D$181,"CHEQUES")</f>
        <v/>
      </c>
      <c r="F12" s="5">
        <f>SUMIFS('TD_TotalNatureTransac'!$F$2:$F$181,'TD_TotalNatureTransac'!$B$2:$B$181,B12,'TD_TotalNatureTransac'!$C$2:$C$181,"ZZ1",'TD_TotalNatureTransac'!$D$2:$D$181,"CHEQUES")</f>
        <v/>
      </c>
      <c r="G12" s="5">
        <f>SUMIFS('TD_TotalNatureTransac'!$E$2:$E$181,'TD_TotalNatureTransac'!$B$2:$B$181,B12,'TD_TotalNatureTransac'!$C$2:$C$181,"ZZ1",'TD_TotalNatureTransac'!$D$2:$D$181,"CORRECTION")</f>
        <v/>
      </c>
      <c r="H12" s="5">
        <f>SUMIFS('TD_TotalNatureTransac'!$F$2:$F$181,'TD_TotalNatureTransac'!$B$2:$B$181,B12,'TD_TotalNatureTransac'!$C$2:$C$181,"ZZ1",'TD_TotalNatureTransac'!$D$2:$D$181,"CORRECTION")</f>
        <v/>
      </c>
      <c r="I12" s="5">
        <f>SUMIFS('TD_TotalNatureTransac'!$E$2:$E$181,'TD_TotalNatureTransac'!$B$2:$B$181,B12,'TD_TotalNatureTransac'!$C$2:$C$181,"ZZ1",'TD_TotalNatureTransac'!$D$2:$D$181,"ESPECES")</f>
        <v/>
      </c>
      <c r="J12" s="5">
        <f>SUMIFS('TD_TotalNatureTransac'!$F$2:$F$181,'TD_TotalNatureTransac'!$B$2:$B$181,B12,'TD_TotalNatureTransac'!$C$2:$C$181,"ZZ1",'TD_TotalNatureTransac'!$D$2:$D$181,"ESPECES")</f>
        <v/>
      </c>
      <c r="K12" s="5">
        <f>SUMIFS('TD_TotalNatureTransac'!$E$2:$E$181,'TD_TotalNatureTransac'!$B$2:$B$181,B12,'TD_TotalNatureTransac'!$C$2:$C$181,"ZZ1",'TD_TotalNatureTransac'!$D$2:$D$181,"REF./TIROIR")</f>
        <v/>
      </c>
      <c r="L12" s="5">
        <f>SUMIFS('TD_TotalNatureTransac'!$F$2:$F$181,'TD_TotalNatureTransac'!$B$2:$B$181,B12,'TD_TotalNatureTransac'!$C$2:$C$181,"ZZ1",'TD_TotalNatureTransac'!$D$2:$D$181,"REF./TIROIR")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SUMIFS('TD_TotalNatureTransac'!$E$2:$E$181,'TD_TotalNatureTransac'!$B$2:$B$181,B13,'TD_TotalNatureTransac'!$C$2:$C$181,"ZZ1",'TD_TotalNatureTransac'!$D$2:$D$181,"CARTES")</f>
        <v/>
      </c>
      <c r="D13" s="5">
        <f>SUMIFS('TD_TotalNatureTransac'!$F$2:$F$181,'TD_TotalNatureTransac'!$B$2:$B$181,B13,'TD_TotalNatureTransac'!$C$2:$C$181,"ZZ1",'TD_TotalNatureTransac'!$D$2:$D$181,"CARTES")</f>
        <v/>
      </c>
      <c r="E13" s="5">
        <f>SUMIFS('TD_TotalNatureTransac'!$E$2:$E$181,'TD_TotalNatureTransac'!$B$2:$B$181,B13,'TD_TotalNatureTransac'!$C$2:$C$181,"ZZ1",'TD_TotalNatureTransac'!$D$2:$D$181,"CHEQUES")</f>
        <v/>
      </c>
      <c r="F13" s="5">
        <f>SUMIFS('TD_TotalNatureTransac'!$F$2:$F$181,'TD_TotalNatureTransac'!$B$2:$B$181,B13,'TD_TotalNatureTransac'!$C$2:$C$181,"ZZ1",'TD_TotalNatureTransac'!$D$2:$D$181,"CHEQUES")</f>
        <v/>
      </c>
      <c r="G13" s="5">
        <f>SUMIFS('TD_TotalNatureTransac'!$E$2:$E$181,'TD_TotalNatureTransac'!$B$2:$B$181,B13,'TD_TotalNatureTransac'!$C$2:$C$181,"ZZ1",'TD_TotalNatureTransac'!$D$2:$D$181,"CORRECTION")</f>
        <v/>
      </c>
      <c r="H13" s="5">
        <f>SUMIFS('TD_TotalNatureTransac'!$F$2:$F$181,'TD_TotalNatureTransac'!$B$2:$B$181,B13,'TD_TotalNatureTransac'!$C$2:$C$181,"ZZ1",'TD_TotalNatureTransac'!$D$2:$D$181,"CORRECTION")</f>
        <v/>
      </c>
      <c r="I13" s="5">
        <f>SUMIFS('TD_TotalNatureTransac'!$E$2:$E$181,'TD_TotalNatureTransac'!$B$2:$B$181,B13,'TD_TotalNatureTransac'!$C$2:$C$181,"ZZ1",'TD_TotalNatureTransac'!$D$2:$D$181,"ESPECES")</f>
        <v/>
      </c>
      <c r="J13" s="5">
        <f>SUMIFS('TD_TotalNatureTransac'!$F$2:$F$181,'TD_TotalNatureTransac'!$B$2:$B$181,B13,'TD_TotalNatureTransac'!$C$2:$C$181,"ZZ1",'TD_TotalNatureTransac'!$D$2:$D$181,"ESPECES")</f>
        <v/>
      </c>
      <c r="K13" s="5">
        <f>SUMIFS('TD_TotalNatureTransac'!$E$2:$E$181,'TD_TotalNatureTransac'!$B$2:$B$181,B13,'TD_TotalNatureTransac'!$C$2:$C$181,"ZZ1",'TD_TotalNatureTransac'!$D$2:$D$181,"REF./TIROIR")</f>
        <v/>
      </c>
      <c r="L13" s="5">
        <f>SUMIFS('TD_TotalNatureTransac'!$F$2:$F$181,'TD_TotalNatureTransac'!$B$2:$B$181,B13,'TD_TotalNatureTransac'!$C$2:$C$181,"ZZ1",'TD_TotalNatureTransac'!$D$2:$D$181,"REF./TIROIR")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SUMIFS('TD_TotalNatureTransac'!$E$2:$E$181,'TD_TotalNatureTransac'!$B$2:$B$181,B2,'TD_TotalNatureTransac'!$C$2:$C$181,"ZZ2",'TD_TotalNatureTransac'!$D$2:$D$181,"CARTES")</f>
        <v/>
      </c>
      <c r="D2" s="5">
        <f>SUMIFS('TD_TotalNatureTransac'!$F$2:$F$181,'TD_TotalNatureTransac'!$B$2:$B$181,B2,'TD_TotalNatureTransac'!$C$2:$C$181,"ZZ2",'TD_TotalNatureTransac'!$D$2:$D$181,"CARTES")</f>
        <v/>
      </c>
      <c r="E2" s="5">
        <f>SUMIFS('TD_TotalNatureTransac'!$E$2:$E$181,'TD_TotalNatureTransac'!$B$2:$B$181,B2,'TD_TotalNatureTransac'!$C$2:$C$181,"ZZ2",'TD_TotalNatureTransac'!$D$2:$D$181,"CHEQUES")</f>
        <v/>
      </c>
      <c r="F2" s="5">
        <f>SUMIFS('TD_TotalNatureTransac'!$F$2:$F$181,'TD_TotalNatureTransac'!$B$2:$B$181,B2,'TD_TotalNatureTransac'!$C$2:$C$181,"ZZ2",'TD_TotalNatureTransac'!$D$2:$D$181,"CHEQUES")</f>
        <v/>
      </c>
      <c r="G2" s="5">
        <f>SUMIFS('TD_TotalNatureTransac'!$E$2:$E$181,'TD_TotalNatureTransac'!$B$2:$B$181,B2,'TD_TotalNatureTransac'!$C$2:$C$181,"ZZ2",'TD_TotalNatureTransac'!$D$2:$D$181,"CORRECTION")</f>
        <v/>
      </c>
      <c r="H2" s="5">
        <f>SUMIFS('TD_TotalNatureTransac'!$F$2:$F$181,'TD_TotalNatureTransac'!$B$2:$B$181,B2,'TD_TotalNatureTransac'!$C$2:$C$181,"ZZ2",'TD_TotalNatureTransac'!$D$2:$D$181,"CORRECTION")</f>
        <v/>
      </c>
      <c r="I2" s="5">
        <f>SUMIFS('TD_TotalNatureTransac'!$E$2:$E$181,'TD_TotalNatureTransac'!$B$2:$B$181,B2,'TD_TotalNatureTransac'!$C$2:$C$181,"ZZ2",'TD_TotalNatureTransac'!$D$2:$D$181,"ESPECES")</f>
        <v/>
      </c>
      <c r="J2" s="5">
        <f>SUMIFS('TD_TotalNatureTransac'!$F$2:$F$181,'TD_TotalNatureTransac'!$B$2:$B$181,B2,'TD_TotalNatureTransac'!$C$2:$C$181,"ZZ2",'TD_TotalNatureTransac'!$D$2:$D$181,"ESPECES")</f>
        <v/>
      </c>
      <c r="K2" s="5">
        <f>SUMIFS('TD_TotalNatureTransac'!$E$2:$E$181,'TD_TotalNatureTransac'!$B$2:$B$181,B2,'TD_TotalNatureTransac'!$C$2:$C$181,"ZZ2",'TD_TotalNatureTransac'!$D$2:$D$181,"REF./TIROIR")</f>
        <v/>
      </c>
      <c r="L2" s="5">
        <f>SUMIFS('TD_TotalNatureTransac'!$F$2:$F$181,'TD_TotalNatureTransac'!$B$2:$B$181,B2,'TD_TotalNatureTransac'!$C$2:$C$181,"ZZ2",'TD_TotalNatureTransac'!$D$2:$D$181,"REF./TIROIR")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SUMIFS('TD_TotalNatureTransac'!$E$2:$E$181,'TD_TotalNatureTransac'!$B$2:$B$181,B3,'TD_TotalNatureTransac'!$C$2:$C$181,"ZZ2",'TD_TotalNatureTransac'!$D$2:$D$181,"CARTES")</f>
        <v/>
      </c>
      <c r="D3" s="5">
        <f>SUMIFS('TD_TotalNatureTransac'!$F$2:$F$181,'TD_TotalNatureTransac'!$B$2:$B$181,B3,'TD_TotalNatureTransac'!$C$2:$C$181,"ZZ2",'TD_TotalNatureTransac'!$D$2:$D$181,"CARTES")</f>
        <v/>
      </c>
      <c r="E3" s="5">
        <f>SUMIFS('TD_TotalNatureTransac'!$E$2:$E$181,'TD_TotalNatureTransac'!$B$2:$B$181,B3,'TD_TotalNatureTransac'!$C$2:$C$181,"ZZ2",'TD_TotalNatureTransac'!$D$2:$D$181,"CHEQUES")</f>
        <v/>
      </c>
      <c r="F3" s="5">
        <f>SUMIFS('TD_TotalNatureTransac'!$F$2:$F$181,'TD_TotalNatureTransac'!$B$2:$B$181,B3,'TD_TotalNatureTransac'!$C$2:$C$181,"ZZ2",'TD_TotalNatureTransac'!$D$2:$D$181,"CHEQUES")</f>
        <v/>
      </c>
      <c r="G3" s="5">
        <f>SUMIFS('TD_TotalNatureTransac'!$E$2:$E$181,'TD_TotalNatureTransac'!$B$2:$B$181,B3,'TD_TotalNatureTransac'!$C$2:$C$181,"ZZ2",'TD_TotalNatureTransac'!$D$2:$D$181,"CORRECTION")</f>
        <v/>
      </c>
      <c r="H3" s="5">
        <f>SUMIFS('TD_TotalNatureTransac'!$F$2:$F$181,'TD_TotalNatureTransac'!$B$2:$B$181,B3,'TD_TotalNatureTransac'!$C$2:$C$181,"ZZ2",'TD_TotalNatureTransac'!$D$2:$D$181,"CORRECTION")</f>
        <v/>
      </c>
      <c r="I3" s="5">
        <f>SUMIFS('TD_TotalNatureTransac'!$E$2:$E$181,'TD_TotalNatureTransac'!$B$2:$B$181,B3,'TD_TotalNatureTransac'!$C$2:$C$181,"ZZ2",'TD_TotalNatureTransac'!$D$2:$D$181,"ESPECES")</f>
        <v/>
      </c>
      <c r="J3" s="5">
        <f>SUMIFS('TD_TotalNatureTransac'!$F$2:$F$181,'TD_TotalNatureTransac'!$B$2:$B$181,B3,'TD_TotalNatureTransac'!$C$2:$C$181,"ZZ2",'TD_TotalNatureTransac'!$D$2:$D$181,"ESPECES")</f>
        <v/>
      </c>
      <c r="K3" s="5">
        <f>SUMIFS('TD_TotalNatureTransac'!$E$2:$E$181,'TD_TotalNatureTransac'!$B$2:$B$181,B3,'TD_TotalNatureTransac'!$C$2:$C$181,"ZZ2",'TD_TotalNatureTransac'!$D$2:$D$181,"REF./TIROIR")</f>
        <v/>
      </c>
      <c r="L3" s="5">
        <f>SUMIFS('TD_TotalNatureTransac'!$F$2:$F$181,'TD_TotalNatureTransac'!$B$2:$B$181,B3,'TD_TotalNatureTransac'!$C$2:$C$181,"ZZ2",'TD_TotalNatureTransac'!$D$2:$D$181,"REF./TIROIR")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SUMIFS('TD_TotalNatureTransac'!$E$2:$E$181,'TD_TotalNatureTransac'!$B$2:$B$181,B4,'TD_TotalNatureTransac'!$C$2:$C$181,"ZZ2",'TD_TotalNatureTransac'!$D$2:$D$181,"CARTES")</f>
        <v/>
      </c>
      <c r="D4" s="5">
        <f>SUMIFS('TD_TotalNatureTransac'!$F$2:$F$181,'TD_TotalNatureTransac'!$B$2:$B$181,B4,'TD_TotalNatureTransac'!$C$2:$C$181,"ZZ2",'TD_TotalNatureTransac'!$D$2:$D$181,"CARTES")</f>
        <v/>
      </c>
      <c r="E4" s="5">
        <f>SUMIFS('TD_TotalNatureTransac'!$E$2:$E$181,'TD_TotalNatureTransac'!$B$2:$B$181,B4,'TD_TotalNatureTransac'!$C$2:$C$181,"ZZ2",'TD_TotalNatureTransac'!$D$2:$D$181,"CHEQUES")</f>
        <v/>
      </c>
      <c r="F4" s="5">
        <f>SUMIFS('TD_TotalNatureTransac'!$F$2:$F$181,'TD_TotalNatureTransac'!$B$2:$B$181,B4,'TD_TotalNatureTransac'!$C$2:$C$181,"ZZ2",'TD_TotalNatureTransac'!$D$2:$D$181,"CHEQUES")</f>
        <v/>
      </c>
      <c r="G4" s="5">
        <f>SUMIFS('TD_TotalNatureTransac'!$E$2:$E$181,'TD_TotalNatureTransac'!$B$2:$B$181,B4,'TD_TotalNatureTransac'!$C$2:$C$181,"ZZ2",'TD_TotalNatureTransac'!$D$2:$D$181,"CORRECTION")</f>
        <v/>
      </c>
      <c r="H4" s="5">
        <f>SUMIFS('TD_TotalNatureTransac'!$F$2:$F$181,'TD_TotalNatureTransac'!$B$2:$B$181,B4,'TD_TotalNatureTransac'!$C$2:$C$181,"ZZ2",'TD_TotalNatureTransac'!$D$2:$D$181,"CORRECTION")</f>
        <v/>
      </c>
      <c r="I4" s="5">
        <f>SUMIFS('TD_TotalNatureTransac'!$E$2:$E$181,'TD_TotalNatureTransac'!$B$2:$B$181,B4,'TD_TotalNatureTransac'!$C$2:$C$181,"ZZ2",'TD_TotalNatureTransac'!$D$2:$D$181,"ESPECES")</f>
        <v/>
      </c>
      <c r="J4" s="5">
        <f>SUMIFS('TD_TotalNatureTransac'!$F$2:$F$181,'TD_TotalNatureTransac'!$B$2:$B$181,B4,'TD_TotalNatureTransac'!$C$2:$C$181,"ZZ2",'TD_TotalNatureTransac'!$D$2:$D$181,"ESPECES")</f>
        <v/>
      </c>
      <c r="K4" s="5">
        <f>SUMIFS('TD_TotalNatureTransac'!$E$2:$E$181,'TD_TotalNatureTransac'!$B$2:$B$181,B4,'TD_TotalNatureTransac'!$C$2:$C$181,"ZZ2",'TD_TotalNatureTransac'!$D$2:$D$181,"REF./TIROIR")</f>
        <v/>
      </c>
      <c r="L4" s="5">
        <f>SUMIFS('TD_TotalNatureTransac'!$F$2:$F$181,'TD_TotalNatureTransac'!$B$2:$B$181,B4,'TD_TotalNatureTransac'!$C$2:$C$181,"ZZ2",'TD_TotalNatureTransac'!$D$2:$D$181,"REF./TIROIR")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SUMIFS('TD_TotalNatureTransac'!$E$2:$E$181,'TD_TotalNatureTransac'!$B$2:$B$181,B5,'TD_TotalNatureTransac'!$C$2:$C$181,"ZZ2",'TD_TotalNatureTransac'!$D$2:$D$181,"CARTES")</f>
        <v/>
      </c>
      <c r="D5" s="5">
        <f>SUMIFS('TD_TotalNatureTransac'!$F$2:$F$181,'TD_TotalNatureTransac'!$B$2:$B$181,B5,'TD_TotalNatureTransac'!$C$2:$C$181,"ZZ2",'TD_TotalNatureTransac'!$D$2:$D$181,"CARTES")</f>
        <v/>
      </c>
      <c r="E5" s="5">
        <f>SUMIFS('TD_TotalNatureTransac'!$E$2:$E$181,'TD_TotalNatureTransac'!$B$2:$B$181,B5,'TD_TotalNatureTransac'!$C$2:$C$181,"ZZ2",'TD_TotalNatureTransac'!$D$2:$D$181,"CHEQUES")</f>
        <v/>
      </c>
      <c r="F5" s="5">
        <f>SUMIFS('TD_TotalNatureTransac'!$F$2:$F$181,'TD_TotalNatureTransac'!$B$2:$B$181,B5,'TD_TotalNatureTransac'!$C$2:$C$181,"ZZ2",'TD_TotalNatureTransac'!$D$2:$D$181,"CHEQUES")</f>
        <v/>
      </c>
      <c r="G5" s="5">
        <f>SUMIFS('TD_TotalNatureTransac'!$E$2:$E$181,'TD_TotalNatureTransac'!$B$2:$B$181,B5,'TD_TotalNatureTransac'!$C$2:$C$181,"ZZ2",'TD_TotalNatureTransac'!$D$2:$D$181,"CORRECTION")</f>
        <v/>
      </c>
      <c r="H5" s="5">
        <f>SUMIFS('TD_TotalNatureTransac'!$F$2:$F$181,'TD_TotalNatureTransac'!$B$2:$B$181,B5,'TD_TotalNatureTransac'!$C$2:$C$181,"ZZ2",'TD_TotalNatureTransac'!$D$2:$D$181,"CORRECTION")</f>
        <v/>
      </c>
      <c r="I5" s="5">
        <f>SUMIFS('TD_TotalNatureTransac'!$E$2:$E$181,'TD_TotalNatureTransac'!$B$2:$B$181,B5,'TD_TotalNatureTransac'!$C$2:$C$181,"ZZ2",'TD_TotalNatureTransac'!$D$2:$D$181,"ESPECES")</f>
        <v/>
      </c>
      <c r="J5" s="5">
        <f>SUMIFS('TD_TotalNatureTransac'!$F$2:$F$181,'TD_TotalNatureTransac'!$B$2:$B$181,B5,'TD_TotalNatureTransac'!$C$2:$C$181,"ZZ2",'TD_TotalNatureTransac'!$D$2:$D$181,"ESPECES")</f>
        <v/>
      </c>
      <c r="K5" s="5">
        <f>SUMIFS('TD_TotalNatureTransac'!$E$2:$E$181,'TD_TotalNatureTransac'!$B$2:$B$181,B5,'TD_TotalNatureTransac'!$C$2:$C$181,"ZZ2",'TD_TotalNatureTransac'!$D$2:$D$181,"REF./TIROIR")</f>
        <v/>
      </c>
      <c r="L5" s="5">
        <f>SUMIFS('TD_TotalNatureTransac'!$F$2:$F$181,'TD_TotalNatureTransac'!$B$2:$B$181,B5,'TD_TotalNatureTransac'!$C$2:$C$181,"ZZ2",'TD_TotalNatureTransac'!$D$2:$D$181,"REF./TIROIR")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SUMIFS('TD_TotalNatureTransac'!$E$2:$E$181,'TD_TotalNatureTransac'!$B$2:$B$181,B6,'TD_TotalNatureTransac'!$C$2:$C$181,"ZZ2",'TD_TotalNatureTransac'!$D$2:$D$181,"CARTES")</f>
        <v/>
      </c>
      <c r="D6" s="5">
        <f>SUMIFS('TD_TotalNatureTransac'!$F$2:$F$181,'TD_TotalNatureTransac'!$B$2:$B$181,B6,'TD_TotalNatureTransac'!$C$2:$C$181,"ZZ2",'TD_TotalNatureTransac'!$D$2:$D$181,"CARTES")</f>
        <v/>
      </c>
      <c r="E6" s="5">
        <f>SUMIFS('TD_TotalNatureTransac'!$E$2:$E$181,'TD_TotalNatureTransac'!$B$2:$B$181,B6,'TD_TotalNatureTransac'!$C$2:$C$181,"ZZ2",'TD_TotalNatureTransac'!$D$2:$D$181,"CHEQUES")</f>
        <v/>
      </c>
      <c r="F6" s="5">
        <f>SUMIFS('TD_TotalNatureTransac'!$F$2:$F$181,'TD_TotalNatureTransac'!$B$2:$B$181,B6,'TD_TotalNatureTransac'!$C$2:$C$181,"ZZ2",'TD_TotalNatureTransac'!$D$2:$D$181,"CHEQUES")</f>
        <v/>
      </c>
      <c r="G6" s="5">
        <f>SUMIFS('TD_TotalNatureTransac'!$E$2:$E$181,'TD_TotalNatureTransac'!$B$2:$B$181,B6,'TD_TotalNatureTransac'!$C$2:$C$181,"ZZ2",'TD_TotalNatureTransac'!$D$2:$D$181,"CORRECTION")</f>
        <v/>
      </c>
      <c r="H6" s="5">
        <f>SUMIFS('TD_TotalNatureTransac'!$F$2:$F$181,'TD_TotalNatureTransac'!$B$2:$B$181,B6,'TD_TotalNatureTransac'!$C$2:$C$181,"ZZ2",'TD_TotalNatureTransac'!$D$2:$D$181,"CORRECTION")</f>
        <v/>
      </c>
      <c r="I6" s="5">
        <f>SUMIFS('TD_TotalNatureTransac'!$E$2:$E$181,'TD_TotalNatureTransac'!$B$2:$B$181,B6,'TD_TotalNatureTransac'!$C$2:$C$181,"ZZ2",'TD_TotalNatureTransac'!$D$2:$D$181,"ESPECES")</f>
        <v/>
      </c>
      <c r="J6" s="5">
        <f>SUMIFS('TD_TotalNatureTransac'!$F$2:$F$181,'TD_TotalNatureTransac'!$B$2:$B$181,B6,'TD_TotalNatureTransac'!$C$2:$C$181,"ZZ2",'TD_TotalNatureTransac'!$D$2:$D$181,"ESPECES")</f>
        <v/>
      </c>
      <c r="K6" s="5">
        <f>SUMIFS('TD_TotalNatureTransac'!$E$2:$E$181,'TD_TotalNatureTransac'!$B$2:$B$181,B6,'TD_TotalNatureTransac'!$C$2:$C$181,"ZZ2",'TD_TotalNatureTransac'!$D$2:$D$181,"REF./TIROIR")</f>
        <v/>
      </c>
      <c r="L6" s="5">
        <f>SUMIFS('TD_TotalNatureTransac'!$F$2:$F$181,'TD_TotalNatureTransac'!$B$2:$B$181,B6,'TD_TotalNatureTransac'!$C$2:$C$181,"ZZ2",'TD_TotalNatureTransac'!$D$2:$D$181,"REF./TIROIR")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SUMIFS('TD_TotalNatureTransac'!$E$2:$E$181,'TD_TotalNatureTransac'!$B$2:$B$181,B7,'TD_TotalNatureTransac'!$C$2:$C$181,"ZZ2",'TD_TotalNatureTransac'!$D$2:$D$181,"CARTES")</f>
        <v/>
      </c>
      <c r="D7" s="5">
        <f>SUMIFS('TD_TotalNatureTransac'!$F$2:$F$181,'TD_TotalNatureTransac'!$B$2:$B$181,B7,'TD_TotalNatureTransac'!$C$2:$C$181,"ZZ2",'TD_TotalNatureTransac'!$D$2:$D$181,"CARTES")</f>
        <v/>
      </c>
      <c r="E7" s="5">
        <f>SUMIFS('TD_TotalNatureTransac'!$E$2:$E$181,'TD_TotalNatureTransac'!$B$2:$B$181,B7,'TD_TotalNatureTransac'!$C$2:$C$181,"ZZ2",'TD_TotalNatureTransac'!$D$2:$D$181,"CHEQUES")</f>
        <v/>
      </c>
      <c r="F7" s="5">
        <f>SUMIFS('TD_TotalNatureTransac'!$F$2:$F$181,'TD_TotalNatureTransac'!$B$2:$B$181,B7,'TD_TotalNatureTransac'!$C$2:$C$181,"ZZ2",'TD_TotalNatureTransac'!$D$2:$D$181,"CHEQUES")</f>
        <v/>
      </c>
      <c r="G7" s="5">
        <f>SUMIFS('TD_TotalNatureTransac'!$E$2:$E$181,'TD_TotalNatureTransac'!$B$2:$B$181,B7,'TD_TotalNatureTransac'!$C$2:$C$181,"ZZ2",'TD_TotalNatureTransac'!$D$2:$D$181,"CORRECTION")</f>
        <v/>
      </c>
      <c r="H7" s="5">
        <f>SUMIFS('TD_TotalNatureTransac'!$F$2:$F$181,'TD_TotalNatureTransac'!$B$2:$B$181,B7,'TD_TotalNatureTransac'!$C$2:$C$181,"ZZ2",'TD_TotalNatureTransac'!$D$2:$D$181,"CORRECTION")</f>
        <v/>
      </c>
      <c r="I7" s="5">
        <f>SUMIFS('TD_TotalNatureTransac'!$E$2:$E$181,'TD_TotalNatureTransac'!$B$2:$B$181,B7,'TD_TotalNatureTransac'!$C$2:$C$181,"ZZ2",'TD_TotalNatureTransac'!$D$2:$D$181,"ESPECES")</f>
        <v/>
      </c>
      <c r="J7" s="5">
        <f>SUMIFS('TD_TotalNatureTransac'!$F$2:$F$181,'TD_TotalNatureTransac'!$B$2:$B$181,B7,'TD_TotalNatureTransac'!$C$2:$C$181,"ZZ2",'TD_TotalNatureTransac'!$D$2:$D$181,"ESPECES")</f>
        <v/>
      </c>
      <c r="K7" s="5">
        <f>SUMIFS('TD_TotalNatureTransac'!$E$2:$E$181,'TD_TotalNatureTransac'!$B$2:$B$181,B7,'TD_TotalNatureTransac'!$C$2:$C$181,"ZZ2",'TD_TotalNatureTransac'!$D$2:$D$181,"REF./TIROIR")</f>
        <v/>
      </c>
      <c r="L7" s="5">
        <f>SUMIFS('TD_TotalNatureTransac'!$F$2:$F$181,'TD_TotalNatureTransac'!$B$2:$B$181,B7,'TD_TotalNatureTransac'!$C$2:$C$181,"ZZ2",'TD_TotalNatureTransac'!$D$2:$D$181,"REF./TIROIR")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SUMIFS('TD_TotalNatureTransac'!$E$2:$E$181,'TD_TotalNatureTransac'!$B$2:$B$181,B8,'TD_TotalNatureTransac'!$C$2:$C$181,"ZZ2",'TD_TotalNatureTransac'!$D$2:$D$181,"CARTES")</f>
        <v/>
      </c>
      <c r="D8" s="5">
        <f>SUMIFS('TD_TotalNatureTransac'!$F$2:$F$181,'TD_TotalNatureTransac'!$B$2:$B$181,B8,'TD_TotalNatureTransac'!$C$2:$C$181,"ZZ2",'TD_TotalNatureTransac'!$D$2:$D$181,"CARTES")</f>
        <v/>
      </c>
      <c r="E8" s="5">
        <f>SUMIFS('TD_TotalNatureTransac'!$E$2:$E$181,'TD_TotalNatureTransac'!$B$2:$B$181,B8,'TD_TotalNatureTransac'!$C$2:$C$181,"ZZ2",'TD_TotalNatureTransac'!$D$2:$D$181,"CHEQUES")</f>
        <v/>
      </c>
      <c r="F8" s="5">
        <f>SUMIFS('TD_TotalNatureTransac'!$F$2:$F$181,'TD_TotalNatureTransac'!$B$2:$B$181,B8,'TD_TotalNatureTransac'!$C$2:$C$181,"ZZ2",'TD_TotalNatureTransac'!$D$2:$D$181,"CHEQUES")</f>
        <v/>
      </c>
      <c r="G8" s="5">
        <f>SUMIFS('TD_TotalNatureTransac'!$E$2:$E$181,'TD_TotalNatureTransac'!$B$2:$B$181,B8,'TD_TotalNatureTransac'!$C$2:$C$181,"ZZ2",'TD_TotalNatureTransac'!$D$2:$D$181,"CORRECTION")</f>
        <v/>
      </c>
      <c r="H8" s="5">
        <f>SUMIFS('TD_TotalNatureTransac'!$F$2:$F$181,'TD_TotalNatureTransac'!$B$2:$B$181,B8,'TD_TotalNatureTransac'!$C$2:$C$181,"ZZ2",'TD_TotalNatureTransac'!$D$2:$D$181,"CORRECTION")</f>
        <v/>
      </c>
      <c r="I8" s="5">
        <f>SUMIFS('TD_TotalNatureTransac'!$E$2:$E$181,'TD_TotalNatureTransac'!$B$2:$B$181,B8,'TD_TotalNatureTransac'!$C$2:$C$181,"ZZ2",'TD_TotalNatureTransac'!$D$2:$D$181,"ESPECES")</f>
        <v/>
      </c>
      <c r="J8" s="5">
        <f>SUMIFS('TD_TotalNatureTransac'!$F$2:$F$181,'TD_TotalNatureTransac'!$B$2:$B$181,B8,'TD_TotalNatureTransac'!$C$2:$C$181,"ZZ2",'TD_TotalNatureTransac'!$D$2:$D$181,"ESPECES")</f>
        <v/>
      </c>
      <c r="K8" s="5">
        <f>SUMIFS('TD_TotalNatureTransac'!$E$2:$E$181,'TD_TotalNatureTransac'!$B$2:$B$181,B8,'TD_TotalNatureTransac'!$C$2:$C$181,"ZZ2",'TD_TotalNatureTransac'!$D$2:$D$181,"REF./TIROIR")</f>
        <v/>
      </c>
      <c r="L8" s="5">
        <f>SUMIFS('TD_TotalNatureTransac'!$F$2:$F$181,'TD_TotalNatureTransac'!$B$2:$B$181,B8,'TD_TotalNatureTransac'!$C$2:$C$181,"ZZ2",'TD_TotalNatureTransac'!$D$2:$D$181,"REF./TIROIR")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SUMIFS('TD_TotalNatureTransac'!$E$2:$E$181,'TD_TotalNatureTransac'!$B$2:$B$181,B9,'TD_TotalNatureTransac'!$C$2:$C$181,"ZZ2",'TD_TotalNatureTransac'!$D$2:$D$181,"CARTES")</f>
        <v/>
      </c>
      <c r="D9" s="5">
        <f>SUMIFS('TD_TotalNatureTransac'!$F$2:$F$181,'TD_TotalNatureTransac'!$B$2:$B$181,B9,'TD_TotalNatureTransac'!$C$2:$C$181,"ZZ2",'TD_TotalNatureTransac'!$D$2:$D$181,"CARTES")</f>
        <v/>
      </c>
      <c r="E9" s="5">
        <f>SUMIFS('TD_TotalNatureTransac'!$E$2:$E$181,'TD_TotalNatureTransac'!$B$2:$B$181,B9,'TD_TotalNatureTransac'!$C$2:$C$181,"ZZ2",'TD_TotalNatureTransac'!$D$2:$D$181,"CHEQUES")</f>
        <v/>
      </c>
      <c r="F9" s="5">
        <f>SUMIFS('TD_TotalNatureTransac'!$F$2:$F$181,'TD_TotalNatureTransac'!$B$2:$B$181,B9,'TD_TotalNatureTransac'!$C$2:$C$181,"ZZ2",'TD_TotalNatureTransac'!$D$2:$D$181,"CHEQUES")</f>
        <v/>
      </c>
      <c r="G9" s="5">
        <f>SUMIFS('TD_TotalNatureTransac'!$E$2:$E$181,'TD_TotalNatureTransac'!$B$2:$B$181,B9,'TD_TotalNatureTransac'!$C$2:$C$181,"ZZ2",'TD_TotalNatureTransac'!$D$2:$D$181,"CORRECTION")</f>
        <v/>
      </c>
      <c r="H9" s="5">
        <f>SUMIFS('TD_TotalNatureTransac'!$F$2:$F$181,'TD_TotalNatureTransac'!$B$2:$B$181,B9,'TD_TotalNatureTransac'!$C$2:$C$181,"ZZ2",'TD_TotalNatureTransac'!$D$2:$D$181,"CORRECTION")</f>
        <v/>
      </c>
      <c r="I9" s="5">
        <f>SUMIFS('TD_TotalNatureTransac'!$E$2:$E$181,'TD_TotalNatureTransac'!$B$2:$B$181,B9,'TD_TotalNatureTransac'!$C$2:$C$181,"ZZ2",'TD_TotalNatureTransac'!$D$2:$D$181,"ESPECES")</f>
        <v/>
      </c>
      <c r="J9" s="5">
        <f>SUMIFS('TD_TotalNatureTransac'!$F$2:$F$181,'TD_TotalNatureTransac'!$B$2:$B$181,B9,'TD_TotalNatureTransac'!$C$2:$C$181,"ZZ2",'TD_TotalNatureTransac'!$D$2:$D$181,"ESPECES")</f>
        <v/>
      </c>
      <c r="K9" s="5">
        <f>SUMIFS('TD_TotalNatureTransac'!$E$2:$E$181,'TD_TotalNatureTransac'!$B$2:$B$181,B9,'TD_TotalNatureTransac'!$C$2:$C$181,"ZZ2",'TD_TotalNatureTransac'!$D$2:$D$181,"REF./TIROIR")</f>
        <v/>
      </c>
      <c r="L9" s="5">
        <f>SUMIFS('TD_TotalNatureTransac'!$F$2:$F$181,'TD_TotalNatureTransac'!$B$2:$B$181,B9,'TD_TotalNatureTransac'!$C$2:$C$181,"ZZ2",'TD_TotalNatureTransac'!$D$2:$D$181,"REF./TIROIR")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SUMIFS('TD_TotalNatureTransac'!$E$2:$E$181,'TD_TotalNatureTransac'!$B$2:$B$181,B10,'TD_TotalNatureTransac'!$C$2:$C$181,"ZZ2",'TD_TotalNatureTransac'!$D$2:$D$181,"CARTES")</f>
        <v/>
      </c>
      <c r="D10" s="5">
        <f>SUMIFS('TD_TotalNatureTransac'!$F$2:$F$181,'TD_TotalNatureTransac'!$B$2:$B$181,B10,'TD_TotalNatureTransac'!$C$2:$C$181,"ZZ2",'TD_TotalNatureTransac'!$D$2:$D$181,"CARTES")</f>
        <v/>
      </c>
      <c r="E10" s="5">
        <f>SUMIFS('TD_TotalNatureTransac'!$E$2:$E$181,'TD_TotalNatureTransac'!$B$2:$B$181,B10,'TD_TotalNatureTransac'!$C$2:$C$181,"ZZ2",'TD_TotalNatureTransac'!$D$2:$D$181,"CHEQUES")</f>
        <v/>
      </c>
      <c r="F10" s="5">
        <f>SUMIFS('TD_TotalNatureTransac'!$F$2:$F$181,'TD_TotalNatureTransac'!$B$2:$B$181,B10,'TD_TotalNatureTransac'!$C$2:$C$181,"ZZ2",'TD_TotalNatureTransac'!$D$2:$D$181,"CHEQUES")</f>
        <v/>
      </c>
      <c r="G10" s="5">
        <f>SUMIFS('TD_TotalNatureTransac'!$E$2:$E$181,'TD_TotalNatureTransac'!$B$2:$B$181,B10,'TD_TotalNatureTransac'!$C$2:$C$181,"ZZ2",'TD_TotalNatureTransac'!$D$2:$D$181,"CORRECTION")</f>
        <v/>
      </c>
      <c r="H10" s="5">
        <f>SUMIFS('TD_TotalNatureTransac'!$F$2:$F$181,'TD_TotalNatureTransac'!$B$2:$B$181,B10,'TD_TotalNatureTransac'!$C$2:$C$181,"ZZ2",'TD_TotalNatureTransac'!$D$2:$D$181,"CORRECTION")</f>
        <v/>
      </c>
      <c r="I10" s="5">
        <f>SUMIFS('TD_TotalNatureTransac'!$E$2:$E$181,'TD_TotalNatureTransac'!$B$2:$B$181,B10,'TD_TotalNatureTransac'!$C$2:$C$181,"ZZ2",'TD_TotalNatureTransac'!$D$2:$D$181,"ESPECES")</f>
        <v/>
      </c>
      <c r="J10" s="5">
        <f>SUMIFS('TD_TotalNatureTransac'!$F$2:$F$181,'TD_TotalNatureTransac'!$B$2:$B$181,B10,'TD_TotalNatureTransac'!$C$2:$C$181,"ZZ2",'TD_TotalNatureTransac'!$D$2:$D$181,"ESPECES")</f>
        <v/>
      </c>
      <c r="K10" s="5">
        <f>SUMIFS('TD_TotalNatureTransac'!$E$2:$E$181,'TD_TotalNatureTransac'!$B$2:$B$181,B10,'TD_TotalNatureTransac'!$C$2:$C$181,"ZZ2",'TD_TotalNatureTransac'!$D$2:$D$181,"REF./TIROIR")</f>
        <v/>
      </c>
      <c r="L10" s="5">
        <f>SUMIFS('TD_TotalNatureTransac'!$F$2:$F$181,'TD_TotalNatureTransac'!$B$2:$B$181,B10,'TD_TotalNatureTransac'!$C$2:$C$181,"ZZ2",'TD_TotalNatureTransac'!$D$2:$D$181,"REF./TIROIR")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SUMIFS('TD_TotalNatureTransac'!$E$2:$E$181,'TD_TotalNatureTransac'!$B$2:$B$181,B11,'TD_TotalNatureTransac'!$C$2:$C$181,"ZZ2",'TD_TotalNatureTransac'!$D$2:$D$181,"CARTES")</f>
        <v/>
      </c>
      <c r="D11" s="5">
        <f>SUMIFS('TD_TotalNatureTransac'!$F$2:$F$181,'TD_TotalNatureTransac'!$B$2:$B$181,B11,'TD_TotalNatureTransac'!$C$2:$C$181,"ZZ2",'TD_TotalNatureTransac'!$D$2:$D$181,"CARTES")</f>
        <v/>
      </c>
      <c r="E11" s="5">
        <f>SUMIFS('TD_TotalNatureTransac'!$E$2:$E$181,'TD_TotalNatureTransac'!$B$2:$B$181,B11,'TD_TotalNatureTransac'!$C$2:$C$181,"ZZ2",'TD_TotalNatureTransac'!$D$2:$D$181,"CHEQUES")</f>
        <v/>
      </c>
      <c r="F11" s="5">
        <f>SUMIFS('TD_TotalNatureTransac'!$F$2:$F$181,'TD_TotalNatureTransac'!$B$2:$B$181,B11,'TD_TotalNatureTransac'!$C$2:$C$181,"ZZ2",'TD_TotalNatureTransac'!$D$2:$D$181,"CHEQUES")</f>
        <v/>
      </c>
      <c r="G11" s="5">
        <f>SUMIFS('TD_TotalNatureTransac'!$E$2:$E$181,'TD_TotalNatureTransac'!$B$2:$B$181,B11,'TD_TotalNatureTransac'!$C$2:$C$181,"ZZ2",'TD_TotalNatureTransac'!$D$2:$D$181,"CORRECTION")</f>
        <v/>
      </c>
      <c r="H11" s="5">
        <f>SUMIFS('TD_TotalNatureTransac'!$F$2:$F$181,'TD_TotalNatureTransac'!$B$2:$B$181,B11,'TD_TotalNatureTransac'!$C$2:$C$181,"ZZ2",'TD_TotalNatureTransac'!$D$2:$D$181,"CORRECTION")</f>
        <v/>
      </c>
      <c r="I11" s="5">
        <f>SUMIFS('TD_TotalNatureTransac'!$E$2:$E$181,'TD_TotalNatureTransac'!$B$2:$B$181,B11,'TD_TotalNatureTransac'!$C$2:$C$181,"ZZ2",'TD_TotalNatureTransac'!$D$2:$D$181,"ESPECES")</f>
        <v/>
      </c>
      <c r="J11" s="5">
        <f>SUMIFS('TD_TotalNatureTransac'!$F$2:$F$181,'TD_TotalNatureTransac'!$B$2:$B$181,B11,'TD_TotalNatureTransac'!$C$2:$C$181,"ZZ2",'TD_TotalNatureTransac'!$D$2:$D$181,"ESPECES")</f>
        <v/>
      </c>
      <c r="K11" s="5">
        <f>SUMIFS('TD_TotalNatureTransac'!$E$2:$E$181,'TD_TotalNatureTransac'!$B$2:$B$181,B11,'TD_TotalNatureTransac'!$C$2:$C$181,"ZZ2",'TD_TotalNatureTransac'!$D$2:$D$181,"REF./TIROIR")</f>
        <v/>
      </c>
      <c r="L11" s="5">
        <f>SUMIFS('TD_TotalNatureTransac'!$F$2:$F$181,'TD_TotalNatureTransac'!$B$2:$B$181,B11,'TD_TotalNatureTransac'!$C$2:$C$181,"ZZ2",'TD_TotalNatureTransac'!$D$2:$D$181,"REF./TIROIR")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SUMIFS('TD_TotalNatureTransac'!$E$2:$E$181,'TD_TotalNatureTransac'!$B$2:$B$181,B12,'TD_TotalNatureTransac'!$C$2:$C$181,"ZZ2",'TD_TotalNatureTransac'!$D$2:$D$181,"CARTES")</f>
        <v/>
      </c>
      <c r="D12" s="5">
        <f>SUMIFS('TD_TotalNatureTransac'!$F$2:$F$181,'TD_TotalNatureTransac'!$B$2:$B$181,B12,'TD_TotalNatureTransac'!$C$2:$C$181,"ZZ2",'TD_TotalNatureTransac'!$D$2:$D$181,"CARTES")</f>
        <v/>
      </c>
      <c r="E12" s="5">
        <f>SUMIFS('TD_TotalNatureTransac'!$E$2:$E$181,'TD_TotalNatureTransac'!$B$2:$B$181,B12,'TD_TotalNatureTransac'!$C$2:$C$181,"ZZ2",'TD_TotalNatureTransac'!$D$2:$D$181,"CHEQUES")</f>
        <v/>
      </c>
      <c r="F12" s="5">
        <f>SUMIFS('TD_TotalNatureTransac'!$F$2:$F$181,'TD_TotalNatureTransac'!$B$2:$B$181,B12,'TD_TotalNatureTransac'!$C$2:$C$181,"ZZ2",'TD_TotalNatureTransac'!$D$2:$D$181,"CHEQUES")</f>
        <v/>
      </c>
      <c r="G12" s="5">
        <f>SUMIFS('TD_TotalNatureTransac'!$E$2:$E$181,'TD_TotalNatureTransac'!$B$2:$B$181,B12,'TD_TotalNatureTransac'!$C$2:$C$181,"ZZ2",'TD_TotalNatureTransac'!$D$2:$D$181,"CORRECTION")</f>
        <v/>
      </c>
      <c r="H12" s="5">
        <f>SUMIFS('TD_TotalNatureTransac'!$F$2:$F$181,'TD_TotalNatureTransac'!$B$2:$B$181,B12,'TD_TotalNatureTransac'!$C$2:$C$181,"ZZ2",'TD_TotalNatureTransac'!$D$2:$D$181,"CORRECTION")</f>
        <v/>
      </c>
      <c r="I12" s="5">
        <f>SUMIFS('TD_TotalNatureTransac'!$E$2:$E$181,'TD_TotalNatureTransac'!$B$2:$B$181,B12,'TD_TotalNatureTransac'!$C$2:$C$181,"ZZ2",'TD_TotalNatureTransac'!$D$2:$D$181,"ESPECES")</f>
        <v/>
      </c>
      <c r="J12" s="5">
        <f>SUMIFS('TD_TotalNatureTransac'!$F$2:$F$181,'TD_TotalNatureTransac'!$B$2:$B$181,B12,'TD_TotalNatureTransac'!$C$2:$C$181,"ZZ2",'TD_TotalNatureTransac'!$D$2:$D$181,"ESPECES")</f>
        <v/>
      </c>
      <c r="K12" s="5">
        <f>SUMIFS('TD_TotalNatureTransac'!$E$2:$E$181,'TD_TotalNatureTransac'!$B$2:$B$181,B12,'TD_TotalNatureTransac'!$C$2:$C$181,"ZZ2",'TD_TotalNatureTransac'!$D$2:$D$181,"REF./TIROIR")</f>
        <v/>
      </c>
      <c r="L12" s="5">
        <f>SUMIFS('TD_TotalNatureTransac'!$F$2:$F$181,'TD_TotalNatureTransac'!$B$2:$B$181,B12,'TD_TotalNatureTransac'!$C$2:$C$181,"ZZ2",'TD_TotalNatureTransac'!$D$2:$D$181,"REF./TIROIR")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SUMIFS('TD_TotalNatureTransac'!$E$2:$E$181,'TD_TotalNatureTransac'!$B$2:$B$181,B13,'TD_TotalNatureTransac'!$C$2:$C$181,"ZZ2",'TD_TotalNatureTransac'!$D$2:$D$181,"CARTES")</f>
        <v/>
      </c>
      <c r="D13" s="5">
        <f>SUMIFS('TD_TotalNatureTransac'!$F$2:$F$181,'TD_TotalNatureTransac'!$B$2:$B$181,B13,'TD_TotalNatureTransac'!$C$2:$C$181,"ZZ2",'TD_TotalNatureTransac'!$D$2:$D$181,"CARTES")</f>
        <v/>
      </c>
      <c r="E13" s="5">
        <f>SUMIFS('TD_TotalNatureTransac'!$E$2:$E$181,'TD_TotalNatureTransac'!$B$2:$B$181,B13,'TD_TotalNatureTransac'!$C$2:$C$181,"ZZ2",'TD_TotalNatureTransac'!$D$2:$D$181,"CHEQUES")</f>
        <v/>
      </c>
      <c r="F13" s="5">
        <f>SUMIFS('TD_TotalNatureTransac'!$F$2:$F$181,'TD_TotalNatureTransac'!$B$2:$B$181,B13,'TD_TotalNatureTransac'!$C$2:$C$181,"ZZ2",'TD_TotalNatureTransac'!$D$2:$D$181,"CHEQUES")</f>
        <v/>
      </c>
      <c r="G13" s="5">
        <f>SUMIFS('TD_TotalNatureTransac'!$E$2:$E$181,'TD_TotalNatureTransac'!$B$2:$B$181,B13,'TD_TotalNatureTransac'!$C$2:$C$181,"ZZ2",'TD_TotalNatureTransac'!$D$2:$D$181,"CORRECTION")</f>
        <v/>
      </c>
      <c r="H13" s="5">
        <f>SUMIFS('TD_TotalNatureTransac'!$F$2:$F$181,'TD_TotalNatureTransac'!$B$2:$B$181,B13,'TD_TotalNatureTransac'!$C$2:$C$181,"ZZ2",'TD_TotalNatureTransac'!$D$2:$D$181,"CORRECTION")</f>
        <v/>
      </c>
      <c r="I13" s="5">
        <f>SUMIFS('TD_TotalNatureTransac'!$E$2:$E$181,'TD_TotalNatureTransac'!$B$2:$B$181,B13,'TD_TotalNatureTransac'!$C$2:$C$181,"ZZ2",'TD_TotalNatureTransac'!$D$2:$D$181,"ESPECES")</f>
        <v/>
      </c>
      <c r="J13" s="5">
        <f>SUMIFS('TD_TotalNatureTransac'!$F$2:$F$181,'TD_TotalNatureTransac'!$B$2:$B$181,B13,'TD_TotalNatureTransac'!$C$2:$C$181,"ZZ2",'TD_TotalNatureTransac'!$D$2:$D$181,"ESPECES")</f>
        <v/>
      </c>
      <c r="K13" s="5">
        <f>SUMIFS('TD_TotalNatureTransac'!$E$2:$E$181,'TD_TotalNatureTransac'!$B$2:$B$181,B13,'TD_TotalNatureTransac'!$C$2:$C$181,"ZZ2",'TD_TotalNatureTransac'!$D$2:$D$181,"REF./TIROIR")</f>
        <v/>
      </c>
      <c r="L13" s="5">
        <f>SUMIFS('TD_TotalNatureTransac'!$F$2:$F$181,'TD_TotalNatureTransac'!$B$2:$B$181,B13,'TD_TotalNatureTransac'!$C$2:$C$181,"ZZ2",'TD_TotalNatureTransac'!$D$2:$D$181,"REF./TIROIR")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2023</v>
      </c>
      <c r="B2" s="5" t="inlineStr">
        <is>
          <t>2023-01</t>
        </is>
      </c>
      <c r="C2" s="5">
        <f>SUMIFS('TD_TotalNatureTransac'!$E$2:$E$181,'TD_TotalNatureTransac'!$B$2:$B$181,B2,'TD_TotalNatureTransac'!$C$2:$C$181,"Z",'TD_TotalNatureTransac'!$D$2:$D$181,"CARTES")</f>
        <v/>
      </c>
      <c r="D2" s="5">
        <f>SUMIFS('TD_TotalNatureTransac'!$F$2:$F$181,'TD_TotalNatureTransac'!$B$2:$B$181,B2,'TD_TotalNatureTransac'!$C$2:$C$181,"Z",'TD_TotalNatureTransac'!$D$2:$D$181,"CARTES")</f>
        <v/>
      </c>
      <c r="E2" s="5">
        <f>SUMIFS('TD_TotalNatureTransac'!$E$2:$E$181,'TD_TotalNatureTransac'!$B$2:$B$181,B2,'TD_TotalNatureTransac'!$C$2:$C$181,"Z",'TD_TotalNatureTransac'!$D$2:$D$181,"CHEQUES")</f>
        <v/>
      </c>
      <c r="F2" s="5">
        <f>SUMIFS('TD_TotalNatureTransac'!$F$2:$F$181,'TD_TotalNatureTransac'!$B$2:$B$181,B2,'TD_TotalNatureTransac'!$C$2:$C$181,"Z",'TD_TotalNatureTransac'!$D$2:$D$181,"CHEQUES")</f>
        <v/>
      </c>
      <c r="G2" s="5">
        <f>SUMIFS('TD_TotalNatureTransac'!$E$2:$E$181,'TD_TotalNatureTransac'!$B$2:$B$181,B2,'TD_TotalNatureTransac'!$C$2:$C$181,"Z",'TD_TotalNatureTransac'!$D$2:$D$181,"CORRECTION")</f>
        <v/>
      </c>
      <c r="H2" s="5">
        <f>SUMIFS('TD_TotalNatureTransac'!$F$2:$F$181,'TD_TotalNatureTransac'!$B$2:$B$181,B2,'TD_TotalNatureTransac'!$C$2:$C$181,"Z",'TD_TotalNatureTransac'!$D$2:$D$181,"CORRECTION")</f>
        <v/>
      </c>
      <c r="I2" s="5">
        <f>SUMIFS('TD_TotalNatureTransac'!$E$2:$E$181,'TD_TotalNatureTransac'!$B$2:$B$181,B2,'TD_TotalNatureTransac'!$C$2:$C$181,"Z",'TD_TotalNatureTransac'!$D$2:$D$181,"ESPECES")</f>
        <v/>
      </c>
      <c r="J2" s="5">
        <f>SUMIFS('TD_TotalNatureTransac'!$F$2:$F$181,'TD_TotalNatureTransac'!$B$2:$B$181,B2,'TD_TotalNatureTransac'!$C$2:$C$181,"Z",'TD_TotalNatureTransac'!$D$2:$D$181,"ESPECES")</f>
        <v/>
      </c>
      <c r="K2" s="5">
        <f>SUMIFS('TD_TotalNatureTransac'!$E$2:$E$181,'TD_TotalNatureTransac'!$B$2:$B$181,B2,'TD_TotalNatureTransac'!$C$2:$C$181,"Z",'TD_TotalNatureTransac'!$D$2:$D$181,"REF./TIROIR")</f>
        <v/>
      </c>
      <c r="L2" s="5">
        <f>SUMIFS('TD_TotalNatureTransac'!$F$2:$F$181,'TD_TotalNatureTransac'!$B$2:$B$181,B2,'TD_TotalNatureTransac'!$C$2:$C$181,"Z",'TD_TotalNatureTransac'!$D$2:$D$181,"REF./TIROIR")</f>
        <v/>
      </c>
    </row>
    <row r="3">
      <c r="A3" s="6" t="n">
        <v>2023</v>
      </c>
      <c r="B3" s="5" t="inlineStr">
        <is>
          <t>2023-02</t>
        </is>
      </c>
      <c r="C3" s="5">
        <f>SUMIFS('TD_TotalNatureTransac'!$E$2:$E$181,'TD_TotalNatureTransac'!$B$2:$B$181,B3,'TD_TotalNatureTransac'!$C$2:$C$181,"Z",'TD_TotalNatureTransac'!$D$2:$D$181,"CARTES")</f>
        <v/>
      </c>
      <c r="D3" s="5">
        <f>SUMIFS('TD_TotalNatureTransac'!$F$2:$F$181,'TD_TotalNatureTransac'!$B$2:$B$181,B3,'TD_TotalNatureTransac'!$C$2:$C$181,"Z",'TD_TotalNatureTransac'!$D$2:$D$181,"CARTES")</f>
        <v/>
      </c>
      <c r="E3" s="5">
        <f>SUMIFS('TD_TotalNatureTransac'!$E$2:$E$181,'TD_TotalNatureTransac'!$B$2:$B$181,B3,'TD_TotalNatureTransac'!$C$2:$C$181,"Z",'TD_TotalNatureTransac'!$D$2:$D$181,"CHEQUES")</f>
        <v/>
      </c>
      <c r="F3" s="5">
        <f>SUMIFS('TD_TotalNatureTransac'!$F$2:$F$181,'TD_TotalNatureTransac'!$B$2:$B$181,B3,'TD_TotalNatureTransac'!$C$2:$C$181,"Z",'TD_TotalNatureTransac'!$D$2:$D$181,"CHEQUES")</f>
        <v/>
      </c>
      <c r="G3" s="5">
        <f>SUMIFS('TD_TotalNatureTransac'!$E$2:$E$181,'TD_TotalNatureTransac'!$B$2:$B$181,B3,'TD_TotalNatureTransac'!$C$2:$C$181,"Z",'TD_TotalNatureTransac'!$D$2:$D$181,"CORRECTION")</f>
        <v/>
      </c>
      <c r="H3" s="5">
        <f>SUMIFS('TD_TotalNatureTransac'!$F$2:$F$181,'TD_TotalNatureTransac'!$B$2:$B$181,B3,'TD_TotalNatureTransac'!$C$2:$C$181,"Z",'TD_TotalNatureTransac'!$D$2:$D$181,"CORRECTION")</f>
        <v/>
      </c>
      <c r="I3" s="5">
        <f>SUMIFS('TD_TotalNatureTransac'!$E$2:$E$181,'TD_TotalNatureTransac'!$B$2:$B$181,B3,'TD_TotalNatureTransac'!$C$2:$C$181,"Z",'TD_TotalNatureTransac'!$D$2:$D$181,"ESPECES")</f>
        <v/>
      </c>
      <c r="J3" s="5">
        <f>SUMIFS('TD_TotalNatureTransac'!$F$2:$F$181,'TD_TotalNatureTransac'!$B$2:$B$181,B3,'TD_TotalNatureTransac'!$C$2:$C$181,"Z",'TD_TotalNatureTransac'!$D$2:$D$181,"ESPECES")</f>
        <v/>
      </c>
      <c r="K3" s="5">
        <f>SUMIFS('TD_TotalNatureTransac'!$E$2:$E$181,'TD_TotalNatureTransac'!$B$2:$B$181,B3,'TD_TotalNatureTransac'!$C$2:$C$181,"Z",'TD_TotalNatureTransac'!$D$2:$D$181,"REF./TIROIR")</f>
        <v/>
      </c>
      <c r="L3" s="5">
        <f>SUMIFS('TD_TotalNatureTransac'!$F$2:$F$181,'TD_TotalNatureTransac'!$B$2:$B$181,B3,'TD_TotalNatureTransac'!$C$2:$C$181,"Z",'TD_TotalNatureTransac'!$D$2:$D$181,"REF./TIROIR")</f>
        <v/>
      </c>
    </row>
    <row r="4">
      <c r="A4" s="6" t="n">
        <v>2023</v>
      </c>
      <c r="B4" s="5" t="inlineStr">
        <is>
          <t>2023-03</t>
        </is>
      </c>
      <c r="C4" s="5">
        <f>SUMIFS('TD_TotalNatureTransac'!$E$2:$E$181,'TD_TotalNatureTransac'!$B$2:$B$181,B4,'TD_TotalNatureTransac'!$C$2:$C$181,"Z",'TD_TotalNatureTransac'!$D$2:$D$181,"CARTES")</f>
        <v/>
      </c>
      <c r="D4" s="5">
        <f>SUMIFS('TD_TotalNatureTransac'!$F$2:$F$181,'TD_TotalNatureTransac'!$B$2:$B$181,B4,'TD_TotalNatureTransac'!$C$2:$C$181,"Z",'TD_TotalNatureTransac'!$D$2:$D$181,"CARTES")</f>
        <v/>
      </c>
      <c r="E4" s="5">
        <f>SUMIFS('TD_TotalNatureTransac'!$E$2:$E$181,'TD_TotalNatureTransac'!$B$2:$B$181,B4,'TD_TotalNatureTransac'!$C$2:$C$181,"Z",'TD_TotalNatureTransac'!$D$2:$D$181,"CHEQUES")</f>
        <v/>
      </c>
      <c r="F4" s="5">
        <f>SUMIFS('TD_TotalNatureTransac'!$F$2:$F$181,'TD_TotalNatureTransac'!$B$2:$B$181,B4,'TD_TotalNatureTransac'!$C$2:$C$181,"Z",'TD_TotalNatureTransac'!$D$2:$D$181,"CHEQUES")</f>
        <v/>
      </c>
      <c r="G4" s="5">
        <f>SUMIFS('TD_TotalNatureTransac'!$E$2:$E$181,'TD_TotalNatureTransac'!$B$2:$B$181,B4,'TD_TotalNatureTransac'!$C$2:$C$181,"Z",'TD_TotalNatureTransac'!$D$2:$D$181,"CORRECTION")</f>
        <v/>
      </c>
      <c r="H4" s="5">
        <f>SUMIFS('TD_TotalNatureTransac'!$F$2:$F$181,'TD_TotalNatureTransac'!$B$2:$B$181,B4,'TD_TotalNatureTransac'!$C$2:$C$181,"Z",'TD_TotalNatureTransac'!$D$2:$D$181,"CORRECTION")</f>
        <v/>
      </c>
      <c r="I4" s="5">
        <f>SUMIFS('TD_TotalNatureTransac'!$E$2:$E$181,'TD_TotalNatureTransac'!$B$2:$B$181,B4,'TD_TotalNatureTransac'!$C$2:$C$181,"Z",'TD_TotalNatureTransac'!$D$2:$D$181,"ESPECES")</f>
        <v/>
      </c>
      <c r="J4" s="5">
        <f>SUMIFS('TD_TotalNatureTransac'!$F$2:$F$181,'TD_TotalNatureTransac'!$B$2:$B$181,B4,'TD_TotalNatureTransac'!$C$2:$C$181,"Z",'TD_TotalNatureTransac'!$D$2:$D$181,"ESPECES")</f>
        <v/>
      </c>
      <c r="K4" s="5">
        <f>SUMIFS('TD_TotalNatureTransac'!$E$2:$E$181,'TD_TotalNatureTransac'!$B$2:$B$181,B4,'TD_TotalNatureTransac'!$C$2:$C$181,"Z",'TD_TotalNatureTransac'!$D$2:$D$181,"REF./TIROIR")</f>
        <v/>
      </c>
      <c r="L4" s="5">
        <f>SUMIFS('TD_TotalNatureTransac'!$F$2:$F$181,'TD_TotalNatureTransac'!$B$2:$B$181,B4,'TD_TotalNatureTransac'!$C$2:$C$181,"Z",'TD_TotalNatureTransac'!$D$2:$D$181,"REF./TIROIR")</f>
        <v/>
      </c>
    </row>
    <row r="5">
      <c r="A5" s="6" t="n">
        <v>2023</v>
      </c>
      <c r="B5" s="5" t="inlineStr">
        <is>
          <t>2023-04</t>
        </is>
      </c>
      <c r="C5" s="5">
        <f>SUMIFS('TD_TotalNatureTransac'!$E$2:$E$181,'TD_TotalNatureTransac'!$B$2:$B$181,B5,'TD_TotalNatureTransac'!$C$2:$C$181,"Z",'TD_TotalNatureTransac'!$D$2:$D$181,"CARTES")</f>
        <v/>
      </c>
      <c r="D5" s="5">
        <f>SUMIFS('TD_TotalNatureTransac'!$F$2:$F$181,'TD_TotalNatureTransac'!$B$2:$B$181,B5,'TD_TotalNatureTransac'!$C$2:$C$181,"Z",'TD_TotalNatureTransac'!$D$2:$D$181,"CARTES")</f>
        <v/>
      </c>
      <c r="E5" s="5">
        <f>SUMIFS('TD_TotalNatureTransac'!$E$2:$E$181,'TD_TotalNatureTransac'!$B$2:$B$181,B5,'TD_TotalNatureTransac'!$C$2:$C$181,"Z",'TD_TotalNatureTransac'!$D$2:$D$181,"CHEQUES")</f>
        <v/>
      </c>
      <c r="F5" s="5">
        <f>SUMIFS('TD_TotalNatureTransac'!$F$2:$F$181,'TD_TotalNatureTransac'!$B$2:$B$181,B5,'TD_TotalNatureTransac'!$C$2:$C$181,"Z",'TD_TotalNatureTransac'!$D$2:$D$181,"CHEQUES")</f>
        <v/>
      </c>
      <c r="G5" s="5">
        <f>SUMIFS('TD_TotalNatureTransac'!$E$2:$E$181,'TD_TotalNatureTransac'!$B$2:$B$181,B5,'TD_TotalNatureTransac'!$C$2:$C$181,"Z",'TD_TotalNatureTransac'!$D$2:$D$181,"CORRECTION")</f>
        <v/>
      </c>
      <c r="H5" s="5">
        <f>SUMIFS('TD_TotalNatureTransac'!$F$2:$F$181,'TD_TotalNatureTransac'!$B$2:$B$181,B5,'TD_TotalNatureTransac'!$C$2:$C$181,"Z",'TD_TotalNatureTransac'!$D$2:$D$181,"CORRECTION")</f>
        <v/>
      </c>
      <c r="I5" s="5">
        <f>SUMIFS('TD_TotalNatureTransac'!$E$2:$E$181,'TD_TotalNatureTransac'!$B$2:$B$181,B5,'TD_TotalNatureTransac'!$C$2:$C$181,"Z",'TD_TotalNatureTransac'!$D$2:$D$181,"ESPECES")</f>
        <v/>
      </c>
      <c r="J5" s="5">
        <f>SUMIFS('TD_TotalNatureTransac'!$F$2:$F$181,'TD_TotalNatureTransac'!$B$2:$B$181,B5,'TD_TotalNatureTransac'!$C$2:$C$181,"Z",'TD_TotalNatureTransac'!$D$2:$D$181,"ESPECES")</f>
        <v/>
      </c>
      <c r="K5" s="5">
        <f>SUMIFS('TD_TotalNatureTransac'!$E$2:$E$181,'TD_TotalNatureTransac'!$B$2:$B$181,B5,'TD_TotalNatureTransac'!$C$2:$C$181,"Z",'TD_TotalNatureTransac'!$D$2:$D$181,"REF./TIROIR")</f>
        <v/>
      </c>
      <c r="L5" s="5">
        <f>SUMIFS('TD_TotalNatureTransac'!$F$2:$F$181,'TD_TotalNatureTransac'!$B$2:$B$181,B5,'TD_TotalNatureTransac'!$C$2:$C$181,"Z",'TD_TotalNatureTransac'!$D$2:$D$181,"REF./TIROIR")</f>
        <v/>
      </c>
    </row>
    <row r="6">
      <c r="A6" s="6" t="n">
        <v>2023</v>
      </c>
      <c r="B6" s="5" t="inlineStr">
        <is>
          <t>2023-05</t>
        </is>
      </c>
      <c r="C6" s="5">
        <f>SUMIFS('TD_TotalNatureTransac'!$E$2:$E$181,'TD_TotalNatureTransac'!$B$2:$B$181,B6,'TD_TotalNatureTransac'!$C$2:$C$181,"Z",'TD_TotalNatureTransac'!$D$2:$D$181,"CARTES")</f>
        <v/>
      </c>
      <c r="D6" s="5">
        <f>SUMIFS('TD_TotalNatureTransac'!$F$2:$F$181,'TD_TotalNatureTransac'!$B$2:$B$181,B6,'TD_TotalNatureTransac'!$C$2:$C$181,"Z",'TD_TotalNatureTransac'!$D$2:$D$181,"CARTES")</f>
        <v/>
      </c>
      <c r="E6" s="5">
        <f>SUMIFS('TD_TotalNatureTransac'!$E$2:$E$181,'TD_TotalNatureTransac'!$B$2:$B$181,B6,'TD_TotalNatureTransac'!$C$2:$C$181,"Z",'TD_TotalNatureTransac'!$D$2:$D$181,"CHEQUES")</f>
        <v/>
      </c>
      <c r="F6" s="5">
        <f>SUMIFS('TD_TotalNatureTransac'!$F$2:$F$181,'TD_TotalNatureTransac'!$B$2:$B$181,B6,'TD_TotalNatureTransac'!$C$2:$C$181,"Z",'TD_TotalNatureTransac'!$D$2:$D$181,"CHEQUES")</f>
        <v/>
      </c>
      <c r="G6" s="5">
        <f>SUMIFS('TD_TotalNatureTransac'!$E$2:$E$181,'TD_TotalNatureTransac'!$B$2:$B$181,B6,'TD_TotalNatureTransac'!$C$2:$C$181,"Z",'TD_TotalNatureTransac'!$D$2:$D$181,"CORRECTION")</f>
        <v/>
      </c>
      <c r="H6" s="5">
        <f>SUMIFS('TD_TotalNatureTransac'!$F$2:$F$181,'TD_TotalNatureTransac'!$B$2:$B$181,B6,'TD_TotalNatureTransac'!$C$2:$C$181,"Z",'TD_TotalNatureTransac'!$D$2:$D$181,"CORRECTION")</f>
        <v/>
      </c>
      <c r="I6" s="5">
        <f>SUMIFS('TD_TotalNatureTransac'!$E$2:$E$181,'TD_TotalNatureTransac'!$B$2:$B$181,B6,'TD_TotalNatureTransac'!$C$2:$C$181,"Z",'TD_TotalNatureTransac'!$D$2:$D$181,"ESPECES")</f>
        <v/>
      </c>
      <c r="J6" s="5">
        <f>SUMIFS('TD_TotalNatureTransac'!$F$2:$F$181,'TD_TotalNatureTransac'!$B$2:$B$181,B6,'TD_TotalNatureTransac'!$C$2:$C$181,"Z",'TD_TotalNatureTransac'!$D$2:$D$181,"ESPECES")</f>
        <v/>
      </c>
      <c r="K6" s="5">
        <f>SUMIFS('TD_TotalNatureTransac'!$E$2:$E$181,'TD_TotalNatureTransac'!$B$2:$B$181,B6,'TD_TotalNatureTransac'!$C$2:$C$181,"Z",'TD_TotalNatureTransac'!$D$2:$D$181,"REF./TIROIR")</f>
        <v/>
      </c>
      <c r="L6" s="5">
        <f>SUMIFS('TD_TotalNatureTransac'!$F$2:$F$181,'TD_TotalNatureTransac'!$B$2:$B$181,B6,'TD_TotalNatureTransac'!$C$2:$C$181,"Z",'TD_TotalNatureTransac'!$D$2:$D$181,"REF./TIROIR")</f>
        <v/>
      </c>
    </row>
    <row r="7">
      <c r="A7" s="6" t="n">
        <v>2023</v>
      </c>
      <c r="B7" s="5" t="inlineStr">
        <is>
          <t>2023-06</t>
        </is>
      </c>
      <c r="C7" s="5">
        <f>SUMIFS('TD_TotalNatureTransac'!$E$2:$E$181,'TD_TotalNatureTransac'!$B$2:$B$181,B7,'TD_TotalNatureTransac'!$C$2:$C$181,"Z",'TD_TotalNatureTransac'!$D$2:$D$181,"CARTES")</f>
        <v/>
      </c>
      <c r="D7" s="5">
        <f>SUMIFS('TD_TotalNatureTransac'!$F$2:$F$181,'TD_TotalNatureTransac'!$B$2:$B$181,B7,'TD_TotalNatureTransac'!$C$2:$C$181,"Z",'TD_TotalNatureTransac'!$D$2:$D$181,"CARTES")</f>
        <v/>
      </c>
      <c r="E7" s="5">
        <f>SUMIFS('TD_TotalNatureTransac'!$E$2:$E$181,'TD_TotalNatureTransac'!$B$2:$B$181,B7,'TD_TotalNatureTransac'!$C$2:$C$181,"Z",'TD_TotalNatureTransac'!$D$2:$D$181,"CHEQUES")</f>
        <v/>
      </c>
      <c r="F7" s="5">
        <f>SUMIFS('TD_TotalNatureTransac'!$F$2:$F$181,'TD_TotalNatureTransac'!$B$2:$B$181,B7,'TD_TotalNatureTransac'!$C$2:$C$181,"Z",'TD_TotalNatureTransac'!$D$2:$D$181,"CHEQUES")</f>
        <v/>
      </c>
      <c r="G7" s="5">
        <f>SUMIFS('TD_TotalNatureTransac'!$E$2:$E$181,'TD_TotalNatureTransac'!$B$2:$B$181,B7,'TD_TotalNatureTransac'!$C$2:$C$181,"Z",'TD_TotalNatureTransac'!$D$2:$D$181,"CORRECTION")</f>
        <v/>
      </c>
      <c r="H7" s="5">
        <f>SUMIFS('TD_TotalNatureTransac'!$F$2:$F$181,'TD_TotalNatureTransac'!$B$2:$B$181,B7,'TD_TotalNatureTransac'!$C$2:$C$181,"Z",'TD_TotalNatureTransac'!$D$2:$D$181,"CORRECTION")</f>
        <v/>
      </c>
      <c r="I7" s="5">
        <f>SUMIFS('TD_TotalNatureTransac'!$E$2:$E$181,'TD_TotalNatureTransac'!$B$2:$B$181,B7,'TD_TotalNatureTransac'!$C$2:$C$181,"Z",'TD_TotalNatureTransac'!$D$2:$D$181,"ESPECES")</f>
        <v/>
      </c>
      <c r="J7" s="5">
        <f>SUMIFS('TD_TotalNatureTransac'!$F$2:$F$181,'TD_TotalNatureTransac'!$B$2:$B$181,B7,'TD_TotalNatureTransac'!$C$2:$C$181,"Z",'TD_TotalNatureTransac'!$D$2:$D$181,"ESPECES")</f>
        <v/>
      </c>
      <c r="K7" s="5">
        <f>SUMIFS('TD_TotalNatureTransac'!$E$2:$E$181,'TD_TotalNatureTransac'!$B$2:$B$181,B7,'TD_TotalNatureTransac'!$C$2:$C$181,"Z",'TD_TotalNatureTransac'!$D$2:$D$181,"REF./TIROIR")</f>
        <v/>
      </c>
      <c r="L7" s="5">
        <f>SUMIFS('TD_TotalNatureTransac'!$F$2:$F$181,'TD_TotalNatureTransac'!$B$2:$B$181,B7,'TD_TotalNatureTransac'!$C$2:$C$181,"Z",'TD_TotalNatureTransac'!$D$2:$D$181,"REF./TIROIR")</f>
        <v/>
      </c>
    </row>
    <row r="8">
      <c r="A8" s="6" t="n">
        <v>2023</v>
      </c>
      <c r="B8" s="5" t="inlineStr">
        <is>
          <t>2023-07</t>
        </is>
      </c>
      <c r="C8" s="5">
        <f>SUMIFS('TD_TotalNatureTransac'!$E$2:$E$181,'TD_TotalNatureTransac'!$B$2:$B$181,B8,'TD_TotalNatureTransac'!$C$2:$C$181,"Z",'TD_TotalNatureTransac'!$D$2:$D$181,"CARTES")</f>
        <v/>
      </c>
      <c r="D8" s="5">
        <f>SUMIFS('TD_TotalNatureTransac'!$F$2:$F$181,'TD_TotalNatureTransac'!$B$2:$B$181,B8,'TD_TotalNatureTransac'!$C$2:$C$181,"Z",'TD_TotalNatureTransac'!$D$2:$D$181,"CARTES")</f>
        <v/>
      </c>
      <c r="E8" s="5">
        <f>SUMIFS('TD_TotalNatureTransac'!$E$2:$E$181,'TD_TotalNatureTransac'!$B$2:$B$181,B8,'TD_TotalNatureTransac'!$C$2:$C$181,"Z",'TD_TotalNatureTransac'!$D$2:$D$181,"CHEQUES")</f>
        <v/>
      </c>
      <c r="F8" s="5">
        <f>SUMIFS('TD_TotalNatureTransac'!$F$2:$F$181,'TD_TotalNatureTransac'!$B$2:$B$181,B8,'TD_TotalNatureTransac'!$C$2:$C$181,"Z",'TD_TotalNatureTransac'!$D$2:$D$181,"CHEQUES")</f>
        <v/>
      </c>
      <c r="G8" s="5">
        <f>SUMIFS('TD_TotalNatureTransac'!$E$2:$E$181,'TD_TotalNatureTransac'!$B$2:$B$181,B8,'TD_TotalNatureTransac'!$C$2:$C$181,"Z",'TD_TotalNatureTransac'!$D$2:$D$181,"CORRECTION")</f>
        <v/>
      </c>
      <c r="H8" s="5">
        <f>SUMIFS('TD_TotalNatureTransac'!$F$2:$F$181,'TD_TotalNatureTransac'!$B$2:$B$181,B8,'TD_TotalNatureTransac'!$C$2:$C$181,"Z",'TD_TotalNatureTransac'!$D$2:$D$181,"CORRECTION")</f>
        <v/>
      </c>
      <c r="I8" s="5">
        <f>SUMIFS('TD_TotalNatureTransac'!$E$2:$E$181,'TD_TotalNatureTransac'!$B$2:$B$181,B8,'TD_TotalNatureTransac'!$C$2:$C$181,"Z",'TD_TotalNatureTransac'!$D$2:$D$181,"ESPECES")</f>
        <v/>
      </c>
      <c r="J8" s="5">
        <f>SUMIFS('TD_TotalNatureTransac'!$F$2:$F$181,'TD_TotalNatureTransac'!$B$2:$B$181,B8,'TD_TotalNatureTransac'!$C$2:$C$181,"Z",'TD_TotalNatureTransac'!$D$2:$D$181,"ESPECES")</f>
        <v/>
      </c>
      <c r="K8" s="5">
        <f>SUMIFS('TD_TotalNatureTransac'!$E$2:$E$181,'TD_TotalNatureTransac'!$B$2:$B$181,B8,'TD_TotalNatureTransac'!$C$2:$C$181,"Z",'TD_TotalNatureTransac'!$D$2:$D$181,"REF./TIROIR")</f>
        <v/>
      </c>
      <c r="L8" s="5">
        <f>SUMIFS('TD_TotalNatureTransac'!$F$2:$F$181,'TD_TotalNatureTransac'!$B$2:$B$181,B8,'TD_TotalNatureTransac'!$C$2:$C$181,"Z",'TD_TotalNatureTransac'!$D$2:$D$181,"REF./TIROIR")</f>
        <v/>
      </c>
    </row>
    <row r="9">
      <c r="A9" s="6" t="n">
        <v>2023</v>
      </c>
      <c r="B9" s="5" t="inlineStr">
        <is>
          <t>2023-08</t>
        </is>
      </c>
      <c r="C9" s="5">
        <f>SUMIFS('TD_TotalNatureTransac'!$E$2:$E$181,'TD_TotalNatureTransac'!$B$2:$B$181,B9,'TD_TotalNatureTransac'!$C$2:$C$181,"Z",'TD_TotalNatureTransac'!$D$2:$D$181,"CARTES")</f>
        <v/>
      </c>
      <c r="D9" s="5">
        <f>SUMIFS('TD_TotalNatureTransac'!$F$2:$F$181,'TD_TotalNatureTransac'!$B$2:$B$181,B9,'TD_TotalNatureTransac'!$C$2:$C$181,"Z",'TD_TotalNatureTransac'!$D$2:$D$181,"CARTES")</f>
        <v/>
      </c>
      <c r="E9" s="5">
        <f>SUMIFS('TD_TotalNatureTransac'!$E$2:$E$181,'TD_TotalNatureTransac'!$B$2:$B$181,B9,'TD_TotalNatureTransac'!$C$2:$C$181,"Z",'TD_TotalNatureTransac'!$D$2:$D$181,"CHEQUES")</f>
        <v/>
      </c>
      <c r="F9" s="5">
        <f>SUMIFS('TD_TotalNatureTransac'!$F$2:$F$181,'TD_TotalNatureTransac'!$B$2:$B$181,B9,'TD_TotalNatureTransac'!$C$2:$C$181,"Z",'TD_TotalNatureTransac'!$D$2:$D$181,"CHEQUES")</f>
        <v/>
      </c>
      <c r="G9" s="5">
        <f>SUMIFS('TD_TotalNatureTransac'!$E$2:$E$181,'TD_TotalNatureTransac'!$B$2:$B$181,B9,'TD_TotalNatureTransac'!$C$2:$C$181,"Z",'TD_TotalNatureTransac'!$D$2:$D$181,"CORRECTION")</f>
        <v/>
      </c>
      <c r="H9" s="5">
        <f>SUMIFS('TD_TotalNatureTransac'!$F$2:$F$181,'TD_TotalNatureTransac'!$B$2:$B$181,B9,'TD_TotalNatureTransac'!$C$2:$C$181,"Z",'TD_TotalNatureTransac'!$D$2:$D$181,"CORRECTION")</f>
        <v/>
      </c>
      <c r="I9" s="5">
        <f>SUMIFS('TD_TotalNatureTransac'!$E$2:$E$181,'TD_TotalNatureTransac'!$B$2:$B$181,B9,'TD_TotalNatureTransac'!$C$2:$C$181,"Z",'TD_TotalNatureTransac'!$D$2:$D$181,"ESPECES")</f>
        <v/>
      </c>
      <c r="J9" s="5">
        <f>SUMIFS('TD_TotalNatureTransac'!$F$2:$F$181,'TD_TotalNatureTransac'!$B$2:$B$181,B9,'TD_TotalNatureTransac'!$C$2:$C$181,"Z",'TD_TotalNatureTransac'!$D$2:$D$181,"ESPECES")</f>
        <v/>
      </c>
      <c r="K9" s="5">
        <f>SUMIFS('TD_TotalNatureTransac'!$E$2:$E$181,'TD_TotalNatureTransac'!$B$2:$B$181,B9,'TD_TotalNatureTransac'!$C$2:$C$181,"Z",'TD_TotalNatureTransac'!$D$2:$D$181,"REF./TIROIR")</f>
        <v/>
      </c>
      <c r="L9" s="5">
        <f>SUMIFS('TD_TotalNatureTransac'!$F$2:$F$181,'TD_TotalNatureTransac'!$B$2:$B$181,B9,'TD_TotalNatureTransac'!$C$2:$C$181,"Z",'TD_TotalNatureTransac'!$D$2:$D$181,"REF./TIROIR")</f>
        <v/>
      </c>
    </row>
    <row r="10">
      <c r="A10" s="6" t="n">
        <v>2023</v>
      </c>
      <c r="B10" s="5" t="inlineStr">
        <is>
          <t>2023-09</t>
        </is>
      </c>
      <c r="C10" s="5">
        <f>SUMIFS('TD_TotalNatureTransac'!$E$2:$E$181,'TD_TotalNatureTransac'!$B$2:$B$181,B10,'TD_TotalNatureTransac'!$C$2:$C$181,"Z",'TD_TotalNatureTransac'!$D$2:$D$181,"CARTES")</f>
        <v/>
      </c>
      <c r="D10" s="5">
        <f>SUMIFS('TD_TotalNatureTransac'!$F$2:$F$181,'TD_TotalNatureTransac'!$B$2:$B$181,B10,'TD_TotalNatureTransac'!$C$2:$C$181,"Z",'TD_TotalNatureTransac'!$D$2:$D$181,"CARTES")</f>
        <v/>
      </c>
      <c r="E10" s="5">
        <f>SUMIFS('TD_TotalNatureTransac'!$E$2:$E$181,'TD_TotalNatureTransac'!$B$2:$B$181,B10,'TD_TotalNatureTransac'!$C$2:$C$181,"Z",'TD_TotalNatureTransac'!$D$2:$D$181,"CHEQUES")</f>
        <v/>
      </c>
      <c r="F10" s="5">
        <f>SUMIFS('TD_TotalNatureTransac'!$F$2:$F$181,'TD_TotalNatureTransac'!$B$2:$B$181,B10,'TD_TotalNatureTransac'!$C$2:$C$181,"Z",'TD_TotalNatureTransac'!$D$2:$D$181,"CHEQUES")</f>
        <v/>
      </c>
      <c r="G10" s="5">
        <f>SUMIFS('TD_TotalNatureTransac'!$E$2:$E$181,'TD_TotalNatureTransac'!$B$2:$B$181,B10,'TD_TotalNatureTransac'!$C$2:$C$181,"Z",'TD_TotalNatureTransac'!$D$2:$D$181,"CORRECTION")</f>
        <v/>
      </c>
      <c r="H10" s="5">
        <f>SUMIFS('TD_TotalNatureTransac'!$F$2:$F$181,'TD_TotalNatureTransac'!$B$2:$B$181,B10,'TD_TotalNatureTransac'!$C$2:$C$181,"Z",'TD_TotalNatureTransac'!$D$2:$D$181,"CORRECTION")</f>
        <v/>
      </c>
      <c r="I10" s="5">
        <f>SUMIFS('TD_TotalNatureTransac'!$E$2:$E$181,'TD_TotalNatureTransac'!$B$2:$B$181,B10,'TD_TotalNatureTransac'!$C$2:$C$181,"Z",'TD_TotalNatureTransac'!$D$2:$D$181,"ESPECES")</f>
        <v/>
      </c>
      <c r="J10" s="5">
        <f>SUMIFS('TD_TotalNatureTransac'!$F$2:$F$181,'TD_TotalNatureTransac'!$B$2:$B$181,B10,'TD_TotalNatureTransac'!$C$2:$C$181,"Z",'TD_TotalNatureTransac'!$D$2:$D$181,"ESPECES")</f>
        <v/>
      </c>
      <c r="K10" s="5">
        <f>SUMIFS('TD_TotalNatureTransac'!$E$2:$E$181,'TD_TotalNatureTransac'!$B$2:$B$181,B10,'TD_TotalNatureTransac'!$C$2:$C$181,"Z",'TD_TotalNatureTransac'!$D$2:$D$181,"REF./TIROIR")</f>
        <v/>
      </c>
      <c r="L10" s="5">
        <f>SUMIFS('TD_TotalNatureTransac'!$F$2:$F$181,'TD_TotalNatureTransac'!$B$2:$B$181,B10,'TD_TotalNatureTransac'!$C$2:$C$181,"Z",'TD_TotalNatureTransac'!$D$2:$D$181,"REF./TIROIR")</f>
        <v/>
      </c>
    </row>
    <row r="11">
      <c r="A11" s="6" t="n">
        <v>2023</v>
      </c>
      <c r="B11" s="5" t="inlineStr">
        <is>
          <t>2023-10</t>
        </is>
      </c>
      <c r="C11" s="5">
        <f>SUMIFS('TD_TotalNatureTransac'!$E$2:$E$181,'TD_TotalNatureTransac'!$B$2:$B$181,B11,'TD_TotalNatureTransac'!$C$2:$C$181,"Z",'TD_TotalNatureTransac'!$D$2:$D$181,"CARTES")</f>
        <v/>
      </c>
      <c r="D11" s="5">
        <f>SUMIFS('TD_TotalNatureTransac'!$F$2:$F$181,'TD_TotalNatureTransac'!$B$2:$B$181,B11,'TD_TotalNatureTransac'!$C$2:$C$181,"Z",'TD_TotalNatureTransac'!$D$2:$D$181,"CARTES")</f>
        <v/>
      </c>
      <c r="E11" s="5">
        <f>SUMIFS('TD_TotalNatureTransac'!$E$2:$E$181,'TD_TotalNatureTransac'!$B$2:$B$181,B11,'TD_TotalNatureTransac'!$C$2:$C$181,"Z",'TD_TotalNatureTransac'!$D$2:$D$181,"CHEQUES")</f>
        <v/>
      </c>
      <c r="F11" s="5">
        <f>SUMIFS('TD_TotalNatureTransac'!$F$2:$F$181,'TD_TotalNatureTransac'!$B$2:$B$181,B11,'TD_TotalNatureTransac'!$C$2:$C$181,"Z",'TD_TotalNatureTransac'!$D$2:$D$181,"CHEQUES")</f>
        <v/>
      </c>
      <c r="G11" s="5">
        <f>SUMIFS('TD_TotalNatureTransac'!$E$2:$E$181,'TD_TotalNatureTransac'!$B$2:$B$181,B11,'TD_TotalNatureTransac'!$C$2:$C$181,"Z",'TD_TotalNatureTransac'!$D$2:$D$181,"CORRECTION")</f>
        <v/>
      </c>
      <c r="H11" s="5">
        <f>SUMIFS('TD_TotalNatureTransac'!$F$2:$F$181,'TD_TotalNatureTransac'!$B$2:$B$181,B11,'TD_TotalNatureTransac'!$C$2:$C$181,"Z",'TD_TotalNatureTransac'!$D$2:$D$181,"CORRECTION")</f>
        <v/>
      </c>
      <c r="I11" s="5">
        <f>SUMIFS('TD_TotalNatureTransac'!$E$2:$E$181,'TD_TotalNatureTransac'!$B$2:$B$181,B11,'TD_TotalNatureTransac'!$C$2:$C$181,"Z",'TD_TotalNatureTransac'!$D$2:$D$181,"ESPECES")</f>
        <v/>
      </c>
      <c r="J11" s="5">
        <f>SUMIFS('TD_TotalNatureTransac'!$F$2:$F$181,'TD_TotalNatureTransac'!$B$2:$B$181,B11,'TD_TotalNatureTransac'!$C$2:$C$181,"Z",'TD_TotalNatureTransac'!$D$2:$D$181,"ESPECES")</f>
        <v/>
      </c>
      <c r="K11" s="5">
        <f>SUMIFS('TD_TotalNatureTransac'!$E$2:$E$181,'TD_TotalNatureTransac'!$B$2:$B$181,B11,'TD_TotalNatureTransac'!$C$2:$C$181,"Z",'TD_TotalNatureTransac'!$D$2:$D$181,"REF./TIROIR")</f>
        <v/>
      </c>
      <c r="L11" s="5">
        <f>SUMIFS('TD_TotalNatureTransac'!$F$2:$F$181,'TD_TotalNatureTransac'!$B$2:$B$181,B11,'TD_TotalNatureTransac'!$C$2:$C$181,"Z",'TD_TotalNatureTransac'!$D$2:$D$181,"REF./TIROIR")</f>
        <v/>
      </c>
    </row>
    <row r="12">
      <c r="A12" s="6" t="n">
        <v>2023</v>
      </c>
      <c r="B12" s="5" t="inlineStr">
        <is>
          <t>2023-11</t>
        </is>
      </c>
      <c r="C12" s="5">
        <f>SUMIFS('TD_TotalNatureTransac'!$E$2:$E$181,'TD_TotalNatureTransac'!$B$2:$B$181,B12,'TD_TotalNatureTransac'!$C$2:$C$181,"Z",'TD_TotalNatureTransac'!$D$2:$D$181,"CARTES")</f>
        <v/>
      </c>
      <c r="D12" s="5">
        <f>SUMIFS('TD_TotalNatureTransac'!$F$2:$F$181,'TD_TotalNatureTransac'!$B$2:$B$181,B12,'TD_TotalNatureTransac'!$C$2:$C$181,"Z",'TD_TotalNatureTransac'!$D$2:$D$181,"CARTES")</f>
        <v/>
      </c>
      <c r="E12" s="5">
        <f>SUMIFS('TD_TotalNatureTransac'!$E$2:$E$181,'TD_TotalNatureTransac'!$B$2:$B$181,B12,'TD_TotalNatureTransac'!$C$2:$C$181,"Z",'TD_TotalNatureTransac'!$D$2:$D$181,"CHEQUES")</f>
        <v/>
      </c>
      <c r="F12" s="5">
        <f>SUMIFS('TD_TotalNatureTransac'!$F$2:$F$181,'TD_TotalNatureTransac'!$B$2:$B$181,B12,'TD_TotalNatureTransac'!$C$2:$C$181,"Z",'TD_TotalNatureTransac'!$D$2:$D$181,"CHEQUES")</f>
        <v/>
      </c>
      <c r="G12" s="5">
        <f>SUMIFS('TD_TotalNatureTransac'!$E$2:$E$181,'TD_TotalNatureTransac'!$B$2:$B$181,B12,'TD_TotalNatureTransac'!$C$2:$C$181,"Z",'TD_TotalNatureTransac'!$D$2:$D$181,"CORRECTION")</f>
        <v/>
      </c>
      <c r="H12" s="5">
        <f>SUMIFS('TD_TotalNatureTransac'!$F$2:$F$181,'TD_TotalNatureTransac'!$B$2:$B$181,B12,'TD_TotalNatureTransac'!$C$2:$C$181,"Z",'TD_TotalNatureTransac'!$D$2:$D$181,"CORRECTION")</f>
        <v/>
      </c>
      <c r="I12" s="5">
        <f>SUMIFS('TD_TotalNatureTransac'!$E$2:$E$181,'TD_TotalNatureTransac'!$B$2:$B$181,B12,'TD_TotalNatureTransac'!$C$2:$C$181,"Z",'TD_TotalNatureTransac'!$D$2:$D$181,"ESPECES")</f>
        <v/>
      </c>
      <c r="J12" s="5">
        <f>SUMIFS('TD_TotalNatureTransac'!$F$2:$F$181,'TD_TotalNatureTransac'!$B$2:$B$181,B12,'TD_TotalNatureTransac'!$C$2:$C$181,"Z",'TD_TotalNatureTransac'!$D$2:$D$181,"ESPECES")</f>
        <v/>
      </c>
      <c r="K12" s="5">
        <f>SUMIFS('TD_TotalNatureTransac'!$E$2:$E$181,'TD_TotalNatureTransac'!$B$2:$B$181,B12,'TD_TotalNatureTransac'!$C$2:$C$181,"Z",'TD_TotalNatureTransac'!$D$2:$D$181,"REF./TIROIR")</f>
        <v/>
      </c>
      <c r="L12" s="5">
        <f>SUMIFS('TD_TotalNatureTransac'!$F$2:$F$181,'TD_TotalNatureTransac'!$B$2:$B$181,B12,'TD_TotalNatureTransac'!$C$2:$C$181,"Z",'TD_TotalNatureTransac'!$D$2:$D$181,"REF./TIROIR")</f>
        <v/>
      </c>
    </row>
    <row r="13">
      <c r="A13" s="6" t="n">
        <v>2023</v>
      </c>
      <c r="B13" s="5" t="inlineStr">
        <is>
          <t>2023-12</t>
        </is>
      </c>
      <c r="C13" s="5">
        <f>SUMIFS('TD_TotalNatureTransac'!$E$2:$E$181,'TD_TotalNatureTransac'!$B$2:$B$181,B13,'TD_TotalNatureTransac'!$C$2:$C$181,"Z",'TD_TotalNatureTransac'!$D$2:$D$181,"CARTES")</f>
        <v/>
      </c>
      <c r="D13" s="5">
        <f>SUMIFS('TD_TotalNatureTransac'!$F$2:$F$181,'TD_TotalNatureTransac'!$B$2:$B$181,B13,'TD_TotalNatureTransac'!$C$2:$C$181,"Z",'TD_TotalNatureTransac'!$D$2:$D$181,"CARTES")</f>
        <v/>
      </c>
      <c r="E13" s="5">
        <f>SUMIFS('TD_TotalNatureTransac'!$E$2:$E$181,'TD_TotalNatureTransac'!$B$2:$B$181,B13,'TD_TotalNatureTransac'!$C$2:$C$181,"Z",'TD_TotalNatureTransac'!$D$2:$D$181,"CHEQUES")</f>
        <v/>
      </c>
      <c r="F13" s="5">
        <f>SUMIFS('TD_TotalNatureTransac'!$F$2:$F$181,'TD_TotalNatureTransac'!$B$2:$B$181,B13,'TD_TotalNatureTransac'!$C$2:$C$181,"Z",'TD_TotalNatureTransac'!$D$2:$D$181,"CHEQUES")</f>
        <v/>
      </c>
      <c r="G13" s="5">
        <f>SUMIFS('TD_TotalNatureTransac'!$E$2:$E$181,'TD_TotalNatureTransac'!$B$2:$B$181,B13,'TD_TotalNatureTransac'!$C$2:$C$181,"Z",'TD_TotalNatureTransac'!$D$2:$D$181,"CORRECTION")</f>
        <v/>
      </c>
      <c r="H13" s="5">
        <f>SUMIFS('TD_TotalNatureTransac'!$F$2:$F$181,'TD_TotalNatureTransac'!$B$2:$B$181,B13,'TD_TotalNatureTransac'!$C$2:$C$181,"Z",'TD_TotalNatureTransac'!$D$2:$D$181,"CORRECTION")</f>
        <v/>
      </c>
      <c r="I13" s="5">
        <f>SUMIFS('TD_TotalNatureTransac'!$E$2:$E$181,'TD_TotalNatureTransac'!$B$2:$B$181,B13,'TD_TotalNatureTransac'!$C$2:$C$181,"Z",'TD_TotalNatureTransac'!$D$2:$D$181,"ESPECES")</f>
        <v/>
      </c>
      <c r="J13" s="5">
        <f>SUMIFS('TD_TotalNatureTransac'!$F$2:$F$181,'TD_TotalNatureTransac'!$B$2:$B$181,B13,'TD_TotalNatureTransac'!$C$2:$C$181,"Z",'TD_TotalNatureTransac'!$D$2:$D$181,"ESPECES")</f>
        <v/>
      </c>
      <c r="K13" s="5">
        <f>SUMIFS('TD_TotalNatureTransac'!$E$2:$E$181,'TD_TotalNatureTransac'!$B$2:$B$181,B13,'TD_TotalNatureTransac'!$C$2:$C$181,"Z",'TD_TotalNatureTransac'!$D$2:$D$181,"REF./TIROIR")</f>
        <v/>
      </c>
      <c r="L13" s="5">
        <f>SUMIFS('TD_TotalNatureTransac'!$F$2:$F$181,'TD_TotalNatureTransac'!$B$2:$B$181,B13,'TD_TotalNatureTransac'!$C$2:$C$181,"Z",'TD_TotalNatureTransac'!$D$2:$D$181,"REF./TIROIR")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6" t="n">
        <v>2023</v>
      </c>
      <c r="B2" s="5" t="inlineStr">
        <is>
          <t>2023-01</t>
        </is>
      </c>
      <c r="C2" s="2">
        <f>'Z2_Total_ModeZ'!D2</f>
        <v/>
      </c>
      <c r="D2" s="2" t="n">
        <v>17964.6</v>
      </c>
      <c r="E2" s="5">
        <f>C2-D2</f>
        <v/>
      </c>
      <c r="F2" s="2">
        <f>'Z2_Total_ModeZ'!F2</f>
        <v/>
      </c>
      <c r="G2" s="2" t="n">
        <v>0</v>
      </c>
      <c r="H2" s="5">
        <f>F2-G2</f>
        <v/>
      </c>
      <c r="I2" s="2">
        <f>'Z2_Total_ModeZ'!J2</f>
        <v/>
      </c>
      <c r="J2" s="2" t="n">
        <v>5248</v>
      </c>
      <c r="K2" s="5">
        <f>I2-J2</f>
        <v/>
      </c>
    </row>
    <row r="3">
      <c r="A3" s="6" t="n">
        <v>2023</v>
      </c>
      <c r="B3" s="5" t="inlineStr">
        <is>
          <t>2023-02</t>
        </is>
      </c>
      <c r="C3" s="2">
        <f>'Z2_Total_ModeZ'!D3</f>
        <v/>
      </c>
      <c r="D3" s="2" t="n">
        <v>11477</v>
      </c>
      <c r="E3" s="5">
        <f>C3-D3</f>
        <v/>
      </c>
      <c r="F3" s="2">
        <f>'Z2_Total_ModeZ'!F3</f>
        <v/>
      </c>
      <c r="G3" s="2" t="n">
        <v>329</v>
      </c>
      <c r="H3" s="5">
        <f>F3-G3</f>
        <v/>
      </c>
      <c r="I3" s="2">
        <f>'Z2_Total_ModeZ'!J3</f>
        <v/>
      </c>
      <c r="J3" s="2" t="n">
        <v>8570.799999999999</v>
      </c>
      <c r="K3" s="5">
        <f>I3-J3</f>
        <v/>
      </c>
    </row>
    <row r="4">
      <c r="A4" s="6" t="n">
        <v>2023</v>
      </c>
      <c r="B4" s="5" t="inlineStr">
        <is>
          <t>2023-03</t>
        </is>
      </c>
      <c r="C4" s="2">
        <f>'Z2_Total_ModeZ'!D4</f>
        <v/>
      </c>
      <c r="D4" s="2" t="n">
        <v>15536</v>
      </c>
      <c r="E4" s="5">
        <f>C4-D4</f>
        <v/>
      </c>
      <c r="F4" s="2">
        <f>'Z2_Total_ModeZ'!F4</f>
        <v/>
      </c>
      <c r="G4" s="2" t="n">
        <v>0</v>
      </c>
      <c r="H4" s="5">
        <f>F4-G4</f>
        <v/>
      </c>
      <c r="I4" s="2">
        <f>'Z2_Total_ModeZ'!J4</f>
        <v/>
      </c>
      <c r="J4" s="2" t="n">
        <v>9836</v>
      </c>
      <c r="K4" s="5">
        <f>I4-J4</f>
        <v/>
      </c>
    </row>
    <row r="5">
      <c r="A5" s="6" t="n">
        <v>2023</v>
      </c>
      <c r="B5" s="5" t="inlineStr">
        <is>
          <t>2023-04</t>
        </is>
      </c>
      <c r="C5" s="2">
        <f>'Z2_Total_ModeZ'!D5</f>
        <v/>
      </c>
      <c r="D5" s="2" t="n">
        <v>9995</v>
      </c>
      <c r="E5" s="5">
        <f>C5-D5</f>
        <v/>
      </c>
      <c r="F5" s="2">
        <f>'Z2_Total_ModeZ'!F5</f>
        <v/>
      </c>
      <c r="G5" s="2" t="n">
        <v>0</v>
      </c>
      <c r="H5" s="5">
        <f>F5-G5</f>
        <v/>
      </c>
      <c r="I5" s="2">
        <f>'Z2_Total_ModeZ'!J5</f>
        <v/>
      </c>
      <c r="J5" s="2" t="n">
        <v>3442</v>
      </c>
      <c r="K5" s="5">
        <f>I5-J5</f>
        <v/>
      </c>
    </row>
    <row r="6">
      <c r="A6" s="6" t="n">
        <v>2023</v>
      </c>
      <c r="B6" s="5" t="inlineStr">
        <is>
          <t>2023-05</t>
        </is>
      </c>
      <c r="C6" s="2">
        <f>'Z2_Total_ModeZ'!D6</f>
        <v/>
      </c>
      <c r="D6" s="2" t="n">
        <v>12585</v>
      </c>
      <c r="E6" s="5">
        <f>C6-D6</f>
        <v/>
      </c>
      <c r="F6" s="2">
        <f>'Z2_Total_ModeZ'!F6</f>
        <v/>
      </c>
      <c r="G6" s="2" t="n">
        <v>0</v>
      </c>
      <c r="H6" s="5">
        <f>F6-G6</f>
        <v/>
      </c>
      <c r="I6" s="2">
        <f>'Z2_Total_ModeZ'!J6</f>
        <v/>
      </c>
      <c r="J6" s="2" t="n">
        <v>2961</v>
      </c>
      <c r="K6" s="5">
        <f>I6-J6</f>
        <v/>
      </c>
    </row>
    <row r="7">
      <c r="A7" s="6" t="n">
        <v>2023</v>
      </c>
      <c r="B7" s="5" t="inlineStr">
        <is>
          <t>2023-06</t>
        </is>
      </c>
      <c r="C7" s="2">
        <f>'Z2_Total_ModeZ'!D7</f>
        <v/>
      </c>
      <c r="D7" s="2" t="n">
        <v>27185.98</v>
      </c>
      <c r="E7" s="5">
        <f>C7-D7</f>
        <v/>
      </c>
      <c r="F7" s="2">
        <f>'Z2_Total_ModeZ'!F7</f>
        <v/>
      </c>
      <c r="G7" s="2" t="n">
        <v>0</v>
      </c>
      <c r="H7" s="5">
        <f>F7-G7</f>
        <v/>
      </c>
      <c r="I7" s="2">
        <f>'Z2_Total_ModeZ'!J7</f>
        <v/>
      </c>
      <c r="J7" s="2" t="n">
        <v>1730.29</v>
      </c>
      <c r="K7" s="5">
        <f>I7-J7</f>
        <v/>
      </c>
    </row>
    <row r="8">
      <c r="A8" s="6" t="n">
        <v>2023</v>
      </c>
      <c r="B8" s="5" t="inlineStr">
        <is>
          <t>2023-07</t>
        </is>
      </c>
      <c r="C8" s="2">
        <f>'Z2_Total_ModeZ'!D8</f>
        <v/>
      </c>
      <c r="D8" s="2" t="n">
        <v>29413</v>
      </c>
      <c r="E8" s="5">
        <f>C8-D8</f>
        <v/>
      </c>
      <c r="F8" s="2">
        <f>'Z2_Total_ModeZ'!F8</f>
        <v/>
      </c>
      <c r="G8" s="2" t="n">
        <v>0</v>
      </c>
      <c r="H8" s="5">
        <f>F8-G8</f>
        <v/>
      </c>
      <c r="I8" s="2">
        <f>'Z2_Total_ModeZ'!J8</f>
        <v/>
      </c>
      <c r="J8" s="2" t="n">
        <v>1705</v>
      </c>
      <c r="K8" s="5">
        <f>I8-J8</f>
        <v/>
      </c>
    </row>
    <row r="9">
      <c r="A9" s="6" t="n">
        <v>2023</v>
      </c>
      <c r="B9" s="5" t="inlineStr">
        <is>
          <t>2023-08</t>
        </is>
      </c>
      <c r="C9" s="2">
        <f>'Z2_Total_ModeZ'!D9</f>
        <v/>
      </c>
      <c r="D9" s="2" t="n">
        <v>9776</v>
      </c>
      <c r="E9" s="5">
        <f>C9-D9</f>
        <v/>
      </c>
      <c r="F9" s="2">
        <f>'Z2_Total_ModeZ'!F9</f>
        <v/>
      </c>
      <c r="G9" s="2" t="n">
        <v>0</v>
      </c>
      <c r="H9" s="5">
        <f>F9-G9</f>
        <v/>
      </c>
      <c r="I9" s="2">
        <f>'Z2_Total_ModeZ'!J9</f>
        <v/>
      </c>
      <c r="J9" s="2" t="n">
        <v>3918.6</v>
      </c>
      <c r="K9" s="5">
        <f>I9-J9</f>
        <v/>
      </c>
    </row>
    <row r="10">
      <c r="A10" s="6" t="n">
        <v>2023</v>
      </c>
      <c r="B10" s="5" t="inlineStr">
        <is>
          <t>2023-09</t>
        </is>
      </c>
      <c r="C10" s="2">
        <f>'Z2_Total_ModeZ'!D10</f>
        <v/>
      </c>
      <c r="D10" s="2" t="n">
        <v>19377.8</v>
      </c>
      <c r="E10" s="5">
        <f>C10-D10</f>
        <v/>
      </c>
      <c r="F10" s="2">
        <f>'Z2_Total_ModeZ'!F10</f>
        <v/>
      </c>
      <c r="G10" s="2" t="n">
        <v>0</v>
      </c>
      <c r="H10" s="5">
        <f>F10-G10</f>
        <v/>
      </c>
      <c r="I10" s="2">
        <f>'Z2_Total_ModeZ'!J10</f>
        <v/>
      </c>
      <c r="J10" s="2" t="n">
        <v>785.8</v>
      </c>
      <c r="K10" s="5">
        <f>I10-J10</f>
        <v/>
      </c>
    </row>
    <row r="11">
      <c r="A11" s="6" t="n">
        <v>2023</v>
      </c>
      <c r="B11" s="5" t="inlineStr">
        <is>
          <t>2023-10</t>
        </is>
      </c>
      <c r="C11" s="2">
        <f>'Z2_Total_ModeZ'!D11</f>
        <v/>
      </c>
      <c r="D11" s="2" t="n">
        <v>19379</v>
      </c>
      <c r="E11" s="5">
        <f>C11-D11</f>
        <v/>
      </c>
      <c r="F11" s="2">
        <f>'Z2_Total_ModeZ'!F11</f>
        <v/>
      </c>
      <c r="G11" s="2" t="n">
        <v>0</v>
      </c>
      <c r="H11" s="5">
        <f>F11-G11</f>
        <v/>
      </c>
      <c r="I11" s="2">
        <f>'Z2_Total_ModeZ'!J11</f>
        <v/>
      </c>
      <c r="J11" s="2" t="n">
        <v>2942</v>
      </c>
      <c r="K11" s="5">
        <f>I11-J11</f>
        <v/>
      </c>
    </row>
    <row r="12">
      <c r="A12" s="6" t="n">
        <v>2023</v>
      </c>
      <c r="B12" s="5" t="inlineStr">
        <is>
          <t>2023-11</t>
        </is>
      </c>
      <c r="C12" s="2">
        <f>'Z2_Total_ModeZ'!D12</f>
        <v/>
      </c>
      <c r="D12" s="2" t="n">
        <v>0</v>
      </c>
      <c r="E12" s="5">
        <f>C12-D12</f>
        <v/>
      </c>
      <c r="F12" s="2">
        <f>'Z2_Total_ModeZ'!F12</f>
        <v/>
      </c>
      <c r="G12" s="2" t="n">
        <v>0</v>
      </c>
      <c r="H12" s="5">
        <f>F12-G12</f>
        <v/>
      </c>
      <c r="I12" s="2">
        <f>'Z2_Total_ModeZ'!J12</f>
        <v/>
      </c>
      <c r="J12" s="2" t="n">
        <v>0</v>
      </c>
      <c r="K12" s="5">
        <f>I12-J12</f>
        <v/>
      </c>
    </row>
    <row r="13">
      <c r="A13" s="6" t="n">
        <v>2023</v>
      </c>
      <c r="B13" s="5" t="inlineStr">
        <is>
          <t>2023-12</t>
        </is>
      </c>
      <c r="C13" s="2">
        <f>'Z2_Total_ModeZ'!D13</f>
        <v/>
      </c>
      <c r="D13" s="2" t="n">
        <v>0</v>
      </c>
      <c r="E13" s="5">
        <f>C13-D13</f>
        <v/>
      </c>
      <c r="F13" s="2">
        <f>'Z2_Total_ModeZ'!F13</f>
        <v/>
      </c>
      <c r="G13" s="2" t="n">
        <v>0</v>
      </c>
      <c r="H13" s="5">
        <f>F13-G13</f>
        <v/>
      </c>
      <c r="I13" s="2">
        <f>'Z2_Total_ModeZ'!J13</f>
        <v/>
      </c>
      <c r="J13" s="2" t="n">
        <v>0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2026-08-14T12:21:21Z</dcterms:created>
  <dcterms:modified xsi:type="dcterms:W3CDTF">2026-08-14T12:21:22Z</dcterms:modified>
</cp:coreProperties>
</file>
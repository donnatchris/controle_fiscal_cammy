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1_2024_MATURIN_0" sheetId="1" state="visible" r:id="rId1"/>
    <sheet name="Z1_CplteAnneeMois" sheetId="2" state="visible" r:id="rId2"/>
    <sheet name="TD_OccurenceFichMode" sheetId="3" state="visible" r:id="rId3"/>
    <sheet name="TD_Z1_TotalMontant" sheetId="4" state="visible" r:id="rId4"/>
    <sheet name="Z1_Total_ModeZZ1" sheetId="5" state="visible" r:id="rId5"/>
    <sheet name="Z1_Total_ModeZZ2" sheetId="6" state="visible" r:id="rId6"/>
    <sheet name="Z1_Total_ModeZ" sheetId="7" state="visible" r:id="rId7"/>
    <sheet name="Compare_Z_vs_EJ" sheetId="8" state="visible" r:id="rId8"/>
  </sheets>
  <definedNames>
    <definedName name="_xlnm._FilterDatabase" localSheetId="0" hidden="1">'Z1_2024_MATURIN_0'!$A$1:$M$493</definedName>
    <definedName name="_xlnm._FilterDatabase" localSheetId="1" hidden="1">'Z1_CplteAnneeMois'!$A$1:$O$493</definedName>
    <definedName name="_xlnm._FilterDatabase" localSheetId="2" hidden="1">'TD_OccurenceFichMode'!$A$1:$F$13</definedName>
    <definedName name="_xlnm._FilterDatabase" localSheetId="3" hidden="1">'TD_Z1_TotalMontant'!$A$1:$E$253</definedName>
    <definedName name="_xlnm._FilterDatabase" localSheetId="4" hidden="1">'Z1_Total_ModeZZ1'!$A$1:$I$13</definedName>
    <definedName name="_xlnm._FilterDatabase" localSheetId="5" hidden="1">'Z1_Total_ModeZZ2'!$A$1:$I$13</definedName>
    <definedName name="_xlnm._FilterDatabase" localSheetId="6" hidden="1">'Z1_Total_ModeZ'!$A$1:$I$13</definedName>
    <definedName name="_xlnm._FilterDatabase" localSheetId="7" hidden="1">'Compare_Z_vs_EJ'!$A$1:$K$13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1Raw" displayName="Z1Raw" ref="A1:M493" headerRowCount="1">
  <autoFilter ref="A1:M493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1Cplte" displayName="Z1Cplte" ref="A1:O493" headerRowCount="1">
  <autoFilter ref="A1:O493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ccZ1FichMode" displayName="OccZ1FichMode" ref="A1:F13" headerRowCount="1">
  <autoFilter ref="A1:F13"/>
  <tableColumns count="6">
    <tableColumn id="1" name="AJ_ANNEE_Z"/>
    <tableColumn id="2" name="AJ_MOIS_Z"/>
    <tableColumn id="3" name="E_DATE"/>
    <tableColumn id="4" name="E_FICHIER"/>
    <tableColumn id="5" name="E_MODE"/>
    <tableColumn id="6" name="OCCURRE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1TotalMontant" displayName="Z1TotalMontant" ref="A1:E253" headerRowCount="1">
  <autoFilter ref="A1:E253"/>
  <tableColumns count="5">
    <tableColumn id="1" name="AJ_ANNEE_Z"/>
    <tableColumn id="2" name="AJ_MOIS_Z"/>
    <tableColumn id="3" name="E_MODE"/>
    <tableColumn id="4" name="D_DESIGNATION"/>
    <tableColumn id="5" name="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1ModeZZ1" displayName="Z1ModeZZ1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1ModeZZ2" displayName="Z1ModeZZ2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Z1ModeZ" displayName="Z1ModeZ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1EJ" displayName="CompareZ1EJ" ref="A1:K13" headerRowCount="1">
  <autoFilter ref="A1:K13"/>
  <tableColumns count="11">
    <tableColumn id="1" name="AJ_ANNEE_Z"/>
    <tableColumn id="2" name="AJ_MOIS_Z"/>
    <tableColumn id="3" name="CA_TTC_Z1"/>
    <tableColumn id="4" name="CA_TTC_EJ"/>
    <tableColumn id="5" name="AJ_ECART_CA_TTC"/>
    <tableColumn id="6" name="HORS_TAXE_1_Z1"/>
    <tableColumn id="7" name="HORS_TAXE_1_EJ"/>
    <tableColumn id="8" name="AJ_ECART_HORS_TAXE_1"/>
    <tableColumn id="9" name="TVA1_Z1"/>
    <tableColumn id="10" name="TVA1_EJ"/>
    <tableColumn id="11" name="AJ_ECART_TV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Z001_01_012024_MATURIN.CSV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0029</t>
        </is>
      </c>
      <c r="H2" s="4" t="n">
        <v>45323</v>
      </c>
      <c r="I2" s="2" t="inlineStr">
        <is>
          <t>10:29</t>
        </is>
      </c>
      <c r="J2" s="3" t="inlineStr">
        <is>
          <t>0001</t>
        </is>
      </c>
      <c r="K2" s="2" t="inlineStr">
        <is>
          <t>CA BRUT</t>
        </is>
      </c>
      <c r="L2" s="5" t="n">
        <v>63</v>
      </c>
      <c r="M2" s="6" t="n">
        <v>26282.65</v>
      </c>
    </row>
    <row r="3">
      <c r="A3" s="2" t="inlineStr">
        <is>
          <t>Z001_01_012024_MATURIN.CSV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0029</t>
        </is>
      </c>
      <c r="H3" s="4" t="n">
        <v>45323</v>
      </c>
      <c r="I3" s="2" t="inlineStr">
        <is>
          <t>10:29</t>
        </is>
      </c>
      <c r="J3" s="3" t="inlineStr">
        <is>
          <t>0002</t>
        </is>
      </c>
      <c r="K3" s="2" t="inlineStr">
        <is>
          <t>CA NET</t>
        </is>
      </c>
      <c r="L3" s="5" t="n">
        <v>94</v>
      </c>
      <c r="M3" s="6" t="n">
        <v>26282.65</v>
      </c>
    </row>
    <row r="4">
      <c r="A4" s="2" t="inlineStr">
        <is>
          <t>Z001_01_012024_MATURIN.CSV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0029</t>
        </is>
      </c>
      <c r="H4" s="4" t="n">
        <v>45323</v>
      </c>
      <c r="I4" s="2" t="inlineStr">
        <is>
          <t>10:29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2027.95</v>
      </c>
    </row>
    <row r="5">
      <c r="A5" s="2" t="inlineStr">
        <is>
          <t>Z001_01_012024_MATURIN.CSV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0029</t>
        </is>
      </c>
      <c r="H5" s="4" t="n">
        <v>45323</v>
      </c>
      <c r="I5" s="2" t="inlineStr">
        <is>
          <t>10:29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24254.7</v>
      </c>
    </row>
    <row r="6">
      <c r="A6" s="2" t="inlineStr">
        <is>
          <t>Z001_01_012024_MATURIN.CSV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0029</t>
        </is>
      </c>
      <c r="H6" s="4" t="n">
        <v>45323</v>
      </c>
      <c r="I6" s="2" t="inlineStr">
        <is>
          <t>10:29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0</v>
      </c>
    </row>
    <row r="7">
      <c r="A7" s="2" t="inlineStr">
        <is>
          <t>Z001_01_012024_MATURIN.CSV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0029</t>
        </is>
      </c>
      <c r="H7" s="4" t="n">
        <v>45323</v>
      </c>
      <c r="I7" s="2" t="inlineStr">
        <is>
          <t>10:29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</row>
    <row r="8">
      <c r="A8" s="2" t="inlineStr">
        <is>
          <t>Z001_01_012024_MATURIN.CSV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0029</t>
        </is>
      </c>
      <c r="H8" s="4" t="n">
        <v>45323</v>
      </c>
      <c r="I8" s="2" t="inlineStr">
        <is>
          <t>10:29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</row>
    <row r="9">
      <c r="A9" s="2" t="inlineStr">
        <is>
          <t>Z001_01_012024_MATURIN.CSV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0029</t>
        </is>
      </c>
      <c r="H9" s="4" t="n">
        <v>45323</v>
      </c>
      <c r="I9" s="2" t="inlineStr">
        <is>
          <t>10:29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</row>
    <row r="10">
      <c r="A10" s="2" t="inlineStr">
        <is>
          <t>Z001_01_012024_MATURIN.CSV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0029</t>
        </is>
      </c>
      <c r="H10" s="4" t="n">
        <v>45323</v>
      </c>
      <c r="I10" s="2" t="inlineStr">
        <is>
          <t>10:29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</row>
    <row r="11">
      <c r="A11" s="2" t="inlineStr">
        <is>
          <t>Z001_01_012024_MATURIN.CSV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0029</t>
        </is>
      </c>
      <c r="H11" s="4" t="n">
        <v>45323</v>
      </c>
      <c r="I11" s="2" t="inlineStr">
        <is>
          <t>10:29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</row>
    <row r="12">
      <c r="A12" s="2" t="inlineStr">
        <is>
          <t>Z001_01_012024_MATURIN.CSV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0029</t>
        </is>
      </c>
      <c r="H12" s="4" t="n">
        <v>45323</v>
      </c>
      <c r="I12" s="2" t="inlineStr">
        <is>
          <t>10:29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</row>
    <row r="13">
      <c r="A13" s="2" t="inlineStr">
        <is>
          <t>Z001_01_012024_MATURIN.CSV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0029</t>
        </is>
      </c>
      <c r="H13" s="4" t="n">
        <v>45323</v>
      </c>
      <c r="I13" s="2" t="inlineStr">
        <is>
          <t>10:29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</row>
    <row r="14">
      <c r="A14" s="2" t="inlineStr">
        <is>
          <t>Z001_01_012024_MATURIN.CSV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0029</t>
        </is>
      </c>
      <c r="H14" s="4" t="n">
        <v>45323</v>
      </c>
      <c r="I14" s="2" t="inlineStr">
        <is>
          <t>10:29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</row>
    <row r="15">
      <c r="A15" s="2" t="inlineStr">
        <is>
          <t>Z001_01_012024_MATURIN.CSV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0029</t>
        </is>
      </c>
      <c r="H15" s="4" t="n">
        <v>45323</v>
      </c>
      <c r="I15" s="2" t="inlineStr">
        <is>
          <t>10:29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</row>
    <row r="16">
      <c r="A16" s="2" t="inlineStr">
        <is>
          <t>Z001_01_012024_MATURIN.CSV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0029</t>
        </is>
      </c>
      <c r="H16" s="4" t="n">
        <v>45323</v>
      </c>
      <c r="I16" s="2" t="inlineStr">
        <is>
          <t>10:29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</row>
    <row r="17">
      <c r="A17" s="2" t="inlineStr">
        <is>
          <t>Z001_01_012024_MATURIN.CSV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0029</t>
        </is>
      </c>
      <c r="H17" s="4" t="n">
        <v>45323</v>
      </c>
      <c r="I17" s="2" t="inlineStr">
        <is>
          <t>10:29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</row>
    <row r="18">
      <c r="A18" s="2" t="inlineStr">
        <is>
          <t>Z001_01_012024_MATURIN.CSV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0029</t>
        </is>
      </c>
      <c r="H18" s="4" t="n">
        <v>45323</v>
      </c>
      <c r="I18" s="2" t="inlineStr">
        <is>
          <t>10:29</t>
        </is>
      </c>
      <c r="J18" s="3" t="inlineStr">
        <is>
          <t>0017</t>
        </is>
      </c>
      <c r="K18" s="2" t="inlineStr">
        <is>
          <t>RETOUR CLE</t>
        </is>
      </c>
      <c r="L18" s="5" t="n">
        <v>35</v>
      </c>
      <c r="M18" s="6" t="n">
        <v>19821</v>
      </c>
    </row>
    <row r="19">
      <c r="A19" s="2" t="inlineStr">
        <is>
          <t>Z001_01_012024_MATURIN.CSV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0029</t>
        </is>
      </c>
      <c r="H19" s="4" t="n">
        <v>45323</v>
      </c>
      <c r="I19" s="2" t="inlineStr">
        <is>
          <t>10:29</t>
        </is>
      </c>
      <c r="J19" s="3" t="inlineStr">
        <is>
          <t>0018</t>
        </is>
      </c>
      <c r="K19" s="2" t="inlineStr">
        <is>
          <t>CLIENTS</t>
        </is>
      </c>
      <c r="L19" s="5" t="n">
        <v>24</v>
      </c>
      <c r="M19" s="6" t="n">
        <v>0</v>
      </c>
    </row>
    <row r="20">
      <c r="A20" s="2" t="inlineStr">
        <is>
          <t>Z001_01_012024_MATURIN.CSV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0029</t>
        </is>
      </c>
      <c r="H20" s="4" t="n">
        <v>45323</v>
      </c>
      <c r="I20" s="2" t="inlineStr">
        <is>
          <t>10:29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</row>
    <row r="21">
      <c r="A21" s="2" t="inlineStr">
        <is>
          <t>Z001_01_012024_MATURIN.CSV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0029</t>
        </is>
      </c>
      <c r="H21" s="4" t="n">
        <v>45323</v>
      </c>
      <c r="I21" s="2" t="inlineStr">
        <is>
          <t>10:29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</row>
    <row r="22">
      <c r="A22" s="2" t="inlineStr">
        <is>
          <t>Z001_01_012024_MATURIN.CSV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0029</t>
        </is>
      </c>
      <c r="H22" s="4" t="n">
        <v>45323</v>
      </c>
      <c r="I22" s="2" t="inlineStr">
        <is>
          <t>10:29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</row>
    <row r="23">
      <c r="A23" s="2" t="inlineStr">
        <is>
          <t>Z001_01_012024_MATURIN.CSV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0029</t>
        </is>
      </c>
      <c r="H23" s="4" t="n">
        <v>45323</v>
      </c>
      <c r="I23" s="2" t="inlineStr">
        <is>
          <t>10:29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</row>
    <row r="24">
      <c r="A24" s="2" t="inlineStr">
        <is>
          <t>Z001_01_012024_MATURIN.CSV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0029</t>
        </is>
      </c>
      <c r="H24" s="4" t="n">
        <v>45323</v>
      </c>
      <c r="I24" s="2" t="inlineStr">
        <is>
          <t>10:29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</row>
    <row r="25">
      <c r="A25" s="2" t="inlineStr">
        <is>
          <t>Z001_01_012024_MATURIN.CSV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0029</t>
        </is>
      </c>
      <c r="H25" s="4" t="n">
        <v>45323</v>
      </c>
      <c r="I25" s="2" t="inlineStr">
        <is>
          <t>10:29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</row>
    <row r="26">
      <c r="A26" s="2" t="inlineStr">
        <is>
          <t>Z001_01_012024_MATURIN.CSV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0029</t>
        </is>
      </c>
      <c r="H26" s="4" t="n">
        <v>45323</v>
      </c>
      <c r="I26" s="2" t="inlineStr">
        <is>
          <t>10:29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</row>
    <row r="27">
      <c r="A27" s="2" t="inlineStr">
        <is>
          <t>Z001_01_012024_MATURIN.CSV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0029</t>
        </is>
      </c>
      <c r="H27" s="4" t="n">
        <v>45323</v>
      </c>
      <c r="I27" s="2" t="inlineStr">
        <is>
          <t>10:29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</row>
    <row r="28">
      <c r="A28" s="2" t="inlineStr">
        <is>
          <t>Z001_01_012024_MATURIN.CSV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0029</t>
        </is>
      </c>
      <c r="H28" s="4" t="n">
        <v>45323</v>
      </c>
      <c r="I28" s="2" t="inlineStr">
        <is>
          <t>10:29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</row>
    <row r="29">
      <c r="A29" s="2" t="inlineStr">
        <is>
          <t>Z001_01_012024_MATURIN.CSV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0029</t>
        </is>
      </c>
      <c r="H29" s="4" t="n">
        <v>45323</v>
      </c>
      <c r="I29" s="2" t="inlineStr">
        <is>
          <t>10:29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</row>
    <row r="30">
      <c r="A30" s="2" t="inlineStr">
        <is>
          <t>Z001_01_012024_MATURIN.CSV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0029</t>
        </is>
      </c>
      <c r="H30" s="4" t="n">
        <v>45323</v>
      </c>
      <c r="I30" s="2" t="inlineStr">
        <is>
          <t>10:29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</row>
    <row r="31">
      <c r="A31" s="2" t="inlineStr">
        <is>
          <t>Z001_01_012024_MATURIN.CSV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0029</t>
        </is>
      </c>
      <c r="H31" s="4" t="n">
        <v>45323</v>
      </c>
      <c r="I31" s="2" t="inlineStr">
        <is>
          <t>10:29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</row>
    <row r="32">
      <c r="A32" s="2" t="inlineStr">
        <is>
          <t>Z001_01_012024_MATURIN.CSV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0029</t>
        </is>
      </c>
      <c r="H32" s="4" t="n">
        <v>45323</v>
      </c>
      <c r="I32" s="2" t="inlineStr">
        <is>
          <t>10:29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</row>
    <row r="33">
      <c r="A33" s="2" t="inlineStr">
        <is>
          <t>Z001_01_012024_MATURIN.CSV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0029</t>
        </is>
      </c>
      <c r="H33" s="4" t="n">
        <v>45323</v>
      </c>
      <c r="I33" s="2" t="inlineStr">
        <is>
          <t>10:29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</row>
    <row r="34">
      <c r="A34" s="2" t="inlineStr">
        <is>
          <t>Z001_01_012024_MATURIN.CSV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0029</t>
        </is>
      </c>
      <c r="H34" s="4" t="n">
        <v>45323</v>
      </c>
      <c r="I34" s="2" t="inlineStr">
        <is>
          <t>10:29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21902.19</v>
      </c>
    </row>
    <row r="35">
      <c r="A35" s="2" t="inlineStr">
        <is>
          <t>Z001_01_012024_MATURIN.CSV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0029</t>
        </is>
      </c>
      <c r="H35" s="4" t="n">
        <v>45323</v>
      </c>
      <c r="I35" s="2" t="inlineStr">
        <is>
          <t>10:29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4380.46</v>
      </c>
    </row>
    <row r="36">
      <c r="A36" s="2" t="inlineStr">
        <is>
          <t>Z001_01_012024_MATURIN.CSV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0029</t>
        </is>
      </c>
      <c r="H36" s="4" t="n">
        <v>45323</v>
      </c>
      <c r="I36" s="2" t="inlineStr">
        <is>
          <t>10:29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</row>
    <row r="37">
      <c r="A37" s="2" t="inlineStr">
        <is>
          <t>Z001_01_012024_MATURIN.CSV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0029</t>
        </is>
      </c>
      <c r="H37" s="4" t="n">
        <v>45323</v>
      </c>
      <c r="I37" s="2" t="inlineStr">
        <is>
          <t>10:29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</row>
    <row r="38">
      <c r="A38" s="2" t="inlineStr">
        <is>
          <t>Z001_01_012024_MATURIN.CSV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0029</t>
        </is>
      </c>
      <c r="H38" s="4" t="n">
        <v>45323</v>
      </c>
      <c r="I38" s="2" t="inlineStr">
        <is>
          <t>10:29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</row>
    <row r="39">
      <c r="A39" s="2" t="inlineStr">
        <is>
          <t>Z001_01_012024_MATURIN.CSV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0029</t>
        </is>
      </c>
      <c r="H39" s="4" t="n">
        <v>45323</v>
      </c>
      <c r="I39" s="2" t="inlineStr">
        <is>
          <t>10:29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</row>
    <row r="40">
      <c r="A40" s="2" t="inlineStr">
        <is>
          <t>Z001_01_012024_MATURIN.CSV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0029</t>
        </is>
      </c>
      <c r="H40" s="4" t="n">
        <v>45323</v>
      </c>
      <c r="I40" s="2" t="inlineStr">
        <is>
          <t>10:29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</row>
    <row r="41">
      <c r="A41" s="2" t="inlineStr">
        <is>
          <t>Z001_01_012024_MATURIN.CSV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0029</t>
        </is>
      </c>
      <c r="H41" s="4" t="n">
        <v>45323</v>
      </c>
      <c r="I41" s="2" t="inlineStr">
        <is>
          <t>10:29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</row>
    <row r="42">
      <c r="A42" s="2" t="inlineStr">
        <is>
          <t>Z001_01_012024_MATURIN.CSV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0029</t>
        </is>
      </c>
      <c r="H42" s="4" t="n">
        <v>45323</v>
      </c>
      <c r="I42" s="2" t="inlineStr">
        <is>
          <t>10:29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0</v>
      </c>
    </row>
    <row r="43">
      <c r="A43" s="2" t="inlineStr">
        <is>
          <t>Z001_01_022024_MATURIN.CSV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FILE001</t>
        </is>
      </c>
      <c r="F43" s="2" t="inlineStr">
        <is>
          <t>Z</t>
        </is>
      </c>
      <c r="G43" s="3" t="inlineStr">
        <is>
          <t>0030</t>
        </is>
      </c>
      <c r="H43" s="4" t="n">
        <v>45352</v>
      </c>
      <c r="I43" s="2" t="inlineStr">
        <is>
          <t>09:35</t>
        </is>
      </c>
      <c r="J43" s="3" t="inlineStr">
        <is>
          <t>0001</t>
        </is>
      </c>
      <c r="K43" s="2" t="inlineStr">
        <is>
          <t>CA BRUT</t>
        </is>
      </c>
      <c r="L43" s="5" t="n">
        <v>107</v>
      </c>
      <c r="M43" s="6" t="n">
        <v>30494.5</v>
      </c>
    </row>
    <row r="44">
      <c r="A44" s="2" t="inlineStr">
        <is>
          <t>Z001_01_022024_MATURIN.CSV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FILE001</t>
        </is>
      </c>
      <c r="F44" s="2" t="inlineStr">
        <is>
          <t>Z</t>
        </is>
      </c>
      <c r="G44" s="3" t="inlineStr">
        <is>
          <t>0030</t>
        </is>
      </c>
      <c r="H44" s="4" t="n">
        <v>45352</v>
      </c>
      <c r="I44" s="2" t="inlineStr">
        <is>
          <t>09:35</t>
        </is>
      </c>
      <c r="J44" s="3" t="inlineStr">
        <is>
          <t>0002</t>
        </is>
      </c>
      <c r="K44" s="2" t="inlineStr">
        <is>
          <t>CA NET</t>
        </is>
      </c>
      <c r="L44" s="5" t="n">
        <v>40</v>
      </c>
      <c r="M44" s="6" t="n">
        <v>30494.5</v>
      </c>
    </row>
    <row r="45">
      <c r="A45" s="2" t="inlineStr">
        <is>
          <t>Z001_01_022024_MATURIN.CSV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FILE001</t>
        </is>
      </c>
      <c r="F45" s="2" t="inlineStr">
        <is>
          <t>Z</t>
        </is>
      </c>
      <c r="G45" s="3" t="inlineStr">
        <is>
          <t>0030</t>
        </is>
      </c>
      <c r="H45" s="4" t="n">
        <v>45352</v>
      </c>
      <c r="I45" s="2" t="inlineStr">
        <is>
          <t>09:35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3786.8</v>
      </c>
    </row>
    <row r="46">
      <c r="A46" s="2" t="inlineStr">
        <is>
          <t>Z001_01_022024_MATURIN.CSV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FILE001</t>
        </is>
      </c>
      <c r="F46" s="2" t="inlineStr">
        <is>
          <t>Z</t>
        </is>
      </c>
      <c r="G46" s="3" t="inlineStr">
        <is>
          <t>0030</t>
        </is>
      </c>
      <c r="H46" s="4" t="n">
        <v>45352</v>
      </c>
      <c r="I46" s="2" t="inlineStr">
        <is>
          <t>09:35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26707.7</v>
      </c>
    </row>
    <row r="47">
      <c r="A47" s="2" t="inlineStr">
        <is>
          <t>Z001_01_022024_MATURIN.CSV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FILE001</t>
        </is>
      </c>
      <c r="F47" s="2" t="inlineStr">
        <is>
          <t>Z</t>
        </is>
      </c>
      <c r="G47" s="3" t="inlineStr">
        <is>
          <t>0030</t>
        </is>
      </c>
      <c r="H47" s="4" t="n">
        <v>45352</v>
      </c>
      <c r="I47" s="2" t="inlineStr">
        <is>
          <t>09:35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</row>
    <row r="48">
      <c r="A48" s="2" t="inlineStr">
        <is>
          <t>Z001_01_022024_MATURIN.CSV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FILE001</t>
        </is>
      </c>
      <c r="F48" s="2" t="inlineStr">
        <is>
          <t>Z</t>
        </is>
      </c>
      <c r="G48" s="3" t="inlineStr">
        <is>
          <t>0030</t>
        </is>
      </c>
      <c r="H48" s="4" t="n">
        <v>45352</v>
      </c>
      <c r="I48" s="2" t="inlineStr">
        <is>
          <t>09:35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</row>
    <row r="49">
      <c r="A49" s="2" t="inlineStr">
        <is>
          <t>Z001_01_022024_MATURIN.CSV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FILE001</t>
        </is>
      </c>
      <c r="F49" s="2" t="inlineStr">
        <is>
          <t>Z</t>
        </is>
      </c>
      <c r="G49" s="3" t="inlineStr">
        <is>
          <t>0030</t>
        </is>
      </c>
      <c r="H49" s="4" t="n">
        <v>45352</v>
      </c>
      <c r="I49" s="2" t="inlineStr">
        <is>
          <t>09:35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</row>
    <row r="50">
      <c r="A50" s="2" t="inlineStr">
        <is>
          <t>Z001_01_022024_MATURIN.CSV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FILE001</t>
        </is>
      </c>
      <c r="F50" s="2" t="inlineStr">
        <is>
          <t>Z</t>
        </is>
      </c>
      <c r="G50" s="3" t="inlineStr">
        <is>
          <t>0030</t>
        </is>
      </c>
      <c r="H50" s="4" t="n">
        <v>45352</v>
      </c>
      <c r="I50" s="2" t="inlineStr">
        <is>
          <t>09:35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</row>
    <row r="51">
      <c r="A51" s="2" t="inlineStr">
        <is>
          <t>Z001_01_022024_MATURIN.CSV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FILE001</t>
        </is>
      </c>
      <c r="F51" s="2" t="inlineStr">
        <is>
          <t>Z</t>
        </is>
      </c>
      <c r="G51" s="3" t="inlineStr">
        <is>
          <t>0030</t>
        </is>
      </c>
      <c r="H51" s="4" t="n">
        <v>45352</v>
      </c>
      <c r="I51" s="2" t="inlineStr">
        <is>
          <t>09:35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</row>
    <row r="52">
      <c r="A52" s="2" t="inlineStr">
        <is>
          <t>Z001_01_022024_MATURIN.CSV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FILE001</t>
        </is>
      </c>
      <c r="F52" s="2" t="inlineStr">
        <is>
          <t>Z</t>
        </is>
      </c>
      <c r="G52" s="3" t="inlineStr">
        <is>
          <t>0030</t>
        </is>
      </c>
      <c r="H52" s="4" t="n">
        <v>45352</v>
      </c>
      <c r="I52" s="2" t="inlineStr">
        <is>
          <t>09:35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</row>
    <row r="53">
      <c r="A53" s="2" t="inlineStr">
        <is>
          <t>Z001_01_022024_MATURIN.CSV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FILE001</t>
        </is>
      </c>
      <c r="F53" s="2" t="inlineStr">
        <is>
          <t>Z</t>
        </is>
      </c>
      <c r="G53" s="3" t="inlineStr">
        <is>
          <t>0030</t>
        </is>
      </c>
      <c r="H53" s="4" t="n">
        <v>45352</v>
      </c>
      <c r="I53" s="2" t="inlineStr">
        <is>
          <t>09:35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</row>
    <row r="54">
      <c r="A54" s="2" t="inlineStr">
        <is>
          <t>Z001_01_022024_MATURIN.CSV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FILE001</t>
        </is>
      </c>
      <c r="F54" s="2" t="inlineStr">
        <is>
          <t>Z</t>
        </is>
      </c>
      <c r="G54" s="3" t="inlineStr">
        <is>
          <t>0030</t>
        </is>
      </c>
      <c r="H54" s="4" t="n">
        <v>45352</v>
      </c>
      <c r="I54" s="2" t="inlineStr">
        <is>
          <t>09:35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</row>
    <row r="55">
      <c r="A55" s="2" t="inlineStr">
        <is>
          <t>Z001_01_022024_MATURIN.CSV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FILE001</t>
        </is>
      </c>
      <c r="F55" s="2" t="inlineStr">
        <is>
          <t>Z</t>
        </is>
      </c>
      <c r="G55" s="3" t="inlineStr">
        <is>
          <t>0030</t>
        </is>
      </c>
      <c r="H55" s="4" t="n">
        <v>45352</v>
      </c>
      <c r="I55" s="2" t="inlineStr">
        <is>
          <t>09:35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</row>
    <row r="56">
      <c r="A56" s="2" t="inlineStr">
        <is>
          <t>Z001_01_022024_MATURIN.CSV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FILE001</t>
        </is>
      </c>
      <c r="F56" s="2" t="inlineStr">
        <is>
          <t>Z</t>
        </is>
      </c>
      <c r="G56" s="3" t="inlineStr">
        <is>
          <t>0030</t>
        </is>
      </c>
      <c r="H56" s="4" t="n">
        <v>45352</v>
      </c>
      <c r="I56" s="2" t="inlineStr">
        <is>
          <t>09:35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</row>
    <row r="57">
      <c r="A57" s="2" t="inlineStr">
        <is>
          <t>Z001_01_022024_MATURIN.CSV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FILE001</t>
        </is>
      </c>
      <c r="F57" s="2" t="inlineStr">
        <is>
          <t>Z</t>
        </is>
      </c>
      <c r="G57" s="3" t="inlineStr">
        <is>
          <t>0030</t>
        </is>
      </c>
      <c r="H57" s="4" t="n">
        <v>45352</v>
      </c>
      <c r="I57" s="2" t="inlineStr">
        <is>
          <t>09:35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</row>
    <row r="58">
      <c r="A58" s="2" t="inlineStr">
        <is>
          <t>Z001_01_022024_MATURIN.CSV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FILE001</t>
        </is>
      </c>
      <c r="F58" s="2" t="inlineStr">
        <is>
          <t>Z</t>
        </is>
      </c>
      <c r="G58" s="3" t="inlineStr">
        <is>
          <t>0030</t>
        </is>
      </c>
      <c r="H58" s="4" t="n">
        <v>45352</v>
      </c>
      <c r="I58" s="2" t="inlineStr">
        <is>
          <t>09:35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</row>
    <row r="59">
      <c r="A59" s="2" t="inlineStr">
        <is>
          <t>Z001_01_022024_MATURIN.CSV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FILE001</t>
        </is>
      </c>
      <c r="F59" s="2" t="inlineStr">
        <is>
          <t>Z</t>
        </is>
      </c>
      <c r="G59" s="3" t="inlineStr">
        <is>
          <t>0030</t>
        </is>
      </c>
      <c r="H59" s="4" t="n">
        <v>45352</v>
      </c>
      <c r="I59" s="2" t="inlineStr">
        <is>
          <t>09:35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</row>
    <row r="60">
      <c r="A60" s="2" t="inlineStr">
        <is>
          <t>Z001_01_022024_MATURIN.CSV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FILE001</t>
        </is>
      </c>
      <c r="F60" s="2" t="inlineStr">
        <is>
          <t>Z</t>
        </is>
      </c>
      <c r="G60" s="3" t="inlineStr">
        <is>
          <t>0030</t>
        </is>
      </c>
      <c r="H60" s="4" t="n">
        <v>45352</v>
      </c>
      <c r="I60" s="2" t="inlineStr">
        <is>
          <t>09:35</t>
        </is>
      </c>
      <c r="J60" s="3" t="inlineStr">
        <is>
          <t>0018</t>
        </is>
      </c>
      <c r="K60" s="2" t="inlineStr">
        <is>
          <t>CLIENTS</t>
        </is>
      </c>
      <c r="L60" s="5" t="n">
        <v>40</v>
      </c>
      <c r="M60" s="6" t="n">
        <v>0</v>
      </c>
    </row>
    <row r="61">
      <c r="A61" s="2" t="inlineStr">
        <is>
          <t>Z001_01_022024_MATURIN.CSV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FILE001</t>
        </is>
      </c>
      <c r="F61" s="2" t="inlineStr">
        <is>
          <t>Z</t>
        </is>
      </c>
      <c r="G61" s="3" t="inlineStr">
        <is>
          <t>0030</t>
        </is>
      </c>
      <c r="H61" s="4" t="n">
        <v>45352</v>
      </c>
      <c r="I61" s="2" t="inlineStr">
        <is>
          <t>09:35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</row>
    <row r="62">
      <c r="A62" s="2" t="inlineStr">
        <is>
          <t>Z001_01_022024_MATURIN.CSV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FILE001</t>
        </is>
      </c>
      <c r="F62" s="2" t="inlineStr">
        <is>
          <t>Z</t>
        </is>
      </c>
      <c r="G62" s="3" t="inlineStr">
        <is>
          <t>0030</t>
        </is>
      </c>
      <c r="H62" s="4" t="n">
        <v>45352</v>
      </c>
      <c r="I62" s="2" t="inlineStr">
        <is>
          <t>09:35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</row>
    <row r="63">
      <c r="A63" s="2" t="inlineStr">
        <is>
          <t>Z001_01_022024_MATURIN.CSV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FILE001</t>
        </is>
      </c>
      <c r="F63" s="2" t="inlineStr">
        <is>
          <t>Z</t>
        </is>
      </c>
      <c r="G63" s="3" t="inlineStr">
        <is>
          <t>0030</t>
        </is>
      </c>
      <c r="H63" s="4" t="n">
        <v>45352</v>
      </c>
      <c r="I63" s="2" t="inlineStr">
        <is>
          <t>09:35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</row>
    <row r="64">
      <c r="A64" s="2" t="inlineStr">
        <is>
          <t>Z001_01_022024_MATURIN.CSV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FILE001</t>
        </is>
      </c>
      <c r="F64" s="2" t="inlineStr">
        <is>
          <t>Z</t>
        </is>
      </c>
      <c r="G64" s="3" t="inlineStr">
        <is>
          <t>0030</t>
        </is>
      </c>
      <c r="H64" s="4" t="n">
        <v>45352</v>
      </c>
      <c r="I64" s="2" t="inlineStr">
        <is>
          <t>09:35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</row>
    <row r="65">
      <c r="A65" s="2" t="inlineStr">
        <is>
          <t>Z001_01_022024_MATURIN.CSV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FILE001</t>
        </is>
      </c>
      <c r="F65" s="2" t="inlineStr">
        <is>
          <t>Z</t>
        </is>
      </c>
      <c r="G65" s="3" t="inlineStr">
        <is>
          <t>0030</t>
        </is>
      </c>
      <c r="H65" s="4" t="n">
        <v>45352</v>
      </c>
      <c r="I65" s="2" t="inlineStr">
        <is>
          <t>09:35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</row>
    <row r="66">
      <c r="A66" s="2" t="inlineStr">
        <is>
          <t>Z001_01_022024_MATURIN.CSV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FILE001</t>
        </is>
      </c>
      <c r="F66" s="2" t="inlineStr">
        <is>
          <t>Z</t>
        </is>
      </c>
      <c r="G66" s="3" t="inlineStr">
        <is>
          <t>0030</t>
        </is>
      </c>
      <c r="H66" s="4" t="n">
        <v>45352</v>
      </c>
      <c r="I66" s="2" t="inlineStr">
        <is>
          <t>09:35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</row>
    <row r="67">
      <c r="A67" s="2" t="inlineStr">
        <is>
          <t>Z001_01_022024_MATURIN.CSV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FILE001</t>
        </is>
      </c>
      <c r="F67" s="2" t="inlineStr">
        <is>
          <t>Z</t>
        </is>
      </c>
      <c r="G67" s="3" t="inlineStr">
        <is>
          <t>0030</t>
        </is>
      </c>
      <c r="H67" s="4" t="n">
        <v>45352</v>
      </c>
      <c r="I67" s="2" t="inlineStr">
        <is>
          <t>09:35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</row>
    <row r="68">
      <c r="A68" s="2" t="inlineStr">
        <is>
          <t>Z001_01_022024_MATURIN.CSV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FILE001</t>
        </is>
      </c>
      <c r="F68" s="2" t="inlineStr">
        <is>
          <t>Z</t>
        </is>
      </c>
      <c r="G68" s="3" t="inlineStr">
        <is>
          <t>0030</t>
        </is>
      </c>
      <c r="H68" s="4" t="n">
        <v>45352</v>
      </c>
      <c r="I68" s="2" t="inlineStr">
        <is>
          <t>09:35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</row>
    <row r="69">
      <c r="A69" s="2" t="inlineStr">
        <is>
          <t>Z001_01_022024_MATURIN.CSV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FILE001</t>
        </is>
      </c>
      <c r="F69" s="2" t="inlineStr">
        <is>
          <t>Z</t>
        </is>
      </c>
      <c r="G69" s="3" t="inlineStr">
        <is>
          <t>0030</t>
        </is>
      </c>
      <c r="H69" s="4" t="n">
        <v>45352</v>
      </c>
      <c r="I69" s="2" t="inlineStr">
        <is>
          <t>09:35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</row>
    <row r="70">
      <c r="A70" s="2" t="inlineStr">
        <is>
          <t>Z001_01_022024_MATURIN.CSV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FILE001</t>
        </is>
      </c>
      <c r="F70" s="2" t="inlineStr">
        <is>
          <t>Z</t>
        </is>
      </c>
      <c r="G70" s="3" t="inlineStr">
        <is>
          <t>0030</t>
        </is>
      </c>
      <c r="H70" s="4" t="n">
        <v>45352</v>
      </c>
      <c r="I70" s="2" t="inlineStr">
        <is>
          <t>09:35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</row>
    <row r="71">
      <c r="A71" s="2" t="inlineStr">
        <is>
          <t>Z001_01_022024_MATURIN.CSV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FILE001</t>
        </is>
      </c>
      <c r="F71" s="2" t="inlineStr">
        <is>
          <t>Z</t>
        </is>
      </c>
      <c r="G71" s="3" t="inlineStr">
        <is>
          <t>0030</t>
        </is>
      </c>
      <c r="H71" s="4" t="n">
        <v>45352</v>
      </c>
      <c r="I71" s="2" t="inlineStr">
        <is>
          <t>09:35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</row>
    <row r="72">
      <c r="A72" s="2" t="inlineStr">
        <is>
          <t>Z001_01_022024_MATURIN.CSV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FILE001</t>
        </is>
      </c>
      <c r="F72" s="2" t="inlineStr">
        <is>
          <t>Z</t>
        </is>
      </c>
      <c r="G72" s="3" t="inlineStr">
        <is>
          <t>0030</t>
        </is>
      </c>
      <c r="H72" s="4" t="n">
        <v>45352</v>
      </c>
      <c r="I72" s="2" t="inlineStr">
        <is>
          <t>09:35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</row>
    <row r="73">
      <c r="A73" s="2" t="inlineStr">
        <is>
          <t>Z001_01_022024_MATURIN.CSV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FILE001</t>
        </is>
      </c>
      <c r="F73" s="2" t="inlineStr">
        <is>
          <t>Z</t>
        </is>
      </c>
      <c r="G73" s="3" t="inlineStr">
        <is>
          <t>0030</t>
        </is>
      </c>
      <c r="H73" s="4" t="n">
        <v>45352</v>
      </c>
      <c r="I73" s="2" t="inlineStr">
        <is>
          <t>09:35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</row>
    <row r="74">
      <c r="A74" s="2" t="inlineStr">
        <is>
          <t>Z001_01_022024_MATURIN.CSV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FILE001</t>
        </is>
      </c>
      <c r="F74" s="2" t="inlineStr">
        <is>
          <t>Z</t>
        </is>
      </c>
      <c r="G74" s="3" t="inlineStr">
        <is>
          <t>0030</t>
        </is>
      </c>
      <c r="H74" s="4" t="n">
        <v>45352</v>
      </c>
      <c r="I74" s="2" t="inlineStr">
        <is>
          <t>09:35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</row>
    <row r="75">
      <c r="A75" s="2" t="inlineStr">
        <is>
          <t>Z001_01_022024_MATURIN.CSV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FILE001</t>
        </is>
      </c>
      <c r="F75" s="2" t="inlineStr">
        <is>
          <t>Z</t>
        </is>
      </c>
      <c r="G75" s="3" t="inlineStr">
        <is>
          <t>0030</t>
        </is>
      </c>
      <c r="H75" s="4" t="n">
        <v>45352</v>
      </c>
      <c r="I75" s="2" t="inlineStr">
        <is>
          <t>09:35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25412.08</v>
      </c>
    </row>
    <row r="76">
      <c r="A76" s="2" t="inlineStr">
        <is>
          <t>Z001_01_022024_MATURIN.CSV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FILE001</t>
        </is>
      </c>
      <c r="F76" s="2" t="inlineStr">
        <is>
          <t>Z</t>
        </is>
      </c>
      <c r="G76" s="3" t="inlineStr">
        <is>
          <t>0030</t>
        </is>
      </c>
      <c r="H76" s="4" t="n">
        <v>45352</v>
      </c>
      <c r="I76" s="2" t="inlineStr">
        <is>
          <t>09:35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5082.42</v>
      </c>
    </row>
    <row r="77">
      <c r="A77" s="2" t="inlineStr">
        <is>
          <t>Z001_01_022024_MATURIN.CSV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FILE001</t>
        </is>
      </c>
      <c r="F77" s="2" t="inlineStr">
        <is>
          <t>Z</t>
        </is>
      </c>
      <c r="G77" s="3" t="inlineStr">
        <is>
          <t>0030</t>
        </is>
      </c>
      <c r="H77" s="4" t="n">
        <v>45352</v>
      </c>
      <c r="I77" s="2" t="inlineStr">
        <is>
          <t>09:35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</row>
    <row r="78">
      <c r="A78" s="2" t="inlineStr">
        <is>
          <t>Z001_01_022024_MATURIN.CSV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FILE001</t>
        </is>
      </c>
      <c r="F78" s="2" t="inlineStr">
        <is>
          <t>Z</t>
        </is>
      </c>
      <c r="G78" s="3" t="inlineStr">
        <is>
          <t>0030</t>
        </is>
      </c>
      <c r="H78" s="4" t="n">
        <v>45352</v>
      </c>
      <c r="I78" s="2" t="inlineStr">
        <is>
          <t>09:35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</row>
    <row r="79">
      <c r="A79" s="2" t="inlineStr">
        <is>
          <t>Z001_01_022024_MATURIN.CSV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FILE001</t>
        </is>
      </c>
      <c r="F79" s="2" t="inlineStr">
        <is>
          <t>Z</t>
        </is>
      </c>
      <c r="G79" s="3" t="inlineStr">
        <is>
          <t>0030</t>
        </is>
      </c>
      <c r="H79" s="4" t="n">
        <v>45352</v>
      </c>
      <c r="I79" s="2" t="inlineStr">
        <is>
          <t>09:35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</row>
    <row r="80">
      <c r="A80" s="2" t="inlineStr">
        <is>
          <t>Z001_01_022024_MATURIN.CSV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FILE001</t>
        </is>
      </c>
      <c r="F80" s="2" t="inlineStr">
        <is>
          <t>Z</t>
        </is>
      </c>
      <c r="G80" s="3" t="inlineStr">
        <is>
          <t>0030</t>
        </is>
      </c>
      <c r="H80" s="4" t="n">
        <v>45352</v>
      </c>
      <c r="I80" s="2" t="inlineStr">
        <is>
          <t>09:35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</row>
    <row r="81">
      <c r="A81" s="2" t="inlineStr">
        <is>
          <t>Z001_01_022024_MATURIN.CSV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FILE001</t>
        </is>
      </c>
      <c r="F81" s="2" t="inlineStr">
        <is>
          <t>Z</t>
        </is>
      </c>
      <c r="G81" s="3" t="inlineStr">
        <is>
          <t>0030</t>
        </is>
      </c>
      <c r="H81" s="4" t="n">
        <v>45352</v>
      </c>
      <c r="I81" s="2" t="inlineStr">
        <is>
          <t>09:35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</row>
    <row r="82">
      <c r="A82" s="2" t="inlineStr">
        <is>
          <t>Z001_01_022024_MATURIN.CSV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FILE001</t>
        </is>
      </c>
      <c r="F82" s="2" t="inlineStr">
        <is>
          <t>Z</t>
        </is>
      </c>
      <c r="G82" s="3" t="inlineStr">
        <is>
          <t>0030</t>
        </is>
      </c>
      <c r="H82" s="4" t="n">
        <v>45352</v>
      </c>
      <c r="I82" s="2" t="inlineStr">
        <is>
          <t>09:35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</row>
    <row r="83">
      <c r="A83" s="2" t="inlineStr">
        <is>
          <t>Z001_01_022024_MATURIN.CSV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FILE001</t>
        </is>
      </c>
      <c r="F83" s="2" t="inlineStr">
        <is>
          <t>Z</t>
        </is>
      </c>
      <c r="G83" s="3" t="inlineStr">
        <is>
          <t>0030</t>
        </is>
      </c>
      <c r="H83" s="4" t="n">
        <v>45352</v>
      </c>
      <c r="I83" s="2" t="inlineStr">
        <is>
          <t>09:35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</row>
    <row r="84">
      <c r="A84" s="2" t="inlineStr">
        <is>
          <t>Z001_01_052024_MATURIN.CSV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FILE001</t>
        </is>
      </c>
      <c r="F84" s="2" t="inlineStr">
        <is>
          <t>Z</t>
        </is>
      </c>
      <c r="G84" s="3" t="inlineStr">
        <is>
          <t>0033</t>
        </is>
      </c>
      <c r="H84" s="4" t="n">
        <v>45444</v>
      </c>
      <c r="I84" s="2" t="inlineStr">
        <is>
          <t>13:45</t>
        </is>
      </c>
      <c r="J84" s="3" t="inlineStr">
        <is>
          <t>0001</t>
        </is>
      </c>
      <c r="K84" s="2" t="inlineStr">
        <is>
          <t>CA BRUT</t>
        </is>
      </c>
      <c r="L84" s="5" t="n">
        <v>58</v>
      </c>
      <c r="M84" s="6" t="n">
        <v>16898</v>
      </c>
    </row>
    <row r="85">
      <c r="A85" s="2" t="inlineStr">
        <is>
          <t>Z001_01_052024_MATURIN.CSV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FILE001</t>
        </is>
      </c>
      <c r="F85" s="2" t="inlineStr">
        <is>
          <t>Z</t>
        </is>
      </c>
      <c r="G85" s="3" t="inlineStr">
        <is>
          <t>0033</t>
        </is>
      </c>
      <c r="H85" s="4" t="n">
        <v>45444</v>
      </c>
      <c r="I85" s="2" t="inlineStr">
        <is>
          <t>13:45</t>
        </is>
      </c>
      <c r="J85" s="3" t="inlineStr">
        <is>
          <t>0002</t>
        </is>
      </c>
      <c r="K85" s="2" t="inlineStr">
        <is>
          <t>CA NET</t>
        </is>
      </c>
      <c r="L85" s="5" t="n">
        <v>25</v>
      </c>
      <c r="M85" s="6" t="n">
        <v>16898</v>
      </c>
    </row>
    <row r="86">
      <c r="A86" s="2" t="inlineStr">
        <is>
          <t>Z001_01_052024_MATURIN.CSV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FILE001</t>
        </is>
      </c>
      <c r="F86" s="2" t="inlineStr">
        <is>
          <t>Z</t>
        </is>
      </c>
      <c r="G86" s="3" t="inlineStr">
        <is>
          <t>0033</t>
        </is>
      </c>
      <c r="H86" s="4" t="n">
        <v>45444</v>
      </c>
      <c r="I86" s="2" t="inlineStr">
        <is>
          <t>13:45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3948</v>
      </c>
    </row>
    <row r="87">
      <c r="A87" s="2" t="inlineStr">
        <is>
          <t>Z001_01_052024_MATURIN.CSV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FILE001</t>
        </is>
      </c>
      <c r="F87" s="2" t="inlineStr">
        <is>
          <t>Z</t>
        </is>
      </c>
      <c r="G87" s="3" t="inlineStr">
        <is>
          <t>0033</t>
        </is>
      </c>
      <c r="H87" s="4" t="n">
        <v>45444</v>
      </c>
      <c r="I87" s="2" t="inlineStr">
        <is>
          <t>13:45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12950</v>
      </c>
    </row>
    <row r="88">
      <c r="A88" s="2" t="inlineStr">
        <is>
          <t>Z001_01_052024_MATURIN.CSV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FILE001</t>
        </is>
      </c>
      <c r="F88" s="2" t="inlineStr">
        <is>
          <t>Z</t>
        </is>
      </c>
      <c r="G88" s="3" t="inlineStr">
        <is>
          <t>0033</t>
        </is>
      </c>
      <c r="H88" s="4" t="n">
        <v>45444</v>
      </c>
      <c r="I88" s="2" t="inlineStr">
        <is>
          <t>13:45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0</v>
      </c>
    </row>
    <row r="89">
      <c r="A89" s="2" t="inlineStr">
        <is>
          <t>Z001_01_052024_MATURIN.CSV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FILE001</t>
        </is>
      </c>
      <c r="F89" s="2" t="inlineStr">
        <is>
          <t>Z</t>
        </is>
      </c>
      <c r="G89" s="3" t="inlineStr">
        <is>
          <t>0033</t>
        </is>
      </c>
      <c r="H89" s="4" t="n">
        <v>45444</v>
      </c>
      <c r="I89" s="2" t="inlineStr">
        <is>
          <t>13:45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</row>
    <row r="90">
      <c r="A90" s="2" t="inlineStr">
        <is>
          <t>Z001_01_052024_MATURIN.CSV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FILE001</t>
        </is>
      </c>
      <c r="F90" s="2" t="inlineStr">
        <is>
          <t>Z</t>
        </is>
      </c>
      <c r="G90" s="3" t="inlineStr">
        <is>
          <t>0033</t>
        </is>
      </c>
      <c r="H90" s="4" t="n">
        <v>45444</v>
      </c>
      <c r="I90" s="2" t="inlineStr">
        <is>
          <t>13:45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</row>
    <row r="91">
      <c r="A91" s="2" t="inlineStr">
        <is>
          <t>Z001_01_052024_MATURIN.CSV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FILE001</t>
        </is>
      </c>
      <c r="F91" s="2" t="inlineStr">
        <is>
          <t>Z</t>
        </is>
      </c>
      <c r="G91" s="3" t="inlineStr">
        <is>
          <t>0033</t>
        </is>
      </c>
      <c r="H91" s="4" t="n">
        <v>45444</v>
      </c>
      <c r="I91" s="2" t="inlineStr">
        <is>
          <t>13:45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</row>
    <row r="92">
      <c r="A92" s="2" t="inlineStr">
        <is>
          <t>Z001_01_052024_MATURIN.CSV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FILE001</t>
        </is>
      </c>
      <c r="F92" s="2" t="inlineStr">
        <is>
          <t>Z</t>
        </is>
      </c>
      <c r="G92" s="3" t="inlineStr">
        <is>
          <t>0033</t>
        </is>
      </c>
      <c r="H92" s="4" t="n">
        <v>45444</v>
      </c>
      <c r="I92" s="2" t="inlineStr">
        <is>
          <t>13:45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</row>
    <row r="93">
      <c r="A93" s="2" t="inlineStr">
        <is>
          <t>Z001_01_052024_MATURIN.CSV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FILE001</t>
        </is>
      </c>
      <c r="F93" s="2" t="inlineStr">
        <is>
          <t>Z</t>
        </is>
      </c>
      <c r="G93" s="3" t="inlineStr">
        <is>
          <t>0033</t>
        </is>
      </c>
      <c r="H93" s="4" t="n">
        <v>45444</v>
      </c>
      <c r="I93" s="2" t="inlineStr">
        <is>
          <t>13:45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</row>
    <row r="94">
      <c r="A94" s="2" t="inlineStr">
        <is>
          <t>Z001_01_052024_MATURIN.CSV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FILE001</t>
        </is>
      </c>
      <c r="F94" s="2" t="inlineStr">
        <is>
          <t>Z</t>
        </is>
      </c>
      <c r="G94" s="3" t="inlineStr">
        <is>
          <t>0033</t>
        </is>
      </c>
      <c r="H94" s="4" t="n">
        <v>45444</v>
      </c>
      <c r="I94" s="2" t="inlineStr">
        <is>
          <t>13:45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</row>
    <row r="95">
      <c r="A95" s="2" t="inlineStr">
        <is>
          <t>Z001_01_052024_MATURIN.CSV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FILE001</t>
        </is>
      </c>
      <c r="F95" s="2" t="inlineStr">
        <is>
          <t>Z</t>
        </is>
      </c>
      <c r="G95" s="3" t="inlineStr">
        <is>
          <t>0033</t>
        </is>
      </c>
      <c r="H95" s="4" t="n">
        <v>45444</v>
      </c>
      <c r="I95" s="2" t="inlineStr">
        <is>
          <t>13:45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</row>
    <row r="96">
      <c r="A96" s="2" t="inlineStr">
        <is>
          <t>Z001_01_052024_MATURIN.CSV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FILE001</t>
        </is>
      </c>
      <c r="F96" s="2" t="inlineStr">
        <is>
          <t>Z</t>
        </is>
      </c>
      <c r="G96" s="3" t="inlineStr">
        <is>
          <t>0033</t>
        </is>
      </c>
      <c r="H96" s="4" t="n">
        <v>45444</v>
      </c>
      <c r="I96" s="2" t="inlineStr">
        <is>
          <t>13:45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</row>
    <row r="97">
      <c r="A97" s="2" t="inlineStr">
        <is>
          <t>Z001_01_052024_MATURIN.CSV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FILE001</t>
        </is>
      </c>
      <c r="F97" s="2" t="inlineStr">
        <is>
          <t>Z</t>
        </is>
      </c>
      <c r="G97" s="3" t="inlineStr">
        <is>
          <t>0033</t>
        </is>
      </c>
      <c r="H97" s="4" t="n">
        <v>45444</v>
      </c>
      <c r="I97" s="2" t="inlineStr">
        <is>
          <t>13:45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</row>
    <row r="98">
      <c r="A98" s="2" t="inlineStr">
        <is>
          <t>Z001_01_052024_MATURIN.CSV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FILE001</t>
        </is>
      </c>
      <c r="F98" s="2" t="inlineStr">
        <is>
          <t>Z</t>
        </is>
      </c>
      <c r="G98" s="3" t="inlineStr">
        <is>
          <t>0033</t>
        </is>
      </c>
      <c r="H98" s="4" t="n">
        <v>45444</v>
      </c>
      <c r="I98" s="2" t="inlineStr">
        <is>
          <t>13:45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</row>
    <row r="99">
      <c r="A99" s="2" t="inlineStr">
        <is>
          <t>Z001_01_052024_MATURIN.CSV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FILE001</t>
        </is>
      </c>
      <c r="F99" s="2" t="inlineStr">
        <is>
          <t>Z</t>
        </is>
      </c>
      <c r="G99" s="3" t="inlineStr">
        <is>
          <t>0033</t>
        </is>
      </c>
      <c r="H99" s="4" t="n">
        <v>45444</v>
      </c>
      <c r="I99" s="2" t="inlineStr">
        <is>
          <t>13:45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</row>
    <row r="100">
      <c r="A100" s="2" t="inlineStr">
        <is>
          <t>Z001_01_052024_MATURIN.CSV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FILE001</t>
        </is>
      </c>
      <c r="F100" s="2" t="inlineStr">
        <is>
          <t>Z</t>
        </is>
      </c>
      <c r="G100" s="3" t="inlineStr">
        <is>
          <t>0033</t>
        </is>
      </c>
      <c r="H100" s="4" t="n">
        <v>45444</v>
      </c>
      <c r="I100" s="2" t="inlineStr">
        <is>
          <t>13:45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</row>
    <row r="101">
      <c r="A101" s="2" t="inlineStr">
        <is>
          <t>Z001_01_052024_MATURIN.CSV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FILE001</t>
        </is>
      </c>
      <c r="F101" s="2" t="inlineStr">
        <is>
          <t>Z</t>
        </is>
      </c>
      <c r="G101" s="3" t="inlineStr">
        <is>
          <t>0033</t>
        </is>
      </c>
      <c r="H101" s="4" t="n">
        <v>45444</v>
      </c>
      <c r="I101" s="2" t="inlineStr">
        <is>
          <t>13:45</t>
        </is>
      </c>
      <c r="J101" s="3" t="inlineStr">
        <is>
          <t>0018</t>
        </is>
      </c>
      <c r="K101" s="2" t="inlineStr">
        <is>
          <t>CLIENTS</t>
        </is>
      </c>
      <c r="L101" s="5" t="n">
        <v>25</v>
      </c>
      <c r="M101" s="6" t="n">
        <v>0</v>
      </c>
    </row>
    <row r="102">
      <c r="A102" s="2" t="inlineStr">
        <is>
          <t>Z001_01_052024_MATURIN.CSV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FILE001</t>
        </is>
      </c>
      <c r="F102" s="2" t="inlineStr">
        <is>
          <t>Z</t>
        </is>
      </c>
      <c r="G102" s="3" t="inlineStr">
        <is>
          <t>0033</t>
        </is>
      </c>
      <c r="H102" s="4" t="n">
        <v>45444</v>
      </c>
      <c r="I102" s="2" t="inlineStr">
        <is>
          <t>13:45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</row>
    <row r="103">
      <c r="A103" s="2" t="inlineStr">
        <is>
          <t>Z001_01_052024_MATURIN.CSV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FILE001</t>
        </is>
      </c>
      <c r="F103" s="2" t="inlineStr">
        <is>
          <t>Z</t>
        </is>
      </c>
      <c r="G103" s="3" t="inlineStr">
        <is>
          <t>0033</t>
        </is>
      </c>
      <c r="H103" s="4" t="n">
        <v>45444</v>
      </c>
      <c r="I103" s="2" t="inlineStr">
        <is>
          <t>13:45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</row>
    <row r="104">
      <c r="A104" s="2" t="inlineStr">
        <is>
          <t>Z001_01_052024_MATURIN.CSV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FILE001</t>
        </is>
      </c>
      <c r="F104" s="2" t="inlineStr">
        <is>
          <t>Z</t>
        </is>
      </c>
      <c r="G104" s="3" t="inlineStr">
        <is>
          <t>0033</t>
        </is>
      </c>
      <c r="H104" s="4" t="n">
        <v>45444</v>
      </c>
      <c r="I104" s="2" t="inlineStr">
        <is>
          <t>13:45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</row>
    <row r="105">
      <c r="A105" s="2" t="inlineStr">
        <is>
          <t>Z001_01_052024_MATURIN.CSV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FILE001</t>
        </is>
      </c>
      <c r="F105" s="2" t="inlineStr">
        <is>
          <t>Z</t>
        </is>
      </c>
      <c r="G105" s="3" t="inlineStr">
        <is>
          <t>0033</t>
        </is>
      </c>
      <c r="H105" s="4" t="n">
        <v>45444</v>
      </c>
      <c r="I105" s="2" t="inlineStr">
        <is>
          <t>13:45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</row>
    <row r="106">
      <c r="A106" s="2" t="inlineStr">
        <is>
          <t>Z001_01_052024_MATURIN.CSV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FILE001</t>
        </is>
      </c>
      <c r="F106" s="2" t="inlineStr">
        <is>
          <t>Z</t>
        </is>
      </c>
      <c r="G106" s="3" t="inlineStr">
        <is>
          <t>0033</t>
        </is>
      </c>
      <c r="H106" s="4" t="n">
        <v>45444</v>
      </c>
      <c r="I106" s="2" t="inlineStr">
        <is>
          <t>13:45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</row>
    <row r="107">
      <c r="A107" s="2" t="inlineStr">
        <is>
          <t>Z001_01_052024_MATURIN.CSV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FILE001</t>
        </is>
      </c>
      <c r="F107" s="2" t="inlineStr">
        <is>
          <t>Z</t>
        </is>
      </c>
      <c r="G107" s="3" t="inlineStr">
        <is>
          <t>0033</t>
        </is>
      </c>
      <c r="H107" s="4" t="n">
        <v>45444</v>
      </c>
      <c r="I107" s="2" t="inlineStr">
        <is>
          <t>13:45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</row>
    <row r="108">
      <c r="A108" s="2" t="inlineStr">
        <is>
          <t>Z001_01_052024_MATURIN.CSV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FILE001</t>
        </is>
      </c>
      <c r="F108" s="2" t="inlineStr">
        <is>
          <t>Z</t>
        </is>
      </c>
      <c r="G108" s="3" t="inlineStr">
        <is>
          <t>0033</t>
        </is>
      </c>
      <c r="H108" s="4" t="n">
        <v>45444</v>
      </c>
      <c r="I108" s="2" t="inlineStr">
        <is>
          <t>13:45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</row>
    <row r="109">
      <c r="A109" s="2" t="inlineStr">
        <is>
          <t>Z001_01_052024_MATURIN.CSV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FILE001</t>
        </is>
      </c>
      <c r="F109" s="2" t="inlineStr">
        <is>
          <t>Z</t>
        </is>
      </c>
      <c r="G109" s="3" t="inlineStr">
        <is>
          <t>0033</t>
        </is>
      </c>
      <c r="H109" s="4" t="n">
        <v>45444</v>
      </c>
      <c r="I109" s="2" t="inlineStr">
        <is>
          <t>13:45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</row>
    <row r="110">
      <c r="A110" s="2" t="inlineStr">
        <is>
          <t>Z001_01_052024_MATURIN.CSV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FILE001</t>
        </is>
      </c>
      <c r="F110" s="2" t="inlineStr">
        <is>
          <t>Z</t>
        </is>
      </c>
      <c r="G110" s="3" t="inlineStr">
        <is>
          <t>0033</t>
        </is>
      </c>
      <c r="H110" s="4" t="n">
        <v>45444</v>
      </c>
      <c r="I110" s="2" t="inlineStr">
        <is>
          <t>13:45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</row>
    <row r="111">
      <c r="A111" s="2" t="inlineStr">
        <is>
          <t>Z001_01_052024_MATURIN.CSV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FILE001</t>
        </is>
      </c>
      <c r="F111" s="2" t="inlineStr">
        <is>
          <t>Z</t>
        </is>
      </c>
      <c r="G111" s="3" t="inlineStr">
        <is>
          <t>0033</t>
        </is>
      </c>
      <c r="H111" s="4" t="n">
        <v>45444</v>
      </c>
      <c r="I111" s="2" t="inlineStr">
        <is>
          <t>13:45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</row>
    <row r="112">
      <c r="A112" s="2" t="inlineStr">
        <is>
          <t>Z001_01_052024_MATURIN.CSV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FILE001</t>
        </is>
      </c>
      <c r="F112" s="2" t="inlineStr">
        <is>
          <t>Z</t>
        </is>
      </c>
      <c r="G112" s="3" t="inlineStr">
        <is>
          <t>0033</t>
        </is>
      </c>
      <c r="H112" s="4" t="n">
        <v>45444</v>
      </c>
      <c r="I112" s="2" t="inlineStr">
        <is>
          <t>13:45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</row>
    <row r="113">
      <c r="A113" s="2" t="inlineStr">
        <is>
          <t>Z001_01_052024_MATURIN.CSV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FILE001</t>
        </is>
      </c>
      <c r="F113" s="2" t="inlineStr">
        <is>
          <t>Z</t>
        </is>
      </c>
      <c r="G113" s="3" t="inlineStr">
        <is>
          <t>0033</t>
        </is>
      </c>
      <c r="H113" s="4" t="n">
        <v>45444</v>
      </c>
      <c r="I113" s="2" t="inlineStr">
        <is>
          <t>13:45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</row>
    <row r="114">
      <c r="A114" s="2" t="inlineStr">
        <is>
          <t>Z001_01_052024_MATURIN.CSV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FILE001</t>
        </is>
      </c>
      <c r="F114" s="2" t="inlineStr">
        <is>
          <t>Z</t>
        </is>
      </c>
      <c r="G114" s="3" t="inlineStr">
        <is>
          <t>0033</t>
        </is>
      </c>
      <c r="H114" s="4" t="n">
        <v>45444</v>
      </c>
      <c r="I114" s="2" t="inlineStr">
        <is>
          <t>13:45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</row>
    <row r="115">
      <c r="A115" s="2" t="inlineStr">
        <is>
          <t>Z001_01_052024_MATURIN.CSV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FILE001</t>
        </is>
      </c>
      <c r="F115" s="2" t="inlineStr">
        <is>
          <t>Z</t>
        </is>
      </c>
      <c r="G115" s="3" t="inlineStr">
        <is>
          <t>0033</t>
        </is>
      </c>
      <c r="H115" s="4" t="n">
        <v>45444</v>
      </c>
      <c r="I115" s="2" t="inlineStr">
        <is>
          <t>13:45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</row>
    <row r="116">
      <c r="A116" s="2" t="inlineStr">
        <is>
          <t>Z001_01_052024_MATURIN.CSV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FILE001</t>
        </is>
      </c>
      <c r="F116" s="2" t="inlineStr">
        <is>
          <t>Z</t>
        </is>
      </c>
      <c r="G116" s="3" t="inlineStr">
        <is>
          <t>0033</t>
        </is>
      </c>
      <c r="H116" s="4" t="n">
        <v>45444</v>
      </c>
      <c r="I116" s="2" t="inlineStr">
        <is>
          <t>13:45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14081.67</v>
      </c>
    </row>
    <row r="117">
      <c r="A117" s="2" t="inlineStr">
        <is>
          <t>Z001_01_052024_MATURIN.CSV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FILE001</t>
        </is>
      </c>
      <c r="F117" s="2" t="inlineStr">
        <is>
          <t>Z</t>
        </is>
      </c>
      <c r="G117" s="3" t="inlineStr">
        <is>
          <t>0033</t>
        </is>
      </c>
      <c r="H117" s="4" t="n">
        <v>45444</v>
      </c>
      <c r="I117" s="2" t="inlineStr">
        <is>
          <t>13:45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2816.33</v>
      </c>
    </row>
    <row r="118">
      <c r="A118" s="2" t="inlineStr">
        <is>
          <t>Z001_01_052024_MATURIN.CSV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FILE001</t>
        </is>
      </c>
      <c r="F118" s="2" t="inlineStr">
        <is>
          <t>Z</t>
        </is>
      </c>
      <c r="G118" s="3" t="inlineStr">
        <is>
          <t>0033</t>
        </is>
      </c>
      <c r="H118" s="4" t="n">
        <v>45444</v>
      </c>
      <c r="I118" s="2" t="inlineStr">
        <is>
          <t>13:45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</row>
    <row r="119">
      <c r="A119" s="2" t="inlineStr">
        <is>
          <t>Z001_01_052024_MATURIN.CSV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FILE001</t>
        </is>
      </c>
      <c r="F119" s="2" t="inlineStr">
        <is>
          <t>Z</t>
        </is>
      </c>
      <c r="G119" s="3" t="inlineStr">
        <is>
          <t>0033</t>
        </is>
      </c>
      <c r="H119" s="4" t="n">
        <v>45444</v>
      </c>
      <c r="I119" s="2" t="inlineStr">
        <is>
          <t>13:45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</row>
    <row r="120">
      <c r="A120" s="2" t="inlineStr">
        <is>
          <t>Z001_01_052024_MATURIN.CSV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FILE001</t>
        </is>
      </c>
      <c r="F120" s="2" t="inlineStr">
        <is>
          <t>Z</t>
        </is>
      </c>
      <c r="G120" s="3" t="inlineStr">
        <is>
          <t>0033</t>
        </is>
      </c>
      <c r="H120" s="4" t="n">
        <v>45444</v>
      </c>
      <c r="I120" s="2" t="inlineStr">
        <is>
          <t>13:45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</row>
    <row r="121">
      <c r="A121" s="2" t="inlineStr">
        <is>
          <t>Z001_01_052024_MATURIN.CSV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FILE001</t>
        </is>
      </c>
      <c r="F121" s="2" t="inlineStr">
        <is>
          <t>Z</t>
        </is>
      </c>
      <c r="G121" s="3" t="inlineStr">
        <is>
          <t>0033</t>
        </is>
      </c>
      <c r="H121" s="4" t="n">
        <v>45444</v>
      </c>
      <c r="I121" s="2" t="inlineStr">
        <is>
          <t>13:45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</row>
    <row r="122">
      <c r="A122" s="2" t="inlineStr">
        <is>
          <t>Z001_01_052024_MATURIN.CSV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FILE001</t>
        </is>
      </c>
      <c r="F122" s="2" t="inlineStr">
        <is>
          <t>Z</t>
        </is>
      </c>
      <c r="G122" s="3" t="inlineStr">
        <is>
          <t>0033</t>
        </is>
      </c>
      <c r="H122" s="4" t="n">
        <v>45444</v>
      </c>
      <c r="I122" s="2" t="inlineStr">
        <is>
          <t>13:45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</row>
    <row r="123">
      <c r="A123" s="2" t="inlineStr">
        <is>
          <t>Z001_01_052024_MATURIN.CSV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FILE001</t>
        </is>
      </c>
      <c r="F123" s="2" t="inlineStr">
        <is>
          <t>Z</t>
        </is>
      </c>
      <c r="G123" s="3" t="inlineStr">
        <is>
          <t>0033</t>
        </is>
      </c>
      <c r="H123" s="4" t="n">
        <v>45444</v>
      </c>
      <c r="I123" s="2" t="inlineStr">
        <is>
          <t>13:45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</row>
    <row r="124">
      <c r="A124" s="2" t="inlineStr">
        <is>
          <t>Z001_01_052024_MATURIN.CSV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FILE001</t>
        </is>
      </c>
      <c r="F124" s="2" t="inlineStr">
        <is>
          <t>Z</t>
        </is>
      </c>
      <c r="G124" s="3" t="inlineStr">
        <is>
          <t>0033</t>
        </is>
      </c>
      <c r="H124" s="4" t="n">
        <v>45444</v>
      </c>
      <c r="I124" s="2" t="inlineStr">
        <is>
          <t>13:45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</row>
    <row r="125">
      <c r="A125" s="2" t="inlineStr">
        <is>
          <t>Z001_01_062024_MATURIN.CSV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FILE001</t>
        </is>
      </c>
      <c r="F125" s="2" t="inlineStr">
        <is>
          <t>Z</t>
        </is>
      </c>
      <c r="G125" s="3" t="inlineStr">
        <is>
          <t>0034</t>
        </is>
      </c>
      <c r="H125" s="4" t="n">
        <v>45474</v>
      </c>
      <c r="I125" s="2" t="inlineStr">
        <is>
          <t>11:10</t>
        </is>
      </c>
      <c r="J125" s="3" t="inlineStr">
        <is>
          <t>0001</t>
        </is>
      </c>
      <c r="K125" s="2" t="inlineStr">
        <is>
          <t>CA BRUT</t>
        </is>
      </c>
      <c r="L125" s="5" t="n">
        <v>35</v>
      </c>
      <c r="M125" s="6" t="n">
        <v>33127.6</v>
      </c>
    </row>
    <row r="126">
      <c r="A126" s="2" t="inlineStr">
        <is>
          <t>Z001_01_062024_MATURIN.CSV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FILE001</t>
        </is>
      </c>
      <c r="F126" s="2" t="inlineStr">
        <is>
          <t>Z</t>
        </is>
      </c>
      <c r="G126" s="3" t="inlineStr">
        <is>
          <t>0034</t>
        </is>
      </c>
      <c r="H126" s="4" t="n">
        <v>45474</v>
      </c>
      <c r="I126" s="2" t="inlineStr">
        <is>
          <t>11:10</t>
        </is>
      </c>
      <c r="J126" s="3" t="inlineStr">
        <is>
          <t>0002</t>
        </is>
      </c>
      <c r="K126" s="2" t="inlineStr">
        <is>
          <t>CA NET</t>
        </is>
      </c>
      <c r="L126" s="5" t="n">
        <v>23</v>
      </c>
      <c r="M126" s="6" t="n">
        <v>33127.6</v>
      </c>
    </row>
    <row r="127">
      <c r="A127" s="2" t="inlineStr">
        <is>
          <t>Z001_01_062024_MATURIN.CSV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FILE001</t>
        </is>
      </c>
      <c r="F127" s="2" t="inlineStr">
        <is>
          <t>Z</t>
        </is>
      </c>
      <c r="G127" s="3" t="inlineStr">
        <is>
          <t>0034</t>
        </is>
      </c>
      <c r="H127" s="4" t="n">
        <v>45474</v>
      </c>
      <c r="I127" s="2" t="inlineStr">
        <is>
          <t>11:10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3010.8</v>
      </c>
    </row>
    <row r="128">
      <c r="A128" s="2" t="inlineStr">
        <is>
          <t>Z001_01_062024_MATURIN.CSV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FILE001</t>
        </is>
      </c>
      <c r="F128" s="2" t="inlineStr">
        <is>
          <t>Z</t>
        </is>
      </c>
      <c r="G128" s="3" t="inlineStr">
        <is>
          <t>0034</t>
        </is>
      </c>
      <c r="H128" s="4" t="n">
        <v>45474</v>
      </c>
      <c r="I128" s="2" t="inlineStr">
        <is>
          <t>11:10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30116.8</v>
      </c>
    </row>
    <row r="129">
      <c r="A129" s="2" t="inlineStr">
        <is>
          <t>Z001_01_062024_MATURIN.CSV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FILE001</t>
        </is>
      </c>
      <c r="F129" s="2" t="inlineStr">
        <is>
          <t>Z</t>
        </is>
      </c>
      <c r="G129" s="3" t="inlineStr">
        <is>
          <t>0034</t>
        </is>
      </c>
      <c r="H129" s="4" t="n">
        <v>45474</v>
      </c>
      <c r="I129" s="2" t="inlineStr">
        <is>
          <t>11:10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0</v>
      </c>
    </row>
    <row r="130">
      <c r="A130" s="2" t="inlineStr">
        <is>
          <t>Z001_01_062024_MATURIN.CSV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FILE001</t>
        </is>
      </c>
      <c r="F130" s="2" t="inlineStr">
        <is>
          <t>Z</t>
        </is>
      </c>
      <c r="G130" s="3" t="inlineStr">
        <is>
          <t>0034</t>
        </is>
      </c>
      <c r="H130" s="4" t="n">
        <v>45474</v>
      </c>
      <c r="I130" s="2" t="inlineStr">
        <is>
          <t>11:10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</row>
    <row r="131">
      <c r="A131" s="2" t="inlineStr">
        <is>
          <t>Z001_01_062024_MATURIN.CSV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FILE001</t>
        </is>
      </c>
      <c r="F131" s="2" t="inlineStr">
        <is>
          <t>Z</t>
        </is>
      </c>
      <c r="G131" s="3" t="inlineStr">
        <is>
          <t>0034</t>
        </is>
      </c>
      <c r="H131" s="4" t="n">
        <v>45474</v>
      </c>
      <c r="I131" s="2" t="inlineStr">
        <is>
          <t>11:10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</row>
    <row r="132">
      <c r="A132" s="2" t="inlineStr">
        <is>
          <t>Z001_01_062024_MATURIN.CSV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FILE001</t>
        </is>
      </c>
      <c r="F132" s="2" t="inlineStr">
        <is>
          <t>Z</t>
        </is>
      </c>
      <c r="G132" s="3" t="inlineStr">
        <is>
          <t>0034</t>
        </is>
      </c>
      <c r="H132" s="4" t="n">
        <v>45474</v>
      </c>
      <c r="I132" s="2" t="inlineStr">
        <is>
          <t>11:10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</row>
    <row r="133">
      <c r="A133" s="2" t="inlineStr">
        <is>
          <t>Z001_01_062024_MATURIN.CSV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FILE001</t>
        </is>
      </c>
      <c r="F133" s="2" t="inlineStr">
        <is>
          <t>Z</t>
        </is>
      </c>
      <c r="G133" s="3" t="inlineStr">
        <is>
          <t>0034</t>
        </is>
      </c>
      <c r="H133" s="4" t="n">
        <v>45474</v>
      </c>
      <c r="I133" s="2" t="inlineStr">
        <is>
          <t>11:10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</row>
    <row r="134">
      <c r="A134" s="2" t="inlineStr">
        <is>
          <t>Z001_01_062024_MATURIN.CSV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FILE001</t>
        </is>
      </c>
      <c r="F134" s="2" t="inlineStr">
        <is>
          <t>Z</t>
        </is>
      </c>
      <c r="G134" s="3" t="inlineStr">
        <is>
          <t>0034</t>
        </is>
      </c>
      <c r="H134" s="4" t="n">
        <v>45474</v>
      </c>
      <c r="I134" s="2" t="inlineStr">
        <is>
          <t>11:10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</row>
    <row r="135">
      <c r="A135" s="2" t="inlineStr">
        <is>
          <t>Z001_01_062024_MATURIN.CSV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FILE001</t>
        </is>
      </c>
      <c r="F135" s="2" t="inlineStr">
        <is>
          <t>Z</t>
        </is>
      </c>
      <c r="G135" s="3" t="inlineStr">
        <is>
          <t>0034</t>
        </is>
      </c>
      <c r="H135" s="4" t="n">
        <v>45474</v>
      </c>
      <c r="I135" s="2" t="inlineStr">
        <is>
          <t>11:10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</row>
    <row r="136">
      <c r="A136" s="2" t="inlineStr">
        <is>
          <t>Z001_01_062024_MATURIN.CSV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FILE001</t>
        </is>
      </c>
      <c r="F136" s="2" t="inlineStr">
        <is>
          <t>Z</t>
        </is>
      </c>
      <c r="G136" s="3" t="inlineStr">
        <is>
          <t>0034</t>
        </is>
      </c>
      <c r="H136" s="4" t="n">
        <v>45474</v>
      </c>
      <c r="I136" s="2" t="inlineStr">
        <is>
          <t>11:10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</row>
    <row r="137">
      <c r="A137" s="2" t="inlineStr">
        <is>
          <t>Z001_01_062024_MATURIN.CSV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FILE001</t>
        </is>
      </c>
      <c r="F137" s="2" t="inlineStr">
        <is>
          <t>Z</t>
        </is>
      </c>
      <c r="G137" s="3" t="inlineStr">
        <is>
          <t>0034</t>
        </is>
      </c>
      <c r="H137" s="4" t="n">
        <v>45474</v>
      </c>
      <c r="I137" s="2" t="inlineStr">
        <is>
          <t>11:10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</row>
    <row r="138">
      <c r="A138" s="2" t="inlineStr">
        <is>
          <t>Z001_01_062024_MATURIN.CSV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FILE001</t>
        </is>
      </c>
      <c r="F138" s="2" t="inlineStr">
        <is>
          <t>Z</t>
        </is>
      </c>
      <c r="G138" s="3" t="inlineStr">
        <is>
          <t>0034</t>
        </is>
      </c>
      <c r="H138" s="4" t="n">
        <v>45474</v>
      </c>
      <c r="I138" s="2" t="inlineStr">
        <is>
          <t>11:10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</row>
    <row r="139">
      <c r="A139" s="2" t="inlineStr">
        <is>
          <t>Z001_01_062024_MATURIN.CSV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FILE001</t>
        </is>
      </c>
      <c r="F139" s="2" t="inlineStr">
        <is>
          <t>Z</t>
        </is>
      </c>
      <c r="G139" s="3" t="inlineStr">
        <is>
          <t>0034</t>
        </is>
      </c>
      <c r="H139" s="4" t="n">
        <v>45474</v>
      </c>
      <c r="I139" s="2" t="inlineStr">
        <is>
          <t>11:10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</row>
    <row r="140">
      <c r="A140" s="2" t="inlineStr">
        <is>
          <t>Z001_01_062024_MATURIN.CSV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FILE001</t>
        </is>
      </c>
      <c r="F140" s="2" t="inlineStr">
        <is>
          <t>Z</t>
        </is>
      </c>
      <c r="G140" s="3" t="inlineStr">
        <is>
          <t>0034</t>
        </is>
      </c>
      <c r="H140" s="4" t="n">
        <v>45474</v>
      </c>
      <c r="I140" s="2" t="inlineStr">
        <is>
          <t>11:10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</row>
    <row r="141">
      <c r="A141" s="2" t="inlineStr">
        <is>
          <t>Z001_01_062024_MATURIN.CSV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FILE001</t>
        </is>
      </c>
      <c r="F141" s="2" t="inlineStr">
        <is>
          <t>Z</t>
        </is>
      </c>
      <c r="G141" s="3" t="inlineStr">
        <is>
          <t>0034</t>
        </is>
      </c>
      <c r="H141" s="4" t="n">
        <v>45474</v>
      </c>
      <c r="I141" s="2" t="inlineStr">
        <is>
          <t>11:10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</row>
    <row r="142">
      <c r="A142" s="2" t="inlineStr">
        <is>
          <t>Z001_01_062024_MATURIN.CSV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FILE001</t>
        </is>
      </c>
      <c r="F142" s="2" t="inlineStr">
        <is>
          <t>Z</t>
        </is>
      </c>
      <c r="G142" s="3" t="inlineStr">
        <is>
          <t>0034</t>
        </is>
      </c>
      <c r="H142" s="4" t="n">
        <v>45474</v>
      </c>
      <c r="I142" s="2" t="inlineStr">
        <is>
          <t>11:10</t>
        </is>
      </c>
      <c r="J142" s="3" t="inlineStr">
        <is>
          <t>0018</t>
        </is>
      </c>
      <c r="K142" s="2" t="inlineStr">
        <is>
          <t>CLIENTS</t>
        </is>
      </c>
      <c r="L142" s="5" t="n">
        <v>23</v>
      </c>
      <c r="M142" s="6" t="n">
        <v>0</v>
      </c>
    </row>
    <row r="143">
      <c r="A143" s="2" t="inlineStr">
        <is>
          <t>Z001_01_062024_MATURIN.CSV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FILE001</t>
        </is>
      </c>
      <c r="F143" s="2" t="inlineStr">
        <is>
          <t>Z</t>
        </is>
      </c>
      <c r="G143" s="3" t="inlineStr">
        <is>
          <t>0034</t>
        </is>
      </c>
      <c r="H143" s="4" t="n">
        <v>45474</v>
      </c>
      <c r="I143" s="2" t="inlineStr">
        <is>
          <t>11:10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</row>
    <row r="144">
      <c r="A144" s="2" t="inlineStr">
        <is>
          <t>Z001_01_062024_MATURIN.CSV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FILE001</t>
        </is>
      </c>
      <c r="F144" s="2" t="inlineStr">
        <is>
          <t>Z</t>
        </is>
      </c>
      <c r="G144" s="3" t="inlineStr">
        <is>
          <t>0034</t>
        </is>
      </c>
      <c r="H144" s="4" t="n">
        <v>45474</v>
      </c>
      <c r="I144" s="2" t="inlineStr">
        <is>
          <t>11:10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</row>
    <row r="145">
      <c r="A145" s="2" t="inlineStr">
        <is>
          <t>Z001_01_062024_MATURIN.CSV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FILE001</t>
        </is>
      </c>
      <c r="F145" s="2" t="inlineStr">
        <is>
          <t>Z</t>
        </is>
      </c>
      <c r="G145" s="3" t="inlineStr">
        <is>
          <t>0034</t>
        </is>
      </c>
      <c r="H145" s="4" t="n">
        <v>45474</v>
      </c>
      <c r="I145" s="2" t="inlineStr">
        <is>
          <t>11:10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</row>
    <row r="146">
      <c r="A146" s="2" t="inlineStr">
        <is>
          <t>Z001_01_062024_MATURIN.CSV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FILE001</t>
        </is>
      </c>
      <c r="F146" s="2" t="inlineStr">
        <is>
          <t>Z</t>
        </is>
      </c>
      <c r="G146" s="3" t="inlineStr">
        <is>
          <t>0034</t>
        </is>
      </c>
      <c r="H146" s="4" t="n">
        <v>45474</v>
      </c>
      <c r="I146" s="2" t="inlineStr">
        <is>
          <t>11:10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</row>
    <row r="147">
      <c r="A147" s="2" t="inlineStr">
        <is>
          <t>Z001_01_062024_MATURIN.CSV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FILE001</t>
        </is>
      </c>
      <c r="F147" s="2" t="inlineStr">
        <is>
          <t>Z</t>
        </is>
      </c>
      <c r="G147" s="3" t="inlineStr">
        <is>
          <t>0034</t>
        </is>
      </c>
      <c r="H147" s="4" t="n">
        <v>45474</v>
      </c>
      <c r="I147" s="2" t="inlineStr">
        <is>
          <t>11:10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</row>
    <row r="148">
      <c r="A148" s="2" t="inlineStr">
        <is>
          <t>Z001_01_062024_MATURIN.CSV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FILE001</t>
        </is>
      </c>
      <c r="F148" s="2" t="inlineStr">
        <is>
          <t>Z</t>
        </is>
      </c>
      <c r="G148" s="3" t="inlineStr">
        <is>
          <t>0034</t>
        </is>
      </c>
      <c r="H148" s="4" t="n">
        <v>45474</v>
      </c>
      <c r="I148" s="2" t="inlineStr">
        <is>
          <t>11:10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</row>
    <row r="149">
      <c r="A149" s="2" t="inlineStr">
        <is>
          <t>Z001_01_062024_MATURIN.CSV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FILE001</t>
        </is>
      </c>
      <c r="F149" s="2" t="inlineStr">
        <is>
          <t>Z</t>
        </is>
      </c>
      <c r="G149" s="3" t="inlineStr">
        <is>
          <t>0034</t>
        </is>
      </c>
      <c r="H149" s="4" t="n">
        <v>45474</v>
      </c>
      <c r="I149" s="2" t="inlineStr">
        <is>
          <t>11:10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</row>
    <row r="150">
      <c r="A150" s="2" t="inlineStr">
        <is>
          <t>Z001_01_062024_MATURIN.CSV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FILE001</t>
        </is>
      </c>
      <c r="F150" s="2" t="inlineStr">
        <is>
          <t>Z</t>
        </is>
      </c>
      <c r="G150" s="3" t="inlineStr">
        <is>
          <t>0034</t>
        </is>
      </c>
      <c r="H150" s="4" t="n">
        <v>45474</v>
      </c>
      <c r="I150" s="2" t="inlineStr">
        <is>
          <t>11:10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</row>
    <row r="151">
      <c r="A151" s="2" t="inlineStr">
        <is>
          <t>Z001_01_062024_MATURIN.CSV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FILE001</t>
        </is>
      </c>
      <c r="F151" s="2" t="inlineStr">
        <is>
          <t>Z</t>
        </is>
      </c>
      <c r="G151" s="3" t="inlineStr">
        <is>
          <t>0034</t>
        </is>
      </c>
      <c r="H151" s="4" t="n">
        <v>45474</v>
      </c>
      <c r="I151" s="2" t="inlineStr">
        <is>
          <t>11:10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</row>
    <row r="152">
      <c r="A152" s="2" t="inlineStr">
        <is>
          <t>Z001_01_062024_MATURIN.CSV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FILE001</t>
        </is>
      </c>
      <c r="F152" s="2" t="inlineStr">
        <is>
          <t>Z</t>
        </is>
      </c>
      <c r="G152" s="3" t="inlineStr">
        <is>
          <t>0034</t>
        </is>
      </c>
      <c r="H152" s="4" t="n">
        <v>45474</v>
      </c>
      <c r="I152" s="2" t="inlineStr">
        <is>
          <t>11:10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</row>
    <row r="153">
      <c r="A153" s="2" t="inlineStr">
        <is>
          <t>Z001_01_062024_MATURIN.CSV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FILE001</t>
        </is>
      </c>
      <c r="F153" s="2" t="inlineStr">
        <is>
          <t>Z</t>
        </is>
      </c>
      <c r="G153" s="3" t="inlineStr">
        <is>
          <t>0034</t>
        </is>
      </c>
      <c r="H153" s="4" t="n">
        <v>45474</v>
      </c>
      <c r="I153" s="2" t="inlineStr">
        <is>
          <t>11:10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</row>
    <row r="154">
      <c r="A154" s="2" t="inlineStr">
        <is>
          <t>Z001_01_062024_MATURIN.CSV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FILE001</t>
        </is>
      </c>
      <c r="F154" s="2" t="inlineStr">
        <is>
          <t>Z</t>
        </is>
      </c>
      <c r="G154" s="3" t="inlineStr">
        <is>
          <t>0034</t>
        </is>
      </c>
      <c r="H154" s="4" t="n">
        <v>45474</v>
      </c>
      <c r="I154" s="2" t="inlineStr">
        <is>
          <t>11:10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</row>
    <row r="155">
      <c r="A155" s="2" t="inlineStr">
        <is>
          <t>Z001_01_062024_MATURIN.CSV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FILE001</t>
        </is>
      </c>
      <c r="F155" s="2" t="inlineStr">
        <is>
          <t>Z</t>
        </is>
      </c>
      <c r="G155" s="3" t="inlineStr">
        <is>
          <t>0034</t>
        </is>
      </c>
      <c r="H155" s="4" t="n">
        <v>45474</v>
      </c>
      <c r="I155" s="2" t="inlineStr">
        <is>
          <t>11:10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</row>
    <row r="156">
      <c r="A156" s="2" t="inlineStr">
        <is>
          <t>Z001_01_062024_MATURIN.CSV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FILE001</t>
        </is>
      </c>
      <c r="F156" s="2" t="inlineStr">
        <is>
          <t>Z</t>
        </is>
      </c>
      <c r="G156" s="3" t="inlineStr">
        <is>
          <t>0034</t>
        </is>
      </c>
      <c r="H156" s="4" t="n">
        <v>45474</v>
      </c>
      <c r="I156" s="2" t="inlineStr">
        <is>
          <t>11:10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</row>
    <row r="157">
      <c r="A157" s="2" t="inlineStr">
        <is>
          <t>Z001_01_062024_MATURIN.CSV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FILE001</t>
        </is>
      </c>
      <c r="F157" s="2" t="inlineStr">
        <is>
          <t>Z</t>
        </is>
      </c>
      <c r="G157" s="3" t="inlineStr">
        <is>
          <t>0034</t>
        </is>
      </c>
      <c r="H157" s="4" t="n">
        <v>45474</v>
      </c>
      <c r="I157" s="2" t="inlineStr">
        <is>
          <t>11:10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27606.34</v>
      </c>
    </row>
    <row r="158">
      <c r="A158" s="2" t="inlineStr">
        <is>
          <t>Z001_01_062024_MATURIN.CSV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FILE001</t>
        </is>
      </c>
      <c r="F158" s="2" t="inlineStr">
        <is>
          <t>Z</t>
        </is>
      </c>
      <c r="G158" s="3" t="inlineStr">
        <is>
          <t>0034</t>
        </is>
      </c>
      <c r="H158" s="4" t="n">
        <v>45474</v>
      </c>
      <c r="I158" s="2" t="inlineStr">
        <is>
          <t>11:10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5521.26</v>
      </c>
    </row>
    <row r="159">
      <c r="A159" s="2" t="inlineStr">
        <is>
          <t>Z001_01_062024_MATURIN.CSV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FILE001</t>
        </is>
      </c>
      <c r="F159" s="2" t="inlineStr">
        <is>
          <t>Z</t>
        </is>
      </c>
      <c r="G159" s="3" t="inlineStr">
        <is>
          <t>0034</t>
        </is>
      </c>
      <c r="H159" s="4" t="n">
        <v>45474</v>
      </c>
      <c r="I159" s="2" t="inlineStr">
        <is>
          <t>11:10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</row>
    <row r="160">
      <c r="A160" s="2" t="inlineStr">
        <is>
          <t>Z001_01_062024_MATURIN.CSV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FILE001</t>
        </is>
      </c>
      <c r="F160" s="2" t="inlineStr">
        <is>
          <t>Z</t>
        </is>
      </c>
      <c r="G160" s="3" t="inlineStr">
        <is>
          <t>0034</t>
        </is>
      </c>
      <c r="H160" s="4" t="n">
        <v>45474</v>
      </c>
      <c r="I160" s="2" t="inlineStr">
        <is>
          <t>11:10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</row>
    <row r="161">
      <c r="A161" s="2" t="inlineStr">
        <is>
          <t>Z001_01_062024_MATURIN.CSV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FILE001</t>
        </is>
      </c>
      <c r="F161" s="2" t="inlineStr">
        <is>
          <t>Z</t>
        </is>
      </c>
      <c r="G161" s="3" t="inlineStr">
        <is>
          <t>0034</t>
        </is>
      </c>
      <c r="H161" s="4" t="n">
        <v>45474</v>
      </c>
      <c r="I161" s="2" t="inlineStr">
        <is>
          <t>11:10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</row>
    <row r="162">
      <c r="A162" s="2" t="inlineStr">
        <is>
          <t>Z001_01_062024_MATURIN.CSV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FILE001</t>
        </is>
      </c>
      <c r="F162" s="2" t="inlineStr">
        <is>
          <t>Z</t>
        </is>
      </c>
      <c r="G162" s="3" t="inlineStr">
        <is>
          <t>0034</t>
        </is>
      </c>
      <c r="H162" s="4" t="n">
        <v>45474</v>
      </c>
      <c r="I162" s="2" t="inlineStr">
        <is>
          <t>11:10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</row>
    <row r="163">
      <c r="A163" s="2" t="inlineStr">
        <is>
          <t>Z001_01_062024_MATURIN.CSV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FILE001</t>
        </is>
      </c>
      <c r="F163" s="2" t="inlineStr">
        <is>
          <t>Z</t>
        </is>
      </c>
      <c r="G163" s="3" t="inlineStr">
        <is>
          <t>0034</t>
        </is>
      </c>
      <c r="H163" s="4" t="n">
        <v>45474</v>
      </c>
      <c r="I163" s="2" t="inlineStr">
        <is>
          <t>11:10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</row>
    <row r="164">
      <c r="A164" s="2" t="inlineStr">
        <is>
          <t>Z001_01_062024_MATURIN.CSV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FILE001</t>
        </is>
      </c>
      <c r="F164" s="2" t="inlineStr">
        <is>
          <t>Z</t>
        </is>
      </c>
      <c r="G164" s="3" t="inlineStr">
        <is>
          <t>0034</t>
        </is>
      </c>
      <c r="H164" s="4" t="n">
        <v>45474</v>
      </c>
      <c r="I164" s="2" t="inlineStr">
        <is>
          <t>11:10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</row>
    <row r="165">
      <c r="A165" s="2" t="inlineStr">
        <is>
          <t>Z001_01_062024_MATURIN.CSV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FILE001</t>
        </is>
      </c>
      <c r="F165" s="2" t="inlineStr">
        <is>
          <t>Z</t>
        </is>
      </c>
      <c r="G165" s="3" t="inlineStr">
        <is>
          <t>0034</t>
        </is>
      </c>
      <c r="H165" s="4" t="n">
        <v>45474</v>
      </c>
      <c r="I165" s="2" t="inlineStr">
        <is>
          <t>11:10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</row>
    <row r="166">
      <c r="A166" s="2" t="inlineStr">
        <is>
          <t>Z001_01_072024_MATURIN.CSV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FILE001</t>
        </is>
      </c>
      <c r="F166" s="2" t="inlineStr">
        <is>
          <t>Z</t>
        </is>
      </c>
      <c r="G166" s="3" t="inlineStr">
        <is>
          <t>0035</t>
        </is>
      </c>
      <c r="H166" s="4" t="n">
        <v>45505</v>
      </c>
      <c r="I166" s="2" t="inlineStr">
        <is>
          <t>09:51</t>
        </is>
      </c>
      <c r="J166" s="3" t="inlineStr">
        <is>
          <t>0001</t>
        </is>
      </c>
      <c r="K166" s="2" t="inlineStr">
        <is>
          <t>CA BRUT</t>
        </is>
      </c>
      <c r="L166" s="5" t="n">
        <v>61</v>
      </c>
      <c r="M166" s="6" t="n">
        <v>43074</v>
      </c>
    </row>
    <row r="167">
      <c r="A167" s="2" t="inlineStr">
        <is>
          <t>Z001_01_072024_MATURIN.CSV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FILE001</t>
        </is>
      </c>
      <c r="F167" s="2" t="inlineStr">
        <is>
          <t>Z</t>
        </is>
      </c>
      <c r="G167" s="3" t="inlineStr">
        <is>
          <t>0035</t>
        </is>
      </c>
      <c r="H167" s="4" t="n">
        <v>45505</v>
      </c>
      <c r="I167" s="2" t="inlineStr">
        <is>
          <t>09:51</t>
        </is>
      </c>
      <c r="J167" s="3" t="inlineStr">
        <is>
          <t>0002</t>
        </is>
      </c>
      <c r="K167" s="2" t="inlineStr">
        <is>
          <t>CA NET</t>
        </is>
      </c>
      <c r="L167" s="5" t="n">
        <v>29</v>
      </c>
      <c r="M167" s="6" t="n">
        <v>43074</v>
      </c>
    </row>
    <row r="168">
      <c r="A168" s="2" t="inlineStr">
        <is>
          <t>Z001_01_072024_MATURIN.CSV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FILE001</t>
        </is>
      </c>
      <c r="F168" s="2" t="inlineStr">
        <is>
          <t>Z</t>
        </is>
      </c>
      <c r="G168" s="3" t="inlineStr">
        <is>
          <t>0035</t>
        </is>
      </c>
      <c r="H168" s="4" t="n">
        <v>45505</v>
      </c>
      <c r="I168" s="2" t="inlineStr">
        <is>
          <t>09:51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11275</v>
      </c>
    </row>
    <row r="169">
      <c r="A169" s="2" t="inlineStr">
        <is>
          <t>Z001_01_072024_MATURIN.CSV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FILE001</t>
        </is>
      </c>
      <c r="F169" s="2" t="inlineStr">
        <is>
          <t>Z</t>
        </is>
      </c>
      <c r="G169" s="3" t="inlineStr">
        <is>
          <t>0035</t>
        </is>
      </c>
      <c r="H169" s="4" t="n">
        <v>45505</v>
      </c>
      <c r="I169" s="2" t="inlineStr">
        <is>
          <t>09:51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31799</v>
      </c>
    </row>
    <row r="170">
      <c r="A170" s="2" t="inlineStr">
        <is>
          <t>Z001_01_072024_MATURIN.CSV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FILE001</t>
        </is>
      </c>
      <c r="F170" s="2" t="inlineStr">
        <is>
          <t>Z</t>
        </is>
      </c>
      <c r="G170" s="3" t="inlineStr">
        <is>
          <t>0035</t>
        </is>
      </c>
      <c r="H170" s="4" t="n">
        <v>45505</v>
      </c>
      <c r="I170" s="2" t="inlineStr">
        <is>
          <t>09:51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</row>
    <row r="171">
      <c r="A171" s="2" t="inlineStr">
        <is>
          <t>Z001_01_072024_MATURIN.CSV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FILE001</t>
        </is>
      </c>
      <c r="F171" s="2" t="inlineStr">
        <is>
          <t>Z</t>
        </is>
      </c>
      <c r="G171" s="3" t="inlineStr">
        <is>
          <t>0035</t>
        </is>
      </c>
      <c r="H171" s="4" t="n">
        <v>45505</v>
      </c>
      <c r="I171" s="2" t="inlineStr">
        <is>
          <t>09:51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</row>
    <row r="172">
      <c r="A172" s="2" t="inlineStr">
        <is>
          <t>Z001_01_072024_MATURIN.CSV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FILE001</t>
        </is>
      </c>
      <c r="F172" s="2" t="inlineStr">
        <is>
          <t>Z</t>
        </is>
      </c>
      <c r="G172" s="3" t="inlineStr">
        <is>
          <t>0035</t>
        </is>
      </c>
      <c r="H172" s="4" t="n">
        <v>45505</v>
      </c>
      <c r="I172" s="2" t="inlineStr">
        <is>
          <t>09:51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</row>
    <row r="173">
      <c r="A173" s="2" t="inlineStr">
        <is>
          <t>Z001_01_072024_MATURIN.CSV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FILE001</t>
        </is>
      </c>
      <c r="F173" s="2" t="inlineStr">
        <is>
          <t>Z</t>
        </is>
      </c>
      <c r="G173" s="3" t="inlineStr">
        <is>
          <t>0035</t>
        </is>
      </c>
      <c r="H173" s="4" t="n">
        <v>45505</v>
      </c>
      <c r="I173" s="2" t="inlineStr">
        <is>
          <t>09:51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</row>
    <row r="174">
      <c r="A174" s="2" t="inlineStr">
        <is>
          <t>Z001_01_072024_MATURIN.CSV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FILE001</t>
        </is>
      </c>
      <c r="F174" s="2" t="inlineStr">
        <is>
          <t>Z</t>
        </is>
      </c>
      <c r="G174" s="3" t="inlineStr">
        <is>
          <t>0035</t>
        </is>
      </c>
      <c r="H174" s="4" t="n">
        <v>45505</v>
      </c>
      <c r="I174" s="2" t="inlineStr">
        <is>
          <t>09:51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</row>
    <row r="175">
      <c r="A175" s="2" t="inlineStr">
        <is>
          <t>Z001_01_072024_MATURIN.CSV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FILE001</t>
        </is>
      </c>
      <c r="F175" s="2" t="inlineStr">
        <is>
          <t>Z</t>
        </is>
      </c>
      <c r="G175" s="3" t="inlineStr">
        <is>
          <t>0035</t>
        </is>
      </c>
      <c r="H175" s="4" t="n">
        <v>45505</v>
      </c>
      <c r="I175" s="2" t="inlineStr">
        <is>
          <t>09:51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</row>
    <row r="176">
      <c r="A176" s="2" t="inlineStr">
        <is>
          <t>Z001_01_072024_MATURIN.CSV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FILE001</t>
        </is>
      </c>
      <c r="F176" s="2" t="inlineStr">
        <is>
          <t>Z</t>
        </is>
      </c>
      <c r="G176" s="3" t="inlineStr">
        <is>
          <t>0035</t>
        </is>
      </c>
      <c r="H176" s="4" t="n">
        <v>45505</v>
      </c>
      <c r="I176" s="2" t="inlineStr">
        <is>
          <t>09:51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</row>
    <row r="177">
      <c r="A177" s="2" t="inlineStr">
        <is>
          <t>Z001_01_072024_MATURIN.CSV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FILE001</t>
        </is>
      </c>
      <c r="F177" s="2" t="inlineStr">
        <is>
          <t>Z</t>
        </is>
      </c>
      <c r="G177" s="3" t="inlineStr">
        <is>
          <t>0035</t>
        </is>
      </c>
      <c r="H177" s="4" t="n">
        <v>45505</v>
      </c>
      <c r="I177" s="2" t="inlineStr">
        <is>
          <t>09:51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</row>
    <row r="178">
      <c r="A178" s="2" t="inlineStr">
        <is>
          <t>Z001_01_072024_MATURIN.CSV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FILE001</t>
        </is>
      </c>
      <c r="F178" s="2" t="inlineStr">
        <is>
          <t>Z</t>
        </is>
      </c>
      <c r="G178" s="3" t="inlineStr">
        <is>
          <t>0035</t>
        </is>
      </c>
      <c r="H178" s="4" t="n">
        <v>45505</v>
      </c>
      <c r="I178" s="2" t="inlineStr">
        <is>
          <t>09:51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</row>
    <row r="179">
      <c r="A179" s="2" t="inlineStr">
        <is>
          <t>Z001_01_072024_MATURIN.CSV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FILE001</t>
        </is>
      </c>
      <c r="F179" s="2" t="inlineStr">
        <is>
          <t>Z</t>
        </is>
      </c>
      <c r="G179" s="3" t="inlineStr">
        <is>
          <t>0035</t>
        </is>
      </c>
      <c r="H179" s="4" t="n">
        <v>45505</v>
      </c>
      <c r="I179" s="2" t="inlineStr">
        <is>
          <t>09:51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</row>
    <row r="180">
      <c r="A180" s="2" t="inlineStr">
        <is>
          <t>Z001_01_072024_MATURIN.CSV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FILE001</t>
        </is>
      </c>
      <c r="F180" s="2" t="inlineStr">
        <is>
          <t>Z</t>
        </is>
      </c>
      <c r="G180" s="3" t="inlineStr">
        <is>
          <t>0035</t>
        </is>
      </c>
      <c r="H180" s="4" t="n">
        <v>45505</v>
      </c>
      <c r="I180" s="2" t="inlineStr">
        <is>
          <t>09:51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</row>
    <row r="181">
      <c r="A181" s="2" t="inlineStr">
        <is>
          <t>Z001_01_072024_MATURIN.CSV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FILE001</t>
        </is>
      </c>
      <c r="F181" s="2" t="inlineStr">
        <is>
          <t>Z</t>
        </is>
      </c>
      <c r="G181" s="3" t="inlineStr">
        <is>
          <t>0035</t>
        </is>
      </c>
      <c r="H181" s="4" t="n">
        <v>45505</v>
      </c>
      <c r="I181" s="2" t="inlineStr">
        <is>
          <t>09:51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</row>
    <row r="182">
      <c r="A182" s="2" t="inlineStr">
        <is>
          <t>Z001_01_072024_MATURIN.CSV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FILE001</t>
        </is>
      </c>
      <c r="F182" s="2" t="inlineStr">
        <is>
          <t>Z</t>
        </is>
      </c>
      <c r="G182" s="3" t="inlineStr">
        <is>
          <t>0035</t>
        </is>
      </c>
      <c r="H182" s="4" t="n">
        <v>45505</v>
      </c>
      <c r="I182" s="2" t="inlineStr">
        <is>
          <t>09:51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</row>
    <row r="183">
      <c r="A183" s="2" t="inlineStr">
        <is>
          <t>Z001_01_072024_MATURIN.CSV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FILE001</t>
        </is>
      </c>
      <c r="F183" s="2" t="inlineStr">
        <is>
          <t>Z</t>
        </is>
      </c>
      <c r="G183" s="3" t="inlineStr">
        <is>
          <t>0035</t>
        </is>
      </c>
      <c r="H183" s="4" t="n">
        <v>45505</v>
      </c>
      <c r="I183" s="2" t="inlineStr">
        <is>
          <t>09:51</t>
        </is>
      </c>
      <c r="J183" s="3" t="inlineStr">
        <is>
          <t>0018</t>
        </is>
      </c>
      <c r="K183" s="2" t="inlineStr">
        <is>
          <t>CLIENTS</t>
        </is>
      </c>
      <c r="L183" s="5" t="n">
        <v>29</v>
      </c>
      <c r="M183" s="6" t="n">
        <v>0</v>
      </c>
    </row>
    <row r="184">
      <c r="A184" s="2" t="inlineStr">
        <is>
          <t>Z001_01_072024_MATURIN.CSV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FILE001</t>
        </is>
      </c>
      <c r="F184" s="2" t="inlineStr">
        <is>
          <t>Z</t>
        </is>
      </c>
      <c r="G184" s="3" t="inlineStr">
        <is>
          <t>0035</t>
        </is>
      </c>
      <c r="H184" s="4" t="n">
        <v>45505</v>
      </c>
      <c r="I184" s="2" t="inlineStr">
        <is>
          <t>09:51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</row>
    <row r="185">
      <c r="A185" s="2" t="inlineStr">
        <is>
          <t>Z001_01_072024_MATURIN.CSV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FILE001</t>
        </is>
      </c>
      <c r="F185" s="2" t="inlineStr">
        <is>
          <t>Z</t>
        </is>
      </c>
      <c r="G185" s="3" t="inlineStr">
        <is>
          <t>0035</t>
        </is>
      </c>
      <c r="H185" s="4" t="n">
        <v>45505</v>
      </c>
      <c r="I185" s="2" t="inlineStr">
        <is>
          <t>09:51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</row>
    <row r="186">
      <c r="A186" s="2" t="inlineStr">
        <is>
          <t>Z001_01_072024_MATURIN.CSV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FILE001</t>
        </is>
      </c>
      <c r="F186" s="2" t="inlineStr">
        <is>
          <t>Z</t>
        </is>
      </c>
      <c r="G186" s="3" t="inlineStr">
        <is>
          <t>0035</t>
        </is>
      </c>
      <c r="H186" s="4" t="n">
        <v>45505</v>
      </c>
      <c r="I186" s="2" t="inlineStr">
        <is>
          <t>09:51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</row>
    <row r="187">
      <c r="A187" s="2" t="inlineStr">
        <is>
          <t>Z001_01_072024_MATURIN.CSV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FILE001</t>
        </is>
      </c>
      <c r="F187" s="2" t="inlineStr">
        <is>
          <t>Z</t>
        </is>
      </c>
      <c r="G187" s="3" t="inlineStr">
        <is>
          <t>0035</t>
        </is>
      </c>
      <c r="H187" s="4" t="n">
        <v>45505</v>
      </c>
      <c r="I187" s="2" t="inlineStr">
        <is>
          <t>09:51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</row>
    <row r="188">
      <c r="A188" s="2" t="inlineStr">
        <is>
          <t>Z001_01_072024_MATURIN.CSV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FILE001</t>
        </is>
      </c>
      <c r="F188" s="2" t="inlineStr">
        <is>
          <t>Z</t>
        </is>
      </c>
      <c r="G188" s="3" t="inlineStr">
        <is>
          <t>0035</t>
        </is>
      </c>
      <c r="H188" s="4" t="n">
        <v>45505</v>
      </c>
      <c r="I188" s="2" t="inlineStr">
        <is>
          <t>09:51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</row>
    <row r="189">
      <c r="A189" s="2" t="inlineStr">
        <is>
          <t>Z001_01_072024_MATURIN.CSV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FILE001</t>
        </is>
      </c>
      <c r="F189" s="2" t="inlineStr">
        <is>
          <t>Z</t>
        </is>
      </c>
      <c r="G189" s="3" t="inlineStr">
        <is>
          <t>0035</t>
        </is>
      </c>
      <c r="H189" s="4" t="n">
        <v>45505</v>
      </c>
      <c r="I189" s="2" t="inlineStr">
        <is>
          <t>09:51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</row>
    <row r="190">
      <c r="A190" s="2" t="inlineStr">
        <is>
          <t>Z001_01_072024_MATURIN.CSV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FILE001</t>
        </is>
      </c>
      <c r="F190" s="2" t="inlineStr">
        <is>
          <t>Z</t>
        </is>
      </c>
      <c r="G190" s="3" t="inlineStr">
        <is>
          <t>0035</t>
        </is>
      </c>
      <c r="H190" s="4" t="n">
        <v>45505</v>
      </c>
      <c r="I190" s="2" t="inlineStr">
        <is>
          <t>09:51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</row>
    <row r="191">
      <c r="A191" s="2" t="inlineStr">
        <is>
          <t>Z001_01_072024_MATURIN.CSV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FILE001</t>
        </is>
      </c>
      <c r="F191" s="2" t="inlineStr">
        <is>
          <t>Z</t>
        </is>
      </c>
      <c r="G191" s="3" t="inlineStr">
        <is>
          <t>0035</t>
        </is>
      </c>
      <c r="H191" s="4" t="n">
        <v>45505</v>
      </c>
      <c r="I191" s="2" t="inlineStr">
        <is>
          <t>09:51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</row>
    <row r="192">
      <c r="A192" s="2" t="inlineStr">
        <is>
          <t>Z001_01_072024_MATURIN.CSV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FILE001</t>
        </is>
      </c>
      <c r="F192" s="2" t="inlineStr">
        <is>
          <t>Z</t>
        </is>
      </c>
      <c r="G192" s="3" t="inlineStr">
        <is>
          <t>0035</t>
        </is>
      </c>
      <c r="H192" s="4" t="n">
        <v>45505</v>
      </c>
      <c r="I192" s="2" t="inlineStr">
        <is>
          <t>09:51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</row>
    <row r="193">
      <c r="A193" s="2" t="inlineStr">
        <is>
          <t>Z001_01_072024_MATURIN.CSV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FILE001</t>
        </is>
      </c>
      <c r="F193" s="2" t="inlineStr">
        <is>
          <t>Z</t>
        </is>
      </c>
      <c r="G193" s="3" t="inlineStr">
        <is>
          <t>0035</t>
        </is>
      </c>
      <c r="H193" s="4" t="n">
        <v>45505</v>
      </c>
      <c r="I193" s="2" t="inlineStr">
        <is>
          <t>09:51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</row>
    <row r="194">
      <c r="A194" s="2" t="inlineStr">
        <is>
          <t>Z001_01_072024_MATURIN.CSV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FILE001</t>
        </is>
      </c>
      <c r="F194" s="2" t="inlineStr">
        <is>
          <t>Z</t>
        </is>
      </c>
      <c r="G194" s="3" t="inlineStr">
        <is>
          <t>0035</t>
        </is>
      </c>
      <c r="H194" s="4" t="n">
        <v>45505</v>
      </c>
      <c r="I194" s="2" t="inlineStr">
        <is>
          <t>09:51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</row>
    <row r="195">
      <c r="A195" s="2" t="inlineStr">
        <is>
          <t>Z001_01_072024_MATURIN.CSV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FILE001</t>
        </is>
      </c>
      <c r="F195" s="2" t="inlineStr">
        <is>
          <t>Z</t>
        </is>
      </c>
      <c r="G195" s="3" t="inlineStr">
        <is>
          <t>0035</t>
        </is>
      </c>
      <c r="H195" s="4" t="n">
        <v>45505</v>
      </c>
      <c r="I195" s="2" t="inlineStr">
        <is>
          <t>09:51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</row>
    <row r="196">
      <c r="A196" s="2" t="inlineStr">
        <is>
          <t>Z001_01_072024_MATURIN.CSV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FILE001</t>
        </is>
      </c>
      <c r="F196" s="2" t="inlineStr">
        <is>
          <t>Z</t>
        </is>
      </c>
      <c r="G196" s="3" t="inlineStr">
        <is>
          <t>0035</t>
        </is>
      </c>
      <c r="H196" s="4" t="n">
        <v>45505</v>
      </c>
      <c r="I196" s="2" t="inlineStr">
        <is>
          <t>09:51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</row>
    <row r="197">
      <c r="A197" s="2" t="inlineStr">
        <is>
          <t>Z001_01_072024_MATURIN.CSV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FILE001</t>
        </is>
      </c>
      <c r="F197" s="2" t="inlineStr">
        <is>
          <t>Z</t>
        </is>
      </c>
      <c r="G197" s="3" t="inlineStr">
        <is>
          <t>0035</t>
        </is>
      </c>
      <c r="H197" s="4" t="n">
        <v>45505</v>
      </c>
      <c r="I197" s="2" t="inlineStr">
        <is>
          <t>09:51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</row>
    <row r="198">
      <c r="A198" s="2" t="inlineStr">
        <is>
          <t>Z001_01_072024_MATURIN.CSV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FILE001</t>
        </is>
      </c>
      <c r="F198" s="2" t="inlineStr">
        <is>
          <t>Z</t>
        </is>
      </c>
      <c r="G198" s="3" t="inlineStr">
        <is>
          <t>0035</t>
        </is>
      </c>
      <c r="H198" s="4" t="n">
        <v>45505</v>
      </c>
      <c r="I198" s="2" t="inlineStr">
        <is>
          <t>09:51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35895.02</v>
      </c>
    </row>
    <row r="199">
      <c r="A199" s="2" t="inlineStr">
        <is>
          <t>Z001_01_072024_MATURIN.CSV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FILE001</t>
        </is>
      </c>
      <c r="F199" s="2" t="inlineStr">
        <is>
          <t>Z</t>
        </is>
      </c>
      <c r="G199" s="3" t="inlineStr">
        <is>
          <t>0035</t>
        </is>
      </c>
      <c r="H199" s="4" t="n">
        <v>45505</v>
      </c>
      <c r="I199" s="2" t="inlineStr">
        <is>
          <t>09:51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7178.98</v>
      </c>
    </row>
    <row r="200">
      <c r="A200" s="2" t="inlineStr">
        <is>
          <t>Z001_01_072024_MATURIN.CSV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FILE001</t>
        </is>
      </c>
      <c r="F200" s="2" t="inlineStr">
        <is>
          <t>Z</t>
        </is>
      </c>
      <c r="G200" s="3" t="inlineStr">
        <is>
          <t>0035</t>
        </is>
      </c>
      <c r="H200" s="4" t="n">
        <v>45505</v>
      </c>
      <c r="I200" s="2" t="inlineStr">
        <is>
          <t>09:51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</row>
    <row r="201">
      <c r="A201" s="2" t="inlineStr">
        <is>
          <t>Z001_01_072024_MATURIN.CSV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FILE001</t>
        </is>
      </c>
      <c r="F201" s="2" t="inlineStr">
        <is>
          <t>Z</t>
        </is>
      </c>
      <c r="G201" s="3" t="inlineStr">
        <is>
          <t>0035</t>
        </is>
      </c>
      <c r="H201" s="4" t="n">
        <v>45505</v>
      </c>
      <c r="I201" s="2" t="inlineStr">
        <is>
          <t>09:51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</row>
    <row r="202">
      <c r="A202" s="2" t="inlineStr">
        <is>
          <t>Z001_01_072024_MATURIN.CSV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FILE001</t>
        </is>
      </c>
      <c r="F202" s="2" t="inlineStr">
        <is>
          <t>Z</t>
        </is>
      </c>
      <c r="G202" s="3" t="inlineStr">
        <is>
          <t>0035</t>
        </is>
      </c>
      <c r="H202" s="4" t="n">
        <v>45505</v>
      </c>
      <c r="I202" s="2" t="inlineStr">
        <is>
          <t>09:51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</row>
    <row r="203">
      <c r="A203" s="2" t="inlineStr">
        <is>
          <t>Z001_01_072024_MATURIN.CSV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FILE001</t>
        </is>
      </c>
      <c r="F203" s="2" t="inlineStr">
        <is>
          <t>Z</t>
        </is>
      </c>
      <c r="G203" s="3" t="inlineStr">
        <is>
          <t>0035</t>
        </is>
      </c>
      <c r="H203" s="4" t="n">
        <v>45505</v>
      </c>
      <c r="I203" s="2" t="inlineStr">
        <is>
          <t>09:51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</row>
    <row r="204">
      <c r="A204" s="2" t="inlineStr">
        <is>
          <t>Z001_01_072024_MATURIN.CSV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FILE001</t>
        </is>
      </c>
      <c r="F204" s="2" t="inlineStr">
        <is>
          <t>Z</t>
        </is>
      </c>
      <c r="G204" s="3" t="inlineStr">
        <is>
          <t>0035</t>
        </is>
      </c>
      <c r="H204" s="4" t="n">
        <v>45505</v>
      </c>
      <c r="I204" s="2" t="inlineStr">
        <is>
          <t>09:51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</row>
    <row r="205">
      <c r="A205" s="2" t="inlineStr">
        <is>
          <t>Z001_01_072024_MATURIN.CSV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FILE001</t>
        </is>
      </c>
      <c r="F205" s="2" t="inlineStr">
        <is>
          <t>Z</t>
        </is>
      </c>
      <c r="G205" s="3" t="inlineStr">
        <is>
          <t>0035</t>
        </is>
      </c>
      <c r="H205" s="4" t="n">
        <v>45505</v>
      </c>
      <c r="I205" s="2" t="inlineStr">
        <is>
          <t>09:51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</row>
    <row r="206">
      <c r="A206" s="2" t="inlineStr">
        <is>
          <t>Z001_01_072024_MATURIN.CSV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FILE001</t>
        </is>
      </c>
      <c r="F206" s="2" t="inlineStr">
        <is>
          <t>Z</t>
        </is>
      </c>
      <c r="G206" s="3" t="inlineStr">
        <is>
          <t>0035</t>
        </is>
      </c>
      <c r="H206" s="4" t="n">
        <v>45505</v>
      </c>
      <c r="I206" s="2" t="inlineStr">
        <is>
          <t>09:51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</row>
    <row r="207">
      <c r="A207" s="2" t="inlineStr">
        <is>
          <t>Z001_02_032024_MATURIN.CSV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FILE001</t>
        </is>
      </c>
      <c r="F207" s="2" t="inlineStr">
        <is>
          <t>Z</t>
        </is>
      </c>
      <c r="G207" s="3" t="inlineStr">
        <is>
          <t>0031</t>
        </is>
      </c>
      <c r="H207" s="4" t="n">
        <v>45384</v>
      </c>
      <c r="I207" s="2" t="inlineStr">
        <is>
          <t>14:09</t>
        </is>
      </c>
      <c r="J207" s="3" t="inlineStr">
        <is>
          <t>0001</t>
        </is>
      </c>
      <c r="K207" s="2" t="inlineStr">
        <is>
          <t>CA BRUT</t>
        </is>
      </c>
      <c r="L207" s="5" t="n">
        <v>67</v>
      </c>
      <c r="M207" s="6" t="n">
        <v>18249.4</v>
      </c>
    </row>
    <row r="208">
      <c r="A208" s="2" t="inlineStr">
        <is>
          <t>Z001_02_032024_MATURIN.CSV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FILE001</t>
        </is>
      </c>
      <c r="F208" s="2" t="inlineStr">
        <is>
          <t>Z</t>
        </is>
      </c>
      <c r="G208" s="3" t="inlineStr">
        <is>
          <t>0031</t>
        </is>
      </c>
      <c r="H208" s="4" t="n">
        <v>45384</v>
      </c>
      <c r="I208" s="2" t="inlineStr">
        <is>
          <t>14:09</t>
        </is>
      </c>
      <c r="J208" s="3" t="inlineStr">
        <is>
          <t>0002</t>
        </is>
      </c>
      <c r="K208" s="2" t="inlineStr">
        <is>
          <t>CA NET</t>
        </is>
      </c>
      <c r="L208" s="5" t="n">
        <v>30</v>
      </c>
      <c r="M208" s="6" t="n">
        <v>18249.4</v>
      </c>
    </row>
    <row r="209">
      <c r="A209" s="2" t="inlineStr">
        <is>
          <t>Z001_02_032024_MATURIN.CSV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FILE001</t>
        </is>
      </c>
      <c r="F209" s="2" t="inlineStr">
        <is>
          <t>Z</t>
        </is>
      </c>
      <c r="G209" s="3" t="inlineStr">
        <is>
          <t>0031</t>
        </is>
      </c>
      <c r="H209" s="4" t="n">
        <v>45384</v>
      </c>
      <c r="I209" s="2" t="inlineStr">
        <is>
          <t>14:09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8540.9</v>
      </c>
    </row>
    <row r="210">
      <c r="A210" s="2" t="inlineStr">
        <is>
          <t>Z001_02_032024_MATURIN.CSV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FILE001</t>
        </is>
      </c>
      <c r="F210" s="2" t="inlineStr">
        <is>
          <t>Z</t>
        </is>
      </c>
      <c r="G210" s="3" t="inlineStr">
        <is>
          <t>0031</t>
        </is>
      </c>
      <c r="H210" s="4" t="n">
        <v>45384</v>
      </c>
      <c r="I210" s="2" t="inlineStr">
        <is>
          <t>14:09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9708.5</v>
      </c>
    </row>
    <row r="211">
      <c r="A211" s="2" t="inlineStr">
        <is>
          <t>Z001_02_032024_MATURIN.CSV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FILE001</t>
        </is>
      </c>
      <c r="F211" s="2" t="inlineStr">
        <is>
          <t>Z</t>
        </is>
      </c>
      <c r="G211" s="3" t="inlineStr">
        <is>
          <t>0031</t>
        </is>
      </c>
      <c r="H211" s="4" t="n">
        <v>45384</v>
      </c>
      <c r="I211" s="2" t="inlineStr">
        <is>
          <t>14:09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0</v>
      </c>
    </row>
    <row r="212">
      <c r="A212" s="2" t="inlineStr">
        <is>
          <t>Z001_02_032024_MATURIN.CSV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FILE001</t>
        </is>
      </c>
      <c r="F212" s="2" t="inlineStr">
        <is>
          <t>Z</t>
        </is>
      </c>
      <c r="G212" s="3" t="inlineStr">
        <is>
          <t>0031</t>
        </is>
      </c>
      <c r="H212" s="4" t="n">
        <v>45384</v>
      </c>
      <c r="I212" s="2" t="inlineStr">
        <is>
          <t>14:09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</row>
    <row r="213">
      <c r="A213" s="2" t="inlineStr">
        <is>
          <t>Z001_02_032024_MATURIN.CSV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FILE001</t>
        </is>
      </c>
      <c r="F213" s="2" t="inlineStr">
        <is>
          <t>Z</t>
        </is>
      </c>
      <c r="G213" s="3" t="inlineStr">
        <is>
          <t>0031</t>
        </is>
      </c>
      <c r="H213" s="4" t="n">
        <v>45384</v>
      </c>
      <c r="I213" s="2" t="inlineStr">
        <is>
          <t>14:09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</row>
    <row r="214">
      <c r="A214" s="2" t="inlineStr">
        <is>
          <t>Z001_02_032024_MATURIN.CSV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FILE001</t>
        </is>
      </c>
      <c r="F214" s="2" t="inlineStr">
        <is>
          <t>Z</t>
        </is>
      </c>
      <c r="G214" s="3" t="inlineStr">
        <is>
          <t>0031</t>
        </is>
      </c>
      <c r="H214" s="4" t="n">
        <v>45384</v>
      </c>
      <c r="I214" s="2" t="inlineStr">
        <is>
          <t>14:09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</row>
    <row r="215">
      <c r="A215" s="2" t="inlineStr">
        <is>
          <t>Z001_02_032024_MATURIN.CSV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FILE001</t>
        </is>
      </c>
      <c r="F215" s="2" t="inlineStr">
        <is>
          <t>Z</t>
        </is>
      </c>
      <c r="G215" s="3" t="inlineStr">
        <is>
          <t>0031</t>
        </is>
      </c>
      <c r="H215" s="4" t="n">
        <v>45384</v>
      </c>
      <c r="I215" s="2" t="inlineStr">
        <is>
          <t>14:09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</row>
    <row r="216">
      <c r="A216" s="2" t="inlineStr">
        <is>
          <t>Z001_02_032024_MATURIN.CSV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FILE001</t>
        </is>
      </c>
      <c r="F216" s="2" t="inlineStr">
        <is>
          <t>Z</t>
        </is>
      </c>
      <c r="G216" s="3" t="inlineStr">
        <is>
          <t>0031</t>
        </is>
      </c>
      <c r="H216" s="4" t="n">
        <v>45384</v>
      </c>
      <c r="I216" s="2" t="inlineStr">
        <is>
          <t>14:09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</row>
    <row r="217">
      <c r="A217" s="2" t="inlineStr">
        <is>
          <t>Z001_02_032024_MATURIN.CSV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FILE001</t>
        </is>
      </c>
      <c r="F217" s="2" t="inlineStr">
        <is>
          <t>Z</t>
        </is>
      </c>
      <c r="G217" s="3" t="inlineStr">
        <is>
          <t>0031</t>
        </is>
      </c>
      <c r="H217" s="4" t="n">
        <v>45384</v>
      </c>
      <c r="I217" s="2" t="inlineStr">
        <is>
          <t>14:09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</row>
    <row r="218">
      <c r="A218" s="2" t="inlineStr">
        <is>
          <t>Z001_02_032024_MATURIN.CSV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FILE001</t>
        </is>
      </c>
      <c r="F218" s="2" t="inlineStr">
        <is>
          <t>Z</t>
        </is>
      </c>
      <c r="G218" s="3" t="inlineStr">
        <is>
          <t>0031</t>
        </is>
      </c>
      <c r="H218" s="4" t="n">
        <v>45384</v>
      </c>
      <c r="I218" s="2" t="inlineStr">
        <is>
          <t>14:09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</row>
    <row r="219">
      <c r="A219" s="2" t="inlineStr">
        <is>
          <t>Z001_02_032024_MATURIN.CSV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FILE001</t>
        </is>
      </c>
      <c r="F219" s="2" t="inlineStr">
        <is>
          <t>Z</t>
        </is>
      </c>
      <c r="G219" s="3" t="inlineStr">
        <is>
          <t>0031</t>
        </is>
      </c>
      <c r="H219" s="4" t="n">
        <v>45384</v>
      </c>
      <c r="I219" s="2" t="inlineStr">
        <is>
          <t>14:09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</row>
    <row r="220">
      <c r="A220" s="2" t="inlineStr">
        <is>
          <t>Z001_02_032024_MATURIN.CSV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FILE001</t>
        </is>
      </c>
      <c r="F220" s="2" t="inlineStr">
        <is>
          <t>Z</t>
        </is>
      </c>
      <c r="G220" s="3" t="inlineStr">
        <is>
          <t>0031</t>
        </is>
      </c>
      <c r="H220" s="4" t="n">
        <v>45384</v>
      </c>
      <c r="I220" s="2" t="inlineStr">
        <is>
          <t>14:09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</row>
    <row r="221">
      <c r="A221" s="2" t="inlineStr">
        <is>
          <t>Z001_02_032024_MATURIN.CSV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FILE001</t>
        </is>
      </c>
      <c r="F221" s="2" t="inlineStr">
        <is>
          <t>Z</t>
        </is>
      </c>
      <c r="G221" s="3" t="inlineStr">
        <is>
          <t>0031</t>
        </is>
      </c>
      <c r="H221" s="4" t="n">
        <v>45384</v>
      </c>
      <c r="I221" s="2" t="inlineStr">
        <is>
          <t>14:09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</row>
    <row r="222">
      <c r="A222" s="2" t="inlineStr">
        <is>
          <t>Z001_02_032024_MATURIN.CSV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FILE001</t>
        </is>
      </c>
      <c r="F222" s="2" t="inlineStr">
        <is>
          <t>Z</t>
        </is>
      </c>
      <c r="G222" s="3" t="inlineStr">
        <is>
          <t>0031</t>
        </is>
      </c>
      <c r="H222" s="4" t="n">
        <v>45384</v>
      </c>
      <c r="I222" s="2" t="inlineStr">
        <is>
          <t>14:09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</row>
    <row r="223">
      <c r="A223" s="2" t="inlineStr">
        <is>
          <t>Z001_02_032024_MATURIN.CSV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FILE001</t>
        </is>
      </c>
      <c r="F223" s="2" t="inlineStr">
        <is>
          <t>Z</t>
        </is>
      </c>
      <c r="G223" s="3" t="inlineStr">
        <is>
          <t>0031</t>
        </is>
      </c>
      <c r="H223" s="4" t="n">
        <v>45384</v>
      </c>
      <c r="I223" s="2" t="inlineStr">
        <is>
          <t>14:09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</row>
    <row r="224">
      <c r="A224" s="2" t="inlineStr">
        <is>
          <t>Z001_02_032024_MATURIN.CSV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FILE001</t>
        </is>
      </c>
      <c r="F224" s="2" t="inlineStr">
        <is>
          <t>Z</t>
        </is>
      </c>
      <c r="G224" s="3" t="inlineStr">
        <is>
          <t>0031</t>
        </is>
      </c>
      <c r="H224" s="4" t="n">
        <v>45384</v>
      </c>
      <c r="I224" s="2" t="inlineStr">
        <is>
          <t>14:09</t>
        </is>
      </c>
      <c r="J224" s="3" t="inlineStr">
        <is>
          <t>0018</t>
        </is>
      </c>
      <c r="K224" s="2" t="inlineStr">
        <is>
          <t>CLIENTS</t>
        </is>
      </c>
      <c r="L224" s="5" t="n">
        <v>30</v>
      </c>
      <c r="M224" s="6" t="n">
        <v>0</v>
      </c>
    </row>
    <row r="225">
      <c r="A225" s="2" t="inlineStr">
        <is>
          <t>Z001_02_032024_MATURIN.CSV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FILE001</t>
        </is>
      </c>
      <c r="F225" s="2" t="inlineStr">
        <is>
          <t>Z</t>
        </is>
      </c>
      <c r="G225" s="3" t="inlineStr">
        <is>
          <t>0031</t>
        </is>
      </c>
      <c r="H225" s="4" t="n">
        <v>45384</v>
      </c>
      <c r="I225" s="2" t="inlineStr">
        <is>
          <t>14:09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</row>
    <row r="226">
      <c r="A226" s="2" t="inlineStr">
        <is>
          <t>Z001_02_032024_MATURIN.CSV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FILE001</t>
        </is>
      </c>
      <c r="F226" s="2" t="inlineStr">
        <is>
          <t>Z</t>
        </is>
      </c>
      <c r="G226" s="3" t="inlineStr">
        <is>
          <t>0031</t>
        </is>
      </c>
      <c r="H226" s="4" t="n">
        <v>45384</v>
      </c>
      <c r="I226" s="2" t="inlineStr">
        <is>
          <t>14:09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</row>
    <row r="227">
      <c r="A227" s="2" t="inlineStr">
        <is>
          <t>Z001_02_032024_MATURIN.CSV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FILE001</t>
        </is>
      </c>
      <c r="F227" s="2" t="inlineStr">
        <is>
          <t>Z</t>
        </is>
      </c>
      <c r="G227" s="3" t="inlineStr">
        <is>
          <t>0031</t>
        </is>
      </c>
      <c r="H227" s="4" t="n">
        <v>45384</v>
      </c>
      <c r="I227" s="2" t="inlineStr">
        <is>
          <t>14:09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</row>
    <row r="228">
      <c r="A228" s="2" t="inlineStr">
        <is>
          <t>Z001_02_032024_MATURIN.CSV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FILE001</t>
        </is>
      </c>
      <c r="F228" s="2" t="inlineStr">
        <is>
          <t>Z</t>
        </is>
      </c>
      <c r="G228" s="3" t="inlineStr">
        <is>
          <t>0031</t>
        </is>
      </c>
      <c r="H228" s="4" t="n">
        <v>45384</v>
      </c>
      <c r="I228" s="2" t="inlineStr">
        <is>
          <t>14:09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</row>
    <row r="229">
      <c r="A229" s="2" t="inlineStr">
        <is>
          <t>Z001_02_032024_MATURIN.CSV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FILE001</t>
        </is>
      </c>
      <c r="F229" s="2" t="inlineStr">
        <is>
          <t>Z</t>
        </is>
      </c>
      <c r="G229" s="3" t="inlineStr">
        <is>
          <t>0031</t>
        </is>
      </c>
      <c r="H229" s="4" t="n">
        <v>45384</v>
      </c>
      <c r="I229" s="2" t="inlineStr">
        <is>
          <t>14:09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</row>
    <row r="230">
      <c r="A230" s="2" t="inlineStr">
        <is>
          <t>Z001_02_032024_MATURIN.CSV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FILE001</t>
        </is>
      </c>
      <c r="F230" s="2" t="inlineStr">
        <is>
          <t>Z</t>
        </is>
      </c>
      <c r="G230" s="3" t="inlineStr">
        <is>
          <t>0031</t>
        </is>
      </c>
      <c r="H230" s="4" t="n">
        <v>45384</v>
      </c>
      <c r="I230" s="2" t="inlineStr">
        <is>
          <t>14:09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</row>
    <row r="231">
      <c r="A231" s="2" t="inlineStr">
        <is>
          <t>Z001_02_032024_MATURIN.CSV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FILE001</t>
        </is>
      </c>
      <c r="F231" s="2" t="inlineStr">
        <is>
          <t>Z</t>
        </is>
      </c>
      <c r="G231" s="3" t="inlineStr">
        <is>
          <t>0031</t>
        </is>
      </c>
      <c r="H231" s="4" t="n">
        <v>45384</v>
      </c>
      <c r="I231" s="2" t="inlineStr">
        <is>
          <t>14:09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</row>
    <row r="232">
      <c r="A232" s="2" t="inlineStr">
        <is>
          <t>Z001_02_032024_MATURIN.CSV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FILE001</t>
        </is>
      </c>
      <c r="F232" s="2" t="inlineStr">
        <is>
          <t>Z</t>
        </is>
      </c>
      <c r="G232" s="3" t="inlineStr">
        <is>
          <t>0031</t>
        </is>
      </c>
      <c r="H232" s="4" t="n">
        <v>45384</v>
      </c>
      <c r="I232" s="2" t="inlineStr">
        <is>
          <t>14:09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</row>
    <row r="233">
      <c r="A233" s="2" t="inlineStr">
        <is>
          <t>Z001_02_032024_MATURIN.CSV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FILE001</t>
        </is>
      </c>
      <c r="F233" s="2" t="inlineStr">
        <is>
          <t>Z</t>
        </is>
      </c>
      <c r="G233" s="3" t="inlineStr">
        <is>
          <t>0031</t>
        </is>
      </c>
      <c r="H233" s="4" t="n">
        <v>45384</v>
      </c>
      <c r="I233" s="2" t="inlineStr">
        <is>
          <t>14:09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</row>
    <row r="234">
      <c r="A234" s="2" t="inlineStr">
        <is>
          <t>Z001_02_032024_MATURIN.CSV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FILE001</t>
        </is>
      </c>
      <c r="F234" s="2" t="inlineStr">
        <is>
          <t>Z</t>
        </is>
      </c>
      <c r="G234" s="3" t="inlineStr">
        <is>
          <t>0031</t>
        </is>
      </c>
      <c r="H234" s="4" t="n">
        <v>45384</v>
      </c>
      <c r="I234" s="2" t="inlineStr">
        <is>
          <t>14:09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</row>
    <row r="235">
      <c r="A235" s="2" t="inlineStr">
        <is>
          <t>Z001_02_032024_MATURIN.CSV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FILE001</t>
        </is>
      </c>
      <c r="F235" s="2" t="inlineStr">
        <is>
          <t>Z</t>
        </is>
      </c>
      <c r="G235" s="3" t="inlineStr">
        <is>
          <t>0031</t>
        </is>
      </c>
      <c r="H235" s="4" t="n">
        <v>45384</v>
      </c>
      <c r="I235" s="2" t="inlineStr">
        <is>
          <t>14:09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</row>
    <row r="236">
      <c r="A236" s="2" t="inlineStr">
        <is>
          <t>Z001_02_032024_MATURIN.CSV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FILE001</t>
        </is>
      </c>
      <c r="F236" s="2" t="inlineStr">
        <is>
          <t>Z</t>
        </is>
      </c>
      <c r="G236" s="3" t="inlineStr">
        <is>
          <t>0031</t>
        </is>
      </c>
      <c r="H236" s="4" t="n">
        <v>45384</v>
      </c>
      <c r="I236" s="2" t="inlineStr">
        <is>
          <t>14:09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</row>
    <row r="237">
      <c r="A237" s="2" t="inlineStr">
        <is>
          <t>Z001_02_032024_MATURIN.CSV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FILE001</t>
        </is>
      </c>
      <c r="F237" s="2" t="inlineStr">
        <is>
          <t>Z</t>
        </is>
      </c>
      <c r="G237" s="3" t="inlineStr">
        <is>
          <t>0031</t>
        </is>
      </c>
      <c r="H237" s="4" t="n">
        <v>45384</v>
      </c>
      <c r="I237" s="2" t="inlineStr">
        <is>
          <t>14:09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</row>
    <row r="238">
      <c r="A238" s="2" t="inlineStr">
        <is>
          <t>Z001_02_032024_MATURIN.CSV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FILE001</t>
        </is>
      </c>
      <c r="F238" s="2" t="inlineStr">
        <is>
          <t>Z</t>
        </is>
      </c>
      <c r="G238" s="3" t="inlineStr">
        <is>
          <t>0031</t>
        </is>
      </c>
      <c r="H238" s="4" t="n">
        <v>45384</v>
      </c>
      <c r="I238" s="2" t="inlineStr">
        <is>
          <t>14:09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</row>
    <row r="239">
      <c r="A239" s="2" t="inlineStr">
        <is>
          <t>Z001_02_032024_MATURIN.CSV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FILE001</t>
        </is>
      </c>
      <c r="F239" s="2" t="inlineStr">
        <is>
          <t>Z</t>
        </is>
      </c>
      <c r="G239" s="3" t="inlineStr">
        <is>
          <t>0031</t>
        </is>
      </c>
      <c r="H239" s="4" t="n">
        <v>45384</v>
      </c>
      <c r="I239" s="2" t="inlineStr">
        <is>
          <t>14:09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15207.84</v>
      </c>
    </row>
    <row r="240">
      <c r="A240" s="2" t="inlineStr">
        <is>
          <t>Z001_02_032024_MATURIN.CSV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FILE001</t>
        </is>
      </c>
      <c r="F240" s="2" t="inlineStr">
        <is>
          <t>Z</t>
        </is>
      </c>
      <c r="G240" s="3" t="inlineStr">
        <is>
          <t>0031</t>
        </is>
      </c>
      <c r="H240" s="4" t="n">
        <v>45384</v>
      </c>
      <c r="I240" s="2" t="inlineStr">
        <is>
          <t>14:09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3041.56</v>
      </c>
    </row>
    <row r="241">
      <c r="A241" s="2" t="inlineStr">
        <is>
          <t>Z001_02_032024_MATURIN.CSV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FILE001</t>
        </is>
      </c>
      <c r="F241" s="2" t="inlineStr">
        <is>
          <t>Z</t>
        </is>
      </c>
      <c r="G241" s="3" t="inlineStr">
        <is>
          <t>0031</t>
        </is>
      </c>
      <c r="H241" s="4" t="n">
        <v>45384</v>
      </c>
      <c r="I241" s="2" t="inlineStr">
        <is>
          <t>14:09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</row>
    <row r="242">
      <c r="A242" s="2" t="inlineStr">
        <is>
          <t>Z001_02_032024_MATURIN.CSV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FILE001</t>
        </is>
      </c>
      <c r="F242" s="2" t="inlineStr">
        <is>
          <t>Z</t>
        </is>
      </c>
      <c r="G242" s="3" t="inlineStr">
        <is>
          <t>0031</t>
        </is>
      </c>
      <c r="H242" s="4" t="n">
        <v>45384</v>
      </c>
      <c r="I242" s="2" t="inlineStr">
        <is>
          <t>14:09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</row>
    <row r="243">
      <c r="A243" s="2" t="inlineStr">
        <is>
          <t>Z001_02_032024_MATURIN.CSV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FILE001</t>
        </is>
      </c>
      <c r="F243" s="2" t="inlineStr">
        <is>
          <t>Z</t>
        </is>
      </c>
      <c r="G243" s="3" t="inlineStr">
        <is>
          <t>0031</t>
        </is>
      </c>
      <c r="H243" s="4" t="n">
        <v>45384</v>
      </c>
      <c r="I243" s="2" t="inlineStr">
        <is>
          <t>14:09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</row>
    <row r="244">
      <c r="A244" s="2" t="inlineStr">
        <is>
          <t>Z001_02_032024_MATURIN.CSV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FILE001</t>
        </is>
      </c>
      <c r="F244" s="2" t="inlineStr">
        <is>
          <t>Z</t>
        </is>
      </c>
      <c r="G244" s="3" t="inlineStr">
        <is>
          <t>0031</t>
        </is>
      </c>
      <c r="H244" s="4" t="n">
        <v>45384</v>
      </c>
      <c r="I244" s="2" t="inlineStr">
        <is>
          <t>14:09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</row>
    <row r="245">
      <c r="A245" s="2" t="inlineStr">
        <is>
          <t>Z001_02_032024_MATURIN.CSV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FILE001</t>
        </is>
      </c>
      <c r="F245" s="2" t="inlineStr">
        <is>
          <t>Z</t>
        </is>
      </c>
      <c r="G245" s="3" t="inlineStr">
        <is>
          <t>0031</t>
        </is>
      </c>
      <c r="H245" s="4" t="n">
        <v>45384</v>
      </c>
      <c r="I245" s="2" t="inlineStr">
        <is>
          <t>14:09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</row>
    <row r="246">
      <c r="A246" s="2" t="inlineStr">
        <is>
          <t>Z001_02_032024_MATURIN.CSV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FILE001</t>
        </is>
      </c>
      <c r="F246" s="2" t="inlineStr">
        <is>
          <t>Z</t>
        </is>
      </c>
      <c r="G246" s="3" t="inlineStr">
        <is>
          <t>0031</t>
        </is>
      </c>
      <c r="H246" s="4" t="n">
        <v>45384</v>
      </c>
      <c r="I246" s="2" t="inlineStr">
        <is>
          <t>14:09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</row>
    <row r="247">
      <c r="A247" s="2" t="inlineStr">
        <is>
          <t>Z001_02_032024_MATURIN.CSV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FILE001</t>
        </is>
      </c>
      <c r="F247" s="2" t="inlineStr">
        <is>
          <t>Z</t>
        </is>
      </c>
      <c r="G247" s="3" t="inlineStr">
        <is>
          <t>0031</t>
        </is>
      </c>
      <c r="H247" s="4" t="n">
        <v>45384</v>
      </c>
      <c r="I247" s="2" t="inlineStr">
        <is>
          <t>14:09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</row>
    <row r="248">
      <c r="A248" s="2" t="inlineStr">
        <is>
          <t>Z001_02_042024_MATURIN.CSV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FILE001</t>
        </is>
      </c>
      <c r="F248" s="2" t="inlineStr">
        <is>
          <t>Z</t>
        </is>
      </c>
      <c r="G248" s="3" t="inlineStr">
        <is>
          <t>0032</t>
        </is>
      </c>
      <c r="H248" s="4" t="n">
        <v>45414</v>
      </c>
      <c r="I248" s="2" t="inlineStr">
        <is>
          <t>10:02</t>
        </is>
      </c>
      <c r="J248" s="3" t="inlineStr">
        <is>
          <t>0001</t>
        </is>
      </c>
      <c r="K248" s="2" t="inlineStr">
        <is>
          <t>CA BRUT</t>
        </is>
      </c>
      <c r="L248" s="5" t="n">
        <v>80</v>
      </c>
      <c r="M248" s="6" t="n">
        <v>22694.98</v>
      </c>
    </row>
    <row r="249">
      <c r="A249" s="2" t="inlineStr">
        <is>
          <t>Z001_02_042024_MATURIN.CSV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FILE001</t>
        </is>
      </c>
      <c r="F249" s="2" t="inlineStr">
        <is>
          <t>Z</t>
        </is>
      </c>
      <c r="G249" s="3" t="inlineStr">
        <is>
          <t>0032</t>
        </is>
      </c>
      <c r="H249" s="4" t="n">
        <v>45414</v>
      </c>
      <c r="I249" s="2" t="inlineStr">
        <is>
          <t>10:02</t>
        </is>
      </c>
      <c r="J249" s="3" t="inlineStr">
        <is>
          <t>0002</t>
        </is>
      </c>
      <c r="K249" s="2" t="inlineStr">
        <is>
          <t>CA NET</t>
        </is>
      </c>
      <c r="L249" s="5" t="n">
        <v>29</v>
      </c>
      <c r="M249" s="6" t="n">
        <v>22694.98</v>
      </c>
    </row>
    <row r="250">
      <c r="A250" s="2" t="inlineStr">
        <is>
          <t>Z001_02_042024_MATURIN.CSV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FILE001</t>
        </is>
      </c>
      <c r="F250" s="2" t="inlineStr">
        <is>
          <t>Z</t>
        </is>
      </c>
      <c r="G250" s="3" t="inlineStr">
        <is>
          <t>0032</t>
        </is>
      </c>
      <c r="H250" s="4" t="n">
        <v>45414</v>
      </c>
      <c r="I250" s="2" t="inlineStr">
        <is>
          <t>10:02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3402.7</v>
      </c>
    </row>
    <row r="251">
      <c r="A251" s="2" t="inlineStr">
        <is>
          <t>Z001_02_042024_MATURIN.CSV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FILE001</t>
        </is>
      </c>
      <c r="F251" s="2" t="inlineStr">
        <is>
          <t>Z</t>
        </is>
      </c>
      <c r="G251" s="3" t="inlineStr">
        <is>
          <t>0032</t>
        </is>
      </c>
      <c r="H251" s="4" t="n">
        <v>45414</v>
      </c>
      <c r="I251" s="2" t="inlineStr">
        <is>
          <t>10:02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19292.28</v>
      </c>
    </row>
    <row r="252">
      <c r="A252" s="2" t="inlineStr">
        <is>
          <t>Z001_02_042024_MATURIN.CSV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FILE001</t>
        </is>
      </c>
      <c r="F252" s="2" t="inlineStr">
        <is>
          <t>Z</t>
        </is>
      </c>
      <c r="G252" s="3" t="inlineStr">
        <is>
          <t>0032</t>
        </is>
      </c>
      <c r="H252" s="4" t="n">
        <v>45414</v>
      </c>
      <c r="I252" s="2" t="inlineStr">
        <is>
          <t>10:02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0</v>
      </c>
    </row>
    <row r="253">
      <c r="A253" s="2" t="inlineStr">
        <is>
          <t>Z001_02_042024_MATURIN.CSV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FILE001</t>
        </is>
      </c>
      <c r="F253" s="2" t="inlineStr">
        <is>
          <t>Z</t>
        </is>
      </c>
      <c r="G253" s="3" t="inlineStr">
        <is>
          <t>0032</t>
        </is>
      </c>
      <c r="H253" s="4" t="n">
        <v>45414</v>
      </c>
      <c r="I253" s="2" t="inlineStr">
        <is>
          <t>10:02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</row>
    <row r="254">
      <c r="A254" s="2" t="inlineStr">
        <is>
          <t>Z001_02_042024_MATURIN.CSV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FILE001</t>
        </is>
      </c>
      <c r="F254" s="2" t="inlineStr">
        <is>
          <t>Z</t>
        </is>
      </c>
      <c r="G254" s="3" t="inlineStr">
        <is>
          <t>0032</t>
        </is>
      </c>
      <c r="H254" s="4" t="n">
        <v>45414</v>
      </c>
      <c r="I254" s="2" t="inlineStr">
        <is>
          <t>10:02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</row>
    <row r="255">
      <c r="A255" s="2" t="inlineStr">
        <is>
          <t>Z001_02_042024_MATURIN.CSV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FILE001</t>
        </is>
      </c>
      <c r="F255" s="2" t="inlineStr">
        <is>
          <t>Z</t>
        </is>
      </c>
      <c r="G255" s="3" t="inlineStr">
        <is>
          <t>0032</t>
        </is>
      </c>
      <c r="H255" s="4" t="n">
        <v>45414</v>
      </c>
      <c r="I255" s="2" t="inlineStr">
        <is>
          <t>10:02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</row>
    <row r="256">
      <c r="A256" s="2" t="inlineStr">
        <is>
          <t>Z001_02_042024_MATURIN.CSV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FILE001</t>
        </is>
      </c>
      <c r="F256" s="2" t="inlineStr">
        <is>
          <t>Z</t>
        </is>
      </c>
      <c r="G256" s="3" t="inlineStr">
        <is>
          <t>0032</t>
        </is>
      </c>
      <c r="H256" s="4" t="n">
        <v>45414</v>
      </c>
      <c r="I256" s="2" t="inlineStr">
        <is>
          <t>10:02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</row>
    <row r="257">
      <c r="A257" s="2" t="inlineStr">
        <is>
          <t>Z001_02_042024_MATURIN.CSV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FILE001</t>
        </is>
      </c>
      <c r="F257" s="2" t="inlineStr">
        <is>
          <t>Z</t>
        </is>
      </c>
      <c r="G257" s="3" t="inlineStr">
        <is>
          <t>0032</t>
        </is>
      </c>
      <c r="H257" s="4" t="n">
        <v>45414</v>
      </c>
      <c r="I257" s="2" t="inlineStr">
        <is>
          <t>10:02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</row>
    <row r="258">
      <c r="A258" s="2" t="inlineStr">
        <is>
          <t>Z001_02_042024_MATURIN.CSV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FILE001</t>
        </is>
      </c>
      <c r="F258" s="2" t="inlineStr">
        <is>
          <t>Z</t>
        </is>
      </c>
      <c r="G258" s="3" t="inlineStr">
        <is>
          <t>0032</t>
        </is>
      </c>
      <c r="H258" s="4" t="n">
        <v>45414</v>
      </c>
      <c r="I258" s="2" t="inlineStr">
        <is>
          <t>10:02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</row>
    <row r="259">
      <c r="A259" s="2" t="inlineStr">
        <is>
          <t>Z001_02_042024_MATURIN.CSV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FILE001</t>
        </is>
      </c>
      <c r="F259" s="2" t="inlineStr">
        <is>
          <t>Z</t>
        </is>
      </c>
      <c r="G259" s="3" t="inlineStr">
        <is>
          <t>0032</t>
        </is>
      </c>
      <c r="H259" s="4" t="n">
        <v>45414</v>
      </c>
      <c r="I259" s="2" t="inlineStr">
        <is>
          <t>10:02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</row>
    <row r="260">
      <c r="A260" s="2" t="inlineStr">
        <is>
          <t>Z001_02_042024_MATURIN.CSV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FILE001</t>
        </is>
      </c>
      <c r="F260" s="2" t="inlineStr">
        <is>
          <t>Z</t>
        </is>
      </c>
      <c r="G260" s="3" t="inlineStr">
        <is>
          <t>0032</t>
        </is>
      </c>
      <c r="H260" s="4" t="n">
        <v>45414</v>
      </c>
      <c r="I260" s="2" t="inlineStr">
        <is>
          <t>10:02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</row>
    <row r="261">
      <c r="A261" s="2" t="inlineStr">
        <is>
          <t>Z001_02_042024_MATURIN.CSV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FILE001</t>
        </is>
      </c>
      <c r="F261" s="2" t="inlineStr">
        <is>
          <t>Z</t>
        </is>
      </c>
      <c r="G261" s="3" t="inlineStr">
        <is>
          <t>0032</t>
        </is>
      </c>
      <c r="H261" s="4" t="n">
        <v>45414</v>
      </c>
      <c r="I261" s="2" t="inlineStr">
        <is>
          <t>10:02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</row>
    <row r="262">
      <c r="A262" s="2" t="inlineStr">
        <is>
          <t>Z001_02_042024_MATURIN.CSV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FILE001</t>
        </is>
      </c>
      <c r="F262" s="2" t="inlineStr">
        <is>
          <t>Z</t>
        </is>
      </c>
      <c r="G262" s="3" t="inlineStr">
        <is>
          <t>0032</t>
        </is>
      </c>
      <c r="H262" s="4" t="n">
        <v>45414</v>
      </c>
      <c r="I262" s="2" t="inlineStr">
        <is>
          <t>10:02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</row>
    <row r="263">
      <c r="A263" s="2" t="inlineStr">
        <is>
          <t>Z001_02_042024_MATURIN.CSV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FILE001</t>
        </is>
      </c>
      <c r="F263" s="2" t="inlineStr">
        <is>
          <t>Z</t>
        </is>
      </c>
      <c r="G263" s="3" t="inlineStr">
        <is>
          <t>0032</t>
        </is>
      </c>
      <c r="H263" s="4" t="n">
        <v>45414</v>
      </c>
      <c r="I263" s="2" t="inlineStr">
        <is>
          <t>10:02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</row>
    <row r="264">
      <c r="A264" s="2" t="inlineStr">
        <is>
          <t>Z001_02_042024_MATURIN.CSV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FILE001</t>
        </is>
      </c>
      <c r="F264" s="2" t="inlineStr">
        <is>
          <t>Z</t>
        </is>
      </c>
      <c r="G264" s="3" t="inlineStr">
        <is>
          <t>0032</t>
        </is>
      </c>
      <c r="H264" s="4" t="n">
        <v>45414</v>
      </c>
      <c r="I264" s="2" t="inlineStr">
        <is>
          <t>10:02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</row>
    <row r="265">
      <c r="A265" s="2" t="inlineStr">
        <is>
          <t>Z001_02_042024_MATURIN.CSV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FILE001</t>
        </is>
      </c>
      <c r="F265" s="2" t="inlineStr">
        <is>
          <t>Z</t>
        </is>
      </c>
      <c r="G265" s="3" t="inlineStr">
        <is>
          <t>0032</t>
        </is>
      </c>
      <c r="H265" s="4" t="n">
        <v>45414</v>
      </c>
      <c r="I265" s="2" t="inlineStr">
        <is>
          <t>10:02</t>
        </is>
      </c>
      <c r="J265" s="3" t="inlineStr">
        <is>
          <t>0018</t>
        </is>
      </c>
      <c r="K265" s="2" t="inlineStr">
        <is>
          <t>CLIENTS</t>
        </is>
      </c>
      <c r="L265" s="5" t="n">
        <v>29</v>
      </c>
      <c r="M265" s="6" t="n">
        <v>0</v>
      </c>
    </row>
    <row r="266">
      <c r="A266" s="2" t="inlineStr">
        <is>
          <t>Z001_02_042024_MATURIN.CSV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FILE001</t>
        </is>
      </c>
      <c r="F266" s="2" t="inlineStr">
        <is>
          <t>Z</t>
        </is>
      </c>
      <c r="G266" s="3" t="inlineStr">
        <is>
          <t>0032</t>
        </is>
      </c>
      <c r="H266" s="4" t="n">
        <v>45414</v>
      </c>
      <c r="I266" s="2" t="inlineStr">
        <is>
          <t>10:02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</row>
    <row r="267">
      <c r="A267" s="2" t="inlineStr">
        <is>
          <t>Z001_02_042024_MATURIN.CSV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FILE001</t>
        </is>
      </c>
      <c r="F267" s="2" t="inlineStr">
        <is>
          <t>Z</t>
        </is>
      </c>
      <c r="G267" s="3" t="inlineStr">
        <is>
          <t>0032</t>
        </is>
      </c>
      <c r="H267" s="4" t="n">
        <v>45414</v>
      </c>
      <c r="I267" s="2" t="inlineStr">
        <is>
          <t>10:02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</row>
    <row r="268">
      <c r="A268" s="2" t="inlineStr">
        <is>
          <t>Z001_02_042024_MATURIN.CSV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FILE001</t>
        </is>
      </c>
      <c r="F268" s="2" t="inlineStr">
        <is>
          <t>Z</t>
        </is>
      </c>
      <c r="G268" s="3" t="inlineStr">
        <is>
          <t>0032</t>
        </is>
      </c>
      <c r="H268" s="4" t="n">
        <v>45414</v>
      </c>
      <c r="I268" s="2" t="inlineStr">
        <is>
          <t>10:02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</row>
    <row r="269">
      <c r="A269" s="2" t="inlineStr">
        <is>
          <t>Z001_02_042024_MATURIN.CSV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FILE001</t>
        </is>
      </c>
      <c r="F269" s="2" t="inlineStr">
        <is>
          <t>Z</t>
        </is>
      </c>
      <c r="G269" s="3" t="inlineStr">
        <is>
          <t>0032</t>
        </is>
      </c>
      <c r="H269" s="4" t="n">
        <v>45414</v>
      </c>
      <c r="I269" s="2" t="inlineStr">
        <is>
          <t>10:02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</row>
    <row r="270">
      <c r="A270" s="2" t="inlineStr">
        <is>
          <t>Z001_02_042024_MATURIN.CSV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FILE001</t>
        </is>
      </c>
      <c r="F270" s="2" t="inlineStr">
        <is>
          <t>Z</t>
        </is>
      </c>
      <c r="G270" s="3" t="inlineStr">
        <is>
          <t>0032</t>
        </is>
      </c>
      <c r="H270" s="4" t="n">
        <v>45414</v>
      </c>
      <c r="I270" s="2" t="inlineStr">
        <is>
          <t>10:02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</row>
    <row r="271">
      <c r="A271" s="2" t="inlineStr">
        <is>
          <t>Z001_02_042024_MATURIN.CSV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FILE001</t>
        </is>
      </c>
      <c r="F271" s="2" t="inlineStr">
        <is>
          <t>Z</t>
        </is>
      </c>
      <c r="G271" s="3" t="inlineStr">
        <is>
          <t>0032</t>
        </is>
      </c>
      <c r="H271" s="4" t="n">
        <v>45414</v>
      </c>
      <c r="I271" s="2" t="inlineStr">
        <is>
          <t>10:02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</row>
    <row r="272">
      <c r="A272" s="2" t="inlineStr">
        <is>
          <t>Z001_02_042024_MATURIN.CSV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FILE001</t>
        </is>
      </c>
      <c r="F272" s="2" t="inlineStr">
        <is>
          <t>Z</t>
        </is>
      </c>
      <c r="G272" s="3" t="inlineStr">
        <is>
          <t>0032</t>
        </is>
      </c>
      <c r="H272" s="4" t="n">
        <v>45414</v>
      </c>
      <c r="I272" s="2" t="inlineStr">
        <is>
          <t>10:02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</row>
    <row r="273">
      <c r="A273" s="2" t="inlineStr">
        <is>
          <t>Z001_02_042024_MATURIN.CSV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FILE001</t>
        </is>
      </c>
      <c r="F273" s="2" t="inlineStr">
        <is>
          <t>Z</t>
        </is>
      </c>
      <c r="G273" s="3" t="inlineStr">
        <is>
          <t>0032</t>
        </is>
      </c>
      <c r="H273" s="4" t="n">
        <v>45414</v>
      </c>
      <c r="I273" s="2" t="inlineStr">
        <is>
          <t>10:02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</row>
    <row r="274">
      <c r="A274" s="2" t="inlineStr">
        <is>
          <t>Z001_02_042024_MATURIN.CSV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FILE001</t>
        </is>
      </c>
      <c r="F274" s="2" t="inlineStr">
        <is>
          <t>Z</t>
        </is>
      </c>
      <c r="G274" s="3" t="inlineStr">
        <is>
          <t>0032</t>
        </is>
      </c>
      <c r="H274" s="4" t="n">
        <v>45414</v>
      </c>
      <c r="I274" s="2" t="inlineStr">
        <is>
          <t>10:02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</row>
    <row r="275">
      <c r="A275" s="2" t="inlineStr">
        <is>
          <t>Z001_02_042024_MATURIN.CSV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FILE001</t>
        </is>
      </c>
      <c r="F275" s="2" t="inlineStr">
        <is>
          <t>Z</t>
        </is>
      </c>
      <c r="G275" s="3" t="inlineStr">
        <is>
          <t>0032</t>
        </is>
      </c>
      <c r="H275" s="4" t="n">
        <v>45414</v>
      </c>
      <c r="I275" s="2" t="inlineStr">
        <is>
          <t>10:02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</row>
    <row r="276">
      <c r="A276" s="2" t="inlineStr">
        <is>
          <t>Z001_02_042024_MATURIN.CSV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FILE001</t>
        </is>
      </c>
      <c r="F276" s="2" t="inlineStr">
        <is>
          <t>Z</t>
        </is>
      </c>
      <c r="G276" s="3" t="inlineStr">
        <is>
          <t>0032</t>
        </is>
      </c>
      <c r="H276" s="4" t="n">
        <v>45414</v>
      </c>
      <c r="I276" s="2" t="inlineStr">
        <is>
          <t>10:02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</row>
    <row r="277">
      <c r="A277" s="2" t="inlineStr">
        <is>
          <t>Z001_02_042024_MATURIN.CSV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FILE001</t>
        </is>
      </c>
      <c r="F277" s="2" t="inlineStr">
        <is>
          <t>Z</t>
        </is>
      </c>
      <c r="G277" s="3" t="inlineStr">
        <is>
          <t>0032</t>
        </is>
      </c>
      <c r="H277" s="4" t="n">
        <v>45414</v>
      </c>
      <c r="I277" s="2" t="inlineStr">
        <is>
          <t>10:02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</row>
    <row r="278">
      <c r="A278" s="2" t="inlineStr">
        <is>
          <t>Z001_02_042024_MATURIN.CSV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FILE001</t>
        </is>
      </c>
      <c r="F278" s="2" t="inlineStr">
        <is>
          <t>Z</t>
        </is>
      </c>
      <c r="G278" s="3" t="inlineStr">
        <is>
          <t>0032</t>
        </is>
      </c>
      <c r="H278" s="4" t="n">
        <v>45414</v>
      </c>
      <c r="I278" s="2" t="inlineStr">
        <is>
          <t>10:02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</row>
    <row r="279">
      <c r="A279" s="2" t="inlineStr">
        <is>
          <t>Z001_02_042024_MATURIN.CSV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FILE001</t>
        </is>
      </c>
      <c r="F279" s="2" t="inlineStr">
        <is>
          <t>Z</t>
        </is>
      </c>
      <c r="G279" s="3" t="inlineStr">
        <is>
          <t>0032</t>
        </is>
      </c>
      <c r="H279" s="4" t="n">
        <v>45414</v>
      </c>
      <c r="I279" s="2" t="inlineStr">
        <is>
          <t>10:02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</row>
    <row r="280">
      <c r="A280" s="2" t="inlineStr">
        <is>
          <t>Z001_02_042024_MATURIN.CSV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FILE001</t>
        </is>
      </c>
      <c r="F280" s="2" t="inlineStr">
        <is>
          <t>Z</t>
        </is>
      </c>
      <c r="G280" s="3" t="inlineStr">
        <is>
          <t>0032</t>
        </is>
      </c>
      <c r="H280" s="4" t="n">
        <v>45414</v>
      </c>
      <c r="I280" s="2" t="inlineStr">
        <is>
          <t>10:02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18912.44</v>
      </c>
    </row>
    <row r="281">
      <c r="A281" s="2" t="inlineStr">
        <is>
          <t>Z001_02_042024_MATURIN.CSV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FILE001</t>
        </is>
      </c>
      <c r="F281" s="2" t="inlineStr">
        <is>
          <t>Z</t>
        </is>
      </c>
      <c r="G281" s="3" t="inlineStr">
        <is>
          <t>0032</t>
        </is>
      </c>
      <c r="H281" s="4" t="n">
        <v>45414</v>
      </c>
      <c r="I281" s="2" t="inlineStr">
        <is>
          <t>10:02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3782.54</v>
      </c>
    </row>
    <row r="282">
      <c r="A282" s="2" t="inlineStr">
        <is>
          <t>Z001_02_042024_MATURIN.CSV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FILE001</t>
        </is>
      </c>
      <c r="F282" s="2" t="inlineStr">
        <is>
          <t>Z</t>
        </is>
      </c>
      <c r="G282" s="3" t="inlineStr">
        <is>
          <t>0032</t>
        </is>
      </c>
      <c r="H282" s="4" t="n">
        <v>45414</v>
      </c>
      <c r="I282" s="2" t="inlineStr">
        <is>
          <t>10:02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</row>
    <row r="283">
      <c r="A283" s="2" t="inlineStr">
        <is>
          <t>Z001_02_042024_MATURIN.CSV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FILE001</t>
        </is>
      </c>
      <c r="F283" s="2" t="inlineStr">
        <is>
          <t>Z</t>
        </is>
      </c>
      <c r="G283" s="3" t="inlineStr">
        <is>
          <t>0032</t>
        </is>
      </c>
      <c r="H283" s="4" t="n">
        <v>45414</v>
      </c>
      <c r="I283" s="2" t="inlineStr">
        <is>
          <t>10:02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</row>
    <row r="284">
      <c r="A284" s="2" t="inlineStr">
        <is>
          <t>Z001_02_042024_MATURIN.CSV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FILE001</t>
        </is>
      </c>
      <c r="F284" s="2" t="inlineStr">
        <is>
          <t>Z</t>
        </is>
      </c>
      <c r="G284" s="3" t="inlineStr">
        <is>
          <t>0032</t>
        </is>
      </c>
      <c r="H284" s="4" t="n">
        <v>45414</v>
      </c>
      <c r="I284" s="2" t="inlineStr">
        <is>
          <t>10:02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</row>
    <row r="285">
      <c r="A285" s="2" t="inlineStr">
        <is>
          <t>Z001_02_042024_MATURIN.CSV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FILE001</t>
        </is>
      </c>
      <c r="F285" s="2" t="inlineStr">
        <is>
          <t>Z</t>
        </is>
      </c>
      <c r="G285" s="3" t="inlineStr">
        <is>
          <t>0032</t>
        </is>
      </c>
      <c r="H285" s="4" t="n">
        <v>45414</v>
      </c>
      <c r="I285" s="2" t="inlineStr">
        <is>
          <t>10:02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</row>
    <row r="286">
      <c r="A286" s="2" t="inlineStr">
        <is>
          <t>Z001_02_042024_MATURIN.CSV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FILE001</t>
        </is>
      </c>
      <c r="F286" s="2" t="inlineStr">
        <is>
          <t>Z</t>
        </is>
      </c>
      <c r="G286" s="3" t="inlineStr">
        <is>
          <t>0032</t>
        </is>
      </c>
      <c r="H286" s="4" t="n">
        <v>45414</v>
      </c>
      <c r="I286" s="2" t="inlineStr">
        <is>
          <t>10:02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</row>
    <row r="287">
      <c r="A287" s="2" t="inlineStr">
        <is>
          <t>Z001_02_042024_MATURIN.CSV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FILE001</t>
        </is>
      </c>
      <c r="F287" s="2" t="inlineStr">
        <is>
          <t>Z</t>
        </is>
      </c>
      <c r="G287" s="3" t="inlineStr">
        <is>
          <t>0032</t>
        </is>
      </c>
      <c r="H287" s="4" t="n">
        <v>45414</v>
      </c>
      <c r="I287" s="2" t="inlineStr">
        <is>
          <t>10:02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</row>
    <row r="288">
      <c r="A288" s="2" t="inlineStr">
        <is>
          <t>Z001_02_042024_MATURIN.CSV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FILE001</t>
        </is>
      </c>
      <c r="F288" s="2" t="inlineStr">
        <is>
          <t>Z</t>
        </is>
      </c>
      <c r="G288" s="3" t="inlineStr">
        <is>
          <t>0032</t>
        </is>
      </c>
      <c r="H288" s="4" t="n">
        <v>45414</v>
      </c>
      <c r="I288" s="2" t="inlineStr">
        <is>
          <t>10:02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</row>
    <row r="289">
      <c r="A289" s="2" t="inlineStr">
        <is>
          <t>Z001_02_102024_MATURIN.CSV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FILE001</t>
        </is>
      </c>
      <c r="F289" s="2" t="inlineStr">
        <is>
          <t>Z</t>
        </is>
      </c>
      <c r="G289" s="3" t="inlineStr">
        <is>
          <t>0038</t>
        </is>
      </c>
      <c r="H289" s="4" t="n">
        <v>45598</v>
      </c>
      <c r="I289" s="2" t="inlineStr">
        <is>
          <t>14:14</t>
        </is>
      </c>
      <c r="J289" s="3" t="inlineStr">
        <is>
          <t>0001</t>
        </is>
      </c>
      <c r="K289" s="2" t="inlineStr">
        <is>
          <t>CA BRUT</t>
        </is>
      </c>
      <c r="L289" s="5" t="n">
        <v>50</v>
      </c>
      <c r="M289" s="6" t="n">
        <v>37337.6</v>
      </c>
    </row>
    <row r="290">
      <c r="A290" s="2" t="inlineStr">
        <is>
          <t>Z001_02_102024_MATURIN.CSV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FILE001</t>
        </is>
      </c>
      <c r="F290" s="2" t="inlineStr">
        <is>
          <t>Z</t>
        </is>
      </c>
      <c r="G290" s="3" t="inlineStr">
        <is>
          <t>0038</t>
        </is>
      </c>
      <c r="H290" s="4" t="n">
        <v>45598</v>
      </c>
      <c r="I290" s="2" t="inlineStr">
        <is>
          <t>14:14</t>
        </is>
      </c>
      <c r="J290" s="3" t="inlineStr">
        <is>
          <t>0002</t>
        </is>
      </c>
      <c r="K290" s="2" t="inlineStr">
        <is>
          <t>CA NET</t>
        </is>
      </c>
      <c r="L290" s="5" t="n">
        <v>14</v>
      </c>
      <c r="M290" s="6" t="n">
        <v>37337.6</v>
      </c>
    </row>
    <row r="291">
      <c r="A291" s="2" t="inlineStr">
        <is>
          <t>Z001_02_102024_MATURIN.CSV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FILE001</t>
        </is>
      </c>
      <c r="F291" s="2" t="inlineStr">
        <is>
          <t>Z</t>
        </is>
      </c>
      <c r="G291" s="3" t="inlineStr">
        <is>
          <t>0038</t>
        </is>
      </c>
      <c r="H291" s="4" t="n">
        <v>45598</v>
      </c>
      <c r="I291" s="2" t="inlineStr">
        <is>
          <t>14:14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6" t="n">
        <v>2633.8</v>
      </c>
    </row>
    <row r="292">
      <c r="A292" s="2" t="inlineStr">
        <is>
          <t>Z001_02_102024_MATURIN.CSV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FILE001</t>
        </is>
      </c>
      <c r="F292" s="2" t="inlineStr">
        <is>
          <t>Z</t>
        </is>
      </c>
      <c r="G292" s="3" t="inlineStr">
        <is>
          <t>0038</t>
        </is>
      </c>
      <c r="H292" s="4" t="n">
        <v>45598</v>
      </c>
      <c r="I292" s="2" t="inlineStr">
        <is>
          <t>14:14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6" t="n">
        <v>34703.8</v>
      </c>
    </row>
    <row r="293">
      <c r="A293" s="2" t="inlineStr">
        <is>
          <t>Z001_02_102024_MATURIN.CSV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FILE001</t>
        </is>
      </c>
      <c r="F293" s="2" t="inlineStr">
        <is>
          <t>Z</t>
        </is>
      </c>
      <c r="G293" s="3" t="inlineStr">
        <is>
          <t>0038</t>
        </is>
      </c>
      <c r="H293" s="4" t="n">
        <v>45598</v>
      </c>
      <c r="I293" s="2" t="inlineStr">
        <is>
          <t>14:14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6" t="n">
        <v>0</v>
      </c>
    </row>
    <row r="294">
      <c r="A294" s="2" t="inlineStr">
        <is>
          <t>Z001_02_102024_MATURIN.CSV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FILE001</t>
        </is>
      </c>
      <c r="F294" s="2" t="inlineStr">
        <is>
          <t>Z</t>
        </is>
      </c>
      <c r="G294" s="3" t="inlineStr">
        <is>
          <t>0038</t>
        </is>
      </c>
      <c r="H294" s="4" t="n">
        <v>45598</v>
      </c>
      <c r="I294" s="2" t="inlineStr">
        <is>
          <t>14:14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6" t="n">
        <v>0</v>
      </c>
    </row>
    <row r="295">
      <c r="A295" s="2" t="inlineStr">
        <is>
          <t>Z001_02_102024_MATURIN.CSV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FILE001</t>
        </is>
      </c>
      <c r="F295" s="2" t="inlineStr">
        <is>
          <t>Z</t>
        </is>
      </c>
      <c r="G295" s="3" t="inlineStr">
        <is>
          <t>0038</t>
        </is>
      </c>
      <c r="H295" s="4" t="n">
        <v>45598</v>
      </c>
      <c r="I295" s="2" t="inlineStr">
        <is>
          <t>14:14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6" t="n">
        <v>0</v>
      </c>
    </row>
    <row r="296">
      <c r="A296" s="2" t="inlineStr">
        <is>
          <t>Z001_02_102024_MATURIN.CSV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FILE001</t>
        </is>
      </c>
      <c r="F296" s="2" t="inlineStr">
        <is>
          <t>Z</t>
        </is>
      </c>
      <c r="G296" s="3" t="inlineStr">
        <is>
          <t>0038</t>
        </is>
      </c>
      <c r="H296" s="4" t="n">
        <v>45598</v>
      </c>
      <c r="I296" s="2" t="inlineStr">
        <is>
          <t>14:14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6" t="n">
        <v>0</v>
      </c>
    </row>
    <row r="297">
      <c r="A297" s="2" t="inlineStr">
        <is>
          <t>Z001_02_102024_MATURIN.CSV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FILE001</t>
        </is>
      </c>
      <c r="F297" s="2" t="inlineStr">
        <is>
          <t>Z</t>
        </is>
      </c>
      <c r="G297" s="3" t="inlineStr">
        <is>
          <t>0038</t>
        </is>
      </c>
      <c r="H297" s="4" t="n">
        <v>45598</v>
      </c>
      <c r="I297" s="2" t="inlineStr">
        <is>
          <t>14:14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6" t="n">
        <v>0</v>
      </c>
    </row>
    <row r="298">
      <c r="A298" s="2" t="inlineStr">
        <is>
          <t>Z001_02_102024_MATURIN.CSV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FILE001</t>
        </is>
      </c>
      <c r="F298" s="2" t="inlineStr">
        <is>
          <t>Z</t>
        </is>
      </c>
      <c r="G298" s="3" t="inlineStr">
        <is>
          <t>0038</t>
        </is>
      </c>
      <c r="H298" s="4" t="n">
        <v>45598</v>
      </c>
      <c r="I298" s="2" t="inlineStr">
        <is>
          <t>14:14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6" t="n">
        <v>0</v>
      </c>
    </row>
    <row r="299">
      <c r="A299" s="2" t="inlineStr">
        <is>
          <t>Z001_02_102024_MATURIN.CSV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FILE001</t>
        </is>
      </c>
      <c r="F299" s="2" t="inlineStr">
        <is>
          <t>Z</t>
        </is>
      </c>
      <c r="G299" s="3" t="inlineStr">
        <is>
          <t>0038</t>
        </is>
      </c>
      <c r="H299" s="4" t="n">
        <v>45598</v>
      </c>
      <c r="I299" s="2" t="inlineStr">
        <is>
          <t>14:14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6" t="n">
        <v>0</v>
      </c>
    </row>
    <row r="300">
      <c r="A300" s="2" t="inlineStr">
        <is>
          <t>Z001_02_102024_MATURIN.CSV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FILE001</t>
        </is>
      </c>
      <c r="F300" s="2" t="inlineStr">
        <is>
          <t>Z</t>
        </is>
      </c>
      <c r="G300" s="3" t="inlineStr">
        <is>
          <t>0038</t>
        </is>
      </c>
      <c r="H300" s="4" t="n">
        <v>45598</v>
      </c>
      <c r="I300" s="2" t="inlineStr">
        <is>
          <t>14:14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6" t="n">
        <v>0</v>
      </c>
    </row>
    <row r="301">
      <c r="A301" s="2" t="inlineStr">
        <is>
          <t>Z001_02_102024_MATURIN.CSV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FILE001</t>
        </is>
      </c>
      <c r="F301" s="2" t="inlineStr">
        <is>
          <t>Z</t>
        </is>
      </c>
      <c r="G301" s="3" t="inlineStr">
        <is>
          <t>0038</t>
        </is>
      </c>
      <c r="H301" s="4" t="n">
        <v>45598</v>
      </c>
      <c r="I301" s="2" t="inlineStr">
        <is>
          <t>14:14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6" t="n">
        <v>0</v>
      </c>
    </row>
    <row r="302">
      <c r="A302" s="2" t="inlineStr">
        <is>
          <t>Z001_02_102024_MATURIN.CSV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FILE001</t>
        </is>
      </c>
      <c r="F302" s="2" t="inlineStr">
        <is>
          <t>Z</t>
        </is>
      </c>
      <c r="G302" s="3" t="inlineStr">
        <is>
          <t>0038</t>
        </is>
      </c>
      <c r="H302" s="4" t="n">
        <v>45598</v>
      </c>
      <c r="I302" s="2" t="inlineStr">
        <is>
          <t>14:14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6" t="n">
        <v>0</v>
      </c>
    </row>
    <row r="303">
      <c r="A303" s="2" t="inlineStr">
        <is>
          <t>Z001_02_102024_MATURIN.CSV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FILE001</t>
        </is>
      </c>
      <c r="F303" s="2" t="inlineStr">
        <is>
          <t>Z</t>
        </is>
      </c>
      <c r="G303" s="3" t="inlineStr">
        <is>
          <t>0038</t>
        </is>
      </c>
      <c r="H303" s="4" t="n">
        <v>45598</v>
      </c>
      <c r="I303" s="2" t="inlineStr">
        <is>
          <t>14:14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6" t="n">
        <v>0</v>
      </c>
    </row>
    <row r="304">
      <c r="A304" s="2" t="inlineStr">
        <is>
          <t>Z001_02_102024_MATURIN.CSV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FILE001</t>
        </is>
      </c>
      <c r="F304" s="2" t="inlineStr">
        <is>
          <t>Z</t>
        </is>
      </c>
      <c r="G304" s="3" t="inlineStr">
        <is>
          <t>0038</t>
        </is>
      </c>
      <c r="H304" s="4" t="n">
        <v>45598</v>
      </c>
      <c r="I304" s="2" t="inlineStr">
        <is>
          <t>14:14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6" t="n">
        <v>0</v>
      </c>
    </row>
    <row r="305">
      <c r="A305" s="2" t="inlineStr">
        <is>
          <t>Z001_02_102024_MATURIN.CSV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FILE001</t>
        </is>
      </c>
      <c r="F305" s="2" t="inlineStr">
        <is>
          <t>Z</t>
        </is>
      </c>
      <c r="G305" s="3" t="inlineStr">
        <is>
          <t>0038</t>
        </is>
      </c>
      <c r="H305" s="4" t="n">
        <v>45598</v>
      </c>
      <c r="I305" s="2" t="inlineStr">
        <is>
          <t>14:14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6" t="n">
        <v>0</v>
      </c>
    </row>
    <row r="306">
      <c r="A306" s="2" t="inlineStr">
        <is>
          <t>Z001_02_102024_MATURIN.CSV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FILE001</t>
        </is>
      </c>
      <c r="F306" s="2" t="inlineStr">
        <is>
          <t>Z</t>
        </is>
      </c>
      <c r="G306" s="3" t="inlineStr">
        <is>
          <t>0038</t>
        </is>
      </c>
      <c r="H306" s="4" t="n">
        <v>45598</v>
      </c>
      <c r="I306" s="2" t="inlineStr">
        <is>
          <t>14:14</t>
        </is>
      </c>
      <c r="J306" s="3" t="inlineStr">
        <is>
          <t>0018</t>
        </is>
      </c>
      <c r="K306" s="2" t="inlineStr">
        <is>
          <t>CLIENTS</t>
        </is>
      </c>
      <c r="L306" s="5" t="n">
        <v>14</v>
      </c>
      <c r="M306" s="6" t="n">
        <v>0</v>
      </c>
    </row>
    <row r="307">
      <c r="A307" s="2" t="inlineStr">
        <is>
          <t>Z001_02_102024_MATURIN.CSV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FILE001</t>
        </is>
      </c>
      <c r="F307" s="2" t="inlineStr">
        <is>
          <t>Z</t>
        </is>
      </c>
      <c r="G307" s="3" t="inlineStr">
        <is>
          <t>0038</t>
        </is>
      </c>
      <c r="H307" s="4" t="n">
        <v>45598</v>
      </c>
      <c r="I307" s="2" t="inlineStr">
        <is>
          <t>14:14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6" t="n">
        <v>0</v>
      </c>
    </row>
    <row r="308">
      <c r="A308" s="2" t="inlineStr">
        <is>
          <t>Z001_02_102024_MATURIN.CSV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FILE001</t>
        </is>
      </c>
      <c r="F308" s="2" t="inlineStr">
        <is>
          <t>Z</t>
        </is>
      </c>
      <c r="G308" s="3" t="inlineStr">
        <is>
          <t>0038</t>
        </is>
      </c>
      <c r="H308" s="4" t="n">
        <v>45598</v>
      </c>
      <c r="I308" s="2" t="inlineStr">
        <is>
          <t>14:14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6" t="n">
        <v>0</v>
      </c>
    </row>
    <row r="309">
      <c r="A309" s="2" t="inlineStr">
        <is>
          <t>Z001_02_102024_MATURIN.CSV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FILE001</t>
        </is>
      </c>
      <c r="F309" s="2" t="inlineStr">
        <is>
          <t>Z</t>
        </is>
      </c>
      <c r="G309" s="3" t="inlineStr">
        <is>
          <t>0038</t>
        </is>
      </c>
      <c r="H309" s="4" t="n">
        <v>45598</v>
      </c>
      <c r="I309" s="2" t="inlineStr">
        <is>
          <t>14:14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6" t="n">
        <v>0</v>
      </c>
    </row>
    <row r="310">
      <c r="A310" s="2" t="inlineStr">
        <is>
          <t>Z001_02_102024_MATURIN.CSV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FILE001</t>
        </is>
      </c>
      <c r="F310" s="2" t="inlineStr">
        <is>
          <t>Z</t>
        </is>
      </c>
      <c r="G310" s="3" t="inlineStr">
        <is>
          <t>0038</t>
        </is>
      </c>
      <c r="H310" s="4" t="n">
        <v>45598</v>
      </c>
      <c r="I310" s="2" t="inlineStr">
        <is>
          <t>14:14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6" t="n">
        <v>0</v>
      </c>
    </row>
    <row r="311">
      <c r="A311" s="2" t="inlineStr">
        <is>
          <t>Z001_02_102024_MATURIN.CSV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FILE001</t>
        </is>
      </c>
      <c r="F311" s="2" t="inlineStr">
        <is>
          <t>Z</t>
        </is>
      </c>
      <c r="G311" s="3" t="inlineStr">
        <is>
          <t>0038</t>
        </is>
      </c>
      <c r="H311" s="4" t="n">
        <v>45598</v>
      </c>
      <c r="I311" s="2" t="inlineStr">
        <is>
          <t>14:14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6" t="n">
        <v>0</v>
      </c>
    </row>
    <row r="312">
      <c r="A312" s="2" t="inlineStr">
        <is>
          <t>Z001_02_102024_MATURIN.CSV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FILE001</t>
        </is>
      </c>
      <c r="F312" s="2" t="inlineStr">
        <is>
          <t>Z</t>
        </is>
      </c>
      <c r="G312" s="3" t="inlineStr">
        <is>
          <t>0038</t>
        </is>
      </c>
      <c r="H312" s="4" t="n">
        <v>45598</v>
      </c>
      <c r="I312" s="2" t="inlineStr">
        <is>
          <t>14:14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6" t="n">
        <v>0</v>
      </c>
    </row>
    <row r="313">
      <c r="A313" s="2" t="inlineStr">
        <is>
          <t>Z001_02_102024_MATURIN.CSV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FILE001</t>
        </is>
      </c>
      <c r="F313" s="2" t="inlineStr">
        <is>
          <t>Z</t>
        </is>
      </c>
      <c r="G313" s="3" t="inlineStr">
        <is>
          <t>0038</t>
        </is>
      </c>
      <c r="H313" s="4" t="n">
        <v>45598</v>
      </c>
      <c r="I313" s="2" t="inlineStr">
        <is>
          <t>14:14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6" t="n">
        <v>0</v>
      </c>
    </row>
    <row r="314">
      <c r="A314" s="2" t="inlineStr">
        <is>
          <t>Z001_02_102024_MATURIN.CSV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FILE001</t>
        </is>
      </c>
      <c r="F314" s="2" t="inlineStr">
        <is>
          <t>Z</t>
        </is>
      </c>
      <c r="G314" s="3" t="inlineStr">
        <is>
          <t>0038</t>
        </is>
      </c>
      <c r="H314" s="4" t="n">
        <v>45598</v>
      </c>
      <c r="I314" s="2" t="inlineStr">
        <is>
          <t>14:14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6" t="n">
        <v>0</v>
      </c>
    </row>
    <row r="315">
      <c r="A315" s="2" t="inlineStr">
        <is>
          <t>Z001_02_102024_MATURIN.CSV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FILE001</t>
        </is>
      </c>
      <c r="F315" s="2" t="inlineStr">
        <is>
          <t>Z</t>
        </is>
      </c>
      <c r="G315" s="3" t="inlineStr">
        <is>
          <t>0038</t>
        </is>
      </c>
      <c r="H315" s="4" t="n">
        <v>45598</v>
      </c>
      <c r="I315" s="2" t="inlineStr">
        <is>
          <t>14:14</t>
        </is>
      </c>
      <c r="J315" s="3" t="inlineStr">
        <is>
          <t>0027</t>
        </is>
      </c>
      <c r="K315" s="2" t="inlineStr"/>
      <c r="L315" s="5" t="n">
        <v>0</v>
      </c>
      <c r="M315" s="6" t="n">
        <v>0</v>
      </c>
    </row>
    <row r="316">
      <c r="A316" s="2" t="inlineStr">
        <is>
          <t>Z001_02_102024_MATURIN.CSV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FILE001</t>
        </is>
      </c>
      <c r="F316" s="2" t="inlineStr">
        <is>
          <t>Z</t>
        </is>
      </c>
      <c r="G316" s="3" t="inlineStr">
        <is>
          <t>0038</t>
        </is>
      </c>
      <c r="H316" s="4" t="n">
        <v>45598</v>
      </c>
      <c r="I316" s="2" t="inlineStr">
        <is>
          <t>14:14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6" t="n">
        <v>0</v>
      </c>
    </row>
    <row r="317">
      <c r="A317" s="2" t="inlineStr">
        <is>
          <t>Z001_02_102024_MATURIN.CSV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FILE001</t>
        </is>
      </c>
      <c r="F317" s="2" t="inlineStr">
        <is>
          <t>Z</t>
        </is>
      </c>
      <c r="G317" s="3" t="inlineStr">
        <is>
          <t>0038</t>
        </is>
      </c>
      <c r="H317" s="4" t="n">
        <v>45598</v>
      </c>
      <c r="I317" s="2" t="inlineStr">
        <is>
          <t>14:14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6" t="n">
        <v>0</v>
      </c>
    </row>
    <row r="318">
      <c r="A318" s="2" t="inlineStr">
        <is>
          <t>Z001_02_102024_MATURIN.CSV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FILE001</t>
        </is>
      </c>
      <c r="F318" s="2" t="inlineStr">
        <is>
          <t>Z</t>
        </is>
      </c>
      <c r="G318" s="3" t="inlineStr">
        <is>
          <t>0038</t>
        </is>
      </c>
      <c r="H318" s="4" t="n">
        <v>45598</v>
      </c>
      <c r="I318" s="2" t="inlineStr">
        <is>
          <t>14:14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6" t="n">
        <v>0</v>
      </c>
    </row>
    <row r="319">
      <c r="A319" s="2" t="inlineStr">
        <is>
          <t>Z001_02_102024_MATURIN.CSV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FILE001</t>
        </is>
      </c>
      <c r="F319" s="2" t="inlineStr">
        <is>
          <t>Z</t>
        </is>
      </c>
      <c r="G319" s="3" t="inlineStr">
        <is>
          <t>0038</t>
        </is>
      </c>
      <c r="H319" s="4" t="n">
        <v>45598</v>
      </c>
      <c r="I319" s="2" t="inlineStr">
        <is>
          <t>14:14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6" t="n">
        <v>0</v>
      </c>
    </row>
    <row r="320">
      <c r="A320" s="2" t="inlineStr">
        <is>
          <t>Z001_02_102024_MATURIN.CSV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FILE001</t>
        </is>
      </c>
      <c r="F320" s="2" t="inlineStr">
        <is>
          <t>Z</t>
        </is>
      </c>
      <c r="G320" s="3" t="inlineStr">
        <is>
          <t>0038</t>
        </is>
      </c>
      <c r="H320" s="4" t="n">
        <v>45598</v>
      </c>
      <c r="I320" s="2" t="inlineStr">
        <is>
          <t>14:14</t>
        </is>
      </c>
      <c r="J320" s="3" t="inlineStr">
        <is>
          <t>0032</t>
        </is>
      </c>
      <c r="K320" s="2" t="inlineStr"/>
      <c r="L320" s="5" t="n">
        <v>0</v>
      </c>
      <c r="M320" s="6" t="n">
        <v>0</v>
      </c>
    </row>
    <row r="321">
      <c r="A321" s="2" t="inlineStr">
        <is>
          <t>Z001_02_102024_MATURIN.CSV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FILE001</t>
        </is>
      </c>
      <c r="F321" s="2" t="inlineStr">
        <is>
          <t>Z</t>
        </is>
      </c>
      <c r="G321" s="3" t="inlineStr">
        <is>
          <t>0038</t>
        </is>
      </c>
      <c r="H321" s="4" t="n">
        <v>45598</v>
      </c>
      <c r="I321" s="2" t="inlineStr">
        <is>
          <t>14:14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6" t="n">
        <v>31114.67</v>
      </c>
    </row>
    <row r="322">
      <c r="A322" s="2" t="inlineStr">
        <is>
          <t>Z001_02_102024_MATURIN.CSV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FILE001</t>
        </is>
      </c>
      <c r="F322" s="2" t="inlineStr">
        <is>
          <t>Z</t>
        </is>
      </c>
      <c r="G322" s="3" t="inlineStr">
        <is>
          <t>0038</t>
        </is>
      </c>
      <c r="H322" s="4" t="n">
        <v>45598</v>
      </c>
      <c r="I322" s="2" t="inlineStr">
        <is>
          <t>14:14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6" t="n">
        <v>6222.93</v>
      </c>
    </row>
    <row r="323">
      <c r="A323" s="2" t="inlineStr">
        <is>
          <t>Z001_02_102024_MATURIN.CSV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FILE001</t>
        </is>
      </c>
      <c r="F323" s="2" t="inlineStr">
        <is>
          <t>Z</t>
        </is>
      </c>
      <c r="G323" s="3" t="inlineStr">
        <is>
          <t>0038</t>
        </is>
      </c>
      <c r="H323" s="4" t="n">
        <v>45598</v>
      </c>
      <c r="I323" s="2" t="inlineStr">
        <is>
          <t>14:14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6" t="n">
        <v>0</v>
      </c>
    </row>
    <row r="324">
      <c r="A324" s="2" t="inlineStr">
        <is>
          <t>Z001_02_102024_MATURIN.CSV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FILE001</t>
        </is>
      </c>
      <c r="F324" s="2" t="inlineStr">
        <is>
          <t>Z</t>
        </is>
      </c>
      <c r="G324" s="3" t="inlineStr">
        <is>
          <t>0038</t>
        </is>
      </c>
      <c r="H324" s="4" t="n">
        <v>45598</v>
      </c>
      <c r="I324" s="2" t="inlineStr">
        <is>
          <t>14:14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6" t="n">
        <v>0</v>
      </c>
    </row>
    <row r="325">
      <c r="A325" s="2" t="inlineStr">
        <is>
          <t>Z001_02_102024_MATURIN.CSV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FILE001</t>
        </is>
      </c>
      <c r="F325" s="2" t="inlineStr">
        <is>
          <t>Z</t>
        </is>
      </c>
      <c r="G325" s="3" t="inlineStr">
        <is>
          <t>0038</t>
        </is>
      </c>
      <c r="H325" s="4" t="n">
        <v>45598</v>
      </c>
      <c r="I325" s="2" t="inlineStr">
        <is>
          <t>14:14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6" t="n">
        <v>0</v>
      </c>
    </row>
    <row r="326">
      <c r="A326" s="2" t="inlineStr">
        <is>
          <t>Z001_02_102024_MATURIN.CSV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FILE001</t>
        </is>
      </c>
      <c r="F326" s="2" t="inlineStr">
        <is>
          <t>Z</t>
        </is>
      </c>
      <c r="G326" s="3" t="inlineStr">
        <is>
          <t>0038</t>
        </is>
      </c>
      <c r="H326" s="4" t="n">
        <v>45598</v>
      </c>
      <c r="I326" s="2" t="inlineStr">
        <is>
          <t>14:14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6" t="n">
        <v>0</v>
      </c>
    </row>
    <row r="327">
      <c r="A327" s="2" t="inlineStr">
        <is>
          <t>Z001_02_102024_MATURIN.CSV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FILE001</t>
        </is>
      </c>
      <c r="F327" s="2" t="inlineStr">
        <is>
          <t>Z</t>
        </is>
      </c>
      <c r="G327" s="3" t="inlineStr">
        <is>
          <t>0038</t>
        </is>
      </c>
      <c r="H327" s="4" t="n">
        <v>45598</v>
      </c>
      <c r="I327" s="2" t="inlineStr">
        <is>
          <t>14:14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6" t="n">
        <v>0</v>
      </c>
    </row>
    <row r="328">
      <c r="A328" s="2" t="inlineStr">
        <is>
          <t>Z001_02_102024_MATURIN.CSV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FILE001</t>
        </is>
      </c>
      <c r="F328" s="2" t="inlineStr">
        <is>
          <t>Z</t>
        </is>
      </c>
      <c r="G328" s="3" t="inlineStr">
        <is>
          <t>0038</t>
        </is>
      </c>
      <c r="H328" s="4" t="n">
        <v>45598</v>
      </c>
      <c r="I328" s="2" t="inlineStr">
        <is>
          <t>14:14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6" t="n">
        <v>0</v>
      </c>
    </row>
    <row r="329">
      <c r="A329" s="2" t="inlineStr">
        <is>
          <t>Z001_02_102024_MATURIN.CSV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FILE001</t>
        </is>
      </c>
      <c r="F329" s="2" t="inlineStr">
        <is>
          <t>Z</t>
        </is>
      </c>
      <c r="G329" s="3" t="inlineStr">
        <is>
          <t>0038</t>
        </is>
      </c>
      <c r="H329" s="4" t="n">
        <v>45598</v>
      </c>
      <c r="I329" s="2" t="inlineStr">
        <is>
          <t>14:14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6" t="n">
        <v>0</v>
      </c>
    </row>
    <row r="330">
      <c r="A330" s="2" t="inlineStr">
        <is>
          <t>Z001_02_112024_MATURIN.CSV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FILE001</t>
        </is>
      </c>
      <c r="F330" s="2" t="inlineStr">
        <is>
          <t>Z</t>
        </is>
      </c>
      <c r="G330" s="3" t="inlineStr">
        <is>
          <t>0039</t>
        </is>
      </c>
      <c r="H330" s="4" t="n">
        <v>45628</v>
      </c>
      <c r="I330" s="2" t="inlineStr">
        <is>
          <t>10:55</t>
        </is>
      </c>
      <c r="J330" s="3" t="inlineStr">
        <is>
          <t>0001</t>
        </is>
      </c>
      <c r="K330" s="2" t="inlineStr">
        <is>
          <t>CA BRUT</t>
        </is>
      </c>
      <c r="L330" s="5" t="n">
        <v>17</v>
      </c>
      <c r="M330" s="6" t="n">
        <v>5001.9</v>
      </c>
    </row>
    <row r="331">
      <c r="A331" s="2" t="inlineStr">
        <is>
          <t>Z001_02_112024_MATURIN.CSV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FILE001</t>
        </is>
      </c>
      <c r="F331" s="2" t="inlineStr">
        <is>
          <t>Z</t>
        </is>
      </c>
      <c r="G331" s="3" t="inlineStr">
        <is>
          <t>0039</t>
        </is>
      </c>
      <c r="H331" s="4" t="n">
        <v>45628</v>
      </c>
      <c r="I331" s="2" t="inlineStr">
        <is>
          <t>10:55</t>
        </is>
      </c>
      <c r="J331" s="3" t="inlineStr">
        <is>
          <t>0002</t>
        </is>
      </c>
      <c r="K331" s="2" t="inlineStr">
        <is>
          <t>CA NET</t>
        </is>
      </c>
      <c r="L331" s="5" t="n">
        <v>7</v>
      </c>
      <c r="M331" s="6" t="n">
        <v>5001.9</v>
      </c>
    </row>
    <row r="332">
      <c r="A332" s="2" t="inlineStr">
        <is>
          <t>Z001_02_112024_MATURIN.CSV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FILE001</t>
        </is>
      </c>
      <c r="F332" s="2" t="inlineStr">
        <is>
          <t>Z</t>
        </is>
      </c>
      <c r="G332" s="3" t="inlineStr">
        <is>
          <t>0039</t>
        </is>
      </c>
      <c r="H332" s="4" t="n">
        <v>45628</v>
      </c>
      <c r="I332" s="2" t="inlineStr">
        <is>
          <t>10:55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6" t="n">
        <v>0</v>
      </c>
    </row>
    <row r="333">
      <c r="A333" s="2" t="inlineStr">
        <is>
          <t>Z001_02_112024_MATURIN.CSV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FILE001</t>
        </is>
      </c>
      <c r="F333" s="2" t="inlineStr">
        <is>
          <t>Z</t>
        </is>
      </c>
      <c r="G333" s="3" t="inlineStr">
        <is>
          <t>0039</t>
        </is>
      </c>
      <c r="H333" s="4" t="n">
        <v>45628</v>
      </c>
      <c r="I333" s="2" t="inlineStr">
        <is>
          <t>10:55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6" t="n">
        <v>5001.9</v>
      </c>
    </row>
    <row r="334">
      <c r="A334" s="2" t="inlineStr">
        <is>
          <t>Z001_02_112024_MATURIN.CSV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FILE001</t>
        </is>
      </c>
      <c r="F334" s="2" t="inlineStr">
        <is>
          <t>Z</t>
        </is>
      </c>
      <c r="G334" s="3" t="inlineStr">
        <is>
          <t>0039</t>
        </is>
      </c>
      <c r="H334" s="4" t="n">
        <v>45628</v>
      </c>
      <c r="I334" s="2" t="inlineStr">
        <is>
          <t>10:55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6" t="n">
        <v>0</v>
      </c>
    </row>
    <row r="335">
      <c r="A335" s="2" t="inlineStr">
        <is>
          <t>Z001_02_112024_MATURIN.CSV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FILE001</t>
        </is>
      </c>
      <c r="F335" s="2" t="inlineStr">
        <is>
          <t>Z</t>
        </is>
      </c>
      <c r="G335" s="3" t="inlineStr">
        <is>
          <t>0039</t>
        </is>
      </c>
      <c r="H335" s="4" t="n">
        <v>45628</v>
      </c>
      <c r="I335" s="2" t="inlineStr">
        <is>
          <t>10:55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6" t="n">
        <v>0</v>
      </c>
    </row>
    <row r="336">
      <c r="A336" s="2" t="inlineStr">
        <is>
          <t>Z001_02_112024_MATURIN.CSV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FILE001</t>
        </is>
      </c>
      <c r="F336" s="2" t="inlineStr">
        <is>
          <t>Z</t>
        </is>
      </c>
      <c r="G336" s="3" t="inlineStr">
        <is>
          <t>0039</t>
        </is>
      </c>
      <c r="H336" s="4" t="n">
        <v>45628</v>
      </c>
      <c r="I336" s="2" t="inlineStr">
        <is>
          <t>10:55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6" t="n">
        <v>0</v>
      </c>
    </row>
    <row r="337">
      <c r="A337" s="2" t="inlineStr">
        <is>
          <t>Z001_02_112024_MATURIN.CSV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FILE001</t>
        </is>
      </c>
      <c r="F337" s="2" t="inlineStr">
        <is>
          <t>Z</t>
        </is>
      </c>
      <c r="G337" s="3" t="inlineStr">
        <is>
          <t>0039</t>
        </is>
      </c>
      <c r="H337" s="4" t="n">
        <v>45628</v>
      </c>
      <c r="I337" s="2" t="inlineStr">
        <is>
          <t>10:55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6" t="n">
        <v>0</v>
      </c>
    </row>
    <row r="338">
      <c r="A338" s="2" t="inlineStr">
        <is>
          <t>Z001_02_112024_MATURIN.CSV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FILE001</t>
        </is>
      </c>
      <c r="F338" s="2" t="inlineStr">
        <is>
          <t>Z</t>
        </is>
      </c>
      <c r="G338" s="3" t="inlineStr">
        <is>
          <t>0039</t>
        </is>
      </c>
      <c r="H338" s="4" t="n">
        <v>45628</v>
      </c>
      <c r="I338" s="2" t="inlineStr">
        <is>
          <t>10:55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6" t="n">
        <v>0</v>
      </c>
    </row>
    <row r="339">
      <c r="A339" s="2" t="inlineStr">
        <is>
          <t>Z001_02_112024_MATURIN.CSV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FILE001</t>
        </is>
      </c>
      <c r="F339" s="2" t="inlineStr">
        <is>
          <t>Z</t>
        </is>
      </c>
      <c r="G339" s="3" t="inlineStr">
        <is>
          <t>0039</t>
        </is>
      </c>
      <c r="H339" s="4" t="n">
        <v>45628</v>
      </c>
      <c r="I339" s="2" t="inlineStr">
        <is>
          <t>10:55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6" t="n">
        <v>0</v>
      </c>
    </row>
    <row r="340">
      <c r="A340" s="2" t="inlineStr">
        <is>
          <t>Z001_02_112024_MATURIN.CSV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FILE001</t>
        </is>
      </c>
      <c r="F340" s="2" t="inlineStr">
        <is>
          <t>Z</t>
        </is>
      </c>
      <c r="G340" s="3" t="inlineStr">
        <is>
          <t>0039</t>
        </is>
      </c>
      <c r="H340" s="4" t="n">
        <v>45628</v>
      </c>
      <c r="I340" s="2" t="inlineStr">
        <is>
          <t>10:55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6" t="n">
        <v>0</v>
      </c>
    </row>
    <row r="341">
      <c r="A341" s="2" t="inlineStr">
        <is>
          <t>Z001_02_112024_MATURIN.CSV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FILE001</t>
        </is>
      </c>
      <c r="F341" s="2" t="inlineStr">
        <is>
          <t>Z</t>
        </is>
      </c>
      <c r="G341" s="3" t="inlineStr">
        <is>
          <t>0039</t>
        </is>
      </c>
      <c r="H341" s="4" t="n">
        <v>45628</v>
      </c>
      <c r="I341" s="2" t="inlineStr">
        <is>
          <t>10:55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6" t="n">
        <v>0</v>
      </c>
    </row>
    <row r="342">
      <c r="A342" s="2" t="inlineStr">
        <is>
          <t>Z001_02_112024_MATURIN.CSV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FILE001</t>
        </is>
      </c>
      <c r="F342" s="2" t="inlineStr">
        <is>
          <t>Z</t>
        </is>
      </c>
      <c r="G342" s="3" t="inlineStr">
        <is>
          <t>0039</t>
        </is>
      </c>
      <c r="H342" s="4" t="n">
        <v>45628</v>
      </c>
      <c r="I342" s="2" t="inlineStr">
        <is>
          <t>10:55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6" t="n">
        <v>0</v>
      </c>
    </row>
    <row r="343">
      <c r="A343" s="2" t="inlineStr">
        <is>
          <t>Z001_02_112024_MATURIN.CSV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FILE001</t>
        </is>
      </c>
      <c r="F343" s="2" t="inlineStr">
        <is>
          <t>Z</t>
        </is>
      </c>
      <c r="G343" s="3" t="inlineStr">
        <is>
          <t>0039</t>
        </is>
      </c>
      <c r="H343" s="4" t="n">
        <v>45628</v>
      </c>
      <c r="I343" s="2" t="inlineStr">
        <is>
          <t>10:55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6" t="n">
        <v>0</v>
      </c>
    </row>
    <row r="344">
      <c r="A344" s="2" t="inlineStr">
        <is>
          <t>Z001_02_112024_MATURIN.CSV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FILE001</t>
        </is>
      </c>
      <c r="F344" s="2" t="inlineStr">
        <is>
          <t>Z</t>
        </is>
      </c>
      <c r="G344" s="3" t="inlineStr">
        <is>
          <t>0039</t>
        </is>
      </c>
      <c r="H344" s="4" t="n">
        <v>45628</v>
      </c>
      <c r="I344" s="2" t="inlineStr">
        <is>
          <t>10:55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6" t="n">
        <v>0</v>
      </c>
    </row>
    <row r="345">
      <c r="A345" s="2" t="inlineStr">
        <is>
          <t>Z001_02_112024_MATURIN.CSV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FILE001</t>
        </is>
      </c>
      <c r="F345" s="2" t="inlineStr">
        <is>
          <t>Z</t>
        </is>
      </c>
      <c r="G345" s="3" t="inlineStr">
        <is>
          <t>0039</t>
        </is>
      </c>
      <c r="H345" s="4" t="n">
        <v>45628</v>
      </c>
      <c r="I345" s="2" t="inlineStr">
        <is>
          <t>10:55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6" t="n">
        <v>0</v>
      </c>
    </row>
    <row r="346">
      <c r="A346" s="2" t="inlineStr">
        <is>
          <t>Z001_02_112024_MATURIN.CSV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FILE001</t>
        </is>
      </c>
      <c r="F346" s="2" t="inlineStr">
        <is>
          <t>Z</t>
        </is>
      </c>
      <c r="G346" s="3" t="inlineStr">
        <is>
          <t>0039</t>
        </is>
      </c>
      <c r="H346" s="4" t="n">
        <v>45628</v>
      </c>
      <c r="I346" s="2" t="inlineStr">
        <is>
          <t>10:55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6" t="n">
        <v>0</v>
      </c>
    </row>
    <row r="347">
      <c r="A347" s="2" t="inlineStr">
        <is>
          <t>Z001_02_112024_MATURIN.CSV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FILE001</t>
        </is>
      </c>
      <c r="F347" s="2" t="inlineStr">
        <is>
          <t>Z</t>
        </is>
      </c>
      <c r="G347" s="3" t="inlineStr">
        <is>
          <t>0039</t>
        </is>
      </c>
      <c r="H347" s="4" t="n">
        <v>45628</v>
      </c>
      <c r="I347" s="2" t="inlineStr">
        <is>
          <t>10:55</t>
        </is>
      </c>
      <c r="J347" s="3" t="inlineStr">
        <is>
          <t>0018</t>
        </is>
      </c>
      <c r="K347" s="2" t="inlineStr">
        <is>
          <t>CLIENTS</t>
        </is>
      </c>
      <c r="L347" s="5" t="n">
        <v>7</v>
      </c>
      <c r="M347" s="6" t="n">
        <v>0</v>
      </c>
    </row>
    <row r="348">
      <c r="A348" s="2" t="inlineStr">
        <is>
          <t>Z001_02_112024_MATURIN.CSV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FILE001</t>
        </is>
      </c>
      <c r="F348" s="2" t="inlineStr">
        <is>
          <t>Z</t>
        </is>
      </c>
      <c r="G348" s="3" t="inlineStr">
        <is>
          <t>0039</t>
        </is>
      </c>
      <c r="H348" s="4" t="n">
        <v>45628</v>
      </c>
      <c r="I348" s="2" t="inlineStr">
        <is>
          <t>10:55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6" t="n">
        <v>0</v>
      </c>
    </row>
    <row r="349">
      <c r="A349" s="2" t="inlineStr">
        <is>
          <t>Z001_02_112024_MATURIN.CSV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FILE001</t>
        </is>
      </c>
      <c r="F349" s="2" t="inlineStr">
        <is>
          <t>Z</t>
        </is>
      </c>
      <c r="G349" s="3" t="inlineStr">
        <is>
          <t>0039</t>
        </is>
      </c>
      <c r="H349" s="4" t="n">
        <v>45628</v>
      </c>
      <c r="I349" s="2" t="inlineStr">
        <is>
          <t>10:55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6" t="n">
        <v>0</v>
      </c>
    </row>
    <row r="350">
      <c r="A350" s="2" t="inlineStr">
        <is>
          <t>Z001_02_112024_MATURIN.CSV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FILE001</t>
        </is>
      </c>
      <c r="F350" s="2" t="inlineStr">
        <is>
          <t>Z</t>
        </is>
      </c>
      <c r="G350" s="3" t="inlineStr">
        <is>
          <t>0039</t>
        </is>
      </c>
      <c r="H350" s="4" t="n">
        <v>45628</v>
      </c>
      <c r="I350" s="2" t="inlineStr">
        <is>
          <t>10:55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6" t="n">
        <v>0</v>
      </c>
    </row>
    <row r="351">
      <c r="A351" s="2" t="inlineStr">
        <is>
          <t>Z001_02_112024_MATURIN.CSV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FILE001</t>
        </is>
      </c>
      <c r="F351" s="2" t="inlineStr">
        <is>
          <t>Z</t>
        </is>
      </c>
      <c r="G351" s="3" t="inlineStr">
        <is>
          <t>0039</t>
        </is>
      </c>
      <c r="H351" s="4" t="n">
        <v>45628</v>
      </c>
      <c r="I351" s="2" t="inlineStr">
        <is>
          <t>10:55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6" t="n">
        <v>0</v>
      </c>
    </row>
    <row r="352">
      <c r="A352" s="2" t="inlineStr">
        <is>
          <t>Z001_02_112024_MATURIN.CSV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FILE001</t>
        </is>
      </c>
      <c r="F352" s="2" t="inlineStr">
        <is>
          <t>Z</t>
        </is>
      </c>
      <c r="G352" s="3" t="inlineStr">
        <is>
          <t>0039</t>
        </is>
      </c>
      <c r="H352" s="4" t="n">
        <v>45628</v>
      </c>
      <c r="I352" s="2" t="inlineStr">
        <is>
          <t>10:55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6" t="n">
        <v>0</v>
      </c>
    </row>
    <row r="353">
      <c r="A353" s="2" t="inlineStr">
        <is>
          <t>Z001_02_112024_MATURIN.CSV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FILE001</t>
        </is>
      </c>
      <c r="F353" s="2" t="inlineStr">
        <is>
          <t>Z</t>
        </is>
      </c>
      <c r="G353" s="3" t="inlineStr">
        <is>
          <t>0039</t>
        </is>
      </c>
      <c r="H353" s="4" t="n">
        <v>45628</v>
      </c>
      <c r="I353" s="2" t="inlineStr">
        <is>
          <t>10:55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6" t="n">
        <v>0</v>
      </c>
    </row>
    <row r="354">
      <c r="A354" s="2" t="inlineStr">
        <is>
          <t>Z001_02_112024_MATURIN.CSV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FILE001</t>
        </is>
      </c>
      <c r="F354" s="2" t="inlineStr">
        <is>
          <t>Z</t>
        </is>
      </c>
      <c r="G354" s="3" t="inlineStr">
        <is>
          <t>0039</t>
        </is>
      </c>
      <c r="H354" s="4" t="n">
        <v>45628</v>
      </c>
      <c r="I354" s="2" t="inlineStr">
        <is>
          <t>10:55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6" t="n">
        <v>0</v>
      </c>
    </row>
    <row r="355">
      <c r="A355" s="2" t="inlineStr">
        <is>
          <t>Z001_02_112024_MATURIN.CSV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FILE001</t>
        </is>
      </c>
      <c r="F355" s="2" t="inlineStr">
        <is>
          <t>Z</t>
        </is>
      </c>
      <c r="G355" s="3" t="inlineStr">
        <is>
          <t>0039</t>
        </is>
      </c>
      <c r="H355" s="4" t="n">
        <v>45628</v>
      </c>
      <c r="I355" s="2" t="inlineStr">
        <is>
          <t>10:55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6" t="n">
        <v>0</v>
      </c>
    </row>
    <row r="356">
      <c r="A356" s="2" t="inlineStr">
        <is>
          <t>Z001_02_112024_MATURIN.CSV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FILE001</t>
        </is>
      </c>
      <c r="F356" s="2" t="inlineStr">
        <is>
          <t>Z</t>
        </is>
      </c>
      <c r="G356" s="3" t="inlineStr">
        <is>
          <t>0039</t>
        </is>
      </c>
      <c r="H356" s="4" t="n">
        <v>45628</v>
      </c>
      <c r="I356" s="2" t="inlineStr">
        <is>
          <t>10:55</t>
        </is>
      </c>
      <c r="J356" s="3" t="inlineStr">
        <is>
          <t>0027</t>
        </is>
      </c>
      <c r="K356" s="2" t="inlineStr"/>
      <c r="L356" s="5" t="n">
        <v>0</v>
      </c>
      <c r="M356" s="6" t="n">
        <v>0</v>
      </c>
    </row>
    <row r="357">
      <c r="A357" s="2" t="inlineStr">
        <is>
          <t>Z001_02_112024_MATURIN.CSV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FILE001</t>
        </is>
      </c>
      <c r="F357" s="2" t="inlineStr">
        <is>
          <t>Z</t>
        </is>
      </c>
      <c r="G357" s="3" t="inlineStr">
        <is>
          <t>0039</t>
        </is>
      </c>
      <c r="H357" s="4" t="n">
        <v>45628</v>
      </c>
      <c r="I357" s="2" t="inlineStr">
        <is>
          <t>10:55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6" t="n">
        <v>0</v>
      </c>
    </row>
    <row r="358">
      <c r="A358" s="2" t="inlineStr">
        <is>
          <t>Z001_02_112024_MATURIN.CSV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FILE001</t>
        </is>
      </c>
      <c r="F358" s="2" t="inlineStr">
        <is>
          <t>Z</t>
        </is>
      </c>
      <c r="G358" s="3" t="inlineStr">
        <is>
          <t>0039</t>
        </is>
      </c>
      <c r="H358" s="4" t="n">
        <v>45628</v>
      </c>
      <c r="I358" s="2" t="inlineStr">
        <is>
          <t>10:55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6" t="n">
        <v>0</v>
      </c>
    </row>
    <row r="359">
      <c r="A359" s="2" t="inlineStr">
        <is>
          <t>Z001_02_112024_MATURIN.CSV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FILE001</t>
        </is>
      </c>
      <c r="F359" s="2" t="inlineStr">
        <is>
          <t>Z</t>
        </is>
      </c>
      <c r="G359" s="3" t="inlineStr">
        <is>
          <t>0039</t>
        </is>
      </c>
      <c r="H359" s="4" t="n">
        <v>45628</v>
      </c>
      <c r="I359" s="2" t="inlineStr">
        <is>
          <t>10:55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6" t="n">
        <v>0</v>
      </c>
    </row>
    <row r="360">
      <c r="A360" s="2" t="inlineStr">
        <is>
          <t>Z001_02_112024_MATURIN.CSV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FILE001</t>
        </is>
      </c>
      <c r="F360" s="2" t="inlineStr">
        <is>
          <t>Z</t>
        </is>
      </c>
      <c r="G360" s="3" t="inlineStr">
        <is>
          <t>0039</t>
        </is>
      </c>
      <c r="H360" s="4" t="n">
        <v>45628</v>
      </c>
      <c r="I360" s="2" t="inlineStr">
        <is>
          <t>10:55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6" t="n">
        <v>0</v>
      </c>
    </row>
    <row r="361">
      <c r="A361" s="2" t="inlineStr">
        <is>
          <t>Z001_02_112024_MATURIN.CSV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FILE001</t>
        </is>
      </c>
      <c r="F361" s="2" t="inlineStr">
        <is>
          <t>Z</t>
        </is>
      </c>
      <c r="G361" s="3" t="inlineStr">
        <is>
          <t>0039</t>
        </is>
      </c>
      <c r="H361" s="4" t="n">
        <v>45628</v>
      </c>
      <c r="I361" s="2" t="inlineStr">
        <is>
          <t>10:55</t>
        </is>
      </c>
      <c r="J361" s="3" t="inlineStr">
        <is>
          <t>0032</t>
        </is>
      </c>
      <c r="K361" s="2" t="inlineStr"/>
      <c r="L361" s="5" t="n">
        <v>0</v>
      </c>
      <c r="M361" s="6" t="n">
        <v>0</v>
      </c>
    </row>
    <row r="362">
      <c r="A362" s="2" t="inlineStr">
        <is>
          <t>Z001_02_112024_MATURIN.CSV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FILE001</t>
        </is>
      </c>
      <c r="F362" s="2" t="inlineStr">
        <is>
          <t>Z</t>
        </is>
      </c>
      <c r="G362" s="3" t="inlineStr">
        <is>
          <t>0039</t>
        </is>
      </c>
      <c r="H362" s="4" t="n">
        <v>45628</v>
      </c>
      <c r="I362" s="2" t="inlineStr">
        <is>
          <t>10:55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6" t="n">
        <v>4168.26</v>
      </c>
    </row>
    <row r="363">
      <c r="A363" s="2" t="inlineStr">
        <is>
          <t>Z001_02_112024_MATURIN.CSV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FILE001</t>
        </is>
      </c>
      <c r="F363" s="2" t="inlineStr">
        <is>
          <t>Z</t>
        </is>
      </c>
      <c r="G363" s="3" t="inlineStr">
        <is>
          <t>0039</t>
        </is>
      </c>
      <c r="H363" s="4" t="n">
        <v>45628</v>
      </c>
      <c r="I363" s="2" t="inlineStr">
        <is>
          <t>10:55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6" t="n">
        <v>833.64</v>
      </c>
    </row>
    <row r="364">
      <c r="A364" s="2" t="inlineStr">
        <is>
          <t>Z001_02_112024_MATURIN.CSV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FILE001</t>
        </is>
      </c>
      <c r="F364" s="2" t="inlineStr">
        <is>
          <t>Z</t>
        </is>
      </c>
      <c r="G364" s="3" t="inlineStr">
        <is>
          <t>0039</t>
        </is>
      </c>
      <c r="H364" s="4" t="n">
        <v>45628</v>
      </c>
      <c r="I364" s="2" t="inlineStr">
        <is>
          <t>10:55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6" t="n">
        <v>0</v>
      </c>
    </row>
    <row r="365">
      <c r="A365" s="2" t="inlineStr">
        <is>
          <t>Z001_02_112024_MATURIN.CSV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FILE001</t>
        </is>
      </c>
      <c r="F365" s="2" t="inlineStr">
        <is>
          <t>Z</t>
        </is>
      </c>
      <c r="G365" s="3" t="inlineStr">
        <is>
          <t>0039</t>
        </is>
      </c>
      <c r="H365" s="4" t="n">
        <v>45628</v>
      </c>
      <c r="I365" s="2" t="inlineStr">
        <is>
          <t>10:55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6" t="n">
        <v>0</v>
      </c>
    </row>
    <row r="366">
      <c r="A366" s="2" t="inlineStr">
        <is>
          <t>Z001_02_112024_MATURIN.CSV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FILE001</t>
        </is>
      </c>
      <c r="F366" s="2" t="inlineStr">
        <is>
          <t>Z</t>
        </is>
      </c>
      <c r="G366" s="3" t="inlineStr">
        <is>
          <t>0039</t>
        </is>
      </c>
      <c r="H366" s="4" t="n">
        <v>45628</v>
      </c>
      <c r="I366" s="2" t="inlineStr">
        <is>
          <t>10:55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6" t="n">
        <v>0</v>
      </c>
    </row>
    <row r="367">
      <c r="A367" s="2" t="inlineStr">
        <is>
          <t>Z001_02_112024_MATURIN.CSV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FILE001</t>
        </is>
      </c>
      <c r="F367" s="2" t="inlineStr">
        <is>
          <t>Z</t>
        </is>
      </c>
      <c r="G367" s="3" t="inlineStr">
        <is>
          <t>0039</t>
        </is>
      </c>
      <c r="H367" s="4" t="n">
        <v>45628</v>
      </c>
      <c r="I367" s="2" t="inlineStr">
        <is>
          <t>10:55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6" t="n">
        <v>0</v>
      </c>
    </row>
    <row r="368">
      <c r="A368" s="2" t="inlineStr">
        <is>
          <t>Z001_02_112024_MATURIN.CSV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FILE001</t>
        </is>
      </c>
      <c r="F368" s="2" t="inlineStr">
        <is>
          <t>Z</t>
        </is>
      </c>
      <c r="G368" s="3" t="inlineStr">
        <is>
          <t>0039</t>
        </is>
      </c>
      <c r="H368" s="4" t="n">
        <v>45628</v>
      </c>
      <c r="I368" s="2" t="inlineStr">
        <is>
          <t>10:55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6" t="n">
        <v>0</v>
      </c>
    </row>
    <row r="369">
      <c r="A369" s="2" t="inlineStr">
        <is>
          <t>Z001_02_112024_MATURIN.CSV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FILE001</t>
        </is>
      </c>
      <c r="F369" s="2" t="inlineStr">
        <is>
          <t>Z</t>
        </is>
      </c>
      <c r="G369" s="3" t="inlineStr">
        <is>
          <t>0039</t>
        </is>
      </c>
      <c r="H369" s="4" t="n">
        <v>45628</v>
      </c>
      <c r="I369" s="2" t="inlineStr">
        <is>
          <t>10:55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6" t="n">
        <v>0</v>
      </c>
    </row>
    <row r="370">
      <c r="A370" s="2" t="inlineStr">
        <is>
          <t>Z001_02_112024_MATURIN.CSV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FILE001</t>
        </is>
      </c>
      <c r="F370" s="2" t="inlineStr">
        <is>
          <t>Z</t>
        </is>
      </c>
      <c r="G370" s="3" t="inlineStr">
        <is>
          <t>0039</t>
        </is>
      </c>
      <c r="H370" s="4" t="n">
        <v>45628</v>
      </c>
      <c r="I370" s="2" t="inlineStr">
        <is>
          <t>10:55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6" t="n">
        <v>0</v>
      </c>
    </row>
    <row r="371">
      <c r="A371" s="2" t="inlineStr">
        <is>
          <t>Z001_30_082024_MATURIN.CSV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FILE001</t>
        </is>
      </c>
      <c r="F371" s="2" t="inlineStr">
        <is>
          <t>Z</t>
        </is>
      </c>
      <c r="G371" s="3" t="inlineStr">
        <is>
          <t>0036</t>
        </is>
      </c>
      <c r="H371" s="4" t="n">
        <v>45534</v>
      </c>
      <c r="I371" s="2" t="inlineStr">
        <is>
          <t>14:07</t>
        </is>
      </c>
      <c r="J371" s="3" t="inlineStr">
        <is>
          <t>0001</t>
        </is>
      </c>
      <c r="K371" s="2" t="inlineStr">
        <is>
          <t>CA BRUT</t>
        </is>
      </c>
      <c r="L371" s="5" t="n">
        <v>66</v>
      </c>
      <c r="M371" s="6" t="n">
        <v>38707.5</v>
      </c>
    </row>
    <row r="372">
      <c r="A372" s="2" t="inlineStr">
        <is>
          <t>Z001_30_082024_MATURIN.CSV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FILE001</t>
        </is>
      </c>
      <c r="F372" s="2" t="inlineStr">
        <is>
          <t>Z</t>
        </is>
      </c>
      <c r="G372" s="3" t="inlineStr">
        <is>
          <t>0036</t>
        </is>
      </c>
      <c r="H372" s="4" t="n">
        <v>45534</v>
      </c>
      <c r="I372" s="2" t="inlineStr">
        <is>
          <t>14:07</t>
        </is>
      </c>
      <c r="J372" s="3" t="inlineStr">
        <is>
          <t>0002</t>
        </is>
      </c>
      <c r="K372" s="2" t="inlineStr">
        <is>
          <t>CA NET</t>
        </is>
      </c>
      <c r="L372" s="5" t="n">
        <v>24</v>
      </c>
      <c r="M372" s="6" t="n">
        <v>38707.5</v>
      </c>
    </row>
    <row r="373">
      <c r="A373" s="2" t="inlineStr">
        <is>
          <t>Z001_30_082024_MATURIN.CSV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FILE001</t>
        </is>
      </c>
      <c r="F373" s="2" t="inlineStr">
        <is>
          <t>Z</t>
        </is>
      </c>
      <c r="G373" s="3" t="inlineStr">
        <is>
          <t>0036</t>
        </is>
      </c>
      <c r="H373" s="4" t="n">
        <v>45534</v>
      </c>
      <c r="I373" s="2" t="inlineStr">
        <is>
          <t>14:07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6" t="n">
        <v>2597</v>
      </c>
    </row>
    <row r="374">
      <c r="A374" s="2" t="inlineStr">
        <is>
          <t>Z001_30_082024_MATURIN.CSV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FILE001</t>
        </is>
      </c>
      <c r="F374" s="2" t="inlineStr">
        <is>
          <t>Z</t>
        </is>
      </c>
      <c r="G374" s="3" t="inlineStr">
        <is>
          <t>0036</t>
        </is>
      </c>
      <c r="H374" s="4" t="n">
        <v>45534</v>
      </c>
      <c r="I374" s="2" t="inlineStr">
        <is>
          <t>14:07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6" t="n">
        <v>36110.5</v>
      </c>
    </row>
    <row r="375">
      <c r="A375" s="2" t="inlineStr">
        <is>
          <t>Z001_30_082024_MATURIN.CSV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FILE001</t>
        </is>
      </c>
      <c r="F375" s="2" t="inlineStr">
        <is>
          <t>Z</t>
        </is>
      </c>
      <c r="G375" s="3" t="inlineStr">
        <is>
          <t>0036</t>
        </is>
      </c>
      <c r="H375" s="4" t="n">
        <v>45534</v>
      </c>
      <c r="I375" s="2" t="inlineStr">
        <is>
          <t>14:07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6" t="n">
        <v>0</v>
      </c>
    </row>
    <row r="376">
      <c r="A376" s="2" t="inlineStr">
        <is>
          <t>Z001_30_082024_MATURIN.CSV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FILE001</t>
        </is>
      </c>
      <c r="F376" s="2" t="inlineStr">
        <is>
          <t>Z</t>
        </is>
      </c>
      <c r="G376" s="3" t="inlineStr">
        <is>
          <t>0036</t>
        </is>
      </c>
      <c r="H376" s="4" t="n">
        <v>45534</v>
      </c>
      <c r="I376" s="2" t="inlineStr">
        <is>
          <t>14:07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6" t="n">
        <v>0</v>
      </c>
    </row>
    <row r="377">
      <c r="A377" s="2" t="inlineStr">
        <is>
          <t>Z001_30_082024_MATURIN.CSV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FILE001</t>
        </is>
      </c>
      <c r="F377" s="2" t="inlineStr">
        <is>
          <t>Z</t>
        </is>
      </c>
      <c r="G377" s="3" t="inlineStr">
        <is>
          <t>0036</t>
        </is>
      </c>
      <c r="H377" s="4" t="n">
        <v>45534</v>
      </c>
      <c r="I377" s="2" t="inlineStr">
        <is>
          <t>14:07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6" t="n">
        <v>0</v>
      </c>
    </row>
    <row r="378">
      <c r="A378" s="2" t="inlineStr">
        <is>
          <t>Z001_30_082024_MATURIN.CSV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FILE001</t>
        </is>
      </c>
      <c r="F378" s="2" t="inlineStr">
        <is>
          <t>Z</t>
        </is>
      </c>
      <c r="G378" s="3" t="inlineStr">
        <is>
          <t>0036</t>
        </is>
      </c>
      <c r="H378" s="4" t="n">
        <v>45534</v>
      </c>
      <c r="I378" s="2" t="inlineStr">
        <is>
          <t>14:07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6" t="n">
        <v>0</v>
      </c>
    </row>
    <row r="379">
      <c r="A379" s="2" t="inlineStr">
        <is>
          <t>Z001_30_082024_MATURIN.CSV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FILE001</t>
        </is>
      </c>
      <c r="F379" s="2" t="inlineStr">
        <is>
          <t>Z</t>
        </is>
      </c>
      <c r="G379" s="3" t="inlineStr">
        <is>
          <t>0036</t>
        </is>
      </c>
      <c r="H379" s="4" t="n">
        <v>45534</v>
      </c>
      <c r="I379" s="2" t="inlineStr">
        <is>
          <t>14:07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6" t="n">
        <v>0</v>
      </c>
    </row>
    <row r="380">
      <c r="A380" s="2" t="inlineStr">
        <is>
          <t>Z001_30_082024_MATURIN.CSV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FILE001</t>
        </is>
      </c>
      <c r="F380" s="2" t="inlineStr">
        <is>
          <t>Z</t>
        </is>
      </c>
      <c r="G380" s="3" t="inlineStr">
        <is>
          <t>0036</t>
        </is>
      </c>
      <c r="H380" s="4" t="n">
        <v>45534</v>
      </c>
      <c r="I380" s="2" t="inlineStr">
        <is>
          <t>14:07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6" t="n">
        <v>0</v>
      </c>
    </row>
    <row r="381">
      <c r="A381" s="2" t="inlineStr">
        <is>
          <t>Z001_30_082024_MATURIN.CSV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FILE001</t>
        </is>
      </c>
      <c r="F381" s="2" t="inlineStr">
        <is>
          <t>Z</t>
        </is>
      </c>
      <c r="G381" s="3" t="inlineStr">
        <is>
          <t>0036</t>
        </is>
      </c>
      <c r="H381" s="4" t="n">
        <v>45534</v>
      </c>
      <c r="I381" s="2" t="inlineStr">
        <is>
          <t>14:07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6" t="n">
        <v>0</v>
      </c>
    </row>
    <row r="382">
      <c r="A382" s="2" t="inlineStr">
        <is>
          <t>Z001_30_082024_MATURIN.CSV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FILE001</t>
        </is>
      </c>
      <c r="F382" s="2" t="inlineStr">
        <is>
          <t>Z</t>
        </is>
      </c>
      <c r="G382" s="3" t="inlineStr">
        <is>
          <t>0036</t>
        </is>
      </c>
      <c r="H382" s="4" t="n">
        <v>45534</v>
      </c>
      <c r="I382" s="2" t="inlineStr">
        <is>
          <t>14:07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6" t="n">
        <v>0</v>
      </c>
    </row>
    <row r="383">
      <c r="A383" s="2" t="inlineStr">
        <is>
          <t>Z001_30_082024_MATURIN.CSV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FILE001</t>
        </is>
      </c>
      <c r="F383" s="2" t="inlineStr">
        <is>
          <t>Z</t>
        </is>
      </c>
      <c r="G383" s="3" t="inlineStr">
        <is>
          <t>0036</t>
        </is>
      </c>
      <c r="H383" s="4" t="n">
        <v>45534</v>
      </c>
      <c r="I383" s="2" t="inlineStr">
        <is>
          <t>14:07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6" t="n">
        <v>0</v>
      </c>
    </row>
    <row r="384">
      <c r="A384" s="2" t="inlineStr">
        <is>
          <t>Z001_30_082024_MATURIN.CSV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FILE001</t>
        </is>
      </c>
      <c r="F384" s="2" t="inlineStr">
        <is>
          <t>Z</t>
        </is>
      </c>
      <c r="G384" s="3" t="inlineStr">
        <is>
          <t>0036</t>
        </is>
      </c>
      <c r="H384" s="4" t="n">
        <v>45534</v>
      </c>
      <c r="I384" s="2" t="inlineStr">
        <is>
          <t>14:07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6" t="n">
        <v>0</v>
      </c>
    </row>
    <row r="385">
      <c r="A385" s="2" t="inlineStr">
        <is>
          <t>Z001_30_082024_MATURIN.CSV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FILE001</t>
        </is>
      </c>
      <c r="F385" s="2" t="inlineStr">
        <is>
          <t>Z</t>
        </is>
      </c>
      <c r="G385" s="3" t="inlineStr">
        <is>
          <t>0036</t>
        </is>
      </c>
      <c r="H385" s="4" t="n">
        <v>45534</v>
      </c>
      <c r="I385" s="2" t="inlineStr">
        <is>
          <t>14:07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6" t="n">
        <v>0</v>
      </c>
    </row>
    <row r="386">
      <c r="A386" s="2" t="inlineStr">
        <is>
          <t>Z001_30_082024_MATURIN.CSV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FILE001</t>
        </is>
      </c>
      <c r="F386" s="2" t="inlineStr">
        <is>
          <t>Z</t>
        </is>
      </c>
      <c r="G386" s="3" t="inlineStr">
        <is>
          <t>0036</t>
        </is>
      </c>
      <c r="H386" s="4" t="n">
        <v>45534</v>
      </c>
      <c r="I386" s="2" t="inlineStr">
        <is>
          <t>14:07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6" t="n">
        <v>0</v>
      </c>
    </row>
    <row r="387">
      <c r="A387" s="2" t="inlineStr">
        <is>
          <t>Z001_30_082024_MATURIN.CSV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FILE001</t>
        </is>
      </c>
      <c r="F387" s="2" t="inlineStr">
        <is>
          <t>Z</t>
        </is>
      </c>
      <c r="G387" s="3" t="inlineStr">
        <is>
          <t>0036</t>
        </is>
      </c>
      <c r="H387" s="4" t="n">
        <v>45534</v>
      </c>
      <c r="I387" s="2" t="inlineStr">
        <is>
          <t>14:07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6" t="n">
        <v>0</v>
      </c>
    </row>
    <row r="388">
      <c r="A388" s="2" t="inlineStr">
        <is>
          <t>Z001_30_082024_MATURIN.CSV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FILE001</t>
        </is>
      </c>
      <c r="F388" s="2" t="inlineStr">
        <is>
          <t>Z</t>
        </is>
      </c>
      <c r="G388" s="3" t="inlineStr">
        <is>
          <t>0036</t>
        </is>
      </c>
      <c r="H388" s="4" t="n">
        <v>45534</v>
      </c>
      <c r="I388" s="2" t="inlineStr">
        <is>
          <t>14:07</t>
        </is>
      </c>
      <c r="J388" s="3" t="inlineStr">
        <is>
          <t>0018</t>
        </is>
      </c>
      <c r="K388" s="2" t="inlineStr">
        <is>
          <t>CLIENTS</t>
        </is>
      </c>
      <c r="L388" s="5" t="n">
        <v>24</v>
      </c>
      <c r="M388" s="6" t="n">
        <v>0</v>
      </c>
    </row>
    <row r="389">
      <c r="A389" s="2" t="inlineStr">
        <is>
          <t>Z001_30_082024_MATURIN.CSV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FILE001</t>
        </is>
      </c>
      <c r="F389" s="2" t="inlineStr">
        <is>
          <t>Z</t>
        </is>
      </c>
      <c r="G389" s="3" t="inlineStr">
        <is>
          <t>0036</t>
        </is>
      </c>
      <c r="H389" s="4" t="n">
        <v>45534</v>
      </c>
      <c r="I389" s="2" t="inlineStr">
        <is>
          <t>14:07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6" t="n">
        <v>0</v>
      </c>
    </row>
    <row r="390">
      <c r="A390" s="2" t="inlineStr">
        <is>
          <t>Z001_30_082024_MATURIN.CSV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FILE001</t>
        </is>
      </c>
      <c r="F390" s="2" t="inlineStr">
        <is>
          <t>Z</t>
        </is>
      </c>
      <c r="G390" s="3" t="inlineStr">
        <is>
          <t>0036</t>
        </is>
      </c>
      <c r="H390" s="4" t="n">
        <v>45534</v>
      </c>
      <c r="I390" s="2" t="inlineStr">
        <is>
          <t>14:07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6" t="n">
        <v>0</v>
      </c>
    </row>
    <row r="391">
      <c r="A391" s="2" t="inlineStr">
        <is>
          <t>Z001_30_082024_MATURIN.CSV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FILE001</t>
        </is>
      </c>
      <c r="F391" s="2" t="inlineStr">
        <is>
          <t>Z</t>
        </is>
      </c>
      <c r="G391" s="3" t="inlineStr">
        <is>
          <t>0036</t>
        </is>
      </c>
      <c r="H391" s="4" t="n">
        <v>45534</v>
      </c>
      <c r="I391" s="2" t="inlineStr">
        <is>
          <t>14:07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6" t="n">
        <v>0</v>
      </c>
    </row>
    <row r="392">
      <c r="A392" s="2" t="inlineStr">
        <is>
          <t>Z001_30_082024_MATURIN.CSV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FILE001</t>
        </is>
      </c>
      <c r="F392" s="2" t="inlineStr">
        <is>
          <t>Z</t>
        </is>
      </c>
      <c r="G392" s="3" t="inlineStr">
        <is>
          <t>0036</t>
        </is>
      </c>
      <c r="H392" s="4" t="n">
        <v>45534</v>
      </c>
      <c r="I392" s="2" t="inlineStr">
        <is>
          <t>14:07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6" t="n">
        <v>0</v>
      </c>
    </row>
    <row r="393">
      <c r="A393" s="2" t="inlineStr">
        <is>
          <t>Z001_30_082024_MATURIN.CSV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FILE001</t>
        </is>
      </c>
      <c r="F393" s="2" t="inlineStr">
        <is>
          <t>Z</t>
        </is>
      </c>
      <c r="G393" s="3" t="inlineStr">
        <is>
          <t>0036</t>
        </is>
      </c>
      <c r="H393" s="4" t="n">
        <v>45534</v>
      </c>
      <c r="I393" s="2" t="inlineStr">
        <is>
          <t>14:07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6" t="n">
        <v>0</v>
      </c>
    </row>
    <row r="394">
      <c r="A394" s="2" t="inlineStr">
        <is>
          <t>Z001_30_082024_MATURIN.CSV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FILE001</t>
        </is>
      </c>
      <c r="F394" s="2" t="inlineStr">
        <is>
          <t>Z</t>
        </is>
      </c>
      <c r="G394" s="3" t="inlineStr">
        <is>
          <t>0036</t>
        </is>
      </c>
      <c r="H394" s="4" t="n">
        <v>45534</v>
      </c>
      <c r="I394" s="2" t="inlineStr">
        <is>
          <t>14:07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6" t="n">
        <v>0</v>
      </c>
    </row>
    <row r="395">
      <c r="A395" s="2" t="inlineStr">
        <is>
          <t>Z001_30_082024_MATURIN.CSV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FILE001</t>
        </is>
      </c>
      <c r="F395" s="2" t="inlineStr">
        <is>
          <t>Z</t>
        </is>
      </c>
      <c r="G395" s="3" t="inlineStr">
        <is>
          <t>0036</t>
        </is>
      </c>
      <c r="H395" s="4" t="n">
        <v>45534</v>
      </c>
      <c r="I395" s="2" t="inlineStr">
        <is>
          <t>14:07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6" t="n">
        <v>0</v>
      </c>
    </row>
    <row r="396">
      <c r="A396" s="2" t="inlineStr">
        <is>
          <t>Z001_30_082024_MATURIN.CSV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FILE001</t>
        </is>
      </c>
      <c r="F396" s="2" t="inlineStr">
        <is>
          <t>Z</t>
        </is>
      </c>
      <c r="G396" s="3" t="inlineStr">
        <is>
          <t>0036</t>
        </is>
      </c>
      <c r="H396" s="4" t="n">
        <v>45534</v>
      </c>
      <c r="I396" s="2" t="inlineStr">
        <is>
          <t>14:07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6" t="n">
        <v>0</v>
      </c>
    </row>
    <row r="397">
      <c r="A397" s="2" t="inlineStr">
        <is>
          <t>Z001_30_082024_MATURIN.CSV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FILE001</t>
        </is>
      </c>
      <c r="F397" s="2" t="inlineStr">
        <is>
          <t>Z</t>
        </is>
      </c>
      <c r="G397" s="3" t="inlineStr">
        <is>
          <t>0036</t>
        </is>
      </c>
      <c r="H397" s="4" t="n">
        <v>45534</v>
      </c>
      <c r="I397" s="2" t="inlineStr">
        <is>
          <t>14:07</t>
        </is>
      </c>
      <c r="J397" s="3" t="inlineStr">
        <is>
          <t>0027</t>
        </is>
      </c>
      <c r="K397" s="2" t="inlineStr"/>
      <c r="L397" s="5" t="n">
        <v>0</v>
      </c>
      <c r="M397" s="6" t="n">
        <v>0</v>
      </c>
    </row>
    <row r="398">
      <c r="A398" s="2" t="inlineStr">
        <is>
          <t>Z001_30_082024_MATURIN.CSV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FILE001</t>
        </is>
      </c>
      <c r="F398" s="2" t="inlineStr">
        <is>
          <t>Z</t>
        </is>
      </c>
      <c r="G398" s="3" t="inlineStr">
        <is>
          <t>0036</t>
        </is>
      </c>
      <c r="H398" s="4" t="n">
        <v>45534</v>
      </c>
      <c r="I398" s="2" t="inlineStr">
        <is>
          <t>14:07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6" t="n">
        <v>0</v>
      </c>
    </row>
    <row r="399">
      <c r="A399" s="2" t="inlineStr">
        <is>
          <t>Z001_30_082024_MATURIN.CSV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FILE001</t>
        </is>
      </c>
      <c r="F399" s="2" t="inlineStr">
        <is>
          <t>Z</t>
        </is>
      </c>
      <c r="G399" s="3" t="inlineStr">
        <is>
          <t>0036</t>
        </is>
      </c>
      <c r="H399" s="4" t="n">
        <v>45534</v>
      </c>
      <c r="I399" s="2" t="inlineStr">
        <is>
          <t>14:07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6" t="n">
        <v>0</v>
      </c>
    </row>
    <row r="400">
      <c r="A400" s="2" t="inlineStr">
        <is>
          <t>Z001_30_082024_MATURIN.CSV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FILE001</t>
        </is>
      </c>
      <c r="F400" s="2" t="inlineStr">
        <is>
          <t>Z</t>
        </is>
      </c>
      <c r="G400" s="3" t="inlineStr">
        <is>
          <t>0036</t>
        </is>
      </c>
      <c r="H400" s="4" t="n">
        <v>45534</v>
      </c>
      <c r="I400" s="2" t="inlineStr">
        <is>
          <t>14:07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6" t="n">
        <v>0</v>
      </c>
    </row>
    <row r="401">
      <c r="A401" s="2" t="inlineStr">
        <is>
          <t>Z001_30_082024_MATURIN.CSV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FILE001</t>
        </is>
      </c>
      <c r="F401" s="2" t="inlineStr">
        <is>
          <t>Z</t>
        </is>
      </c>
      <c r="G401" s="3" t="inlineStr">
        <is>
          <t>0036</t>
        </is>
      </c>
      <c r="H401" s="4" t="n">
        <v>45534</v>
      </c>
      <c r="I401" s="2" t="inlineStr">
        <is>
          <t>14:07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6" t="n">
        <v>0</v>
      </c>
    </row>
    <row r="402">
      <c r="A402" s="2" t="inlineStr">
        <is>
          <t>Z001_30_082024_MATURIN.CSV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FILE001</t>
        </is>
      </c>
      <c r="F402" s="2" t="inlineStr">
        <is>
          <t>Z</t>
        </is>
      </c>
      <c r="G402" s="3" t="inlineStr">
        <is>
          <t>0036</t>
        </is>
      </c>
      <c r="H402" s="4" t="n">
        <v>45534</v>
      </c>
      <c r="I402" s="2" t="inlineStr">
        <is>
          <t>14:07</t>
        </is>
      </c>
      <c r="J402" s="3" t="inlineStr">
        <is>
          <t>0032</t>
        </is>
      </c>
      <c r="K402" s="2" t="inlineStr"/>
      <c r="L402" s="5" t="n">
        <v>0</v>
      </c>
      <c r="M402" s="6" t="n">
        <v>0</v>
      </c>
    </row>
    <row r="403">
      <c r="A403" s="2" t="inlineStr">
        <is>
          <t>Z001_30_082024_MATURIN.CSV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FILE001</t>
        </is>
      </c>
      <c r="F403" s="2" t="inlineStr">
        <is>
          <t>Z</t>
        </is>
      </c>
      <c r="G403" s="3" t="inlineStr">
        <is>
          <t>0036</t>
        </is>
      </c>
      <c r="H403" s="4" t="n">
        <v>45534</v>
      </c>
      <c r="I403" s="2" t="inlineStr">
        <is>
          <t>14:07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6" t="n">
        <v>32256.27</v>
      </c>
    </row>
    <row r="404">
      <c r="A404" s="2" t="inlineStr">
        <is>
          <t>Z001_30_082024_MATURIN.CSV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FILE001</t>
        </is>
      </c>
      <c r="F404" s="2" t="inlineStr">
        <is>
          <t>Z</t>
        </is>
      </c>
      <c r="G404" s="3" t="inlineStr">
        <is>
          <t>0036</t>
        </is>
      </c>
      <c r="H404" s="4" t="n">
        <v>45534</v>
      </c>
      <c r="I404" s="2" t="inlineStr">
        <is>
          <t>14:07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6" t="n">
        <v>6451.23</v>
      </c>
    </row>
    <row r="405">
      <c r="A405" s="2" t="inlineStr">
        <is>
          <t>Z001_30_082024_MATURIN.CSV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FILE001</t>
        </is>
      </c>
      <c r="F405" s="2" t="inlineStr">
        <is>
          <t>Z</t>
        </is>
      </c>
      <c r="G405" s="3" t="inlineStr">
        <is>
          <t>0036</t>
        </is>
      </c>
      <c r="H405" s="4" t="n">
        <v>45534</v>
      </c>
      <c r="I405" s="2" t="inlineStr">
        <is>
          <t>14:07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6" t="n">
        <v>0</v>
      </c>
    </row>
    <row r="406">
      <c r="A406" s="2" t="inlineStr">
        <is>
          <t>Z001_30_082024_MATURIN.CSV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FILE001</t>
        </is>
      </c>
      <c r="F406" s="2" t="inlineStr">
        <is>
          <t>Z</t>
        </is>
      </c>
      <c r="G406" s="3" t="inlineStr">
        <is>
          <t>0036</t>
        </is>
      </c>
      <c r="H406" s="4" t="n">
        <v>45534</v>
      </c>
      <c r="I406" s="2" t="inlineStr">
        <is>
          <t>14:07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6" t="n">
        <v>0</v>
      </c>
    </row>
    <row r="407">
      <c r="A407" s="2" t="inlineStr">
        <is>
          <t>Z001_30_082024_MATURIN.CSV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FILE001</t>
        </is>
      </c>
      <c r="F407" s="2" t="inlineStr">
        <is>
          <t>Z</t>
        </is>
      </c>
      <c r="G407" s="3" t="inlineStr">
        <is>
          <t>0036</t>
        </is>
      </c>
      <c r="H407" s="4" t="n">
        <v>45534</v>
      </c>
      <c r="I407" s="2" t="inlineStr">
        <is>
          <t>14:07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6" t="n">
        <v>0</v>
      </c>
    </row>
    <row r="408">
      <c r="A408" s="2" t="inlineStr">
        <is>
          <t>Z001_30_082024_MATURIN.CSV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FILE001</t>
        </is>
      </c>
      <c r="F408" s="2" t="inlineStr">
        <is>
          <t>Z</t>
        </is>
      </c>
      <c r="G408" s="3" t="inlineStr">
        <is>
          <t>0036</t>
        </is>
      </c>
      <c r="H408" s="4" t="n">
        <v>45534</v>
      </c>
      <c r="I408" s="2" t="inlineStr">
        <is>
          <t>14:07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6" t="n">
        <v>0</v>
      </c>
    </row>
    <row r="409">
      <c r="A409" s="2" t="inlineStr">
        <is>
          <t>Z001_30_082024_MATURIN.CSV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FILE001</t>
        </is>
      </c>
      <c r="F409" s="2" t="inlineStr">
        <is>
          <t>Z</t>
        </is>
      </c>
      <c r="G409" s="3" t="inlineStr">
        <is>
          <t>0036</t>
        </is>
      </c>
      <c r="H409" s="4" t="n">
        <v>45534</v>
      </c>
      <c r="I409" s="2" t="inlineStr">
        <is>
          <t>14:07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6" t="n">
        <v>0</v>
      </c>
    </row>
    <row r="410">
      <c r="A410" s="2" t="inlineStr">
        <is>
          <t>Z001_30_082024_MATURIN.CSV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FILE001</t>
        </is>
      </c>
      <c r="F410" s="2" t="inlineStr">
        <is>
          <t>Z</t>
        </is>
      </c>
      <c r="G410" s="3" t="inlineStr">
        <is>
          <t>0036</t>
        </is>
      </c>
      <c r="H410" s="4" t="n">
        <v>45534</v>
      </c>
      <c r="I410" s="2" t="inlineStr">
        <is>
          <t>14:07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6" t="n">
        <v>0</v>
      </c>
    </row>
    <row r="411">
      <c r="A411" s="2" t="inlineStr">
        <is>
          <t>Z001_30_082024_MATURIN.CSV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FILE001</t>
        </is>
      </c>
      <c r="F411" s="2" t="inlineStr">
        <is>
          <t>Z</t>
        </is>
      </c>
      <c r="G411" s="3" t="inlineStr">
        <is>
          <t>0036</t>
        </is>
      </c>
      <c r="H411" s="4" t="n">
        <v>45534</v>
      </c>
      <c r="I411" s="2" t="inlineStr">
        <is>
          <t>14:07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6" t="n">
        <v>0</v>
      </c>
    </row>
    <row r="412">
      <c r="A412" s="2" t="inlineStr">
        <is>
          <t>Z001_30_092024_MATURIN.CSV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FILE001</t>
        </is>
      </c>
      <c r="F412" s="2" t="inlineStr">
        <is>
          <t>Z</t>
        </is>
      </c>
      <c r="G412" s="3" t="inlineStr">
        <is>
          <t>0037</t>
        </is>
      </c>
      <c r="H412" s="4" t="n">
        <v>45565</v>
      </c>
      <c r="I412" s="2" t="inlineStr">
        <is>
          <t>16:55</t>
        </is>
      </c>
      <c r="J412" s="3" t="inlineStr">
        <is>
          <t>0001</t>
        </is>
      </c>
      <c r="K412" s="2" t="inlineStr">
        <is>
          <t>CA BRUT</t>
        </is>
      </c>
      <c r="L412" s="5" t="n">
        <v>42</v>
      </c>
      <c r="M412" s="6" t="n">
        <v>19983.9</v>
      </c>
    </row>
    <row r="413">
      <c r="A413" s="2" t="inlineStr">
        <is>
          <t>Z001_30_092024_MATURIN.CSV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FILE001</t>
        </is>
      </c>
      <c r="F413" s="2" t="inlineStr">
        <is>
          <t>Z</t>
        </is>
      </c>
      <c r="G413" s="3" t="inlineStr">
        <is>
          <t>0037</t>
        </is>
      </c>
      <c r="H413" s="4" t="n">
        <v>45565</v>
      </c>
      <c r="I413" s="2" t="inlineStr">
        <is>
          <t>16:55</t>
        </is>
      </c>
      <c r="J413" s="3" t="inlineStr">
        <is>
          <t>0002</t>
        </is>
      </c>
      <c r="K413" s="2" t="inlineStr">
        <is>
          <t>CA NET</t>
        </is>
      </c>
      <c r="L413" s="5" t="n">
        <v>22</v>
      </c>
      <c r="M413" s="6" t="n">
        <v>19983.9</v>
      </c>
    </row>
    <row r="414">
      <c r="A414" s="2" t="inlineStr">
        <is>
          <t>Z001_30_092024_MATURIN.CSV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FILE001</t>
        </is>
      </c>
      <c r="F414" s="2" t="inlineStr">
        <is>
          <t>Z</t>
        </is>
      </c>
      <c r="G414" s="3" t="inlineStr">
        <is>
          <t>0037</t>
        </is>
      </c>
      <c r="H414" s="4" t="n">
        <v>45565</v>
      </c>
      <c r="I414" s="2" t="inlineStr">
        <is>
          <t>16:55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6" t="n">
        <v>5027.2</v>
      </c>
    </row>
    <row r="415">
      <c r="A415" s="2" t="inlineStr">
        <is>
          <t>Z001_30_092024_MATURIN.CSV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FILE001</t>
        </is>
      </c>
      <c r="F415" s="2" t="inlineStr">
        <is>
          <t>Z</t>
        </is>
      </c>
      <c r="G415" s="3" t="inlineStr">
        <is>
          <t>0037</t>
        </is>
      </c>
      <c r="H415" s="4" t="n">
        <v>45565</v>
      </c>
      <c r="I415" s="2" t="inlineStr">
        <is>
          <t>16:55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6" t="n">
        <v>14956.7</v>
      </c>
    </row>
    <row r="416">
      <c r="A416" s="2" t="inlineStr">
        <is>
          <t>Z001_30_092024_MATURIN.CSV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FILE001</t>
        </is>
      </c>
      <c r="F416" s="2" t="inlineStr">
        <is>
          <t>Z</t>
        </is>
      </c>
      <c r="G416" s="3" t="inlineStr">
        <is>
          <t>0037</t>
        </is>
      </c>
      <c r="H416" s="4" t="n">
        <v>45565</v>
      </c>
      <c r="I416" s="2" t="inlineStr">
        <is>
          <t>16:55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6" t="n">
        <v>0</v>
      </c>
    </row>
    <row r="417">
      <c r="A417" s="2" t="inlineStr">
        <is>
          <t>Z001_30_092024_MATURIN.CSV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FILE001</t>
        </is>
      </c>
      <c r="F417" s="2" t="inlineStr">
        <is>
          <t>Z</t>
        </is>
      </c>
      <c r="G417" s="3" t="inlineStr">
        <is>
          <t>0037</t>
        </is>
      </c>
      <c r="H417" s="4" t="n">
        <v>45565</v>
      </c>
      <c r="I417" s="2" t="inlineStr">
        <is>
          <t>16:55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6" t="n">
        <v>0</v>
      </c>
    </row>
    <row r="418">
      <c r="A418" s="2" t="inlineStr">
        <is>
          <t>Z001_30_092024_MATURIN.CSV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FILE001</t>
        </is>
      </c>
      <c r="F418" s="2" t="inlineStr">
        <is>
          <t>Z</t>
        </is>
      </c>
      <c r="G418" s="3" t="inlineStr">
        <is>
          <t>0037</t>
        </is>
      </c>
      <c r="H418" s="4" t="n">
        <v>45565</v>
      </c>
      <c r="I418" s="2" t="inlineStr">
        <is>
          <t>16:55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6" t="n">
        <v>0</v>
      </c>
    </row>
    <row r="419">
      <c r="A419" s="2" t="inlineStr">
        <is>
          <t>Z001_30_092024_MATURIN.CSV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FILE001</t>
        </is>
      </c>
      <c r="F419" s="2" t="inlineStr">
        <is>
          <t>Z</t>
        </is>
      </c>
      <c r="G419" s="3" t="inlineStr">
        <is>
          <t>0037</t>
        </is>
      </c>
      <c r="H419" s="4" t="n">
        <v>45565</v>
      </c>
      <c r="I419" s="2" t="inlineStr">
        <is>
          <t>16:55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6" t="n">
        <v>0</v>
      </c>
    </row>
    <row r="420">
      <c r="A420" s="2" t="inlineStr">
        <is>
          <t>Z001_30_092024_MATURIN.CSV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FILE001</t>
        </is>
      </c>
      <c r="F420" s="2" t="inlineStr">
        <is>
          <t>Z</t>
        </is>
      </c>
      <c r="G420" s="3" t="inlineStr">
        <is>
          <t>0037</t>
        </is>
      </c>
      <c r="H420" s="4" t="n">
        <v>45565</v>
      </c>
      <c r="I420" s="2" t="inlineStr">
        <is>
          <t>16:55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6" t="n">
        <v>0</v>
      </c>
    </row>
    <row r="421">
      <c r="A421" s="2" t="inlineStr">
        <is>
          <t>Z001_30_092024_MATURIN.CSV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FILE001</t>
        </is>
      </c>
      <c r="F421" s="2" t="inlineStr">
        <is>
          <t>Z</t>
        </is>
      </c>
      <c r="G421" s="3" t="inlineStr">
        <is>
          <t>0037</t>
        </is>
      </c>
      <c r="H421" s="4" t="n">
        <v>45565</v>
      </c>
      <c r="I421" s="2" t="inlineStr">
        <is>
          <t>16:55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6" t="n">
        <v>0</v>
      </c>
    </row>
    <row r="422">
      <c r="A422" s="2" t="inlineStr">
        <is>
          <t>Z001_30_092024_MATURIN.CSV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FILE001</t>
        </is>
      </c>
      <c r="F422" s="2" t="inlineStr">
        <is>
          <t>Z</t>
        </is>
      </c>
      <c r="G422" s="3" t="inlineStr">
        <is>
          <t>0037</t>
        </is>
      </c>
      <c r="H422" s="4" t="n">
        <v>45565</v>
      </c>
      <c r="I422" s="2" t="inlineStr">
        <is>
          <t>16:55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6" t="n">
        <v>0</v>
      </c>
    </row>
    <row r="423">
      <c r="A423" s="2" t="inlineStr">
        <is>
          <t>Z001_30_092024_MATURIN.CSV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FILE001</t>
        </is>
      </c>
      <c r="F423" s="2" t="inlineStr">
        <is>
          <t>Z</t>
        </is>
      </c>
      <c r="G423" s="3" t="inlineStr">
        <is>
          <t>0037</t>
        </is>
      </c>
      <c r="H423" s="4" t="n">
        <v>45565</v>
      </c>
      <c r="I423" s="2" t="inlineStr">
        <is>
          <t>16:55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6" t="n">
        <v>0</v>
      </c>
    </row>
    <row r="424">
      <c r="A424" s="2" t="inlineStr">
        <is>
          <t>Z001_30_092024_MATURIN.CSV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FILE001</t>
        </is>
      </c>
      <c r="F424" s="2" t="inlineStr">
        <is>
          <t>Z</t>
        </is>
      </c>
      <c r="G424" s="3" t="inlineStr">
        <is>
          <t>0037</t>
        </is>
      </c>
      <c r="H424" s="4" t="n">
        <v>45565</v>
      </c>
      <c r="I424" s="2" t="inlineStr">
        <is>
          <t>16:55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6" t="n">
        <v>0</v>
      </c>
    </row>
    <row r="425">
      <c r="A425" s="2" t="inlineStr">
        <is>
          <t>Z001_30_092024_MATURIN.CSV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FILE001</t>
        </is>
      </c>
      <c r="F425" s="2" t="inlineStr">
        <is>
          <t>Z</t>
        </is>
      </c>
      <c r="G425" s="3" t="inlineStr">
        <is>
          <t>0037</t>
        </is>
      </c>
      <c r="H425" s="4" t="n">
        <v>45565</v>
      </c>
      <c r="I425" s="2" t="inlineStr">
        <is>
          <t>16:55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6" t="n">
        <v>0</v>
      </c>
    </row>
    <row r="426">
      <c r="A426" s="2" t="inlineStr">
        <is>
          <t>Z001_30_092024_MATURIN.CSV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FILE001</t>
        </is>
      </c>
      <c r="F426" s="2" t="inlineStr">
        <is>
          <t>Z</t>
        </is>
      </c>
      <c r="G426" s="3" t="inlineStr">
        <is>
          <t>0037</t>
        </is>
      </c>
      <c r="H426" s="4" t="n">
        <v>45565</v>
      </c>
      <c r="I426" s="2" t="inlineStr">
        <is>
          <t>16:55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6" t="n">
        <v>0</v>
      </c>
    </row>
    <row r="427">
      <c r="A427" s="2" t="inlineStr">
        <is>
          <t>Z001_30_092024_MATURIN.CSV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FILE001</t>
        </is>
      </c>
      <c r="F427" s="2" t="inlineStr">
        <is>
          <t>Z</t>
        </is>
      </c>
      <c r="G427" s="3" t="inlineStr">
        <is>
          <t>0037</t>
        </is>
      </c>
      <c r="H427" s="4" t="n">
        <v>45565</v>
      </c>
      <c r="I427" s="2" t="inlineStr">
        <is>
          <t>16:55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6" t="n">
        <v>0</v>
      </c>
    </row>
    <row r="428">
      <c r="A428" s="2" t="inlineStr">
        <is>
          <t>Z001_30_092024_MATURIN.CSV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FILE001</t>
        </is>
      </c>
      <c r="F428" s="2" t="inlineStr">
        <is>
          <t>Z</t>
        </is>
      </c>
      <c r="G428" s="3" t="inlineStr">
        <is>
          <t>0037</t>
        </is>
      </c>
      <c r="H428" s="4" t="n">
        <v>45565</v>
      </c>
      <c r="I428" s="2" t="inlineStr">
        <is>
          <t>16:55</t>
        </is>
      </c>
      <c r="J428" s="3" t="inlineStr">
        <is>
          <t>0017</t>
        </is>
      </c>
      <c r="K428" s="2" t="inlineStr">
        <is>
          <t>RETOUR CLE</t>
        </is>
      </c>
      <c r="L428" s="5" t="n">
        <v>0</v>
      </c>
      <c r="M428" s="6" t="n">
        <v>0</v>
      </c>
    </row>
    <row r="429">
      <c r="A429" s="2" t="inlineStr">
        <is>
          <t>Z001_30_092024_MATURIN.CSV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FILE001</t>
        </is>
      </c>
      <c r="F429" s="2" t="inlineStr">
        <is>
          <t>Z</t>
        </is>
      </c>
      <c r="G429" s="3" t="inlineStr">
        <is>
          <t>0037</t>
        </is>
      </c>
      <c r="H429" s="4" t="n">
        <v>45565</v>
      </c>
      <c r="I429" s="2" t="inlineStr">
        <is>
          <t>16:55</t>
        </is>
      </c>
      <c r="J429" s="3" t="inlineStr">
        <is>
          <t>0018</t>
        </is>
      </c>
      <c r="K429" s="2" t="inlineStr">
        <is>
          <t>CLIENTS</t>
        </is>
      </c>
      <c r="L429" s="5" t="n">
        <v>22</v>
      </c>
      <c r="M429" s="6" t="n">
        <v>0</v>
      </c>
    </row>
    <row r="430">
      <c r="A430" s="2" t="inlineStr">
        <is>
          <t>Z001_30_092024_MATURIN.CSV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FILE001</t>
        </is>
      </c>
      <c r="F430" s="2" t="inlineStr">
        <is>
          <t>Z</t>
        </is>
      </c>
      <c r="G430" s="3" t="inlineStr">
        <is>
          <t>0037</t>
        </is>
      </c>
      <c r="H430" s="4" t="n">
        <v>45565</v>
      </c>
      <c r="I430" s="2" t="inlineStr">
        <is>
          <t>16:55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6" t="n">
        <v>0</v>
      </c>
    </row>
    <row r="431">
      <c r="A431" s="2" t="inlineStr">
        <is>
          <t>Z001_30_092024_MATURIN.CSV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FILE001</t>
        </is>
      </c>
      <c r="F431" s="2" t="inlineStr">
        <is>
          <t>Z</t>
        </is>
      </c>
      <c r="G431" s="3" t="inlineStr">
        <is>
          <t>0037</t>
        </is>
      </c>
      <c r="H431" s="4" t="n">
        <v>45565</v>
      </c>
      <c r="I431" s="2" t="inlineStr">
        <is>
          <t>16:55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6" t="n">
        <v>0</v>
      </c>
    </row>
    <row r="432">
      <c r="A432" s="2" t="inlineStr">
        <is>
          <t>Z001_30_092024_MATURIN.CSV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FILE001</t>
        </is>
      </c>
      <c r="F432" s="2" t="inlineStr">
        <is>
          <t>Z</t>
        </is>
      </c>
      <c r="G432" s="3" t="inlineStr">
        <is>
          <t>0037</t>
        </is>
      </c>
      <c r="H432" s="4" t="n">
        <v>45565</v>
      </c>
      <c r="I432" s="2" t="inlineStr">
        <is>
          <t>16:55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6" t="n">
        <v>0</v>
      </c>
    </row>
    <row r="433">
      <c r="A433" s="2" t="inlineStr">
        <is>
          <t>Z001_30_092024_MATURIN.CSV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FILE001</t>
        </is>
      </c>
      <c r="F433" s="2" t="inlineStr">
        <is>
          <t>Z</t>
        </is>
      </c>
      <c r="G433" s="3" t="inlineStr">
        <is>
          <t>0037</t>
        </is>
      </c>
      <c r="H433" s="4" t="n">
        <v>45565</v>
      </c>
      <c r="I433" s="2" t="inlineStr">
        <is>
          <t>16:55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6" t="n">
        <v>0</v>
      </c>
    </row>
    <row r="434">
      <c r="A434" s="2" t="inlineStr">
        <is>
          <t>Z001_30_092024_MATURIN.CSV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FILE001</t>
        </is>
      </c>
      <c r="F434" s="2" t="inlineStr">
        <is>
          <t>Z</t>
        </is>
      </c>
      <c r="G434" s="3" t="inlineStr">
        <is>
          <t>0037</t>
        </is>
      </c>
      <c r="H434" s="4" t="n">
        <v>45565</v>
      </c>
      <c r="I434" s="2" t="inlineStr">
        <is>
          <t>16:55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6" t="n">
        <v>0</v>
      </c>
    </row>
    <row r="435">
      <c r="A435" s="2" t="inlineStr">
        <is>
          <t>Z001_30_092024_MATURIN.CSV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FILE001</t>
        </is>
      </c>
      <c r="F435" s="2" t="inlineStr">
        <is>
          <t>Z</t>
        </is>
      </c>
      <c r="G435" s="3" t="inlineStr">
        <is>
          <t>0037</t>
        </is>
      </c>
      <c r="H435" s="4" t="n">
        <v>45565</v>
      </c>
      <c r="I435" s="2" t="inlineStr">
        <is>
          <t>16:55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6" t="n">
        <v>0</v>
      </c>
    </row>
    <row r="436">
      <c r="A436" s="2" t="inlineStr">
        <is>
          <t>Z001_30_092024_MATURIN.CSV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FILE001</t>
        </is>
      </c>
      <c r="F436" s="2" t="inlineStr">
        <is>
          <t>Z</t>
        </is>
      </c>
      <c r="G436" s="3" t="inlineStr">
        <is>
          <t>0037</t>
        </is>
      </c>
      <c r="H436" s="4" t="n">
        <v>45565</v>
      </c>
      <c r="I436" s="2" t="inlineStr">
        <is>
          <t>16:55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6" t="n">
        <v>0</v>
      </c>
    </row>
    <row r="437">
      <c r="A437" s="2" t="inlineStr">
        <is>
          <t>Z001_30_092024_MATURIN.CSV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FILE001</t>
        </is>
      </c>
      <c r="F437" s="2" t="inlineStr">
        <is>
          <t>Z</t>
        </is>
      </c>
      <c r="G437" s="3" t="inlineStr">
        <is>
          <t>0037</t>
        </is>
      </c>
      <c r="H437" s="4" t="n">
        <v>45565</v>
      </c>
      <c r="I437" s="2" t="inlineStr">
        <is>
          <t>16:55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6" t="n">
        <v>0</v>
      </c>
    </row>
    <row r="438">
      <c r="A438" s="2" t="inlineStr">
        <is>
          <t>Z001_30_092024_MATURIN.CSV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FILE001</t>
        </is>
      </c>
      <c r="F438" s="2" t="inlineStr">
        <is>
          <t>Z</t>
        </is>
      </c>
      <c r="G438" s="3" t="inlineStr">
        <is>
          <t>0037</t>
        </is>
      </c>
      <c r="H438" s="4" t="n">
        <v>45565</v>
      </c>
      <c r="I438" s="2" t="inlineStr">
        <is>
          <t>16:55</t>
        </is>
      </c>
      <c r="J438" s="3" t="inlineStr">
        <is>
          <t>0027</t>
        </is>
      </c>
      <c r="K438" s="2" t="inlineStr"/>
      <c r="L438" s="5" t="n">
        <v>0</v>
      </c>
      <c r="M438" s="6" t="n">
        <v>0</v>
      </c>
    </row>
    <row r="439">
      <c r="A439" s="2" t="inlineStr">
        <is>
          <t>Z001_30_092024_MATURIN.CSV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FILE001</t>
        </is>
      </c>
      <c r="F439" s="2" t="inlineStr">
        <is>
          <t>Z</t>
        </is>
      </c>
      <c r="G439" s="3" t="inlineStr">
        <is>
          <t>0037</t>
        </is>
      </c>
      <c r="H439" s="4" t="n">
        <v>45565</v>
      </c>
      <c r="I439" s="2" t="inlineStr">
        <is>
          <t>16:55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6" t="n">
        <v>0</v>
      </c>
    </row>
    <row r="440">
      <c r="A440" s="2" t="inlineStr">
        <is>
          <t>Z001_30_092024_MATURIN.CSV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FILE001</t>
        </is>
      </c>
      <c r="F440" s="2" t="inlineStr">
        <is>
          <t>Z</t>
        </is>
      </c>
      <c r="G440" s="3" t="inlineStr">
        <is>
          <t>0037</t>
        </is>
      </c>
      <c r="H440" s="4" t="n">
        <v>45565</v>
      </c>
      <c r="I440" s="2" t="inlineStr">
        <is>
          <t>16:55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6" t="n">
        <v>0</v>
      </c>
    </row>
    <row r="441">
      <c r="A441" s="2" t="inlineStr">
        <is>
          <t>Z001_30_092024_MATURIN.CSV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FILE001</t>
        </is>
      </c>
      <c r="F441" s="2" t="inlineStr">
        <is>
          <t>Z</t>
        </is>
      </c>
      <c r="G441" s="3" t="inlineStr">
        <is>
          <t>0037</t>
        </is>
      </c>
      <c r="H441" s="4" t="n">
        <v>45565</v>
      </c>
      <c r="I441" s="2" t="inlineStr">
        <is>
          <t>16:55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6" t="n">
        <v>0</v>
      </c>
    </row>
    <row r="442">
      <c r="A442" s="2" t="inlineStr">
        <is>
          <t>Z001_30_092024_MATURIN.CSV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FILE001</t>
        </is>
      </c>
      <c r="F442" s="2" t="inlineStr">
        <is>
          <t>Z</t>
        </is>
      </c>
      <c r="G442" s="3" t="inlineStr">
        <is>
          <t>0037</t>
        </is>
      </c>
      <c r="H442" s="4" t="n">
        <v>45565</v>
      </c>
      <c r="I442" s="2" t="inlineStr">
        <is>
          <t>16:55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6" t="n">
        <v>0</v>
      </c>
    </row>
    <row r="443">
      <c r="A443" s="2" t="inlineStr">
        <is>
          <t>Z001_30_092024_MATURIN.CSV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FILE001</t>
        </is>
      </c>
      <c r="F443" s="2" t="inlineStr">
        <is>
          <t>Z</t>
        </is>
      </c>
      <c r="G443" s="3" t="inlineStr">
        <is>
          <t>0037</t>
        </is>
      </c>
      <c r="H443" s="4" t="n">
        <v>45565</v>
      </c>
      <c r="I443" s="2" t="inlineStr">
        <is>
          <t>16:55</t>
        </is>
      </c>
      <c r="J443" s="3" t="inlineStr">
        <is>
          <t>0032</t>
        </is>
      </c>
      <c r="K443" s="2" t="inlineStr"/>
      <c r="L443" s="5" t="n">
        <v>0</v>
      </c>
      <c r="M443" s="6" t="n">
        <v>0</v>
      </c>
    </row>
    <row r="444">
      <c r="A444" s="2" t="inlineStr">
        <is>
          <t>Z001_30_092024_MATURIN.CSV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FILE001</t>
        </is>
      </c>
      <c r="F444" s="2" t="inlineStr">
        <is>
          <t>Z</t>
        </is>
      </c>
      <c r="G444" s="3" t="inlineStr">
        <is>
          <t>0037</t>
        </is>
      </c>
      <c r="H444" s="4" t="n">
        <v>45565</v>
      </c>
      <c r="I444" s="2" t="inlineStr">
        <is>
          <t>16:55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6" t="n">
        <v>16653.23</v>
      </c>
    </row>
    <row r="445">
      <c r="A445" s="2" t="inlineStr">
        <is>
          <t>Z001_30_092024_MATURIN.CSV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FILE001</t>
        </is>
      </c>
      <c r="F445" s="2" t="inlineStr">
        <is>
          <t>Z</t>
        </is>
      </c>
      <c r="G445" s="3" t="inlineStr">
        <is>
          <t>0037</t>
        </is>
      </c>
      <c r="H445" s="4" t="n">
        <v>45565</v>
      </c>
      <c r="I445" s="2" t="inlineStr">
        <is>
          <t>16:55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6" t="n">
        <v>3330.67</v>
      </c>
    </row>
    <row r="446">
      <c r="A446" s="2" t="inlineStr">
        <is>
          <t>Z001_30_092024_MATURIN.CSV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FILE001</t>
        </is>
      </c>
      <c r="F446" s="2" t="inlineStr">
        <is>
          <t>Z</t>
        </is>
      </c>
      <c r="G446" s="3" t="inlineStr">
        <is>
          <t>0037</t>
        </is>
      </c>
      <c r="H446" s="4" t="n">
        <v>45565</v>
      </c>
      <c r="I446" s="2" t="inlineStr">
        <is>
          <t>16:55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6" t="n">
        <v>0</v>
      </c>
    </row>
    <row r="447">
      <c r="A447" s="2" t="inlineStr">
        <is>
          <t>Z001_30_092024_MATURIN.CSV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FILE001</t>
        </is>
      </c>
      <c r="F447" s="2" t="inlineStr">
        <is>
          <t>Z</t>
        </is>
      </c>
      <c r="G447" s="3" t="inlineStr">
        <is>
          <t>0037</t>
        </is>
      </c>
      <c r="H447" s="4" t="n">
        <v>45565</v>
      </c>
      <c r="I447" s="2" t="inlineStr">
        <is>
          <t>16:55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6" t="n">
        <v>0</v>
      </c>
    </row>
    <row r="448">
      <c r="A448" s="2" t="inlineStr">
        <is>
          <t>Z001_30_092024_MATURIN.CSV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FILE001</t>
        </is>
      </c>
      <c r="F448" s="2" t="inlineStr">
        <is>
          <t>Z</t>
        </is>
      </c>
      <c r="G448" s="3" t="inlineStr">
        <is>
          <t>0037</t>
        </is>
      </c>
      <c r="H448" s="4" t="n">
        <v>45565</v>
      </c>
      <c r="I448" s="2" t="inlineStr">
        <is>
          <t>16:55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6" t="n">
        <v>0</v>
      </c>
    </row>
    <row r="449">
      <c r="A449" s="2" t="inlineStr">
        <is>
          <t>Z001_30_092024_MATURIN.CSV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FILE001</t>
        </is>
      </c>
      <c r="F449" s="2" t="inlineStr">
        <is>
          <t>Z</t>
        </is>
      </c>
      <c r="G449" s="3" t="inlineStr">
        <is>
          <t>0037</t>
        </is>
      </c>
      <c r="H449" s="4" t="n">
        <v>45565</v>
      </c>
      <c r="I449" s="2" t="inlineStr">
        <is>
          <t>16:55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6" t="n">
        <v>0</v>
      </c>
    </row>
    <row r="450">
      <c r="A450" s="2" t="inlineStr">
        <is>
          <t>Z001_30_092024_MATURIN.CSV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FILE001</t>
        </is>
      </c>
      <c r="F450" s="2" t="inlineStr">
        <is>
          <t>Z</t>
        </is>
      </c>
      <c r="G450" s="3" t="inlineStr">
        <is>
          <t>0037</t>
        </is>
      </c>
      <c r="H450" s="4" t="n">
        <v>45565</v>
      </c>
      <c r="I450" s="2" t="inlineStr">
        <is>
          <t>16:55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6" t="n">
        <v>0</v>
      </c>
    </row>
    <row r="451">
      <c r="A451" s="2" t="inlineStr">
        <is>
          <t>Z001_30_092024_MATURIN.CSV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FILE001</t>
        </is>
      </c>
      <c r="F451" s="2" t="inlineStr">
        <is>
          <t>Z</t>
        </is>
      </c>
      <c r="G451" s="3" t="inlineStr">
        <is>
          <t>0037</t>
        </is>
      </c>
      <c r="H451" s="4" t="n">
        <v>45565</v>
      </c>
      <c r="I451" s="2" t="inlineStr">
        <is>
          <t>16:55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6" t="n">
        <v>0</v>
      </c>
    </row>
    <row r="452">
      <c r="A452" s="2" t="inlineStr">
        <is>
          <t>Z001_30_092024_MATURIN.CSV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FILE001</t>
        </is>
      </c>
      <c r="F452" s="2" t="inlineStr">
        <is>
          <t>Z</t>
        </is>
      </c>
      <c r="G452" s="3" t="inlineStr">
        <is>
          <t>0037</t>
        </is>
      </c>
      <c r="H452" s="4" t="n">
        <v>45565</v>
      </c>
      <c r="I452" s="2" t="inlineStr">
        <is>
          <t>16:55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6" t="n">
        <v>0</v>
      </c>
    </row>
    <row r="453">
      <c r="A453" s="2" t="inlineStr">
        <is>
          <t>Z001_31_122024_MATURIN.CSV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FILE001</t>
        </is>
      </c>
      <c r="F453" s="2" t="inlineStr">
        <is>
          <t>Z</t>
        </is>
      </c>
      <c r="G453" s="3" t="inlineStr">
        <is>
          <t>0040</t>
        </is>
      </c>
      <c r="H453" s="4" t="n">
        <v>45657</v>
      </c>
      <c r="I453" s="2" t="inlineStr">
        <is>
          <t>17:08</t>
        </is>
      </c>
      <c r="J453" s="3" t="inlineStr">
        <is>
          <t>0001</t>
        </is>
      </c>
      <c r="K453" s="2" t="inlineStr">
        <is>
          <t>CA BRUT</t>
        </is>
      </c>
      <c r="L453" s="5" t="n">
        <v>36</v>
      </c>
      <c r="M453" s="6" t="n">
        <v>10927.6</v>
      </c>
    </row>
    <row r="454">
      <c r="A454" s="2" t="inlineStr">
        <is>
          <t>Z001_31_122024_MATURIN.CSV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FILE001</t>
        </is>
      </c>
      <c r="F454" s="2" t="inlineStr">
        <is>
          <t>Z</t>
        </is>
      </c>
      <c r="G454" s="3" t="inlineStr">
        <is>
          <t>0040</t>
        </is>
      </c>
      <c r="H454" s="4" t="n">
        <v>45657</v>
      </c>
      <c r="I454" s="2" t="inlineStr">
        <is>
          <t>17:08</t>
        </is>
      </c>
      <c r="J454" s="3" t="inlineStr">
        <is>
          <t>0002</t>
        </is>
      </c>
      <c r="K454" s="2" t="inlineStr">
        <is>
          <t>CA NET</t>
        </is>
      </c>
      <c r="L454" s="5" t="n">
        <v>17</v>
      </c>
      <c r="M454" s="6" t="n">
        <v>10927.6</v>
      </c>
    </row>
    <row r="455">
      <c r="A455" s="2" t="inlineStr">
        <is>
          <t>Z001_31_122024_MATURIN.CSV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FILE001</t>
        </is>
      </c>
      <c r="F455" s="2" t="inlineStr">
        <is>
          <t>Z</t>
        </is>
      </c>
      <c r="G455" s="3" t="inlineStr">
        <is>
          <t>0040</t>
        </is>
      </c>
      <c r="H455" s="4" t="n">
        <v>45657</v>
      </c>
      <c r="I455" s="2" t="inlineStr">
        <is>
          <t>17:08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6" t="n">
        <v>3062</v>
      </c>
    </row>
    <row r="456">
      <c r="A456" s="2" t="inlineStr">
        <is>
          <t>Z001_31_122024_MATURIN.CSV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FILE001</t>
        </is>
      </c>
      <c r="F456" s="2" t="inlineStr">
        <is>
          <t>Z</t>
        </is>
      </c>
      <c r="G456" s="3" t="inlineStr">
        <is>
          <t>0040</t>
        </is>
      </c>
      <c r="H456" s="4" t="n">
        <v>45657</v>
      </c>
      <c r="I456" s="2" t="inlineStr">
        <is>
          <t>17:08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6" t="n">
        <v>7865.6</v>
      </c>
    </row>
    <row r="457">
      <c r="A457" s="2" t="inlineStr">
        <is>
          <t>Z001_31_122024_MATURIN.CSV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FILE001</t>
        </is>
      </c>
      <c r="F457" s="2" t="inlineStr">
        <is>
          <t>Z</t>
        </is>
      </c>
      <c r="G457" s="3" t="inlineStr">
        <is>
          <t>0040</t>
        </is>
      </c>
      <c r="H457" s="4" t="n">
        <v>45657</v>
      </c>
      <c r="I457" s="2" t="inlineStr">
        <is>
          <t>17:08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6" t="n">
        <v>0</v>
      </c>
    </row>
    <row r="458">
      <c r="A458" s="2" t="inlineStr">
        <is>
          <t>Z001_31_122024_MATURIN.CSV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FILE001</t>
        </is>
      </c>
      <c r="F458" s="2" t="inlineStr">
        <is>
          <t>Z</t>
        </is>
      </c>
      <c r="G458" s="3" t="inlineStr">
        <is>
          <t>0040</t>
        </is>
      </c>
      <c r="H458" s="4" t="n">
        <v>45657</v>
      </c>
      <c r="I458" s="2" t="inlineStr">
        <is>
          <t>17:08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6" t="n">
        <v>0</v>
      </c>
    </row>
    <row r="459">
      <c r="A459" s="2" t="inlineStr">
        <is>
          <t>Z001_31_122024_MATURIN.CSV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FILE001</t>
        </is>
      </c>
      <c r="F459" s="2" t="inlineStr">
        <is>
          <t>Z</t>
        </is>
      </c>
      <c r="G459" s="3" t="inlineStr">
        <is>
          <t>0040</t>
        </is>
      </c>
      <c r="H459" s="4" t="n">
        <v>45657</v>
      </c>
      <c r="I459" s="2" t="inlineStr">
        <is>
          <t>17:08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6" t="n">
        <v>0</v>
      </c>
    </row>
    <row r="460">
      <c r="A460" s="2" t="inlineStr">
        <is>
          <t>Z001_31_122024_MATURIN.CSV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FILE001</t>
        </is>
      </c>
      <c r="F460" s="2" t="inlineStr">
        <is>
          <t>Z</t>
        </is>
      </c>
      <c r="G460" s="3" t="inlineStr">
        <is>
          <t>0040</t>
        </is>
      </c>
      <c r="H460" s="4" t="n">
        <v>45657</v>
      </c>
      <c r="I460" s="2" t="inlineStr">
        <is>
          <t>17:08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6" t="n">
        <v>0</v>
      </c>
    </row>
    <row r="461">
      <c r="A461" s="2" t="inlineStr">
        <is>
          <t>Z001_31_122024_MATURIN.CSV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FILE001</t>
        </is>
      </c>
      <c r="F461" s="2" t="inlineStr">
        <is>
          <t>Z</t>
        </is>
      </c>
      <c r="G461" s="3" t="inlineStr">
        <is>
          <t>0040</t>
        </is>
      </c>
      <c r="H461" s="4" t="n">
        <v>45657</v>
      </c>
      <c r="I461" s="2" t="inlineStr">
        <is>
          <t>17:08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6" t="n">
        <v>0</v>
      </c>
    </row>
    <row r="462">
      <c r="A462" s="2" t="inlineStr">
        <is>
          <t>Z001_31_122024_MATURIN.CSV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FILE001</t>
        </is>
      </c>
      <c r="F462" s="2" t="inlineStr">
        <is>
          <t>Z</t>
        </is>
      </c>
      <c r="G462" s="3" t="inlineStr">
        <is>
          <t>0040</t>
        </is>
      </c>
      <c r="H462" s="4" t="n">
        <v>45657</v>
      </c>
      <c r="I462" s="2" t="inlineStr">
        <is>
          <t>17:08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6" t="n">
        <v>0</v>
      </c>
    </row>
    <row r="463">
      <c r="A463" s="2" t="inlineStr">
        <is>
          <t>Z001_31_122024_MATURIN.CSV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FILE001</t>
        </is>
      </c>
      <c r="F463" s="2" t="inlineStr">
        <is>
          <t>Z</t>
        </is>
      </c>
      <c r="G463" s="3" t="inlineStr">
        <is>
          <t>0040</t>
        </is>
      </c>
      <c r="H463" s="4" t="n">
        <v>45657</v>
      </c>
      <c r="I463" s="2" t="inlineStr">
        <is>
          <t>17:08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6" t="n">
        <v>0</v>
      </c>
    </row>
    <row r="464">
      <c r="A464" s="2" t="inlineStr">
        <is>
          <t>Z001_31_122024_MATURIN.CSV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FILE001</t>
        </is>
      </c>
      <c r="F464" s="2" t="inlineStr">
        <is>
          <t>Z</t>
        </is>
      </c>
      <c r="G464" s="3" t="inlineStr">
        <is>
          <t>0040</t>
        </is>
      </c>
      <c r="H464" s="4" t="n">
        <v>45657</v>
      </c>
      <c r="I464" s="2" t="inlineStr">
        <is>
          <t>17:08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6" t="n">
        <v>0</v>
      </c>
    </row>
    <row r="465">
      <c r="A465" s="2" t="inlineStr">
        <is>
          <t>Z001_31_122024_MATURIN.CSV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FILE001</t>
        </is>
      </c>
      <c r="F465" s="2" t="inlineStr">
        <is>
          <t>Z</t>
        </is>
      </c>
      <c r="G465" s="3" t="inlineStr">
        <is>
          <t>0040</t>
        </is>
      </c>
      <c r="H465" s="4" t="n">
        <v>45657</v>
      </c>
      <c r="I465" s="2" t="inlineStr">
        <is>
          <t>17:08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6" t="n">
        <v>0</v>
      </c>
    </row>
    <row r="466">
      <c r="A466" s="2" t="inlineStr">
        <is>
          <t>Z001_31_122024_MATURIN.CSV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FILE001</t>
        </is>
      </c>
      <c r="F466" s="2" t="inlineStr">
        <is>
          <t>Z</t>
        </is>
      </c>
      <c r="G466" s="3" t="inlineStr">
        <is>
          <t>0040</t>
        </is>
      </c>
      <c r="H466" s="4" t="n">
        <v>45657</v>
      </c>
      <c r="I466" s="2" t="inlineStr">
        <is>
          <t>17:08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6" t="n">
        <v>0</v>
      </c>
    </row>
    <row r="467">
      <c r="A467" s="2" t="inlineStr">
        <is>
          <t>Z001_31_122024_MATURIN.CSV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FILE001</t>
        </is>
      </c>
      <c r="F467" s="2" t="inlineStr">
        <is>
          <t>Z</t>
        </is>
      </c>
      <c r="G467" s="3" t="inlineStr">
        <is>
          <t>0040</t>
        </is>
      </c>
      <c r="H467" s="4" t="n">
        <v>45657</v>
      </c>
      <c r="I467" s="2" t="inlineStr">
        <is>
          <t>17:08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6" t="n">
        <v>0</v>
      </c>
    </row>
    <row r="468">
      <c r="A468" s="2" t="inlineStr">
        <is>
          <t>Z001_31_122024_MATURIN.CSV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FILE001</t>
        </is>
      </c>
      <c r="F468" s="2" t="inlineStr">
        <is>
          <t>Z</t>
        </is>
      </c>
      <c r="G468" s="3" t="inlineStr">
        <is>
          <t>0040</t>
        </is>
      </c>
      <c r="H468" s="4" t="n">
        <v>45657</v>
      </c>
      <c r="I468" s="2" t="inlineStr">
        <is>
          <t>17:08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6" t="n">
        <v>0</v>
      </c>
    </row>
    <row r="469">
      <c r="A469" s="2" t="inlineStr">
        <is>
          <t>Z001_31_122024_MATURIN.CSV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FILE001</t>
        </is>
      </c>
      <c r="F469" s="2" t="inlineStr">
        <is>
          <t>Z</t>
        </is>
      </c>
      <c r="G469" s="3" t="inlineStr">
        <is>
          <t>0040</t>
        </is>
      </c>
      <c r="H469" s="4" t="n">
        <v>45657</v>
      </c>
      <c r="I469" s="2" t="inlineStr">
        <is>
          <t>17:08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6" t="n">
        <v>0</v>
      </c>
    </row>
    <row r="470">
      <c r="A470" s="2" t="inlineStr">
        <is>
          <t>Z001_31_122024_MATURIN.CSV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FILE001</t>
        </is>
      </c>
      <c r="F470" s="2" t="inlineStr">
        <is>
          <t>Z</t>
        </is>
      </c>
      <c r="G470" s="3" t="inlineStr">
        <is>
          <t>0040</t>
        </is>
      </c>
      <c r="H470" s="4" t="n">
        <v>45657</v>
      </c>
      <c r="I470" s="2" t="inlineStr">
        <is>
          <t>17:08</t>
        </is>
      </c>
      <c r="J470" s="3" t="inlineStr">
        <is>
          <t>0018</t>
        </is>
      </c>
      <c r="K470" s="2" t="inlineStr">
        <is>
          <t>CLIENTS</t>
        </is>
      </c>
      <c r="L470" s="5" t="n">
        <v>17</v>
      </c>
      <c r="M470" s="6" t="n">
        <v>0</v>
      </c>
    </row>
    <row r="471">
      <c r="A471" s="2" t="inlineStr">
        <is>
          <t>Z001_31_122024_MATURIN.CSV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FILE001</t>
        </is>
      </c>
      <c r="F471" s="2" t="inlineStr">
        <is>
          <t>Z</t>
        </is>
      </c>
      <c r="G471" s="3" t="inlineStr">
        <is>
          <t>0040</t>
        </is>
      </c>
      <c r="H471" s="4" t="n">
        <v>45657</v>
      </c>
      <c r="I471" s="2" t="inlineStr">
        <is>
          <t>17:08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6" t="n">
        <v>0</v>
      </c>
    </row>
    <row r="472">
      <c r="A472" s="2" t="inlineStr">
        <is>
          <t>Z001_31_122024_MATURIN.CSV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FILE001</t>
        </is>
      </c>
      <c r="F472" s="2" t="inlineStr">
        <is>
          <t>Z</t>
        </is>
      </c>
      <c r="G472" s="3" t="inlineStr">
        <is>
          <t>0040</t>
        </is>
      </c>
      <c r="H472" s="4" t="n">
        <v>45657</v>
      </c>
      <c r="I472" s="2" t="inlineStr">
        <is>
          <t>17:08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6" t="n">
        <v>0</v>
      </c>
    </row>
    <row r="473">
      <c r="A473" s="2" t="inlineStr">
        <is>
          <t>Z001_31_122024_MATURIN.CSV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FILE001</t>
        </is>
      </c>
      <c r="F473" s="2" t="inlineStr">
        <is>
          <t>Z</t>
        </is>
      </c>
      <c r="G473" s="3" t="inlineStr">
        <is>
          <t>0040</t>
        </is>
      </c>
      <c r="H473" s="4" t="n">
        <v>45657</v>
      </c>
      <c r="I473" s="2" t="inlineStr">
        <is>
          <t>17:08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6" t="n">
        <v>0</v>
      </c>
    </row>
    <row r="474">
      <c r="A474" s="2" t="inlineStr">
        <is>
          <t>Z001_31_122024_MATURIN.CSV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FILE001</t>
        </is>
      </c>
      <c r="F474" s="2" t="inlineStr">
        <is>
          <t>Z</t>
        </is>
      </c>
      <c r="G474" s="3" t="inlineStr">
        <is>
          <t>0040</t>
        </is>
      </c>
      <c r="H474" s="4" t="n">
        <v>45657</v>
      </c>
      <c r="I474" s="2" t="inlineStr">
        <is>
          <t>17:08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6" t="n">
        <v>0</v>
      </c>
    </row>
    <row r="475">
      <c r="A475" s="2" t="inlineStr">
        <is>
          <t>Z001_31_122024_MATURIN.CSV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FILE001</t>
        </is>
      </c>
      <c r="F475" s="2" t="inlineStr">
        <is>
          <t>Z</t>
        </is>
      </c>
      <c r="G475" s="3" t="inlineStr">
        <is>
          <t>0040</t>
        </is>
      </c>
      <c r="H475" s="4" t="n">
        <v>45657</v>
      </c>
      <c r="I475" s="2" t="inlineStr">
        <is>
          <t>17:08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6" t="n">
        <v>0</v>
      </c>
    </row>
    <row r="476">
      <c r="A476" s="2" t="inlineStr">
        <is>
          <t>Z001_31_122024_MATURIN.CSV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FILE001</t>
        </is>
      </c>
      <c r="F476" s="2" t="inlineStr">
        <is>
          <t>Z</t>
        </is>
      </c>
      <c r="G476" s="3" t="inlineStr">
        <is>
          <t>0040</t>
        </is>
      </c>
      <c r="H476" s="4" t="n">
        <v>45657</v>
      </c>
      <c r="I476" s="2" t="inlineStr">
        <is>
          <t>17:08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6" t="n">
        <v>0</v>
      </c>
    </row>
    <row r="477">
      <c r="A477" s="2" t="inlineStr">
        <is>
          <t>Z001_31_122024_MATURIN.CSV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FILE001</t>
        </is>
      </c>
      <c r="F477" s="2" t="inlineStr">
        <is>
          <t>Z</t>
        </is>
      </c>
      <c r="G477" s="3" t="inlineStr">
        <is>
          <t>0040</t>
        </is>
      </c>
      <c r="H477" s="4" t="n">
        <v>45657</v>
      </c>
      <c r="I477" s="2" t="inlineStr">
        <is>
          <t>17:08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6" t="n">
        <v>0</v>
      </c>
    </row>
    <row r="478">
      <c r="A478" s="2" t="inlineStr">
        <is>
          <t>Z001_31_122024_MATURIN.CSV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FILE001</t>
        </is>
      </c>
      <c r="F478" s="2" t="inlineStr">
        <is>
          <t>Z</t>
        </is>
      </c>
      <c r="G478" s="3" t="inlineStr">
        <is>
          <t>0040</t>
        </is>
      </c>
      <c r="H478" s="4" t="n">
        <v>45657</v>
      </c>
      <c r="I478" s="2" t="inlineStr">
        <is>
          <t>17:08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6" t="n">
        <v>0</v>
      </c>
    </row>
    <row r="479">
      <c r="A479" s="2" t="inlineStr">
        <is>
          <t>Z001_31_122024_MATURIN.CSV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FILE001</t>
        </is>
      </c>
      <c r="F479" s="2" t="inlineStr">
        <is>
          <t>Z</t>
        </is>
      </c>
      <c r="G479" s="3" t="inlineStr">
        <is>
          <t>0040</t>
        </is>
      </c>
      <c r="H479" s="4" t="n">
        <v>45657</v>
      </c>
      <c r="I479" s="2" t="inlineStr">
        <is>
          <t>17:08</t>
        </is>
      </c>
      <c r="J479" s="3" t="inlineStr">
        <is>
          <t>0027</t>
        </is>
      </c>
      <c r="K479" s="2" t="inlineStr"/>
      <c r="L479" s="5" t="n">
        <v>0</v>
      </c>
      <c r="M479" s="6" t="n">
        <v>0</v>
      </c>
    </row>
    <row r="480">
      <c r="A480" s="2" t="inlineStr">
        <is>
          <t>Z001_31_122024_MATURIN.CSV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FILE001</t>
        </is>
      </c>
      <c r="F480" s="2" t="inlineStr">
        <is>
          <t>Z</t>
        </is>
      </c>
      <c r="G480" s="3" t="inlineStr">
        <is>
          <t>0040</t>
        </is>
      </c>
      <c r="H480" s="4" t="n">
        <v>45657</v>
      </c>
      <c r="I480" s="2" t="inlineStr">
        <is>
          <t>17:08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6" t="n">
        <v>0</v>
      </c>
    </row>
    <row r="481">
      <c r="A481" s="2" t="inlineStr">
        <is>
          <t>Z001_31_122024_MATURIN.CSV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FILE001</t>
        </is>
      </c>
      <c r="F481" s="2" t="inlineStr">
        <is>
          <t>Z</t>
        </is>
      </c>
      <c r="G481" s="3" t="inlineStr">
        <is>
          <t>0040</t>
        </is>
      </c>
      <c r="H481" s="4" t="n">
        <v>45657</v>
      </c>
      <c r="I481" s="2" t="inlineStr">
        <is>
          <t>17:08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6" t="n">
        <v>0</v>
      </c>
    </row>
    <row r="482">
      <c r="A482" s="2" t="inlineStr">
        <is>
          <t>Z001_31_122024_MATURIN.CSV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FILE001</t>
        </is>
      </c>
      <c r="F482" s="2" t="inlineStr">
        <is>
          <t>Z</t>
        </is>
      </c>
      <c r="G482" s="3" t="inlineStr">
        <is>
          <t>0040</t>
        </is>
      </c>
      <c r="H482" s="4" t="n">
        <v>45657</v>
      </c>
      <c r="I482" s="2" t="inlineStr">
        <is>
          <t>17:08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6" t="n">
        <v>0</v>
      </c>
    </row>
    <row r="483">
      <c r="A483" s="2" t="inlineStr">
        <is>
          <t>Z001_31_122024_MATURIN.CSV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FILE001</t>
        </is>
      </c>
      <c r="F483" s="2" t="inlineStr">
        <is>
          <t>Z</t>
        </is>
      </c>
      <c r="G483" s="3" t="inlineStr">
        <is>
          <t>0040</t>
        </is>
      </c>
      <c r="H483" s="4" t="n">
        <v>45657</v>
      </c>
      <c r="I483" s="2" t="inlineStr">
        <is>
          <t>17:08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6" t="n">
        <v>0</v>
      </c>
    </row>
    <row r="484">
      <c r="A484" s="2" t="inlineStr">
        <is>
          <t>Z001_31_122024_MATURIN.CSV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FILE001</t>
        </is>
      </c>
      <c r="F484" s="2" t="inlineStr">
        <is>
          <t>Z</t>
        </is>
      </c>
      <c r="G484" s="3" t="inlineStr">
        <is>
          <t>0040</t>
        </is>
      </c>
      <c r="H484" s="4" t="n">
        <v>45657</v>
      </c>
      <c r="I484" s="2" t="inlineStr">
        <is>
          <t>17:08</t>
        </is>
      </c>
      <c r="J484" s="3" t="inlineStr">
        <is>
          <t>0032</t>
        </is>
      </c>
      <c r="K484" s="2" t="inlineStr"/>
      <c r="L484" s="5" t="n">
        <v>0</v>
      </c>
      <c r="M484" s="6" t="n">
        <v>0</v>
      </c>
    </row>
    <row r="485">
      <c r="A485" s="2" t="inlineStr">
        <is>
          <t>Z001_31_122024_MATURIN.CSV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FILE001</t>
        </is>
      </c>
      <c r="F485" s="2" t="inlineStr">
        <is>
          <t>Z</t>
        </is>
      </c>
      <c r="G485" s="3" t="inlineStr">
        <is>
          <t>0040</t>
        </is>
      </c>
      <c r="H485" s="4" t="n">
        <v>45657</v>
      </c>
      <c r="I485" s="2" t="inlineStr">
        <is>
          <t>17:08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6" t="n">
        <v>9106.33</v>
      </c>
    </row>
    <row r="486">
      <c r="A486" s="2" t="inlineStr">
        <is>
          <t>Z001_31_122024_MATURIN.CSV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FILE001</t>
        </is>
      </c>
      <c r="F486" s="2" t="inlineStr">
        <is>
          <t>Z</t>
        </is>
      </c>
      <c r="G486" s="3" t="inlineStr">
        <is>
          <t>0040</t>
        </is>
      </c>
      <c r="H486" s="4" t="n">
        <v>45657</v>
      </c>
      <c r="I486" s="2" t="inlineStr">
        <is>
          <t>17:08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6" t="n">
        <v>1821.27</v>
      </c>
    </row>
    <row r="487">
      <c r="A487" s="2" t="inlineStr">
        <is>
          <t>Z001_31_122024_MATURIN.CSV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FILE001</t>
        </is>
      </c>
      <c r="F487" s="2" t="inlineStr">
        <is>
          <t>Z</t>
        </is>
      </c>
      <c r="G487" s="3" t="inlineStr">
        <is>
          <t>0040</t>
        </is>
      </c>
      <c r="H487" s="4" t="n">
        <v>45657</v>
      </c>
      <c r="I487" s="2" t="inlineStr">
        <is>
          <t>17:08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6" t="n">
        <v>0</v>
      </c>
    </row>
    <row r="488">
      <c r="A488" s="2" t="inlineStr">
        <is>
          <t>Z001_31_122024_MATURIN.CSV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FILE001</t>
        </is>
      </c>
      <c r="F488" s="2" t="inlineStr">
        <is>
          <t>Z</t>
        </is>
      </c>
      <c r="G488" s="3" t="inlineStr">
        <is>
          <t>0040</t>
        </is>
      </c>
      <c r="H488" s="4" t="n">
        <v>45657</v>
      </c>
      <c r="I488" s="2" t="inlineStr">
        <is>
          <t>17:08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6" t="n">
        <v>0</v>
      </c>
    </row>
    <row r="489">
      <c r="A489" s="2" t="inlineStr">
        <is>
          <t>Z001_31_122024_MATURIN.CSV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FILE001</t>
        </is>
      </c>
      <c r="F489" s="2" t="inlineStr">
        <is>
          <t>Z</t>
        </is>
      </c>
      <c r="G489" s="3" t="inlineStr">
        <is>
          <t>0040</t>
        </is>
      </c>
      <c r="H489" s="4" t="n">
        <v>45657</v>
      </c>
      <c r="I489" s="2" t="inlineStr">
        <is>
          <t>17:08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6" t="n">
        <v>0</v>
      </c>
    </row>
    <row r="490">
      <c r="A490" s="2" t="inlineStr">
        <is>
          <t>Z001_31_122024_MATURIN.CSV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FILE001</t>
        </is>
      </c>
      <c r="F490" s="2" t="inlineStr">
        <is>
          <t>Z</t>
        </is>
      </c>
      <c r="G490" s="3" t="inlineStr">
        <is>
          <t>0040</t>
        </is>
      </c>
      <c r="H490" s="4" t="n">
        <v>45657</v>
      </c>
      <c r="I490" s="2" t="inlineStr">
        <is>
          <t>17:08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6" t="n">
        <v>0</v>
      </c>
    </row>
    <row r="491">
      <c r="A491" s="2" t="inlineStr">
        <is>
          <t>Z001_31_122024_MATURIN.CSV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FILE001</t>
        </is>
      </c>
      <c r="F491" s="2" t="inlineStr">
        <is>
          <t>Z</t>
        </is>
      </c>
      <c r="G491" s="3" t="inlineStr">
        <is>
          <t>0040</t>
        </is>
      </c>
      <c r="H491" s="4" t="n">
        <v>45657</v>
      </c>
      <c r="I491" s="2" t="inlineStr">
        <is>
          <t>17:08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6" t="n">
        <v>0</v>
      </c>
    </row>
    <row r="492">
      <c r="A492" s="2" t="inlineStr">
        <is>
          <t>Z001_31_122024_MATURIN.CSV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FILE001</t>
        </is>
      </c>
      <c r="F492" s="2" t="inlineStr">
        <is>
          <t>Z</t>
        </is>
      </c>
      <c r="G492" s="3" t="inlineStr">
        <is>
          <t>0040</t>
        </is>
      </c>
      <c r="H492" s="4" t="n">
        <v>45657</v>
      </c>
      <c r="I492" s="2" t="inlineStr">
        <is>
          <t>17:08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6" t="n">
        <v>0</v>
      </c>
    </row>
    <row r="493">
      <c r="A493" s="2" t="inlineStr">
        <is>
          <t>Z001_31_122024_MATURIN.CSV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FILE001</t>
        </is>
      </c>
      <c r="F493" s="2" t="inlineStr">
        <is>
          <t>Z</t>
        </is>
      </c>
      <c r="G493" s="3" t="inlineStr">
        <is>
          <t>0040</t>
        </is>
      </c>
      <c r="H493" s="4" t="n">
        <v>45657</v>
      </c>
      <c r="I493" s="2" t="inlineStr">
        <is>
          <t>17:08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6" t="n">
        <v>0</v>
      </c>
    </row>
  </sheetData>
  <autoFilter ref="A1:M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Z001_01_012024_MATURIN.CSV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0029</t>
        </is>
      </c>
      <c r="H2" s="4" t="n">
        <v>45323</v>
      </c>
      <c r="I2" s="2" t="inlineStr">
        <is>
          <t>10:29</t>
        </is>
      </c>
      <c r="J2" s="3" t="inlineStr">
        <is>
          <t>0001</t>
        </is>
      </c>
      <c r="K2" s="2" t="inlineStr">
        <is>
          <t>CA BRUT</t>
        </is>
      </c>
      <c r="L2" s="5" t="n">
        <v>63</v>
      </c>
      <c r="M2" s="6" t="n">
        <v>26282.65</v>
      </c>
      <c r="N2" s="5" t="n">
        <v>2024</v>
      </c>
      <c r="O2" s="6" t="inlineStr">
        <is>
          <t>2024-01</t>
        </is>
      </c>
    </row>
    <row r="3">
      <c r="A3" s="2" t="inlineStr">
        <is>
          <t>Z001_01_012024_MATURIN.CSV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0029</t>
        </is>
      </c>
      <c r="H3" s="4" t="n">
        <v>45323</v>
      </c>
      <c r="I3" s="2" t="inlineStr">
        <is>
          <t>10:29</t>
        </is>
      </c>
      <c r="J3" s="3" t="inlineStr">
        <is>
          <t>0002</t>
        </is>
      </c>
      <c r="K3" s="2" t="inlineStr">
        <is>
          <t>CA NET</t>
        </is>
      </c>
      <c r="L3" s="5" t="n">
        <v>94</v>
      </c>
      <c r="M3" s="6" t="n">
        <v>26282.65</v>
      </c>
      <c r="N3" s="5" t="n">
        <v>2024</v>
      </c>
      <c r="O3" s="6" t="inlineStr">
        <is>
          <t>2024-01</t>
        </is>
      </c>
    </row>
    <row r="4">
      <c r="A4" s="2" t="inlineStr">
        <is>
          <t>Z001_01_012024_MATURIN.CSV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0029</t>
        </is>
      </c>
      <c r="H4" s="4" t="n">
        <v>45323</v>
      </c>
      <c r="I4" s="2" t="inlineStr">
        <is>
          <t>10:29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2027.95</v>
      </c>
      <c r="N4" s="5" t="n">
        <v>2024</v>
      </c>
      <c r="O4" s="6" t="inlineStr">
        <is>
          <t>2024-01</t>
        </is>
      </c>
    </row>
    <row r="5">
      <c r="A5" s="2" t="inlineStr">
        <is>
          <t>Z001_01_012024_MATURIN.CSV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0029</t>
        </is>
      </c>
      <c r="H5" s="4" t="n">
        <v>45323</v>
      </c>
      <c r="I5" s="2" t="inlineStr">
        <is>
          <t>10:29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24254.7</v>
      </c>
      <c r="N5" s="5" t="n">
        <v>2024</v>
      </c>
      <c r="O5" s="6" t="inlineStr">
        <is>
          <t>2024-01</t>
        </is>
      </c>
    </row>
    <row r="6">
      <c r="A6" s="2" t="inlineStr">
        <is>
          <t>Z001_01_012024_MATURIN.CSV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0029</t>
        </is>
      </c>
      <c r="H6" s="4" t="n">
        <v>45323</v>
      </c>
      <c r="I6" s="2" t="inlineStr">
        <is>
          <t>10:29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0</v>
      </c>
      <c r="N6" s="5" t="n">
        <v>2024</v>
      </c>
      <c r="O6" s="6" t="inlineStr">
        <is>
          <t>2024-01</t>
        </is>
      </c>
    </row>
    <row r="7">
      <c r="A7" s="2" t="inlineStr">
        <is>
          <t>Z001_01_012024_MATURIN.CSV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0029</t>
        </is>
      </c>
      <c r="H7" s="4" t="n">
        <v>45323</v>
      </c>
      <c r="I7" s="2" t="inlineStr">
        <is>
          <t>10:29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  <c r="N7" s="5" t="n">
        <v>2024</v>
      </c>
      <c r="O7" s="6" t="inlineStr">
        <is>
          <t>2024-01</t>
        </is>
      </c>
    </row>
    <row r="8">
      <c r="A8" s="2" t="inlineStr">
        <is>
          <t>Z001_01_012024_MATURIN.CSV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0029</t>
        </is>
      </c>
      <c r="H8" s="4" t="n">
        <v>45323</v>
      </c>
      <c r="I8" s="2" t="inlineStr">
        <is>
          <t>10:29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  <c r="N8" s="5" t="n">
        <v>2024</v>
      </c>
      <c r="O8" s="6" t="inlineStr">
        <is>
          <t>2024-01</t>
        </is>
      </c>
    </row>
    <row r="9">
      <c r="A9" s="2" t="inlineStr">
        <is>
          <t>Z001_01_012024_MATURIN.CSV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0029</t>
        </is>
      </c>
      <c r="H9" s="4" t="n">
        <v>45323</v>
      </c>
      <c r="I9" s="2" t="inlineStr">
        <is>
          <t>10:29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  <c r="N9" s="5" t="n">
        <v>2024</v>
      </c>
      <c r="O9" s="6" t="inlineStr">
        <is>
          <t>2024-01</t>
        </is>
      </c>
    </row>
    <row r="10">
      <c r="A10" s="2" t="inlineStr">
        <is>
          <t>Z001_01_012024_MATURIN.CSV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0029</t>
        </is>
      </c>
      <c r="H10" s="4" t="n">
        <v>45323</v>
      </c>
      <c r="I10" s="2" t="inlineStr">
        <is>
          <t>10:29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  <c r="N10" s="5" t="n">
        <v>2024</v>
      </c>
      <c r="O10" s="6" t="inlineStr">
        <is>
          <t>2024-01</t>
        </is>
      </c>
    </row>
    <row r="11">
      <c r="A11" s="2" t="inlineStr">
        <is>
          <t>Z001_01_012024_MATURIN.CSV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0029</t>
        </is>
      </c>
      <c r="H11" s="4" t="n">
        <v>45323</v>
      </c>
      <c r="I11" s="2" t="inlineStr">
        <is>
          <t>10:29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  <c r="N11" s="5" t="n">
        <v>2024</v>
      </c>
      <c r="O11" s="6" t="inlineStr">
        <is>
          <t>2024-01</t>
        </is>
      </c>
    </row>
    <row r="12">
      <c r="A12" s="2" t="inlineStr">
        <is>
          <t>Z001_01_012024_MATURIN.CSV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0029</t>
        </is>
      </c>
      <c r="H12" s="4" t="n">
        <v>45323</v>
      </c>
      <c r="I12" s="2" t="inlineStr">
        <is>
          <t>10:29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  <c r="N12" s="5" t="n">
        <v>2024</v>
      </c>
      <c r="O12" s="6" t="inlineStr">
        <is>
          <t>2024-01</t>
        </is>
      </c>
    </row>
    <row r="13">
      <c r="A13" s="2" t="inlineStr">
        <is>
          <t>Z001_01_012024_MATURIN.CSV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0029</t>
        </is>
      </c>
      <c r="H13" s="4" t="n">
        <v>45323</v>
      </c>
      <c r="I13" s="2" t="inlineStr">
        <is>
          <t>10:29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  <c r="N13" s="5" t="n">
        <v>2024</v>
      </c>
      <c r="O13" s="6" t="inlineStr">
        <is>
          <t>2024-01</t>
        </is>
      </c>
    </row>
    <row r="14">
      <c r="A14" s="2" t="inlineStr">
        <is>
          <t>Z001_01_012024_MATURIN.CSV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0029</t>
        </is>
      </c>
      <c r="H14" s="4" t="n">
        <v>45323</v>
      </c>
      <c r="I14" s="2" t="inlineStr">
        <is>
          <t>10:29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  <c r="N14" s="5" t="n">
        <v>2024</v>
      </c>
      <c r="O14" s="6" t="inlineStr">
        <is>
          <t>2024-01</t>
        </is>
      </c>
    </row>
    <row r="15">
      <c r="A15" s="2" t="inlineStr">
        <is>
          <t>Z001_01_012024_MATURIN.CSV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0029</t>
        </is>
      </c>
      <c r="H15" s="4" t="n">
        <v>45323</v>
      </c>
      <c r="I15" s="2" t="inlineStr">
        <is>
          <t>10:29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  <c r="N15" s="5" t="n">
        <v>2024</v>
      </c>
      <c r="O15" s="6" t="inlineStr">
        <is>
          <t>2024-01</t>
        </is>
      </c>
    </row>
    <row r="16">
      <c r="A16" s="2" t="inlineStr">
        <is>
          <t>Z001_01_012024_MATURIN.CSV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0029</t>
        </is>
      </c>
      <c r="H16" s="4" t="n">
        <v>45323</v>
      </c>
      <c r="I16" s="2" t="inlineStr">
        <is>
          <t>10:29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  <c r="N16" s="5" t="n">
        <v>2024</v>
      </c>
      <c r="O16" s="6" t="inlineStr">
        <is>
          <t>2024-01</t>
        </is>
      </c>
    </row>
    <row r="17">
      <c r="A17" s="2" t="inlineStr">
        <is>
          <t>Z001_01_012024_MATURIN.CSV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0029</t>
        </is>
      </c>
      <c r="H17" s="4" t="n">
        <v>45323</v>
      </c>
      <c r="I17" s="2" t="inlineStr">
        <is>
          <t>10:29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  <c r="N17" s="5" t="n">
        <v>2024</v>
      </c>
      <c r="O17" s="6" t="inlineStr">
        <is>
          <t>2024-01</t>
        </is>
      </c>
    </row>
    <row r="18">
      <c r="A18" s="2" t="inlineStr">
        <is>
          <t>Z001_01_012024_MATURIN.CSV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0029</t>
        </is>
      </c>
      <c r="H18" s="4" t="n">
        <v>45323</v>
      </c>
      <c r="I18" s="2" t="inlineStr">
        <is>
          <t>10:29</t>
        </is>
      </c>
      <c r="J18" s="3" t="inlineStr">
        <is>
          <t>0017</t>
        </is>
      </c>
      <c r="K18" s="2" t="inlineStr">
        <is>
          <t>RETOUR CLE</t>
        </is>
      </c>
      <c r="L18" s="5" t="n">
        <v>35</v>
      </c>
      <c r="M18" s="6" t="n">
        <v>19821</v>
      </c>
      <c r="N18" s="5" t="n">
        <v>2024</v>
      </c>
      <c r="O18" s="6" t="inlineStr">
        <is>
          <t>2024-01</t>
        </is>
      </c>
    </row>
    <row r="19">
      <c r="A19" s="2" t="inlineStr">
        <is>
          <t>Z001_01_012024_MATURIN.CSV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0029</t>
        </is>
      </c>
      <c r="H19" s="4" t="n">
        <v>45323</v>
      </c>
      <c r="I19" s="2" t="inlineStr">
        <is>
          <t>10:29</t>
        </is>
      </c>
      <c r="J19" s="3" t="inlineStr">
        <is>
          <t>0018</t>
        </is>
      </c>
      <c r="K19" s="2" t="inlineStr">
        <is>
          <t>CLIENTS</t>
        </is>
      </c>
      <c r="L19" s="5" t="n">
        <v>24</v>
      </c>
      <c r="M19" s="6" t="n">
        <v>0</v>
      </c>
      <c r="N19" s="5" t="n">
        <v>2024</v>
      </c>
      <c r="O19" s="6" t="inlineStr">
        <is>
          <t>2024-01</t>
        </is>
      </c>
    </row>
    <row r="20">
      <c r="A20" s="2" t="inlineStr">
        <is>
          <t>Z001_01_012024_MATURIN.CSV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0029</t>
        </is>
      </c>
      <c r="H20" s="4" t="n">
        <v>45323</v>
      </c>
      <c r="I20" s="2" t="inlineStr">
        <is>
          <t>10:29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  <c r="N20" s="5" t="n">
        <v>2024</v>
      </c>
      <c r="O20" s="6" t="inlineStr">
        <is>
          <t>2024-01</t>
        </is>
      </c>
    </row>
    <row r="21">
      <c r="A21" s="2" t="inlineStr">
        <is>
          <t>Z001_01_012024_MATURIN.CSV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0029</t>
        </is>
      </c>
      <c r="H21" s="4" t="n">
        <v>45323</v>
      </c>
      <c r="I21" s="2" t="inlineStr">
        <is>
          <t>10:29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  <c r="N21" s="5" t="n">
        <v>2024</v>
      </c>
      <c r="O21" s="6" t="inlineStr">
        <is>
          <t>2024-01</t>
        </is>
      </c>
    </row>
    <row r="22">
      <c r="A22" s="2" t="inlineStr">
        <is>
          <t>Z001_01_012024_MATURIN.CSV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0029</t>
        </is>
      </c>
      <c r="H22" s="4" t="n">
        <v>45323</v>
      </c>
      <c r="I22" s="2" t="inlineStr">
        <is>
          <t>10:29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  <c r="N22" s="5" t="n">
        <v>2024</v>
      </c>
      <c r="O22" s="6" t="inlineStr">
        <is>
          <t>2024-01</t>
        </is>
      </c>
    </row>
    <row r="23">
      <c r="A23" s="2" t="inlineStr">
        <is>
          <t>Z001_01_012024_MATURIN.CSV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0029</t>
        </is>
      </c>
      <c r="H23" s="4" t="n">
        <v>45323</v>
      </c>
      <c r="I23" s="2" t="inlineStr">
        <is>
          <t>10:29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  <c r="N23" s="5" t="n">
        <v>2024</v>
      </c>
      <c r="O23" s="6" t="inlineStr">
        <is>
          <t>2024-01</t>
        </is>
      </c>
    </row>
    <row r="24">
      <c r="A24" s="2" t="inlineStr">
        <is>
          <t>Z001_01_012024_MATURIN.CSV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0029</t>
        </is>
      </c>
      <c r="H24" s="4" t="n">
        <v>45323</v>
      </c>
      <c r="I24" s="2" t="inlineStr">
        <is>
          <t>10:29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  <c r="N24" s="5" t="n">
        <v>2024</v>
      </c>
      <c r="O24" s="6" t="inlineStr">
        <is>
          <t>2024-01</t>
        </is>
      </c>
    </row>
    <row r="25">
      <c r="A25" s="2" t="inlineStr">
        <is>
          <t>Z001_01_012024_MATURIN.CSV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0029</t>
        </is>
      </c>
      <c r="H25" s="4" t="n">
        <v>45323</v>
      </c>
      <c r="I25" s="2" t="inlineStr">
        <is>
          <t>10:29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  <c r="N25" s="5" t="n">
        <v>2024</v>
      </c>
      <c r="O25" s="6" t="inlineStr">
        <is>
          <t>2024-01</t>
        </is>
      </c>
    </row>
    <row r="26">
      <c r="A26" s="2" t="inlineStr">
        <is>
          <t>Z001_01_012024_MATURIN.CSV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0029</t>
        </is>
      </c>
      <c r="H26" s="4" t="n">
        <v>45323</v>
      </c>
      <c r="I26" s="2" t="inlineStr">
        <is>
          <t>10:29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  <c r="N26" s="5" t="n">
        <v>2024</v>
      </c>
      <c r="O26" s="6" t="inlineStr">
        <is>
          <t>2024-01</t>
        </is>
      </c>
    </row>
    <row r="27">
      <c r="A27" s="2" t="inlineStr">
        <is>
          <t>Z001_01_012024_MATURIN.CSV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0029</t>
        </is>
      </c>
      <c r="H27" s="4" t="n">
        <v>45323</v>
      </c>
      <c r="I27" s="2" t="inlineStr">
        <is>
          <t>10:29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  <c r="N27" s="5" t="n">
        <v>2024</v>
      </c>
      <c r="O27" s="6" t="inlineStr">
        <is>
          <t>2024-01</t>
        </is>
      </c>
    </row>
    <row r="28">
      <c r="A28" s="2" t="inlineStr">
        <is>
          <t>Z001_01_012024_MATURIN.CSV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0029</t>
        </is>
      </c>
      <c r="H28" s="4" t="n">
        <v>45323</v>
      </c>
      <c r="I28" s="2" t="inlineStr">
        <is>
          <t>10:29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  <c r="N28" s="5" t="n">
        <v>2024</v>
      </c>
      <c r="O28" s="6" t="inlineStr">
        <is>
          <t>2024-01</t>
        </is>
      </c>
    </row>
    <row r="29">
      <c r="A29" s="2" t="inlineStr">
        <is>
          <t>Z001_01_012024_MATURIN.CSV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0029</t>
        </is>
      </c>
      <c r="H29" s="4" t="n">
        <v>45323</v>
      </c>
      <c r="I29" s="2" t="inlineStr">
        <is>
          <t>10:29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  <c r="N29" s="5" t="n">
        <v>2024</v>
      </c>
      <c r="O29" s="6" t="inlineStr">
        <is>
          <t>2024-01</t>
        </is>
      </c>
    </row>
    <row r="30">
      <c r="A30" s="2" t="inlineStr">
        <is>
          <t>Z001_01_012024_MATURIN.CSV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0029</t>
        </is>
      </c>
      <c r="H30" s="4" t="n">
        <v>45323</v>
      </c>
      <c r="I30" s="2" t="inlineStr">
        <is>
          <t>10:29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  <c r="N30" s="5" t="n">
        <v>2024</v>
      </c>
      <c r="O30" s="6" t="inlineStr">
        <is>
          <t>2024-01</t>
        </is>
      </c>
    </row>
    <row r="31">
      <c r="A31" s="2" t="inlineStr">
        <is>
          <t>Z001_01_012024_MATURIN.CSV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0029</t>
        </is>
      </c>
      <c r="H31" s="4" t="n">
        <v>45323</v>
      </c>
      <c r="I31" s="2" t="inlineStr">
        <is>
          <t>10:29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  <c r="N31" s="5" t="n">
        <v>2024</v>
      </c>
      <c r="O31" s="6" t="inlineStr">
        <is>
          <t>2024-01</t>
        </is>
      </c>
    </row>
    <row r="32">
      <c r="A32" s="2" t="inlineStr">
        <is>
          <t>Z001_01_012024_MATURIN.CSV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0029</t>
        </is>
      </c>
      <c r="H32" s="4" t="n">
        <v>45323</v>
      </c>
      <c r="I32" s="2" t="inlineStr">
        <is>
          <t>10:29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  <c r="N32" s="5" t="n">
        <v>2024</v>
      </c>
      <c r="O32" s="6" t="inlineStr">
        <is>
          <t>2024-01</t>
        </is>
      </c>
    </row>
    <row r="33">
      <c r="A33" s="2" t="inlineStr">
        <is>
          <t>Z001_01_012024_MATURIN.CSV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0029</t>
        </is>
      </c>
      <c r="H33" s="4" t="n">
        <v>45323</v>
      </c>
      <c r="I33" s="2" t="inlineStr">
        <is>
          <t>10:29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  <c r="N33" s="5" t="n">
        <v>2024</v>
      </c>
      <c r="O33" s="6" t="inlineStr">
        <is>
          <t>2024-01</t>
        </is>
      </c>
    </row>
    <row r="34">
      <c r="A34" s="2" t="inlineStr">
        <is>
          <t>Z001_01_012024_MATURIN.CSV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0029</t>
        </is>
      </c>
      <c r="H34" s="4" t="n">
        <v>45323</v>
      </c>
      <c r="I34" s="2" t="inlineStr">
        <is>
          <t>10:29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21902.19</v>
      </c>
      <c r="N34" s="5" t="n">
        <v>2024</v>
      </c>
      <c r="O34" s="6" t="inlineStr">
        <is>
          <t>2024-01</t>
        </is>
      </c>
    </row>
    <row r="35">
      <c r="A35" s="2" t="inlineStr">
        <is>
          <t>Z001_01_012024_MATURIN.CSV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0029</t>
        </is>
      </c>
      <c r="H35" s="4" t="n">
        <v>45323</v>
      </c>
      <c r="I35" s="2" t="inlineStr">
        <is>
          <t>10:29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4380.46</v>
      </c>
      <c r="N35" s="5" t="n">
        <v>2024</v>
      </c>
      <c r="O35" s="6" t="inlineStr">
        <is>
          <t>2024-01</t>
        </is>
      </c>
    </row>
    <row r="36">
      <c r="A36" s="2" t="inlineStr">
        <is>
          <t>Z001_01_012024_MATURIN.CSV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0029</t>
        </is>
      </c>
      <c r="H36" s="4" t="n">
        <v>45323</v>
      </c>
      <c r="I36" s="2" t="inlineStr">
        <is>
          <t>10:29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  <c r="N36" s="5" t="n">
        <v>2024</v>
      </c>
      <c r="O36" s="6" t="inlineStr">
        <is>
          <t>2024-01</t>
        </is>
      </c>
    </row>
    <row r="37">
      <c r="A37" s="2" t="inlineStr">
        <is>
          <t>Z001_01_012024_MATURIN.CSV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0029</t>
        </is>
      </c>
      <c r="H37" s="4" t="n">
        <v>45323</v>
      </c>
      <c r="I37" s="2" t="inlineStr">
        <is>
          <t>10:29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  <c r="N37" s="5" t="n">
        <v>2024</v>
      </c>
      <c r="O37" s="6" t="inlineStr">
        <is>
          <t>2024-01</t>
        </is>
      </c>
    </row>
    <row r="38">
      <c r="A38" s="2" t="inlineStr">
        <is>
          <t>Z001_01_012024_MATURIN.CSV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0029</t>
        </is>
      </c>
      <c r="H38" s="4" t="n">
        <v>45323</v>
      </c>
      <c r="I38" s="2" t="inlineStr">
        <is>
          <t>10:29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  <c r="N38" s="5" t="n">
        <v>2024</v>
      </c>
      <c r="O38" s="6" t="inlineStr">
        <is>
          <t>2024-01</t>
        </is>
      </c>
    </row>
    <row r="39">
      <c r="A39" s="2" t="inlineStr">
        <is>
          <t>Z001_01_012024_MATURIN.CSV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0029</t>
        </is>
      </c>
      <c r="H39" s="4" t="n">
        <v>45323</v>
      </c>
      <c r="I39" s="2" t="inlineStr">
        <is>
          <t>10:29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  <c r="N39" s="5" t="n">
        <v>2024</v>
      </c>
      <c r="O39" s="6" t="inlineStr">
        <is>
          <t>2024-01</t>
        </is>
      </c>
    </row>
    <row r="40">
      <c r="A40" s="2" t="inlineStr">
        <is>
          <t>Z001_01_012024_MATURIN.CSV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0029</t>
        </is>
      </c>
      <c r="H40" s="4" t="n">
        <v>45323</v>
      </c>
      <c r="I40" s="2" t="inlineStr">
        <is>
          <t>10:29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  <c r="N40" s="5" t="n">
        <v>2024</v>
      </c>
      <c r="O40" s="6" t="inlineStr">
        <is>
          <t>2024-01</t>
        </is>
      </c>
    </row>
    <row r="41">
      <c r="A41" s="2" t="inlineStr">
        <is>
          <t>Z001_01_012024_MATURIN.CSV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0029</t>
        </is>
      </c>
      <c r="H41" s="4" t="n">
        <v>45323</v>
      </c>
      <c r="I41" s="2" t="inlineStr">
        <is>
          <t>10:29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  <c r="N41" s="5" t="n">
        <v>2024</v>
      </c>
      <c r="O41" s="6" t="inlineStr">
        <is>
          <t>2024-01</t>
        </is>
      </c>
    </row>
    <row r="42">
      <c r="A42" s="2" t="inlineStr">
        <is>
          <t>Z001_01_012024_MATURIN.CSV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0029</t>
        </is>
      </c>
      <c r="H42" s="4" t="n">
        <v>45323</v>
      </c>
      <c r="I42" s="2" t="inlineStr">
        <is>
          <t>10:29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0</v>
      </c>
      <c r="N42" s="5" t="n">
        <v>2024</v>
      </c>
      <c r="O42" s="6" t="inlineStr">
        <is>
          <t>2024-01</t>
        </is>
      </c>
    </row>
    <row r="43">
      <c r="A43" s="2" t="inlineStr">
        <is>
          <t>Z001_01_022024_MATURIN.CSV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FILE001</t>
        </is>
      </c>
      <c r="F43" s="2" t="inlineStr">
        <is>
          <t>Z</t>
        </is>
      </c>
      <c r="G43" s="3" t="inlineStr">
        <is>
          <t>0030</t>
        </is>
      </c>
      <c r="H43" s="4" t="n">
        <v>45352</v>
      </c>
      <c r="I43" s="2" t="inlineStr">
        <is>
          <t>09:35</t>
        </is>
      </c>
      <c r="J43" s="3" t="inlineStr">
        <is>
          <t>0001</t>
        </is>
      </c>
      <c r="K43" s="2" t="inlineStr">
        <is>
          <t>CA BRUT</t>
        </is>
      </c>
      <c r="L43" s="5" t="n">
        <v>107</v>
      </c>
      <c r="M43" s="6" t="n">
        <v>30494.5</v>
      </c>
      <c r="N43" s="5" t="n">
        <v>2024</v>
      </c>
      <c r="O43" s="6" t="inlineStr">
        <is>
          <t>2024-02</t>
        </is>
      </c>
    </row>
    <row r="44">
      <c r="A44" s="2" t="inlineStr">
        <is>
          <t>Z001_01_022024_MATURIN.CSV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FILE001</t>
        </is>
      </c>
      <c r="F44" s="2" t="inlineStr">
        <is>
          <t>Z</t>
        </is>
      </c>
      <c r="G44" s="3" t="inlineStr">
        <is>
          <t>0030</t>
        </is>
      </c>
      <c r="H44" s="4" t="n">
        <v>45352</v>
      </c>
      <c r="I44" s="2" t="inlineStr">
        <is>
          <t>09:35</t>
        </is>
      </c>
      <c r="J44" s="3" t="inlineStr">
        <is>
          <t>0002</t>
        </is>
      </c>
      <c r="K44" s="2" t="inlineStr">
        <is>
          <t>CA NET</t>
        </is>
      </c>
      <c r="L44" s="5" t="n">
        <v>40</v>
      </c>
      <c r="M44" s="6" t="n">
        <v>30494.5</v>
      </c>
      <c r="N44" s="5" t="n">
        <v>2024</v>
      </c>
      <c r="O44" s="6" t="inlineStr">
        <is>
          <t>2024-02</t>
        </is>
      </c>
    </row>
    <row r="45">
      <c r="A45" s="2" t="inlineStr">
        <is>
          <t>Z001_01_022024_MATURIN.CSV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FILE001</t>
        </is>
      </c>
      <c r="F45" s="2" t="inlineStr">
        <is>
          <t>Z</t>
        </is>
      </c>
      <c r="G45" s="3" t="inlineStr">
        <is>
          <t>0030</t>
        </is>
      </c>
      <c r="H45" s="4" t="n">
        <v>45352</v>
      </c>
      <c r="I45" s="2" t="inlineStr">
        <is>
          <t>09:35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3786.8</v>
      </c>
      <c r="N45" s="5" t="n">
        <v>2024</v>
      </c>
      <c r="O45" s="6" t="inlineStr">
        <is>
          <t>2024-02</t>
        </is>
      </c>
    </row>
    <row r="46">
      <c r="A46" s="2" t="inlineStr">
        <is>
          <t>Z001_01_022024_MATURIN.CSV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FILE001</t>
        </is>
      </c>
      <c r="F46" s="2" t="inlineStr">
        <is>
          <t>Z</t>
        </is>
      </c>
      <c r="G46" s="3" t="inlineStr">
        <is>
          <t>0030</t>
        </is>
      </c>
      <c r="H46" s="4" t="n">
        <v>45352</v>
      </c>
      <c r="I46" s="2" t="inlineStr">
        <is>
          <t>09:35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26707.7</v>
      </c>
      <c r="N46" s="5" t="n">
        <v>2024</v>
      </c>
      <c r="O46" s="6" t="inlineStr">
        <is>
          <t>2024-02</t>
        </is>
      </c>
    </row>
    <row r="47">
      <c r="A47" s="2" t="inlineStr">
        <is>
          <t>Z001_01_022024_MATURIN.CSV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FILE001</t>
        </is>
      </c>
      <c r="F47" s="2" t="inlineStr">
        <is>
          <t>Z</t>
        </is>
      </c>
      <c r="G47" s="3" t="inlineStr">
        <is>
          <t>0030</t>
        </is>
      </c>
      <c r="H47" s="4" t="n">
        <v>45352</v>
      </c>
      <c r="I47" s="2" t="inlineStr">
        <is>
          <t>09:35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  <c r="N47" s="5" t="n">
        <v>2024</v>
      </c>
      <c r="O47" s="6" t="inlineStr">
        <is>
          <t>2024-02</t>
        </is>
      </c>
    </row>
    <row r="48">
      <c r="A48" s="2" t="inlineStr">
        <is>
          <t>Z001_01_022024_MATURIN.CSV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FILE001</t>
        </is>
      </c>
      <c r="F48" s="2" t="inlineStr">
        <is>
          <t>Z</t>
        </is>
      </c>
      <c r="G48" s="3" t="inlineStr">
        <is>
          <t>0030</t>
        </is>
      </c>
      <c r="H48" s="4" t="n">
        <v>45352</v>
      </c>
      <c r="I48" s="2" t="inlineStr">
        <is>
          <t>09:35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  <c r="N48" s="5" t="n">
        <v>2024</v>
      </c>
      <c r="O48" s="6" t="inlineStr">
        <is>
          <t>2024-02</t>
        </is>
      </c>
    </row>
    <row r="49">
      <c r="A49" s="2" t="inlineStr">
        <is>
          <t>Z001_01_022024_MATURIN.CSV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FILE001</t>
        </is>
      </c>
      <c r="F49" s="2" t="inlineStr">
        <is>
          <t>Z</t>
        </is>
      </c>
      <c r="G49" s="3" t="inlineStr">
        <is>
          <t>0030</t>
        </is>
      </c>
      <c r="H49" s="4" t="n">
        <v>45352</v>
      </c>
      <c r="I49" s="2" t="inlineStr">
        <is>
          <t>09:35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  <c r="N49" s="5" t="n">
        <v>2024</v>
      </c>
      <c r="O49" s="6" t="inlineStr">
        <is>
          <t>2024-02</t>
        </is>
      </c>
    </row>
    <row r="50">
      <c r="A50" s="2" t="inlineStr">
        <is>
          <t>Z001_01_022024_MATURIN.CSV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FILE001</t>
        </is>
      </c>
      <c r="F50" s="2" t="inlineStr">
        <is>
          <t>Z</t>
        </is>
      </c>
      <c r="G50" s="3" t="inlineStr">
        <is>
          <t>0030</t>
        </is>
      </c>
      <c r="H50" s="4" t="n">
        <v>45352</v>
      </c>
      <c r="I50" s="2" t="inlineStr">
        <is>
          <t>09:35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  <c r="N50" s="5" t="n">
        <v>2024</v>
      </c>
      <c r="O50" s="6" t="inlineStr">
        <is>
          <t>2024-02</t>
        </is>
      </c>
    </row>
    <row r="51">
      <c r="A51" s="2" t="inlineStr">
        <is>
          <t>Z001_01_022024_MATURIN.CSV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FILE001</t>
        </is>
      </c>
      <c r="F51" s="2" t="inlineStr">
        <is>
          <t>Z</t>
        </is>
      </c>
      <c r="G51" s="3" t="inlineStr">
        <is>
          <t>0030</t>
        </is>
      </c>
      <c r="H51" s="4" t="n">
        <v>45352</v>
      </c>
      <c r="I51" s="2" t="inlineStr">
        <is>
          <t>09:35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  <c r="N51" s="5" t="n">
        <v>2024</v>
      </c>
      <c r="O51" s="6" t="inlineStr">
        <is>
          <t>2024-02</t>
        </is>
      </c>
    </row>
    <row r="52">
      <c r="A52" s="2" t="inlineStr">
        <is>
          <t>Z001_01_022024_MATURIN.CSV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FILE001</t>
        </is>
      </c>
      <c r="F52" s="2" t="inlineStr">
        <is>
          <t>Z</t>
        </is>
      </c>
      <c r="G52" s="3" t="inlineStr">
        <is>
          <t>0030</t>
        </is>
      </c>
      <c r="H52" s="4" t="n">
        <v>45352</v>
      </c>
      <c r="I52" s="2" t="inlineStr">
        <is>
          <t>09:35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  <c r="N52" s="5" t="n">
        <v>2024</v>
      </c>
      <c r="O52" s="6" t="inlineStr">
        <is>
          <t>2024-02</t>
        </is>
      </c>
    </row>
    <row r="53">
      <c r="A53" s="2" t="inlineStr">
        <is>
          <t>Z001_01_022024_MATURIN.CSV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FILE001</t>
        </is>
      </c>
      <c r="F53" s="2" t="inlineStr">
        <is>
          <t>Z</t>
        </is>
      </c>
      <c r="G53" s="3" t="inlineStr">
        <is>
          <t>0030</t>
        </is>
      </c>
      <c r="H53" s="4" t="n">
        <v>45352</v>
      </c>
      <c r="I53" s="2" t="inlineStr">
        <is>
          <t>09:35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  <c r="N53" s="5" t="n">
        <v>2024</v>
      </c>
      <c r="O53" s="6" t="inlineStr">
        <is>
          <t>2024-02</t>
        </is>
      </c>
    </row>
    <row r="54">
      <c r="A54" s="2" t="inlineStr">
        <is>
          <t>Z001_01_022024_MATURIN.CSV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FILE001</t>
        </is>
      </c>
      <c r="F54" s="2" t="inlineStr">
        <is>
          <t>Z</t>
        </is>
      </c>
      <c r="G54" s="3" t="inlineStr">
        <is>
          <t>0030</t>
        </is>
      </c>
      <c r="H54" s="4" t="n">
        <v>45352</v>
      </c>
      <c r="I54" s="2" t="inlineStr">
        <is>
          <t>09:35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  <c r="N54" s="5" t="n">
        <v>2024</v>
      </c>
      <c r="O54" s="6" t="inlineStr">
        <is>
          <t>2024-02</t>
        </is>
      </c>
    </row>
    <row r="55">
      <c r="A55" s="2" t="inlineStr">
        <is>
          <t>Z001_01_022024_MATURIN.CSV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FILE001</t>
        </is>
      </c>
      <c r="F55" s="2" t="inlineStr">
        <is>
          <t>Z</t>
        </is>
      </c>
      <c r="G55" s="3" t="inlineStr">
        <is>
          <t>0030</t>
        </is>
      </c>
      <c r="H55" s="4" t="n">
        <v>45352</v>
      </c>
      <c r="I55" s="2" t="inlineStr">
        <is>
          <t>09:35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  <c r="N55" s="5" t="n">
        <v>2024</v>
      </c>
      <c r="O55" s="6" t="inlineStr">
        <is>
          <t>2024-02</t>
        </is>
      </c>
    </row>
    <row r="56">
      <c r="A56" s="2" t="inlineStr">
        <is>
          <t>Z001_01_022024_MATURIN.CSV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FILE001</t>
        </is>
      </c>
      <c r="F56" s="2" t="inlineStr">
        <is>
          <t>Z</t>
        </is>
      </c>
      <c r="G56" s="3" t="inlineStr">
        <is>
          <t>0030</t>
        </is>
      </c>
      <c r="H56" s="4" t="n">
        <v>45352</v>
      </c>
      <c r="I56" s="2" t="inlineStr">
        <is>
          <t>09:35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  <c r="N56" s="5" t="n">
        <v>2024</v>
      </c>
      <c r="O56" s="6" t="inlineStr">
        <is>
          <t>2024-02</t>
        </is>
      </c>
    </row>
    <row r="57">
      <c r="A57" s="2" t="inlineStr">
        <is>
          <t>Z001_01_022024_MATURIN.CSV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FILE001</t>
        </is>
      </c>
      <c r="F57" s="2" t="inlineStr">
        <is>
          <t>Z</t>
        </is>
      </c>
      <c r="G57" s="3" t="inlineStr">
        <is>
          <t>0030</t>
        </is>
      </c>
      <c r="H57" s="4" t="n">
        <v>45352</v>
      </c>
      <c r="I57" s="2" t="inlineStr">
        <is>
          <t>09:35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  <c r="N57" s="5" t="n">
        <v>2024</v>
      </c>
      <c r="O57" s="6" t="inlineStr">
        <is>
          <t>2024-02</t>
        </is>
      </c>
    </row>
    <row r="58">
      <c r="A58" s="2" t="inlineStr">
        <is>
          <t>Z001_01_022024_MATURIN.CSV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FILE001</t>
        </is>
      </c>
      <c r="F58" s="2" t="inlineStr">
        <is>
          <t>Z</t>
        </is>
      </c>
      <c r="G58" s="3" t="inlineStr">
        <is>
          <t>0030</t>
        </is>
      </c>
      <c r="H58" s="4" t="n">
        <v>45352</v>
      </c>
      <c r="I58" s="2" t="inlineStr">
        <is>
          <t>09:35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  <c r="N58" s="5" t="n">
        <v>2024</v>
      </c>
      <c r="O58" s="6" t="inlineStr">
        <is>
          <t>2024-02</t>
        </is>
      </c>
    </row>
    <row r="59">
      <c r="A59" s="2" t="inlineStr">
        <is>
          <t>Z001_01_022024_MATURIN.CSV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FILE001</t>
        </is>
      </c>
      <c r="F59" s="2" t="inlineStr">
        <is>
          <t>Z</t>
        </is>
      </c>
      <c r="G59" s="3" t="inlineStr">
        <is>
          <t>0030</t>
        </is>
      </c>
      <c r="H59" s="4" t="n">
        <v>45352</v>
      </c>
      <c r="I59" s="2" t="inlineStr">
        <is>
          <t>09:35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  <c r="N59" s="5" t="n">
        <v>2024</v>
      </c>
      <c r="O59" s="6" t="inlineStr">
        <is>
          <t>2024-02</t>
        </is>
      </c>
    </row>
    <row r="60">
      <c r="A60" s="2" t="inlineStr">
        <is>
          <t>Z001_01_022024_MATURIN.CSV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FILE001</t>
        </is>
      </c>
      <c r="F60" s="2" t="inlineStr">
        <is>
          <t>Z</t>
        </is>
      </c>
      <c r="G60" s="3" t="inlineStr">
        <is>
          <t>0030</t>
        </is>
      </c>
      <c r="H60" s="4" t="n">
        <v>45352</v>
      </c>
      <c r="I60" s="2" t="inlineStr">
        <is>
          <t>09:35</t>
        </is>
      </c>
      <c r="J60" s="3" t="inlineStr">
        <is>
          <t>0018</t>
        </is>
      </c>
      <c r="K60" s="2" t="inlineStr">
        <is>
          <t>CLIENTS</t>
        </is>
      </c>
      <c r="L60" s="5" t="n">
        <v>40</v>
      </c>
      <c r="M60" s="6" t="n">
        <v>0</v>
      </c>
      <c r="N60" s="5" t="n">
        <v>2024</v>
      </c>
      <c r="O60" s="6" t="inlineStr">
        <is>
          <t>2024-02</t>
        </is>
      </c>
    </row>
    <row r="61">
      <c r="A61" s="2" t="inlineStr">
        <is>
          <t>Z001_01_022024_MATURIN.CSV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FILE001</t>
        </is>
      </c>
      <c r="F61" s="2" t="inlineStr">
        <is>
          <t>Z</t>
        </is>
      </c>
      <c r="G61" s="3" t="inlineStr">
        <is>
          <t>0030</t>
        </is>
      </c>
      <c r="H61" s="4" t="n">
        <v>45352</v>
      </c>
      <c r="I61" s="2" t="inlineStr">
        <is>
          <t>09:35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  <c r="N61" s="5" t="n">
        <v>2024</v>
      </c>
      <c r="O61" s="6" t="inlineStr">
        <is>
          <t>2024-02</t>
        </is>
      </c>
    </row>
    <row r="62">
      <c r="A62" s="2" t="inlineStr">
        <is>
          <t>Z001_01_022024_MATURIN.CSV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FILE001</t>
        </is>
      </c>
      <c r="F62" s="2" t="inlineStr">
        <is>
          <t>Z</t>
        </is>
      </c>
      <c r="G62" s="3" t="inlineStr">
        <is>
          <t>0030</t>
        </is>
      </c>
      <c r="H62" s="4" t="n">
        <v>45352</v>
      </c>
      <c r="I62" s="2" t="inlineStr">
        <is>
          <t>09:35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  <c r="N62" s="5" t="n">
        <v>2024</v>
      </c>
      <c r="O62" s="6" t="inlineStr">
        <is>
          <t>2024-02</t>
        </is>
      </c>
    </row>
    <row r="63">
      <c r="A63" s="2" t="inlineStr">
        <is>
          <t>Z001_01_022024_MATURIN.CSV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FILE001</t>
        </is>
      </c>
      <c r="F63" s="2" t="inlineStr">
        <is>
          <t>Z</t>
        </is>
      </c>
      <c r="G63" s="3" t="inlineStr">
        <is>
          <t>0030</t>
        </is>
      </c>
      <c r="H63" s="4" t="n">
        <v>45352</v>
      </c>
      <c r="I63" s="2" t="inlineStr">
        <is>
          <t>09:35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  <c r="N63" s="5" t="n">
        <v>2024</v>
      </c>
      <c r="O63" s="6" t="inlineStr">
        <is>
          <t>2024-02</t>
        </is>
      </c>
    </row>
    <row r="64">
      <c r="A64" s="2" t="inlineStr">
        <is>
          <t>Z001_01_022024_MATURIN.CSV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FILE001</t>
        </is>
      </c>
      <c r="F64" s="2" t="inlineStr">
        <is>
          <t>Z</t>
        </is>
      </c>
      <c r="G64" s="3" t="inlineStr">
        <is>
          <t>0030</t>
        </is>
      </c>
      <c r="H64" s="4" t="n">
        <v>45352</v>
      </c>
      <c r="I64" s="2" t="inlineStr">
        <is>
          <t>09:35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  <c r="N64" s="5" t="n">
        <v>2024</v>
      </c>
      <c r="O64" s="6" t="inlineStr">
        <is>
          <t>2024-02</t>
        </is>
      </c>
    </row>
    <row r="65">
      <c r="A65" s="2" t="inlineStr">
        <is>
          <t>Z001_01_022024_MATURIN.CSV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FILE001</t>
        </is>
      </c>
      <c r="F65" s="2" t="inlineStr">
        <is>
          <t>Z</t>
        </is>
      </c>
      <c r="G65" s="3" t="inlineStr">
        <is>
          <t>0030</t>
        </is>
      </c>
      <c r="H65" s="4" t="n">
        <v>45352</v>
      </c>
      <c r="I65" s="2" t="inlineStr">
        <is>
          <t>09:35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  <c r="N65" s="5" t="n">
        <v>2024</v>
      </c>
      <c r="O65" s="6" t="inlineStr">
        <is>
          <t>2024-02</t>
        </is>
      </c>
    </row>
    <row r="66">
      <c r="A66" s="2" t="inlineStr">
        <is>
          <t>Z001_01_022024_MATURIN.CSV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FILE001</t>
        </is>
      </c>
      <c r="F66" s="2" t="inlineStr">
        <is>
          <t>Z</t>
        </is>
      </c>
      <c r="G66" s="3" t="inlineStr">
        <is>
          <t>0030</t>
        </is>
      </c>
      <c r="H66" s="4" t="n">
        <v>45352</v>
      </c>
      <c r="I66" s="2" t="inlineStr">
        <is>
          <t>09:35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  <c r="N66" s="5" t="n">
        <v>2024</v>
      </c>
      <c r="O66" s="6" t="inlineStr">
        <is>
          <t>2024-02</t>
        </is>
      </c>
    </row>
    <row r="67">
      <c r="A67" s="2" t="inlineStr">
        <is>
          <t>Z001_01_022024_MATURIN.CSV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FILE001</t>
        </is>
      </c>
      <c r="F67" s="2" t="inlineStr">
        <is>
          <t>Z</t>
        </is>
      </c>
      <c r="G67" s="3" t="inlineStr">
        <is>
          <t>0030</t>
        </is>
      </c>
      <c r="H67" s="4" t="n">
        <v>45352</v>
      </c>
      <c r="I67" s="2" t="inlineStr">
        <is>
          <t>09:35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  <c r="N67" s="5" t="n">
        <v>2024</v>
      </c>
      <c r="O67" s="6" t="inlineStr">
        <is>
          <t>2024-02</t>
        </is>
      </c>
    </row>
    <row r="68">
      <c r="A68" s="2" t="inlineStr">
        <is>
          <t>Z001_01_022024_MATURIN.CSV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FILE001</t>
        </is>
      </c>
      <c r="F68" s="2" t="inlineStr">
        <is>
          <t>Z</t>
        </is>
      </c>
      <c r="G68" s="3" t="inlineStr">
        <is>
          <t>0030</t>
        </is>
      </c>
      <c r="H68" s="4" t="n">
        <v>45352</v>
      </c>
      <c r="I68" s="2" t="inlineStr">
        <is>
          <t>09:35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  <c r="N68" s="5" t="n">
        <v>2024</v>
      </c>
      <c r="O68" s="6" t="inlineStr">
        <is>
          <t>2024-02</t>
        </is>
      </c>
    </row>
    <row r="69">
      <c r="A69" s="2" t="inlineStr">
        <is>
          <t>Z001_01_022024_MATURIN.CSV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FILE001</t>
        </is>
      </c>
      <c r="F69" s="2" t="inlineStr">
        <is>
          <t>Z</t>
        </is>
      </c>
      <c r="G69" s="3" t="inlineStr">
        <is>
          <t>0030</t>
        </is>
      </c>
      <c r="H69" s="4" t="n">
        <v>45352</v>
      </c>
      <c r="I69" s="2" t="inlineStr">
        <is>
          <t>09:35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  <c r="N69" s="5" t="n">
        <v>2024</v>
      </c>
      <c r="O69" s="6" t="inlineStr">
        <is>
          <t>2024-02</t>
        </is>
      </c>
    </row>
    <row r="70">
      <c r="A70" s="2" t="inlineStr">
        <is>
          <t>Z001_01_022024_MATURIN.CSV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FILE001</t>
        </is>
      </c>
      <c r="F70" s="2" t="inlineStr">
        <is>
          <t>Z</t>
        </is>
      </c>
      <c r="G70" s="3" t="inlineStr">
        <is>
          <t>0030</t>
        </is>
      </c>
      <c r="H70" s="4" t="n">
        <v>45352</v>
      </c>
      <c r="I70" s="2" t="inlineStr">
        <is>
          <t>09:35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  <c r="N70" s="5" t="n">
        <v>2024</v>
      </c>
      <c r="O70" s="6" t="inlineStr">
        <is>
          <t>2024-02</t>
        </is>
      </c>
    </row>
    <row r="71">
      <c r="A71" s="2" t="inlineStr">
        <is>
          <t>Z001_01_022024_MATURIN.CSV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FILE001</t>
        </is>
      </c>
      <c r="F71" s="2" t="inlineStr">
        <is>
          <t>Z</t>
        </is>
      </c>
      <c r="G71" s="3" t="inlineStr">
        <is>
          <t>0030</t>
        </is>
      </c>
      <c r="H71" s="4" t="n">
        <v>45352</v>
      </c>
      <c r="I71" s="2" t="inlineStr">
        <is>
          <t>09:35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  <c r="N71" s="5" t="n">
        <v>2024</v>
      </c>
      <c r="O71" s="6" t="inlineStr">
        <is>
          <t>2024-02</t>
        </is>
      </c>
    </row>
    <row r="72">
      <c r="A72" s="2" t="inlineStr">
        <is>
          <t>Z001_01_022024_MATURIN.CSV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FILE001</t>
        </is>
      </c>
      <c r="F72" s="2" t="inlineStr">
        <is>
          <t>Z</t>
        </is>
      </c>
      <c r="G72" s="3" t="inlineStr">
        <is>
          <t>0030</t>
        </is>
      </c>
      <c r="H72" s="4" t="n">
        <v>45352</v>
      </c>
      <c r="I72" s="2" t="inlineStr">
        <is>
          <t>09:35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  <c r="N72" s="5" t="n">
        <v>2024</v>
      </c>
      <c r="O72" s="6" t="inlineStr">
        <is>
          <t>2024-02</t>
        </is>
      </c>
    </row>
    <row r="73">
      <c r="A73" s="2" t="inlineStr">
        <is>
          <t>Z001_01_022024_MATURIN.CSV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FILE001</t>
        </is>
      </c>
      <c r="F73" s="2" t="inlineStr">
        <is>
          <t>Z</t>
        </is>
      </c>
      <c r="G73" s="3" t="inlineStr">
        <is>
          <t>0030</t>
        </is>
      </c>
      <c r="H73" s="4" t="n">
        <v>45352</v>
      </c>
      <c r="I73" s="2" t="inlineStr">
        <is>
          <t>09:35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  <c r="N73" s="5" t="n">
        <v>2024</v>
      </c>
      <c r="O73" s="6" t="inlineStr">
        <is>
          <t>2024-02</t>
        </is>
      </c>
    </row>
    <row r="74">
      <c r="A74" s="2" t="inlineStr">
        <is>
          <t>Z001_01_022024_MATURIN.CSV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FILE001</t>
        </is>
      </c>
      <c r="F74" s="2" t="inlineStr">
        <is>
          <t>Z</t>
        </is>
      </c>
      <c r="G74" s="3" t="inlineStr">
        <is>
          <t>0030</t>
        </is>
      </c>
      <c r="H74" s="4" t="n">
        <v>45352</v>
      </c>
      <c r="I74" s="2" t="inlineStr">
        <is>
          <t>09:35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  <c r="N74" s="5" t="n">
        <v>2024</v>
      </c>
      <c r="O74" s="6" t="inlineStr">
        <is>
          <t>2024-02</t>
        </is>
      </c>
    </row>
    <row r="75">
      <c r="A75" s="2" t="inlineStr">
        <is>
          <t>Z001_01_022024_MATURIN.CSV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FILE001</t>
        </is>
      </c>
      <c r="F75" s="2" t="inlineStr">
        <is>
          <t>Z</t>
        </is>
      </c>
      <c r="G75" s="3" t="inlineStr">
        <is>
          <t>0030</t>
        </is>
      </c>
      <c r="H75" s="4" t="n">
        <v>45352</v>
      </c>
      <c r="I75" s="2" t="inlineStr">
        <is>
          <t>09:35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25412.08</v>
      </c>
      <c r="N75" s="5" t="n">
        <v>2024</v>
      </c>
      <c r="O75" s="6" t="inlineStr">
        <is>
          <t>2024-02</t>
        </is>
      </c>
    </row>
    <row r="76">
      <c r="A76" s="2" t="inlineStr">
        <is>
          <t>Z001_01_022024_MATURIN.CSV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FILE001</t>
        </is>
      </c>
      <c r="F76" s="2" t="inlineStr">
        <is>
          <t>Z</t>
        </is>
      </c>
      <c r="G76" s="3" t="inlineStr">
        <is>
          <t>0030</t>
        </is>
      </c>
      <c r="H76" s="4" t="n">
        <v>45352</v>
      </c>
      <c r="I76" s="2" t="inlineStr">
        <is>
          <t>09:35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5082.42</v>
      </c>
      <c r="N76" s="5" t="n">
        <v>2024</v>
      </c>
      <c r="O76" s="6" t="inlineStr">
        <is>
          <t>2024-02</t>
        </is>
      </c>
    </row>
    <row r="77">
      <c r="A77" s="2" t="inlineStr">
        <is>
          <t>Z001_01_022024_MATURIN.CSV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FILE001</t>
        </is>
      </c>
      <c r="F77" s="2" t="inlineStr">
        <is>
          <t>Z</t>
        </is>
      </c>
      <c r="G77" s="3" t="inlineStr">
        <is>
          <t>0030</t>
        </is>
      </c>
      <c r="H77" s="4" t="n">
        <v>45352</v>
      </c>
      <c r="I77" s="2" t="inlineStr">
        <is>
          <t>09:35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  <c r="N77" s="5" t="n">
        <v>2024</v>
      </c>
      <c r="O77" s="6" t="inlineStr">
        <is>
          <t>2024-02</t>
        </is>
      </c>
    </row>
    <row r="78">
      <c r="A78" s="2" t="inlineStr">
        <is>
          <t>Z001_01_022024_MATURIN.CSV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FILE001</t>
        </is>
      </c>
      <c r="F78" s="2" t="inlineStr">
        <is>
          <t>Z</t>
        </is>
      </c>
      <c r="G78" s="3" t="inlineStr">
        <is>
          <t>0030</t>
        </is>
      </c>
      <c r="H78" s="4" t="n">
        <v>45352</v>
      </c>
      <c r="I78" s="2" t="inlineStr">
        <is>
          <t>09:35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  <c r="N78" s="5" t="n">
        <v>2024</v>
      </c>
      <c r="O78" s="6" t="inlineStr">
        <is>
          <t>2024-02</t>
        </is>
      </c>
    </row>
    <row r="79">
      <c r="A79" s="2" t="inlineStr">
        <is>
          <t>Z001_01_022024_MATURIN.CSV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FILE001</t>
        </is>
      </c>
      <c r="F79" s="2" t="inlineStr">
        <is>
          <t>Z</t>
        </is>
      </c>
      <c r="G79" s="3" t="inlineStr">
        <is>
          <t>0030</t>
        </is>
      </c>
      <c r="H79" s="4" t="n">
        <v>45352</v>
      </c>
      <c r="I79" s="2" t="inlineStr">
        <is>
          <t>09:35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  <c r="N79" s="5" t="n">
        <v>2024</v>
      </c>
      <c r="O79" s="6" t="inlineStr">
        <is>
          <t>2024-02</t>
        </is>
      </c>
    </row>
    <row r="80">
      <c r="A80" s="2" t="inlineStr">
        <is>
          <t>Z001_01_022024_MATURIN.CSV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FILE001</t>
        </is>
      </c>
      <c r="F80" s="2" t="inlineStr">
        <is>
          <t>Z</t>
        </is>
      </c>
      <c r="G80" s="3" t="inlineStr">
        <is>
          <t>0030</t>
        </is>
      </c>
      <c r="H80" s="4" t="n">
        <v>45352</v>
      </c>
      <c r="I80" s="2" t="inlineStr">
        <is>
          <t>09:35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  <c r="N80" s="5" t="n">
        <v>2024</v>
      </c>
      <c r="O80" s="6" t="inlineStr">
        <is>
          <t>2024-02</t>
        </is>
      </c>
    </row>
    <row r="81">
      <c r="A81" s="2" t="inlineStr">
        <is>
          <t>Z001_01_022024_MATURIN.CSV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FILE001</t>
        </is>
      </c>
      <c r="F81" s="2" t="inlineStr">
        <is>
          <t>Z</t>
        </is>
      </c>
      <c r="G81" s="3" t="inlineStr">
        <is>
          <t>0030</t>
        </is>
      </c>
      <c r="H81" s="4" t="n">
        <v>45352</v>
      </c>
      <c r="I81" s="2" t="inlineStr">
        <is>
          <t>09:35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  <c r="N81" s="5" t="n">
        <v>2024</v>
      </c>
      <c r="O81" s="6" t="inlineStr">
        <is>
          <t>2024-02</t>
        </is>
      </c>
    </row>
    <row r="82">
      <c r="A82" s="2" t="inlineStr">
        <is>
          <t>Z001_01_022024_MATURIN.CSV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FILE001</t>
        </is>
      </c>
      <c r="F82" s="2" t="inlineStr">
        <is>
          <t>Z</t>
        </is>
      </c>
      <c r="G82" s="3" t="inlineStr">
        <is>
          <t>0030</t>
        </is>
      </c>
      <c r="H82" s="4" t="n">
        <v>45352</v>
      </c>
      <c r="I82" s="2" t="inlineStr">
        <is>
          <t>09:35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  <c r="N82" s="5" t="n">
        <v>2024</v>
      </c>
      <c r="O82" s="6" t="inlineStr">
        <is>
          <t>2024-02</t>
        </is>
      </c>
    </row>
    <row r="83">
      <c r="A83" s="2" t="inlineStr">
        <is>
          <t>Z001_01_022024_MATURIN.CSV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FILE001</t>
        </is>
      </c>
      <c r="F83" s="2" t="inlineStr">
        <is>
          <t>Z</t>
        </is>
      </c>
      <c r="G83" s="3" t="inlineStr">
        <is>
          <t>0030</t>
        </is>
      </c>
      <c r="H83" s="4" t="n">
        <v>45352</v>
      </c>
      <c r="I83" s="2" t="inlineStr">
        <is>
          <t>09:35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  <c r="N83" s="5" t="n">
        <v>2024</v>
      </c>
      <c r="O83" s="6" t="inlineStr">
        <is>
          <t>2024-02</t>
        </is>
      </c>
    </row>
    <row r="84">
      <c r="A84" s="2" t="inlineStr">
        <is>
          <t>Z001_01_052024_MATURIN.CSV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FILE001</t>
        </is>
      </c>
      <c r="F84" s="2" t="inlineStr">
        <is>
          <t>Z</t>
        </is>
      </c>
      <c r="G84" s="3" t="inlineStr">
        <is>
          <t>0033</t>
        </is>
      </c>
      <c r="H84" s="4" t="n">
        <v>45444</v>
      </c>
      <c r="I84" s="2" t="inlineStr">
        <is>
          <t>13:45</t>
        </is>
      </c>
      <c r="J84" s="3" t="inlineStr">
        <is>
          <t>0001</t>
        </is>
      </c>
      <c r="K84" s="2" t="inlineStr">
        <is>
          <t>CA BRUT</t>
        </is>
      </c>
      <c r="L84" s="5" t="n">
        <v>58</v>
      </c>
      <c r="M84" s="6" t="n">
        <v>16898</v>
      </c>
      <c r="N84" s="5" t="n">
        <v>2024</v>
      </c>
      <c r="O84" s="6" t="inlineStr">
        <is>
          <t>2024-05</t>
        </is>
      </c>
    </row>
    <row r="85">
      <c r="A85" s="2" t="inlineStr">
        <is>
          <t>Z001_01_052024_MATURIN.CSV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FILE001</t>
        </is>
      </c>
      <c r="F85" s="2" t="inlineStr">
        <is>
          <t>Z</t>
        </is>
      </c>
      <c r="G85" s="3" t="inlineStr">
        <is>
          <t>0033</t>
        </is>
      </c>
      <c r="H85" s="4" t="n">
        <v>45444</v>
      </c>
      <c r="I85" s="2" t="inlineStr">
        <is>
          <t>13:45</t>
        </is>
      </c>
      <c r="J85" s="3" t="inlineStr">
        <is>
          <t>0002</t>
        </is>
      </c>
      <c r="K85" s="2" t="inlineStr">
        <is>
          <t>CA NET</t>
        </is>
      </c>
      <c r="L85" s="5" t="n">
        <v>25</v>
      </c>
      <c r="M85" s="6" t="n">
        <v>16898</v>
      </c>
      <c r="N85" s="5" t="n">
        <v>2024</v>
      </c>
      <c r="O85" s="6" t="inlineStr">
        <is>
          <t>2024-05</t>
        </is>
      </c>
    </row>
    <row r="86">
      <c r="A86" s="2" t="inlineStr">
        <is>
          <t>Z001_01_052024_MATURIN.CSV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FILE001</t>
        </is>
      </c>
      <c r="F86" s="2" t="inlineStr">
        <is>
          <t>Z</t>
        </is>
      </c>
      <c r="G86" s="3" t="inlineStr">
        <is>
          <t>0033</t>
        </is>
      </c>
      <c r="H86" s="4" t="n">
        <v>45444</v>
      </c>
      <c r="I86" s="2" t="inlineStr">
        <is>
          <t>13:45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3948</v>
      </c>
      <c r="N86" s="5" t="n">
        <v>2024</v>
      </c>
      <c r="O86" s="6" t="inlineStr">
        <is>
          <t>2024-05</t>
        </is>
      </c>
    </row>
    <row r="87">
      <c r="A87" s="2" t="inlineStr">
        <is>
          <t>Z001_01_052024_MATURIN.CSV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FILE001</t>
        </is>
      </c>
      <c r="F87" s="2" t="inlineStr">
        <is>
          <t>Z</t>
        </is>
      </c>
      <c r="G87" s="3" t="inlineStr">
        <is>
          <t>0033</t>
        </is>
      </c>
      <c r="H87" s="4" t="n">
        <v>45444</v>
      </c>
      <c r="I87" s="2" t="inlineStr">
        <is>
          <t>13:45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12950</v>
      </c>
      <c r="N87" s="5" t="n">
        <v>2024</v>
      </c>
      <c r="O87" s="6" t="inlineStr">
        <is>
          <t>2024-05</t>
        </is>
      </c>
    </row>
    <row r="88">
      <c r="A88" s="2" t="inlineStr">
        <is>
          <t>Z001_01_052024_MATURIN.CSV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FILE001</t>
        </is>
      </c>
      <c r="F88" s="2" t="inlineStr">
        <is>
          <t>Z</t>
        </is>
      </c>
      <c r="G88" s="3" t="inlineStr">
        <is>
          <t>0033</t>
        </is>
      </c>
      <c r="H88" s="4" t="n">
        <v>45444</v>
      </c>
      <c r="I88" s="2" t="inlineStr">
        <is>
          <t>13:45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0</v>
      </c>
      <c r="N88" s="5" t="n">
        <v>2024</v>
      </c>
      <c r="O88" s="6" t="inlineStr">
        <is>
          <t>2024-05</t>
        </is>
      </c>
    </row>
    <row r="89">
      <c r="A89" s="2" t="inlineStr">
        <is>
          <t>Z001_01_052024_MATURIN.CSV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FILE001</t>
        </is>
      </c>
      <c r="F89" s="2" t="inlineStr">
        <is>
          <t>Z</t>
        </is>
      </c>
      <c r="G89" s="3" t="inlineStr">
        <is>
          <t>0033</t>
        </is>
      </c>
      <c r="H89" s="4" t="n">
        <v>45444</v>
      </c>
      <c r="I89" s="2" t="inlineStr">
        <is>
          <t>13:45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  <c r="N89" s="5" t="n">
        <v>2024</v>
      </c>
      <c r="O89" s="6" t="inlineStr">
        <is>
          <t>2024-05</t>
        </is>
      </c>
    </row>
    <row r="90">
      <c r="A90" s="2" t="inlineStr">
        <is>
          <t>Z001_01_052024_MATURIN.CSV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FILE001</t>
        </is>
      </c>
      <c r="F90" s="2" t="inlineStr">
        <is>
          <t>Z</t>
        </is>
      </c>
      <c r="G90" s="3" t="inlineStr">
        <is>
          <t>0033</t>
        </is>
      </c>
      <c r="H90" s="4" t="n">
        <v>45444</v>
      </c>
      <c r="I90" s="2" t="inlineStr">
        <is>
          <t>13:45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  <c r="N90" s="5" t="n">
        <v>2024</v>
      </c>
      <c r="O90" s="6" t="inlineStr">
        <is>
          <t>2024-05</t>
        </is>
      </c>
    </row>
    <row r="91">
      <c r="A91" s="2" t="inlineStr">
        <is>
          <t>Z001_01_052024_MATURIN.CSV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FILE001</t>
        </is>
      </c>
      <c r="F91" s="2" t="inlineStr">
        <is>
          <t>Z</t>
        </is>
      </c>
      <c r="G91" s="3" t="inlineStr">
        <is>
          <t>0033</t>
        </is>
      </c>
      <c r="H91" s="4" t="n">
        <v>45444</v>
      </c>
      <c r="I91" s="2" t="inlineStr">
        <is>
          <t>13:45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  <c r="N91" s="5" t="n">
        <v>2024</v>
      </c>
      <c r="O91" s="6" t="inlineStr">
        <is>
          <t>2024-05</t>
        </is>
      </c>
    </row>
    <row r="92">
      <c r="A92" s="2" t="inlineStr">
        <is>
          <t>Z001_01_052024_MATURIN.CSV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FILE001</t>
        </is>
      </c>
      <c r="F92" s="2" t="inlineStr">
        <is>
          <t>Z</t>
        </is>
      </c>
      <c r="G92" s="3" t="inlineStr">
        <is>
          <t>0033</t>
        </is>
      </c>
      <c r="H92" s="4" t="n">
        <v>45444</v>
      </c>
      <c r="I92" s="2" t="inlineStr">
        <is>
          <t>13:45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  <c r="N92" s="5" t="n">
        <v>2024</v>
      </c>
      <c r="O92" s="6" t="inlineStr">
        <is>
          <t>2024-05</t>
        </is>
      </c>
    </row>
    <row r="93">
      <c r="A93" s="2" t="inlineStr">
        <is>
          <t>Z001_01_052024_MATURIN.CSV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FILE001</t>
        </is>
      </c>
      <c r="F93" s="2" t="inlineStr">
        <is>
          <t>Z</t>
        </is>
      </c>
      <c r="G93" s="3" t="inlineStr">
        <is>
          <t>0033</t>
        </is>
      </c>
      <c r="H93" s="4" t="n">
        <v>45444</v>
      </c>
      <c r="I93" s="2" t="inlineStr">
        <is>
          <t>13:45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  <c r="N93" s="5" t="n">
        <v>2024</v>
      </c>
      <c r="O93" s="6" t="inlineStr">
        <is>
          <t>2024-05</t>
        </is>
      </c>
    </row>
    <row r="94">
      <c r="A94" s="2" t="inlineStr">
        <is>
          <t>Z001_01_052024_MATURIN.CSV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FILE001</t>
        </is>
      </c>
      <c r="F94" s="2" t="inlineStr">
        <is>
          <t>Z</t>
        </is>
      </c>
      <c r="G94" s="3" t="inlineStr">
        <is>
          <t>0033</t>
        </is>
      </c>
      <c r="H94" s="4" t="n">
        <v>45444</v>
      </c>
      <c r="I94" s="2" t="inlineStr">
        <is>
          <t>13:45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  <c r="N94" s="5" t="n">
        <v>2024</v>
      </c>
      <c r="O94" s="6" t="inlineStr">
        <is>
          <t>2024-05</t>
        </is>
      </c>
    </row>
    <row r="95">
      <c r="A95" s="2" t="inlineStr">
        <is>
          <t>Z001_01_052024_MATURIN.CSV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FILE001</t>
        </is>
      </c>
      <c r="F95" s="2" t="inlineStr">
        <is>
          <t>Z</t>
        </is>
      </c>
      <c r="G95" s="3" t="inlineStr">
        <is>
          <t>0033</t>
        </is>
      </c>
      <c r="H95" s="4" t="n">
        <v>45444</v>
      </c>
      <c r="I95" s="2" t="inlineStr">
        <is>
          <t>13:45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  <c r="N95" s="5" t="n">
        <v>2024</v>
      </c>
      <c r="O95" s="6" t="inlineStr">
        <is>
          <t>2024-05</t>
        </is>
      </c>
    </row>
    <row r="96">
      <c r="A96" s="2" t="inlineStr">
        <is>
          <t>Z001_01_052024_MATURIN.CSV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FILE001</t>
        </is>
      </c>
      <c r="F96" s="2" t="inlineStr">
        <is>
          <t>Z</t>
        </is>
      </c>
      <c r="G96" s="3" t="inlineStr">
        <is>
          <t>0033</t>
        </is>
      </c>
      <c r="H96" s="4" t="n">
        <v>45444</v>
      </c>
      <c r="I96" s="2" t="inlineStr">
        <is>
          <t>13:45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  <c r="N96" s="5" t="n">
        <v>2024</v>
      </c>
      <c r="O96" s="6" t="inlineStr">
        <is>
          <t>2024-05</t>
        </is>
      </c>
    </row>
    <row r="97">
      <c r="A97" s="2" t="inlineStr">
        <is>
          <t>Z001_01_052024_MATURIN.CSV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FILE001</t>
        </is>
      </c>
      <c r="F97" s="2" t="inlineStr">
        <is>
          <t>Z</t>
        </is>
      </c>
      <c r="G97" s="3" t="inlineStr">
        <is>
          <t>0033</t>
        </is>
      </c>
      <c r="H97" s="4" t="n">
        <v>45444</v>
      </c>
      <c r="I97" s="2" t="inlineStr">
        <is>
          <t>13:45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  <c r="N97" s="5" t="n">
        <v>2024</v>
      </c>
      <c r="O97" s="6" t="inlineStr">
        <is>
          <t>2024-05</t>
        </is>
      </c>
    </row>
    <row r="98">
      <c r="A98" s="2" t="inlineStr">
        <is>
          <t>Z001_01_052024_MATURIN.CSV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FILE001</t>
        </is>
      </c>
      <c r="F98" s="2" t="inlineStr">
        <is>
          <t>Z</t>
        </is>
      </c>
      <c r="G98" s="3" t="inlineStr">
        <is>
          <t>0033</t>
        </is>
      </c>
      <c r="H98" s="4" t="n">
        <v>45444</v>
      </c>
      <c r="I98" s="2" t="inlineStr">
        <is>
          <t>13:45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  <c r="N98" s="5" t="n">
        <v>2024</v>
      </c>
      <c r="O98" s="6" t="inlineStr">
        <is>
          <t>2024-05</t>
        </is>
      </c>
    </row>
    <row r="99">
      <c r="A99" s="2" t="inlineStr">
        <is>
          <t>Z001_01_052024_MATURIN.CSV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FILE001</t>
        </is>
      </c>
      <c r="F99" s="2" t="inlineStr">
        <is>
          <t>Z</t>
        </is>
      </c>
      <c r="G99" s="3" t="inlineStr">
        <is>
          <t>0033</t>
        </is>
      </c>
      <c r="H99" s="4" t="n">
        <v>45444</v>
      </c>
      <c r="I99" s="2" t="inlineStr">
        <is>
          <t>13:45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  <c r="N99" s="5" t="n">
        <v>2024</v>
      </c>
      <c r="O99" s="6" t="inlineStr">
        <is>
          <t>2024-05</t>
        </is>
      </c>
    </row>
    <row r="100">
      <c r="A100" s="2" t="inlineStr">
        <is>
          <t>Z001_01_052024_MATURIN.CSV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FILE001</t>
        </is>
      </c>
      <c r="F100" s="2" t="inlineStr">
        <is>
          <t>Z</t>
        </is>
      </c>
      <c r="G100" s="3" t="inlineStr">
        <is>
          <t>0033</t>
        </is>
      </c>
      <c r="H100" s="4" t="n">
        <v>45444</v>
      </c>
      <c r="I100" s="2" t="inlineStr">
        <is>
          <t>13:45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  <c r="N100" s="5" t="n">
        <v>2024</v>
      </c>
      <c r="O100" s="6" t="inlineStr">
        <is>
          <t>2024-05</t>
        </is>
      </c>
    </row>
    <row r="101">
      <c r="A101" s="2" t="inlineStr">
        <is>
          <t>Z001_01_052024_MATURIN.CSV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FILE001</t>
        </is>
      </c>
      <c r="F101" s="2" t="inlineStr">
        <is>
          <t>Z</t>
        </is>
      </c>
      <c r="G101" s="3" t="inlineStr">
        <is>
          <t>0033</t>
        </is>
      </c>
      <c r="H101" s="4" t="n">
        <v>45444</v>
      </c>
      <c r="I101" s="2" t="inlineStr">
        <is>
          <t>13:45</t>
        </is>
      </c>
      <c r="J101" s="3" t="inlineStr">
        <is>
          <t>0018</t>
        </is>
      </c>
      <c r="K101" s="2" t="inlineStr">
        <is>
          <t>CLIENTS</t>
        </is>
      </c>
      <c r="L101" s="5" t="n">
        <v>25</v>
      </c>
      <c r="M101" s="6" t="n">
        <v>0</v>
      </c>
      <c r="N101" s="5" t="n">
        <v>2024</v>
      </c>
      <c r="O101" s="6" t="inlineStr">
        <is>
          <t>2024-05</t>
        </is>
      </c>
    </row>
    <row r="102">
      <c r="A102" s="2" t="inlineStr">
        <is>
          <t>Z001_01_052024_MATURIN.CSV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FILE001</t>
        </is>
      </c>
      <c r="F102" s="2" t="inlineStr">
        <is>
          <t>Z</t>
        </is>
      </c>
      <c r="G102" s="3" t="inlineStr">
        <is>
          <t>0033</t>
        </is>
      </c>
      <c r="H102" s="4" t="n">
        <v>45444</v>
      </c>
      <c r="I102" s="2" t="inlineStr">
        <is>
          <t>13:45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  <c r="N102" s="5" t="n">
        <v>2024</v>
      </c>
      <c r="O102" s="6" t="inlineStr">
        <is>
          <t>2024-05</t>
        </is>
      </c>
    </row>
    <row r="103">
      <c r="A103" s="2" t="inlineStr">
        <is>
          <t>Z001_01_052024_MATURIN.CSV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FILE001</t>
        </is>
      </c>
      <c r="F103" s="2" t="inlineStr">
        <is>
          <t>Z</t>
        </is>
      </c>
      <c r="G103" s="3" t="inlineStr">
        <is>
          <t>0033</t>
        </is>
      </c>
      <c r="H103" s="4" t="n">
        <v>45444</v>
      </c>
      <c r="I103" s="2" t="inlineStr">
        <is>
          <t>13:45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  <c r="N103" s="5" t="n">
        <v>2024</v>
      </c>
      <c r="O103" s="6" t="inlineStr">
        <is>
          <t>2024-05</t>
        </is>
      </c>
    </row>
    <row r="104">
      <c r="A104" s="2" t="inlineStr">
        <is>
          <t>Z001_01_052024_MATURIN.CSV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FILE001</t>
        </is>
      </c>
      <c r="F104" s="2" t="inlineStr">
        <is>
          <t>Z</t>
        </is>
      </c>
      <c r="G104" s="3" t="inlineStr">
        <is>
          <t>0033</t>
        </is>
      </c>
      <c r="H104" s="4" t="n">
        <v>45444</v>
      </c>
      <c r="I104" s="2" t="inlineStr">
        <is>
          <t>13:45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  <c r="N104" s="5" t="n">
        <v>2024</v>
      </c>
      <c r="O104" s="6" t="inlineStr">
        <is>
          <t>2024-05</t>
        </is>
      </c>
    </row>
    <row r="105">
      <c r="A105" s="2" t="inlineStr">
        <is>
          <t>Z001_01_052024_MATURIN.CSV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FILE001</t>
        </is>
      </c>
      <c r="F105" s="2" t="inlineStr">
        <is>
          <t>Z</t>
        </is>
      </c>
      <c r="G105" s="3" t="inlineStr">
        <is>
          <t>0033</t>
        </is>
      </c>
      <c r="H105" s="4" t="n">
        <v>45444</v>
      </c>
      <c r="I105" s="2" t="inlineStr">
        <is>
          <t>13:45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  <c r="N105" s="5" t="n">
        <v>2024</v>
      </c>
      <c r="O105" s="6" t="inlineStr">
        <is>
          <t>2024-05</t>
        </is>
      </c>
    </row>
    <row r="106">
      <c r="A106" s="2" t="inlineStr">
        <is>
          <t>Z001_01_052024_MATURIN.CSV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FILE001</t>
        </is>
      </c>
      <c r="F106" s="2" t="inlineStr">
        <is>
          <t>Z</t>
        </is>
      </c>
      <c r="G106" s="3" t="inlineStr">
        <is>
          <t>0033</t>
        </is>
      </c>
      <c r="H106" s="4" t="n">
        <v>45444</v>
      </c>
      <c r="I106" s="2" t="inlineStr">
        <is>
          <t>13:45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  <c r="N106" s="5" t="n">
        <v>2024</v>
      </c>
      <c r="O106" s="6" t="inlineStr">
        <is>
          <t>2024-05</t>
        </is>
      </c>
    </row>
    <row r="107">
      <c r="A107" s="2" t="inlineStr">
        <is>
          <t>Z001_01_052024_MATURIN.CSV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FILE001</t>
        </is>
      </c>
      <c r="F107" s="2" t="inlineStr">
        <is>
          <t>Z</t>
        </is>
      </c>
      <c r="G107" s="3" t="inlineStr">
        <is>
          <t>0033</t>
        </is>
      </c>
      <c r="H107" s="4" t="n">
        <v>45444</v>
      </c>
      <c r="I107" s="2" t="inlineStr">
        <is>
          <t>13:45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  <c r="N107" s="5" t="n">
        <v>2024</v>
      </c>
      <c r="O107" s="6" t="inlineStr">
        <is>
          <t>2024-05</t>
        </is>
      </c>
    </row>
    <row r="108">
      <c r="A108" s="2" t="inlineStr">
        <is>
          <t>Z001_01_052024_MATURIN.CSV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FILE001</t>
        </is>
      </c>
      <c r="F108" s="2" t="inlineStr">
        <is>
          <t>Z</t>
        </is>
      </c>
      <c r="G108" s="3" t="inlineStr">
        <is>
          <t>0033</t>
        </is>
      </c>
      <c r="H108" s="4" t="n">
        <v>45444</v>
      </c>
      <c r="I108" s="2" t="inlineStr">
        <is>
          <t>13:45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  <c r="N108" s="5" t="n">
        <v>2024</v>
      </c>
      <c r="O108" s="6" t="inlineStr">
        <is>
          <t>2024-05</t>
        </is>
      </c>
    </row>
    <row r="109">
      <c r="A109" s="2" t="inlineStr">
        <is>
          <t>Z001_01_052024_MATURIN.CSV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FILE001</t>
        </is>
      </c>
      <c r="F109" s="2" t="inlineStr">
        <is>
          <t>Z</t>
        </is>
      </c>
      <c r="G109" s="3" t="inlineStr">
        <is>
          <t>0033</t>
        </is>
      </c>
      <c r="H109" s="4" t="n">
        <v>45444</v>
      </c>
      <c r="I109" s="2" t="inlineStr">
        <is>
          <t>13:45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  <c r="N109" s="5" t="n">
        <v>2024</v>
      </c>
      <c r="O109" s="6" t="inlineStr">
        <is>
          <t>2024-05</t>
        </is>
      </c>
    </row>
    <row r="110">
      <c r="A110" s="2" t="inlineStr">
        <is>
          <t>Z001_01_052024_MATURIN.CSV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FILE001</t>
        </is>
      </c>
      <c r="F110" s="2" t="inlineStr">
        <is>
          <t>Z</t>
        </is>
      </c>
      <c r="G110" s="3" t="inlineStr">
        <is>
          <t>0033</t>
        </is>
      </c>
      <c r="H110" s="4" t="n">
        <v>45444</v>
      </c>
      <c r="I110" s="2" t="inlineStr">
        <is>
          <t>13:45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  <c r="N110" s="5" t="n">
        <v>2024</v>
      </c>
      <c r="O110" s="6" t="inlineStr">
        <is>
          <t>2024-05</t>
        </is>
      </c>
    </row>
    <row r="111">
      <c r="A111" s="2" t="inlineStr">
        <is>
          <t>Z001_01_052024_MATURIN.CSV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FILE001</t>
        </is>
      </c>
      <c r="F111" s="2" t="inlineStr">
        <is>
          <t>Z</t>
        </is>
      </c>
      <c r="G111" s="3" t="inlineStr">
        <is>
          <t>0033</t>
        </is>
      </c>
      <c r="H111" s="4" t="n">
        <v>45444</v>
      </c>
      <c r="I111" s="2" t="inlineStr">
        <is>
          <t>13:45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  <c r="N111" s="5" t="n">
        <v>2024</v>
      </c>
      <c r="O111" s="6" t="inlineStr">
        <is>
          <t>2024-05</t>
        </is>
      </c>
    </row>
    <row r="112">
      <c r="A112" s="2" t="inlineStr">
        <is>
          <t>Z001_01_052024_MATURIN.CSV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FILE001</t>
        </is>
      </c>
      <c r="F112" s="2" t="inlineStr">
        <is>
          <t>Z</t>
        </is>
      </c>
      <c r="G112" s="3" t="inlineStr">
        <is>
          <t>0033</t>
        </is>
      </c>
      <c r="H112" s="4" t="n">
        <v>45444</v>
      </c>
      <c r="I112" s="2" t="inlineStr">
        <is>
          <t>13:45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  <c r="N112" s="5" t="n">
        <v>2024</v>
      </c>
      <c r="O112" s="6" t="inlineStr">
        <is>
          <t>2024-05</t>
        </is>
      </c>
    </row>
    <row r="113">
      <c r="A113" s="2" t="inlineStr">
        <is>
          <t>Z001_01_052024_MATURIN.CSV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FILE001</t>
        </is>
      </c>
      <c r="F113" s="2" t="inlineStr">
        <is>
          <t>Z</t>
        </is>
      </c>
      <c r="G113" s="3" t="inlineStr">
        <is>
          <t>0033</t>
        </is>
      </c>
      <c r="H113" s="4" t="n">
        <v>45444</v>
      </c>
      <c r="I113" s="2" t="inlineStr">
        <is>
          <t>13:45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  <c r="N113" s="5" t="n">
        <v>2024</v>
      </c>
      <c r="O113" s="6" t="inlineStr">
        <is>
          <t>2024-05</t>
        </is>
      </c>
    </row>
    <row r="114">
      <c r="A114" s="2" t="inlineStr">
        <is>
          <t>Z001_01_052024_MATURIN.CSV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FILE001</t>
        </is>
      </c>
      <c r="F114" s="2" t="inlineStr">
        <is>
          <t>Z</t>
        </is>
      </c>
      <c r="G114" s="3" t="inlineStr">
        <is>
          <t>0033</t>
        </is>
      </c>
      <c r="H114" s="4" t="n">
        <v>45444</v>
      </c>
      <c r="I114" s="2" t="inlineStr">
        <is>
          <t>13:45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  <c r="N114" s="5" t="n">
        <v>2024</v>
      </c>
      <c r="O114" s="6" t="inlineStr">
        <is>
          <t>2024-05</t>
        </is>
      </c>
    </row>
    <row r="115">
      <c r="A115" s="2" t="inlineStr">
        <is>
          <t>Z001_01_052024_MATURIN.CSV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FILE001</t>
        </is>
      </c>
      <c r="F115" s="2" t="inlineStr">
        <is>
          <t>Z</t>
        </is>
      </c>
      <c r="G115" s="3" t="inlineStr">
        <is>
          <t>0033</t>
        </is>
      </c>
      <c r="H115" s="4" t="n">
        <v>45444</v>
      </c>
      <c r="I115" s="2" t="inlineStr">
        <is>
          <t>13:45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  <c r="N115" s="5" t="n">
        <v>2024</v>
      </c>
      <c r="O115" s="6" t="inlineStr">
        <is>
          <t>2024-05</t>
        </is>
      </c>
    </row>
    <row r="116">
      <c r="A116" s="2" t="inlineStr">
        <is>
          <t>Z001_01_052024_MATURIN.CSV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FILE001</t>
        </is>
      </c>
      <c r="F116" s="2" t="inlineStr">
        <is>
          <t>Z</t>
        </is>
      </c>
      <c r="G116" s="3" t="inlineStr">
        <is>
          <t>0033</t>
        </is>
      </c>
      <c r="H116" s="4" t="n">
        <v>45444</v>
      </c>
      <c r="I116" s="2" t="inlineStr">
        <is>
          <t>13:45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14081.67</v>
      </c>
      <c r="N116" s="5" t="n">
        <v>2024</v>
      </c>
      <c r="O116" s="6" t="inlineStr">
        <is>
          <t>2024-05</t>
        </is>
      </c>
    </row>
    <row r="117">
      <c r="A117" s="2" t="inlineStr">
        <is>
          <t>Z001_01_052024_MATURIN.CSV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FILE001</t>
        </is>
      </c>
      <c r="F117" s="2" t="inlineStr">
        <is>
          <t>Z</t>
        </is>
      </c>
      <c r="G117" s="3" t="inlineStr">
        <is>
          <t>0033</t>
        </is>
      </c>
      <c r="H117" s="4" t="n">
        <v>45444</v>
      </c>
      <c r="I117" s="2" t="inlineStr">
        <is>
          <t>13:45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2816.33</v>
      </c>
      <c r="N117" s="5" t="n">
        <v>2024</v>
      </c>
      <c r="O117" s="6" t="inlineStr">
        <is>
          <t>2024-05</t>
        </is>
      </c>
    </row>
    <row r="118">
      <c r="A118" s="2" t="inlineStr">
        <is>
          <t>Z001_01_052024_MATURIN.CSV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FILE001</t>
        </is>
      </c>
      <c r="F118" s="2" t="inlineStr">
        <is>
          <t>Z</t>
        </is>
      </c>
      <c r="G118" s="3" t="inlineStr">
        <is>
          <t>0033</t>
        </is>
      </c>
      <c r="H118" s="4" t="n">
        <v>45444</v>
      </c>
      <c r="I118" s="2" t="inlineStr">
        <is>
          <t>13:45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  <c r="N118" s="5" t="n">
        <v>2024</v>
      </c>
      <c r="O118" s="6" t="inlineStr">
        <is>
          <t>2024-05</t>
        </is>
      </c>
    </row>
    <row r="119">
      <c r="A119" s="2" t="inlineStr">
        <is>
          <t>Z001_01_052024_MATURIN.CSV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FILE001</t>
        </is>
      </c>
      <c r="F119" s="2" t="inlineStr">
        <is>
          <t>Z</t>
        </is>
      </c>
      <c r="G119" s="3" t="inlineStr">
        <is>
          <t>0033</t>
        </is>
      </c>
      <c r="H119" s="4" t="n">
        <v>45444</v>
      </c>
      <c r="I119" s="2" t="inlineStr">
        <is>
          <t>13:45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  <c r="N119" s="5" t="n">
        <v>2024</v>
      </c>
      <c r="O119" s="6" t="inlineStr">
        <is>
          <t>2024-05</t>
        </is>
      </c>
    </row>
    <row r="120">
      <c r="A120" s="2" t="inlineStr">
        <is>
          <t>Z001_01_052024_MATURIN.CSV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FILE001</t>
        </is>
      </c>
      <c r="F120" s="2" t="inlineStr">
        <is>
          <t>Z</t>
        </is>
      </c>
      <c r="G120" s="3" t="inlineStr">
        <is>
          <t>0033</t>
        </is>
      </c>
      <c r="H120" s="4" t="n">
        <v>45444</v>
      </c>
      <c r="I120" s="2" t="inlineStr">
        <is>
          <t>13:45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  <c r="N120" s="5" t="n">
        <v>2024</v>
      </c>
      <c r="O120" s="6" t="inlineStr">
        <is>
          <t>2024-05</t>
        </is>
      </c>
    </row>
    <row r="121">
      <c r="A121" s="2" t="inlineStr">
        <is>
          <t>Z001_01_052024_MATURIN.CSV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FILE001</t>
        </is>
      </c>
      <c r="F121" s="2" t="inlineStr">
        <is>
          <t>Z</t>
        </is>
      </c>
      <c r="G121" s="3" t="inlineStr">
        <is>
          <t>0033</t>
        </is>
      </c>
      <c r="H121" s="4" t="n">
        <v>45444</v>
      </c>
      <c r="I121" s="2" t="inlineStr">
        <is>
          <t>13:45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  <c r="N121" s="5" t="n">
        <v>2024</v>
      </c>
      <c r="O121" s="6" t="inlineStr">
        <is>
          <t>2024-05</t>
        </is>
      </c>
    </row>
    <row r="122">
      <c r="A122" s="2" t="inlineStr">
        <is>
          <t>Z001_01_052024_MATURIN.CSV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FILE001</t>
        </is>
      </c>
      <c r="F122" s="2" t="inlineStr">
        <is>
          <t>Z</t>
        </is>
      </c>
      <c r="G122" s="3" t="inlineStr">
        <is>
          <t>0033</t>
        </is>
      </c>
      <c r="H122" s="4" t="n">
        <v>45444</v>
      </c>
      <c r="I122" s="2" t="inlineStr">
        <is>
          <t>13:45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  <c r="N122" s="5" t="n">
        <v>2024</v>
      </c>
      <c r="O122" s="6" t="inlineStr">
        <is>
          <t>2024-05</t>
        </is>
      </c>
    </row>
    <row r="123">
      <c r="A123" s="2" t="inlineStr">
        <is>
          <t>Z001_01_052024_MATURIN.CSV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FILE001</t>
        </is>
      </c>
      <c r="F123" s="2" t="inlineStr">
        <is>
          <t>Z</t>
        </is>
      </c>
      <c r="G123" s="3" t="inlineStr">
        <is>
          <t>0033</t>
        </is>
      </c>
      <c r="H123" s="4" t="n">
        <v>45444</v>
      </c>
      <c r="I123" s="2" t="inlineStr">
        <is>
          <t>13:45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  <c r="N123" s="5" t="n">
        <v>2024</v>
      </c>
      <c r="O123" s="6" t="inlineStr">
        <is>
          <t>2024-05</t>
        </is>
      </c>
    </row>
    <row r="124">
      <c r="A124" s="2" t="inlineStr">
        <is>
          <t>Z001_01_052024_MATURIN.CSV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FILE001</t>
        </is>
      </c>
      <c r="F124" s="2" t="inlineStr">
        <is>
          <t>Z</t>
        </is>
      </c>
      <c r="G124" s="3" t="inlineStr">
        <is>
          <t>0033</t>
        </is>
      </c>
      <c r="H124" s="4" t="n">
        <v>45444</v>
      </c>
      <c r="I124" s="2" t="inlineStr">
        <is>
          <t>13:45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  <c r="N124" s="5" t="n">
        <v>2024</v>
      </c>
      <c r="O124" s="6" t="inlineStr">
        <is>
          <t>2024-05</t>
        </is>
      </c>
    </row>
    <row r="125">
      <c r="A125" s="2" t="inlineStr">
        <is>
          <t>Z001_01_062024_MATURIN.CSV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FILE001</t>
        </is>
      </c>
      <c r="F125" s="2" t="inlineStr">
        <is>
          <t>Z</t>
        </is>
      </c>
      <c r="G125" s="3" t="inlineStr">
        <is>
          <t>0034</t>
        </is>
      </c>
      <c r="H125" s="4" t="n">
        <v>45474</v>
      </c>
      <c r="I125" s="2" t="inlineStr">
        <is>
          <t>11:10</t>
        </is>
      </c>
      <c r="J125" s="3" t="inlineStr">
        <is>
          <t>0001</t>
        </is>
      </c>
      <c r="K125" s="2" t="inlineStr">
        <is>
          <t>CA BRUT</t>
        </is>
      </c>
      <c r="L125" s="5" t="n">
        <v>35</v>
      </c>
      <c r="M125" s="6" t="n">
        <v>33127.6</v>
      </c>
      <c r="N125" s="5" t="n">
        <v>2024</v>
      </c>
      <c r="O125" s="6" t="inlineStr">
        <is>
          <t>2024-06</t>
        </is>
      </c>
    </row>
    <row r="126">
      <c r="A126" s="2" t="inlineStr">
        <is>
          <t>Z001_01_062024_MATURIN.CSV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FILE001</t>
        </is>
      </c>
      <c r="F126" s="2" t="inlineStr">
        <is>
          <t>Z</t>
        </is>
      </c>
      <c r="G126" s="3" t="inlineStr">
        <is>
          <t>0034</t>
        </is>
      </c>
      <c r="H126" s="4" t="n">
        <v>45474</v>
      </c>
      <c r="I126" s="2" t="inlineStr">
        <is>
          <t>11:10</t>
        </is>
      </c>
      <c r="J126" s="3" t="inlineStr">
        <is>
          <t>0002</t>
        </is>
      </c>
      <c r="K126" s="2" t="inlineStr">
        <is>
          <t>CA NET</t>
        </is>
      </c>
      <c r="L126" s="5" t="n">
        <v>23</v>
      </c>
      <c r="M126" s="6" t="n">
        <v>33127.6</v>
      </c>
      <c r="N126" s="5" t="n">
        <v>2024</v>
      </c>
      <c r="O126" s="6" t="inlineStr">
        <is>
          <t>2024-06</t>
        </is>
      </c>
    </row>
    <row r="127">
      <c r="A127" s="2" t="inlineStr">
        <is>
          <t>Z001_01_062024_MATURIN.CSV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FILE001</t>
        </is>
      </c>
      <c r="F127" s="2" t="inlineStr">
        <is>
          <t>Z</t>
        </is>
      </c>
      <c r="G127" s="3" t="inlineStr">
        <is>
          <t>0034</t>
        </is>
      </c>
      <c r="H127" s="4" t="n">
        <v>45474</v>
      </c>
      <c r="I127" s="2" t="inlineStr">
        <is>
          <t>11:10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3010.8</v>
      </c>
      <c r="N127" s="5" t="n">
        <v>2024</v>
      </c>
      <c r="O127" s="6" t="inlineStr">
        <is>
          <t>2024-06</t>
        </is>
      </c>
    </row>
    <row r="128">
      <c r="A128" s="2" t="inlineStr">
        <is>
          <t>Z001_01_062024_MATURIN.CSV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FILE001</t>
        </is>
      </c>
      <c r="F128" s="2" t="inlineStr">
        <is>
          <t>Z</t>
        </is>
      </c>
      <c r="G128" s="3" t="inlineStr">
        <is>
          <t>0034</t>
        </is>
      </c>
      <c r="H128" s="4" t="n">
        <v>45474</v>
      </c>
      <c r="I128" s="2" t="inlineStr">
        <is>
          <t>11:10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30116.8</v>
      </c>
      <c r="N128" s="5" t="n">
        <v>2024</v>
      </c>
      <c r="O128" s="6" t="inlineStr">
        <is>
          <t>2024-06</t>
        </is>
      </c>
    </row>
    <row r="129">
      <c r="A129" s="2" t="inlineStr">
        <is>
          <t>Z001_01_062024_MATURIN.CSV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FILE001</t>
        </is>
      </c>
      <c r="F129" s="2" t="inlineStr">
        <is>
          <t>Z</t>
        </is>
      </c>
      <c r="G129" s="3" t="inlineStr">
        <is>
          <t>0034</t>
        </is>
      </c>
      <c r="H129" s="4" t="n">
        <v>45474</v>
      </c>
      <c r="I129" s="2" t="inlineStr">
        <is>
          <t>11:10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0</v>
      </c>
      <c r="N129" s="5" t="n">
        <v>2024</v>
      </c>
      <c r="O129" s="6" t="inlineStr">
        <is>
          <t>2024-06</t>
        </is>
      </c>
    </row>
    <row r="130">
      <c r="A130" s="2" t="inlineStr">
        <is>
          <t>Z001_01_062024_MATURIN.CSV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FILE001</t>
        </is>
      </c>
      <c r="F130" s="2" t="inlineStr">
        <is>
          <t>Z</t>
        </is>
      </c>
      <c r="G130" s="3" t="inlineStr">
        <is>
          <t>0034</t>
        </is>
      </c>
      <c r="H130" s="4" t="n">
        <v>45474</v>
      </c>
      <c r="I130" s="2" t="inlineStr">
        <is>
          <t>11:10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  <c r="N130" s="5" t="n">
        <v>2024</v>
      </c>
      <c r="O130" s="6" t="inlineStr">
        <is>
          <t>2024-06</t>
        </is>
      </c>
    </row>
    <row r="131">
      <c r="A131" s="2" t="inlineStr">
        <is>
          <t>Z001_01_062024_MATURIN.CSV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FILE001</t>
        </is>
      </c>
      <c r="F131" s="2" t="inlineStr">
        <is>
          <t>Z</t>
        </is>
      </c>
      <c r="G131" s="3" t="inlineStr">
        <is>
          <t>0034</t>
        </is>
      </c>
      <c r="H131" s="4" t="n">
        <v>45474</v>
      </c>
      <c r="I131" s="2" t="inlineStr">
        <is>
          <t>11:10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  <c r="N131" s="5" t="n">
        <v>2024</v>
      </c>
      <c r="O131" s="6" t="inlineStr">
        <is>
          <t>2024-06</t>
        </is>
      </c>
    </row>
    <row r="132">
      <c r="A132" s="2" t="inlineStr">
        <is>
          <t>Z001_01_062024_MATURIN.CSV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FILE001</t>
        </is>
      </c>
      <c r="F132" s="2" t="inlineStr">
        <is>
          <t>Z</t>
        </is>
      </c>
      <c r="G132" s="3" t="inlineStr">
        <is>
          <t>0034</t>
        </is>
      </c>
      <c r="H132" s="4" t="n">
        <v>45474</v>
      </c>
      <c r="I132" s="2" t="inlineStr">
        <is>
          <t>11:10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  <c r="N132" s="5" t="n">
        <v>2024</v>
      </c>
      <c r="O132" s="6" t="inlineStr">
        <is>
          <t>2024-06</t>
        </is>
      </c>
    </row>
    <row r="133">
      <c r="A133" s="2" t="inlineStr">
        <is>
          <t>Z001_01_062024_MATURIN.CSV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FILE001</t>
        </is>
      </c>
      <c r="F133" s="2" t="inlineStr">
        <is>
          <t>Z</t>
        </is>
      </c>
      <c r="G133" s="3" t="inlineStr">
        <is>
          <t>0034</t>
        </is>
      </c>
      <c r="H133" s="4" t="n">
        <v>45474</v>
      </c>
      <c r="I133" s="2" t="inlineStr">
        <is>
          <t>11:10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  <c r="N133" s="5" t="n">
        <v>2024</v>
      </c>
      <c r="O133" s="6" t="inlineStr">
        <is>
          <t>2024-06</t>
        </is>
      </c>
    </row>
    <row r="134">
      <c r="A134" s="2" t="inlineStr">
        <is>
          <t>Z001_01_062024_MATURIN.CSV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FILE001</t>
        </is>
      </c>
      <c r="F134" s="2" t="inlineStr">
        <is>
          <t>Z</t>
        </is>
      </c>
      <c r="G134" s="3" t="inlineStr">
        <is>
          <t>0034</t>
        </is>
      </c>
      <c r="H134" s="4" t="n">
        <v>45474</v>
      </c>
      <c r="I134" s="2" t="inlineStr">
        <is>
          <t>11:10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  <c r="N134" s="5" t="n">
        <v>2024</v>
      </c>
      <c r="O134" s="6" t="inlineStr">
        <is>
          <t>2024-06</t>
        </is>
      </c>
    </row>
    <row r="135">
      <c r="A135" s="2" t="inlineStr">
        <is>
          <t>Z001_01_062024_MATURIN.CSV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FILE001</t>
        </is>
      </c>
      <c r="F135" s="2" t="inlineStr">
        <is>
          <t>Z</t>
        </is>
      </c>
      <c r="G135" s="3" t="inlineStr">
        <is>
          <t>0034</t>
        </is>
      </c>
      <c r="H135" s="4" t="n">
        <v>45474</v>
      </c>
      <c r="I135" s="2" t="inlineStr">
        <is>
          <t>11:10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  <c r="N135" s="5" t="n">
        <v>2024</v>
      </c>
      <c r="O135" s="6" t="inlineStr">
        <is>
          <t>2024-06</t>
        </is>
      </c>
    </row>
    <row r="136">
      <c r="A136" s="2" t="inlineStr">
        <is>
          <t>Z001_01_062024_MATURIN.CSV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FILE001</t>
        </is>
      </c>
      <c r="F136" s="2" t="inlineStr">
        <is>
          <t>Z</t>
        </is>
      </c>
      <c r="G136" s="3" t="inlineStr">
        <is>
          <t>0034</t>
        </is>
      </c>
      <c r="H136" s="4" t="n">
        <v>45474</v>
      </c>
      <c r="I136" s="2" t="inlineStr">
        <is>
          <t>11:10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  <c r="N136" s="5" t="n">
        <v>2024</v>
      </c>
      <c r="O136" s="6" t="inlineStr">
        <is>
          <t>2024-06</t>
        </is>
      </c>
    </row>
    <row r="137">
      <c r="A137" s="2" t="inlineStr">
        <is>
          <t>Z001_01_062024_MATURIN.CSV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FILE001</t>
        </is>
      </c>
      <c r="F137" s="2" t="inlineStr">
        <is>
          <t>Z</t>
        </is>
      </c>
      <c r="G137" s="3" t="inlineStr">
        <is>
          <t>0034</t>
        </is>
      </c>
      <c r="H137" s="4" t="n">
        <v>45474</v>
      </c>
      <c r="I137" s="2" t="inlineStr">
        <is>
          <t>11:10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  <c r="N137" s="5" t="n">
        <v>2024</v>
      </c>
      <c r="O137" s="6" t="inlineStr">
        <is>
          <t>2024-06</t>
        </is>
      </c>
    </row>
    <row r="138">
      <c r="A138" s="2" t="inlineStr">
        <is>
          <t>Z001_01_062024_MATURIN.CSV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FILE001</t>
        </is>
      </c>
      <c r="F138" s="2" t="inlineStr">
        <is>
          <t>Z</t>
        </is>
      </c>
      <c r="G138" s="3" t="inlineStr">
        <is>
          <t>0034</t>
        </is>
      </c>
      <c r="H138" s="4" t="n">
        <v>45474</v>
      </c>
      <c r="I138" s="2" t="inlineStr">
        <is>
          <t>11:10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  <c r="N138" s="5" t="n">
        <v>2024</v>
      </c>
      <c r="O138" s="6" t="inlineStr">
        <is>
          <t>2024-06</t>
        </is>
      </c>
    </row>
    <row r="139">
      <c r="A139" s="2" t="inlineStr">
        <is>
          <t>Z001_01_062024_MATURIN.CSV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FILE001</t>
        </is>
      </c>
      <c r="F139" s="2" t="inlineStr">
        <is>
          <t>Z</t>
        </is>
      </c>
      <c r="G139" s="3" t="inlineStr">
        <is>
          <t>0034</t>
        </is>
      </c>
      <c r="H139" s="4" t="n">
        <v>45474</v>
      </c>
      <c r="I139" s="2" t="inlineStr">
        <is>
          <t>11:10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  <c r="N139" s="5" t="n">
        <v>2024</v>
      </c>
      <c r="O139" s="6" t="inlineStr">
        <is>
          <t>2024-06</t>
        </is>
      </c>
    </row>
    <row r="140">
      <c r="A140" s="2" t="inlineStr">
        <is>
          <t>Z001_01_062024_MATURIN.CSV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FILE001</t>
        </is>
      </c>
      <c r="F140" s="2" t="inlineStr">
        <is>
          <t>Z</t>
        </is>
      </c>
      <c r="G140" s="3" t="inlineStr">
        <is>
          <t>0034</t>
        </is>
      </c>
      <c r="H140" s="4" t="n">
        <v>45474</v>
      </c>
      <c r="I140" s="2" t="inlineStr">
        <is>
          <t>11:10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  <c r="N140" s="5" t="n">
        <v>2024</v>
      </c>
      <c r="O140" s="6" t="inlineStr">
        <is>
          <t>2024-06</t>
        </is>
      </c>
    </row>
    <row r="141">
      <c r="A141" s="2" t="inlineStr">
        <is>
          <t>Z001_01_062024_MATURIN.CSV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FILE001</t>
        </is>
      </c>
      <c r="F141" s="2" t="inlineStr">
        <is>
          <t>Z</t>
        </is>
      </c>
      <c r="G141" s="3" t="inlineStr">
        <is>
          <t>0034</t>
        </is>
      </c>
      <c r="H141" s="4" t="n">
        <v>45474</v>
      </c>
      <c r="I141" s="2" t="inlineStr">
        <is>
          <t>11:10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  <c r="N141" s="5" t="n">
        <v>2024</v>
      </c>
      <c r="O141" s="6" t="inlineStr">
        <is>
          <t>2024-06</t>
        </is>
      </c>
    </row>
    <row r="142">
      <c r="A142" s="2" t="inlineStr">
        <is>
          <t>Z001_01_062024_MATURIN.CSV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FILE001</t>
        </is>
      </c>
      <c r="F142" s="2" t="inlineStr">
        <is>
          <t>Z</t>
        </is>
      </c>
      <c r="G142" s="3" t="inlineStr">
        <is>
          <t>0034</t>
        </is>
      </c>
      <c r="H142" s="4" t="n">
        <v>45474</v>
      </c>
      <c r="I142" s="2" t="inlineStr">
        <is>
          <t>11:10</t>
        </is>
      </c>
      <c r="J142" s="3" t="inlineStr">
        <is>
          <t>0018</t>
        </is>
      </c>
      <c r="K142" s="2" t="inlineStr">
        <is>
          <t>CLIENTS</t>
        </is>
      </c>
      <c r="L142" s="5" t="n">
        <v>23</v>
      </c>
      <c r="M142" s="6" t="n">
        <v>0</v>
      </c>
      <c r="N142" s="5" t="n">
        <v>2024</v>
      </c>
      <c r="O142" s="6" t="inlineStr">
        <is>
          <t>2024-06</t>
        </is>
      </c>
    </row>
    <row r="143">
      <c r="A143" s="2" t="inlineStr">
        <is>
          <t>Z001_01_062024_MATURIN.CSV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FILE001</t>
        </is>
      </c>
      <c r="F143" s="2" t="inlineStr">
        <is>
          <t>Z</t>
        </is>
      </c>
      <c r="G143" s="3" t="inlineStr">
        <is>
          <t>0034</t>
        </is>
      </c>
      <c r="H143" s="4" t="n">
        <v>45474</v>
      </c>
      <c r="I143" s="2" t="inlineStr">
        <is>
          <t>11:10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  <c r="N143" s="5" t="n">
        <v>2024</v>
      </c>
      <c r="O143" s="6" t="inlineStr">
        <is>
          <t>2024-06</t>
        </is>
      </c>
    </row>
    <row r="144">
      <c r="A144" s="2" t="inlineStr">
        <is>
          <t>Z001_01_062024_MATURIN.CSV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FILE001</t>
        </is>
      </c>
      <c r="F144" s="2" t="inlineStr">
        <is>
          <t>Z</t>
        </is>
      </c>
      <c r="G144" s="3" t="inlineStr">
        <is>
          <t>0034</t>
        </is>
      </c>
      <c r="H144" s="4" t="n">
        <v>45474</v>
      </c>
      <c r="I144" s="2" t="inlineStr">
        <is>
          <t>11:10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  <c r="N144" s="5" t="n">
        <v>2024</v>
      </c>
      <c r="O144" s="6" t="inlineStr">
        <is>
          <t>2024-06</t>
        </is>
      </c>
    </row>
    <row r="145">
      <c r="A145" s="2" t="inlineStr">
        <is>
          <t>Z001_01_062024_MATURIN.CSV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FILE001</t>
        </is>
      </c>
      <c r="F145" s="2" t="inlineStr">
        <is>
          <t>Z</t>
        </is>
      </c>
      <c r="G145" s="3" t="inlineStr">
        <is>
          <t>0034</t>
        </is>
      </c>
      <c r="H145" s="4" t="n">
        <v>45474</v>
      </c>
      <c r="I145" s="2" t="inlineStr">
        <is>
          <t>11:10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  <c r="N145" s="5" t="n">
        <v>2024</v>
      </c>
      <c r="O145" s="6" t="inlineStr">
        <is>
          <t>2024-06</t>
        </is>
      </c>
    </row>
    <row r="146">
      <c r="A146" s="2" t="inlineStr">
        <is>
          <t>Z001_01_062024_MATURIN.CSV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FILE001</t>
        </is>
      </c>
      <c r="F146" s="2" t="inlineStr">
        <is>
          <t>Z</t>
        </is>
      </c>
      <c r="G146" s="3" t="inlineStr">
        <is>
          <t>0034</t>
        </is>
      </c>
      <c r="H146" s="4" t="n">
        <v>45474</v>
      </c>
      <c r="I146" s="2" t="inlineStr">
        <is>
          <t>11:10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  <c r="N146" s="5" t="n">
        <v>2024</v>
      </c>
      <c r="O146" s="6" t="inlineStr">
        <is>
          <t>2024-06</t>
        </is>
      </c>
    </row>
    <row r="147">
      <c r="A147" s="2" t="inlineStr">
        <is>
          <t>Z001_01_062024_MATURIN.CSV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FILE001</t>
        </is>
      </c>
      <c r="F147" s="2" t="inlineStr">
        <is>
          <t>Z</t>
        </is>
      </c>
      <c r="G147" s="3" t="inlineStr">
        <is>
          <t>0034</t>
        </is>
      </c>
      <c r="H147" s="4" t="n">
        <v>45474</v>
      </c>
      <c r="I147" s="2" t="inlineStr">
        <is>
          <t>11:10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  <c r="N147" s="5" t="n">
        <v>2024</v>
      </c>
      <c r="O147" s="6" t="inlineStr">
        <is>
          <t>2024-06</t>
        </is>
      </c>
    </row>
    <row r="148">
      <c r="A148" s="2" t="inlineStr">
        <is>
          <t>Z001_01_062024_MATURIN.CSV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FILE001</t>
        </is>
      </c>
      <c r="F148" s="2" t="inlineStr">
        <is>
          <t>Z</t>
        </is>
      </c>
      <c r="G148" s="3" t="inlineStr">
        <is>
          <t>0034</t>
        </is>
      </c>
      <c r="H148" s="4" t="n">
        <v>45474</v>
      </c>
      <c r="I148" s="2" t="inlineStr">
        <is>
          <t>11:10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  <c r="N148" s="5" t="n">
        <v>2024</v>
      </c>
      <c r="O148" s="6" t="inlineStr">
        <is>
          <t>2024-06</t>
        </is>
      </c>
    </row>
    <row r="149">
      <c r="A149" s="2" t="inlineStr">
        <is>
          <t>Z001_01_062024_MATURIN.CSV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FILE001</t>
        </is>
      </c>
      <c r="F149" s="2" t="inlineStr">
        <is>
          <t>Z</t>
        </is>
      </c>
      <c r="G149" s="3" t="inlineStr">
        <is>
          <t>0034</t>
        </is>
      </c>
      <c r="H149" s="4" t="n">
        <v>45474</v>
      </c>
      <c r="I149" s="2" t="inlineStr">
        <is>
          <t>11:10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  <c r="N149" s="5" t="n">
        <v>2024</v>
      </c>
      <c r="O149" s="6" t="inlineStr">
        <is>
          <t>2024-06</t>
        </is>
      </c>
    </row>
    <row r="150">
      <c r="A150" s="2" t="inlineStr">
        <is>
          <t>Z001_01_062024_MATURIN.CSV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FILE001</t>
        </is>
      </c>
      <c r="F150" s="2" t="inlineStr">
        <is>
          <t>Z</t>
        </is>
      </c>
      <c r="G150" s="3" t="inlineStr">
        <is>
          <t>0034</t>
        </is>
      </c>
      <c r="H150" s="4" t="n">
        <v>45474</v>
      </c>
      <c r="I150" s="2" t="inlineStr">
        <is>
          <t>11:10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  <c r="N150" s="5" t="n">
        <v>2024</v>
      </c>
      <c r="O150" s="6" t="inlineStr">
        <is>
          <t>2024-06</t>
        </is>
      </c>
    </row>
    <row r="151">
      <c r="A151" s="2" t="inlineStr">
        <is>
          <t>Z001_01_062024_MATURIN.CSV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FILE001</t>
        </is>
      </c>
      <c r="F151" s="2" t="inlineStr">
        <is>
          <t>Z</t>
        </is>
      </c>
      <c r="G151" s="3" t="inlineStr">
        <is>
          <t>0034</t>
        </is>
      </c>
      <c r="H151" s="4" t="n">
        <v>45474</v>
      </c>
      <c r="I151" s="2" t="inlineStr">
        <is>
          <t>11:10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  <c r="N151" s="5" t="n">
        <v>2024</v>
      </c>
      <c r="O151" s="6" t="inlineStr">
        <is>
          <t>2024-06</t>
        </is>
      </c>
    </row>
    <row r="152">
      <c r="A152" s="2" t="inlineStr">
        <is>
          <t>Z001_01_062024_MATURIN.CSV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FILE001</t>
        </is>
      </c>
      <c r="F152" s="2" t="inlineStr">
        <is>
          <t>Z</t>
        </is>
      </c>
      <c r="G152" s="3" t="inlineStr">
        <is>
          <t>0034</t>
        </is>
      </c>
      <c r="H152" s="4" t="n">
        <v>45474</v>
      </c>
      <c r="I152" s="2" t="inlineStr">
        <is>
          <t>11:10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  <c r="N152" s="5" t="n">
        <v>2024</v>
      </c>
      <c r="O152" s="6" t="inlineStr">
        <is>
          <t>2024-06</t>
        </is>
      </c>
    </row>
    <row r="153">
      <c r="A153" s="2" t="inlineStr">
        <is>
          <t>Z001_01_062024_MATURIN.CSV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FILE001</t>
        </is>
      </c>
      <c r="F153" s="2" t="inlineStr">
        <is>
          <t>Z</t>
        </is>
      </c>
      <c r="G153" s="3" t="inlineStr">
        <is>
          <t>0034</t>
        </is>
      </c>
      <c r="H153" s="4" t="n">
        <v>45474</v>
      </c>
      <c r="I153" s="2" t="inlineStr">
        <is>
          <t>11:10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  <c r="N153" s="5" t="n">
        <v>2024</v>
      </c>
      <c r="O153" s="6" t="inlineStr">
        <is>
          <t>2024-06</t>
        </is>
      </c>
    </row>
    <row r="154">
      <c r="A154" s="2" t="inlineStr">
        <is>
          <t>Z001_01_062024_MATURIN.CSV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FILE001</t>
        </is>
      </c>
      <c r="F154" s="2" t="inlineStr">
        <is>
          <t>Z</t>
        </is>
      </c>
      <c r="G154" s="3" t="inlineStr">
        <is>
          <t>0034</t>
        </is>
      </c>
      <c r="H154" s="4" t="n">
        <v>45474</v>
      </c>
      <c r="I154" s="2" t="inlineStr">
        <is>
          <t>11:10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  <c r="N154" s="5" t="n">
        <v>2024</v>
      </c>
      <c r="O154" s="6" t="inlineStr">
        <is>
          <t>2024-06</t>
        </is>
      </c>
    </row>
    <row r="155">
      <c r="A155" s="2" t="inlineStr">
        <is>
          <t>Z001_01_062024_MATURIN.CSV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FILE001</t>
        </is>
      </c>
      <c r="F155" s="2" t="inlineStr">
        <is>
          <t>Z</t>
        </is>
      </c>
      <c r="G155" s="3" t="inlineStr">
        <is>
          <t>0034</t>
        </is>
      </c>
      <c r="H155" s="4" t="n">
        <v>45474</v>
      </c>
      <c r="I155" s="2" t="inlineStr">
        <is>
          <t>11:10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  <c r="N155" s="5" t="n">
        <v>2024</v>
      </c>
      <c r="O155" s="6" t="inlineStr">
        <is>
          <t>2024-06</t>
        </is>
      </c>
    </row>
    <row r="156">
      <c r="A156" s="2" t="inlineStr">
        <is>
          <t>Z001_01_062024_MATURIN.CSV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FILE001</t>
        </is>
      </c>
      <c r="F156" s="2" t="inlineStr">
        <is>
          <t>Z</t>
        </is>
      </c>
      <c r="G156" s="3" t="inlineStr">
        <is>
          <t>0034</t>
        </is>
      </c>
      <c r="H156" s="4" t="n">
        <v>45474</v>
      </c>
      <c r="I156" s="2" t="inlineStr">
        <is>
          <t>11:10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  <c r="N156" s="5" t="n">
        <v>2024</v>
      </c>
      <c r="O156" s="6" t="inlineStr">
        <is>
          <t>2024-06</t>
        </is>
      </c>
    </row>
    <row r="157">
      <c r="A157" s="2" t="inlineStr">
        <is>
          <t>Z001_01_062024_MATURIN.CSV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FILE001</t>
        </is>
      </c>
      <c r="F157" s="2" t="inlineStr">
        <is>
          <t>Z</t>
        </is>
      </c>
      <c r="G157" s="3" t="inlineStr">
        <is>
          <t>0034</t>
        </is>
      </c>
      <c r="H157" s="4" t="n">
        <v>45474</v>
      </c>
      <c r="I157" s="2" t="inlineStr">
        <is>
          <t>11:10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27606.34</v>
      </c>
      <c r="N157" s="5" t="n">
        <v>2024</v>
      </c>
      <c r="O157" s="6" t="inlineStr">
        <is>
          <t>2024-06</t>
        </is>
      </c>
    </row>
    <row r="158">
      <c r="A158" s="2" t="inlineStr">
        <is>
          <t>Z001_01_062024_MATURIN.CSV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FILE001</t>
        </is>
      </c>
      <c r="F158" s="2" t="inlineStr">
        <is>
          <t>Z</t>
        </is>
      </c>
      <c r="G158" s="3" t="inlineStr">
        <is>
          <t>0034</t>
        </is>
      </c>
      <c r="H158" s="4" t="n">
        <v>45474</v>
      </c>
      <c r="I158" s="2" t="inlineStr">
        <is>
          <t>11:10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5521.26</v>
      </c>
      <c r="N158" s="5" t="n">
        <v>2024</v>
      </c>
      <c r="O158" s="6" t="inlineStr">
        <is>
          <t>2024-06</t>
        </is>
      </c>
    </row>
    <row r="159">
      <c r="A159" s="2" t="inlineStr">
        <is>
          <t>Z001_01_062024_MATURIN.CSV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FILE001</t>
        </is>
      </c>
      <c r="F159" s="2" t="inlineStr">
        <is>
          <t>Z</t>
        </is>
      </c>
      <c r="G159" s="3" t="inlineStr">
        <is>
          <t>0034</t>
        </is>
      </c>
      <c r="H159" s="4" t="n">
        <v>45474</v>
      </c>
      <c r="I159" s="2" t="inlineStr">
        <is>
          <t>11:10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  <c r="N159" s="5" t="n">
        <v>2024</v>
      </c>
      <c r="O159" s="6" t="inlineStr">
        <is>
          <t>2024-06</t>
        </is>
      </c>
    </row>
    <row r="160">
      <c r="A160" s="2" t="inlineStr">
        <is>
          <t>Z001_01_062024_MATURIN.CSV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FILE001</t>
        </is>
      </c>
      <c r="F160" s="2" t="inlineStr">
        <is>
          <t>Z</t>
        </is>
      </c>
      <c r="G160" s="3" t="inlineStr">
        <is>
          <t>0034</t>
        </is>
      </c>
      <c r="H160" s="4" t="n">
        <v>45474</v>
      </c>
      <c r="I160" s="2" t="inlineStr">
        <is>
          <t>11:10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  <c r="N160" s="5" t="n">
        <v>2024</v>
      </c>
      <c r="O160" s="6" t="inlineStr">
        <is>
          <t>2024-06</t>
        </is>
      </c>
    </row>
    <row r="161">
      <c r="A161" s="2" t="inlineStr">
        <is>
          <t>Z001_01_062024_MATURIN.CSV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FILE001</t>
        </is>
      </c>
      <c r="F161" s="2" t="inlineStr">
        <is>
          <t>Z</t>
        </is>
      </c>
      <c r="G161" s="3" t="inlineStr">
        <is>
          <t>0034</t>
        </is>
      </c>
      <c r="H161" s="4" t="n">
        <v>45474</v>
      </c>
      <c r="I161" s="2" t="inlineStr">
        <is>
          <t>11:10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  <c r="N161" s="5" t="n">
        <v>2024</v>
      </c>
      <c r="O161" s="6" t="inlineStr">
        <is>
          <t>2024-06</t>
        </is>
      </c>
    </row>
    <row r="162">
      <c r="A162" s="2" t="inlineStr">
        <is>
          <t>Z001_01_062024_MATURIN.CSV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FILE001</t>
        </is>
      </c>
      <c r="F162" s="2" t="inlineStr">
        <is>
          <t>Z</t>
        </is>
      </c>
      <c r="G162" s="3" t="inlineStr">
        <is>
          <t>0034</t>
        </is>
      </c>
      <c r="H162" s="4" t="n">
        <v>45474</v>
      </c>
      <c r="I162" s="2" t="inlineStr">
        <is>
          <t>11:10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  <c r="N162" s="5" t="n">
        <v>2024</v>
      </c>
      <c r="O162" s="6" t="inlineStr">
        <is>
          <t>2024-06</t>
        </is>
      </c>
    </row>
    <row r="163">
      <c r="A163" s="2" t="inlineStr">
        <is>
          <t>Z001_01_062024_MATURIN.CSV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FILE001</t>
        </is>
      </c>
      <c r="F163" s="2" t="inlineStr">
        <is>
          <t>Z</t>
        </is>
      </c>
      <c r="G163" s="3" t="inlineStr">
        <is>
          <t>0034</t>
        </is>
      </c>
      <c r="H163" s="4" t="n">
        <v>45474</v>
      </c>
      <c r="I163" s="2" t="inlineStr">
        <is>
          <t>11:10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  <c r="N163" s="5" t="n">
        <v>2024</v>
      </c>
      <c r="O163" s="6" t="inlineStr">
        <is>
          <t>2024-06</t>
        </is>
      </c>
    </row>
    <row r="164">
      <c r="A164" s="2" t="inlineStr">
        <is>
          <t>Z001_01_062024_MATURIN.CSV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FILE001</t>
        </is>
      </c>
      <c r="F164" s="2" t="inlineStr">
        <is>
          <t>Z</t>
        </is>
      </c>
      <c r="G164" s="3" t="inlineStr">
        <is>
          <t>0034</t>
        </is>
      </c>
      <c r="H164" s="4" t="n">
        <v>45474</v>
      </c>
      <c r="I164" s="2" t="inlineStr">
        <is>
          <t>11:10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  <c r="N164" s="5" t="n">
        <v>2024</v>
      </c>
      <c r="O164" s="6" t="inlineStr">
        <is>
          <t>2024-06</t>
        </is>
      </c>
    </row>
    <row r="165">
      <c r="A165" s="2" t="inlineStr">
        <is>
          <t>Z001_01_062024_MATURIN.CSV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FILE001</t>
        </is>
      </c>
      <c r="F165" s="2" t="inlineStr">
        <is>
          <t>Z</t>
        </is>
      </c>
      <c r="G165" s="3" t="inlineStr">
        <is>
          <t>0034</t>
        </is>
      </c>
      <c r="H165" s="4" t="n">
        <v>45474</v>
      </c>
      <c r="I165" s="2" t="inlineStr">
        <is>
          <t>11:10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  <c r="N165" s="5" t="n">
        <v>2024</v>
      </c>
      <c r="O165" s="6" t="inlineStr">
        <is>
          <t>2024-06</t>
        </is>
      </c>
    </row>
    <row r="166">
      <c r="A166" s="2" t="inlineStr">
        <is>
          <t>Z001_01_072024_MATURIN.CSV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FILE001</t>
        </is>
      </c>
      <c r="F166" s="2" t="inlineStr">
        <is>
          <t>Z</t>
        </is>
      </c>
      <c r="G166" s="3" t="inlineStr">
        <is>
          <t>0035</t>
        </is>
      </c>
      <c r="H166" s="4" t="n">
        <v>45505</v>
      </c>
      <c r="I166" s="2" t="inlineStr">
        <is>
          <t>09:51</t>
        </is>
      </c>
      <c r="J166" s="3" t="inlineStr">
        <is>
          <t>0001</t>
        </is>
      </c>
      <c r="K166" s="2" t="inlineStr">
        <is>
          <t>CA BRUT</t>
        </is>
      </c>
      <c r="L166" s="5" t="n">
        <v>61</v>
      </c>
      <c r="M166" s="6" t="n">
        <v>43074</v>
      </c>
      <c r="N166" s="5" t="n">
        <v>2024</v>
      </c>
      <c r="O166" s="6" t="inlineStr">
        <is>
          <t>2024-07</t>
        </is>
      </c>
    </row>
    <row r="167">
      <c r="A167" s="2" t="inlineStr">
        <is>
          <t>Z001_01_072024_MATURIN.CSV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FILE001</t>
        </is>
      </c>
      <c r="F167" s="2" t="inlineStr">
        <is>
          <t>Z</t>
        </is>
      </c>
      <c r="G167" s="3" t="inlineStr">
        <is>
          <t>0035</t>
        </is>
      </c>
      <c r="H167" s="4" t="n">
        <v>45505</v>
      </c>
      <c r="I167" s="2" t="inlineStr">
        <is>
          <t>09:51</t>
        </is>
      </c>
      <c r="J167" s="3" t="inlineStr">
        <is>
          <t>0002</t>
        </is>
      </c>
      <c r="K167" s="2" t="inlineStr">
        <is>
          <t>CA NET</t>
        </is>
      </c>
      <c r="L167" s="5" t="n">
        <v>29</v>
      </c>
      <c r="M167" s="6" t="n">
        <v>43074</v>
      </c>
      <c r="N167" s="5" t="n">
        <v>2024</v>
      </c>
      <c r="O167" s="6" t="inlineStr">
        <is>
          <t>2024-07</t>
        </is>
      </c>
    </row>
    <row r="168">
      <c r="A168" s="2" t="inlineStr">
        <is>
          <t>Z001_01_072024_MATURIN.CSV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FILE001</t>
        </is>
      </c>
      <c r="F168" s="2" t="inlineStr">
        <is>
          <t>Z</t>
        </is>
      </c>
      <c r="G168" s="3" t="inlineStr">
        <is>
          <t>0035</t>
        </is>
      </c>
      <c r="H168" s="4" t="n">
        <v>45505</v>
      </c>
      <c r="I168" s="2" t="inlineStr">
        <is>
          <t>09:51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11275</v>
      </c>
      <c r="N168" s="5" t="n">
        <v>2024</v>
      </c>
      <c r="O168" s="6" t="inlineStr">
        <is>
          <t>2024-07</t>
        </is>
      </c>
    </row>
    <row r="169">
      <c r="A169" s="2" t="inlineStr">
        <is>
          <t>Z001_01_072024_MATURIN.CSV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FILE001</t>
        </is>
      </c>
      <c r="F169" s="2" t="inlineStr">
        <is>
          <t>Z</t>
        </is>
      </c>
      <c r="G169" s="3" t="inlineStr">
        <is>
          <t>0035</t>
        </is>
      </c>
      <c r="H169" s="4" t="n">
        <v>45505</v>
      </c>
      <c r="I169" s="2" t="inlineStr">
        <is>
          <t>09:51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31799</v>
      </c>
      <c r="N169" s="5" t="n">
        <v>2024</v>
      </c>
      <c r="O169" s="6" t="inlineStr">
        <is>
          <t>2024-07</t>
        </is>
      </c>
    </row>
    <row r="170">
      <c r="A170" s="2" t="inlineStr">
        <is>
          <t>Z001_01_072024_MATURIN.CSV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FILE001</t>
        </is>
      </c>
      <c r="F170" s="2" t="inlineStr">
        <is>
          <t>Z</t>
        </is>
      </c>
      <c r="G170" s="3" t="inlineStr">
        <is>
          <t>0035</t>
        </is>
      </c>
      <c r="H170" s="4" t="n">
        <v>45505</v>
      </c>
      <c r="I170" s="2" t="inlineStr">
        <is>
          <t>09:51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  <c r="N170" s="5" t="n">
        <v>2024</v>
      </c>
      <c r="O170" s="6" t="inlineStr">
        <is>
          <t>2024-07</t>
        </is>
      </c>
    </row>
    <row r="171">
      <c r="A171" s="2" t="inlineStr">
        <is>
          <t>Z001_01_072024_MATURIN.CSV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FILE001</t>
        </is>
      </c>
      <c r="F171" s="2" t="inlineStr">
        <is>
          <t>Z</t>
        </is>
      </c>
      <c r="G171" s="3" t="inlineStr">
        <is>
          <t>0035</t>
        </is>
      </c>
      <c r="H171" s="4" t="n">
        <v>45505</v>
      </c>
      <c r="I171" s="2" t="inlineStr">
        <is>
          <t>09:51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  <c r="N171" s="5" t="n">
        <v>2024</v>
      </c>
      <c r="O171" s="6" t="inlineStr">
        <is>
          <t>2024-07</t>
        </is>
      </c>
    </row>
    <row r="172">
      <c r="A172" s="2" t="inlineStr">
        <is>
          <t>Z001_01_072024_MATURIN.CSV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FILE001</t>
        </is>
      </c>
      <c r="F172" s="2" t="inlineStr">
        <is>
          <t>Z</t>
        </is>
      </c>
      <c r="G172" s="3" t="inlineStr">
        <is>
          <t>0035</t>
        </is>
      </c>
      <c r="H172" s="4" t="n">
        <v>45505</v>
      </c>
      <c r="I172" s="2" t="inlineStr">
        <is>
          <t>09:51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  <c r="N172" s="5" t="n">
        <v>2024</v>
      </c>
      <c r="O172" s="6" t="inlineStr">
        <is>
          <t>2024-07</t>
        </is>
      </c>
    </row>
    <row r="173">
      <c r="A173" s="2" t="inlineStr">
        <is>
          <t>Z001_01_072024_MATURIN.CSV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FILE001</t>
        </is>
      </c>
      <c r="F173" s="2" t="inlineStr">
        <is>
          <t>Z</t>
        </is>
      </c>
      <c r="G173" s="3" t="inlineStr">
        <is>
          <t>0035</t>
        </is>
      </c>
      <c r="H173" s="4" t="n">
        <v>45505</v>
      </c>
      <c r="I173" s="2" t="inlineStr">
        <is>
          <t>09:51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  <c r="N173" s="5" t="n">
        <v>2024</v>
      </c>
      <c r="O173" s="6" t="inlineStr">
        <is>
          <t>2024-07</t>
        </is>
      </c>
    </row>
    <row r="174">
      <c r="A174" s="2" t="inlineStr">
        <is>
          <t>Z001_01_072024_MATURIN.CSV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FILE001</t>
        </is>
      </c>
      <c r="F174" s="2" t="inlineStr">
        <is>
          <t>Z</t>
        </is>
      </c>
      <c r="G174" s="3" t="inlineStr">
        <is>
          <t>0035</t>
        </is>
      </c>
      <c r="H174" s="4" t="n">
        <v>45505</v>
      </c>
      <c r="I174" s="2" t="inlineStr">
        <is>
          <t>09:51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  <c r="N174" s="5" t="n">
        <v>2024</v>
      </c>
      <c r="O174" s="6" t="inlineStr">
        <is>
          <t>2024-07</t>
        </is>
      </c>
    </row>
    <row r="175">
      <c r="A175" s="2" t="inlineStr">
        <is>
          <t>Z001_01_072024_MATURIN.CSV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FILE001</t>
        </is>
      </c>
      <c r="F175" s="2" t="inlineStr">
        <is>
          <t>Z</t>
        </is>
      </c>
      <c r="G175" s="3" t="inlineStr">
        <is>
          <t>0035</t>
        </is>
      </c>
      <c r="H175" s="4" t="n">
        <v>45505</v>
      </c>
      <c r="I175" s="2" t="inlineStr">
        <is>
          <t>09:51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  <c r="N175" s="5" t="n">
        <v>2024</v>
      </c>
      <c r="O175" s="6" t="inlineStr">
        <is>
          <t>2024-07</t>
        </is>
      </c>
    </row>
    <row r="176">
      <c r="A176" s="2" t="inlineStr">
        <is>
          <t>Z001_01_072024_MATURIN.CSV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FILE001</t>
        </is>
      </c>
      <c r="F176" s="2" t="inlineStr">
        <is>
          <t>Z</t>
        </is>
      </c>
      <c r="G176" s="3" t="inlineStr">
        <is>
          <t>0035</t>
        </is>
      </c>
      <c r="H176" s="4" t="n">
        <v>45505</v>
      </c>
      <c r="I176" s="2" t="inlineStr">
        <is>
          <t>09:51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  <c r="N176" s="5" t="n">
        <v>2024</v>
      </c>
      <c r="O176" s="6" t="inlineStr">
        <is>
          <t>2024-07</t>
        </is>
      </c>
    </row>
    <row r="177">
      <c r="A177" s="2" t="inlineStr">
        <is>
          <t>Z001_01_072024_MATURIN.CSV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FILE001</t>
        </is>
      </c>
      <c r="F177" s="2" t="inlineStr">
        <is>
          <t>Z</t>
        </is>
      </c>
      <c r="G177" s="3" t="inlineStr">
        <is>
          <t>0035</t>
        </is>
      </c>
      <c r="H177" s="4" t="n">
        <v>45505</v>
      </c>
      <c r="I177" s="2" t="inlineStr">
        <is>
          <t>09:51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  <c r="N177" s="5" t="n">
        <v>2024</v>
      </c>
      <c r="O177" s="6" t="inlineStr">
        <is>
          <t>2024-07</t>
        </is>
      </c>
    </row>
    <row r="178">
      <c r="A178" s="2" t="inlineStr">
        <is>
          <t>Z001_01_072024_MATURIN.CSV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FILE001</t>
        </is>
      </c>
      <c r="F178" s="2" t="inlineStr">
        <is>
          <t>Z</t>
        </is>
      </c>
      <c r="G178" s="3" t="inlineStr">
        <is>
          <t>0035</t>
        </is>
      </c>
      <c r="H178" s="4" t="n">
        <v>45505</v>
      </c>
      <c r="I178" s="2" t="inlineStr">
        <is>
          <t>09:51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  <c r="N178" s="5" t="n">
        <v>2024</v>
      </c>
      <c r="O178" s="6" t="inlineStr">
        <is>
          <t>2024-07</t>
        </is>
      </c>
    </row>
    <row r="179">
      <c r="A179" s="2" t="inlineStr">
        <is>
          <t>Z001_01_072024_MATURIN.CSV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FILE001</t>
        </is>
      </c>
      <c r="F179" s="2" t="inlineStr">
        <is>
          <t>Z</t>
        </is>
      </c>
      <c r="G179" s="3" t="inlineStr">
        <is>
          <t>0035</t>
        </is>
      </c>
      <c r="H179" s="4" t="n">
        <v>45505</v>
      </c>
      <c r="I179" s="2" t="inlineStr">
        <is>
          <t>09:51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  <c r="N179" s="5" t="n">
        <v>2024</v>
      </c>
      <c r="O179" s="6" t="inlineStr">
        <is>
          <t>2024-07</t>
        </is>
      </c>
    </row>
    <row r="180">
      <c r="A180" s="2" t="inlineStr">
        <is>
          <t>Z001_01_072024_MATURIN.CSV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FILE001</t>
        </is>
      </c>
      <c r="F180" s="2" t="inlineStr">
        <is>
          <t>Z</t>
        </is>
      </c>
      <c r="G180" s="3" t="inlineStr">
        <is>
          <t>0035</t>
        </is>
      </c>
      <c r="H180" s="4" t="n">
        <v>45505</v>
      </c>
      <c r="I180" s="2" t="inlineStr">
        <is>
          <t>09:51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  <c r="N180" s="5" t="n">
        <v>2024</v>
      </c>
      <c r="O180" s="6" t="inlineStr">
        <is>
          <t>2024-07</t>
        </is>
      </c>
    </row>
    <row r="181">
      <c r="A181" s="2" t="inlineStr">
        <is>
          <t>Z001_01_072024_MATURIN.CSV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FILE001</t>
        </is>
      </c>
      <c r="F181" s="2" t="inlineStr">
        <is>
          <t>Z</t>
        </is>
      </c>
      <c r="G181" s="3" t="inlineStr">
        <is>
          <t>0035</t>
        </is>
      </c>
      <c r="H181" s="4" t="n">
        <v>45505</v>
      </c>
      <c r="I181" s="2" t="inlineStr">
        <is>
          <t>09:51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  <c r="N181" s="5" t="n">
        <v>2024</v>
      </c>
      <c r="O181" s="6" t="inlineStr">
        <is>
          <t>2024-07</t>
        </is>
      </c>
    </row>
    <row r="182">
      <c r="A182" s="2" t="inlineStr">
        <is>
          <t>Z001_01_072024_MATURIN.CSV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FILE001</t>
        </is>
      </c>
      <c r="F182" s="2" t="inlineStr">
        <is>
          <t>Z</t>
        </is>
      </c>
      <c r="G182" s="3" t="inlineStr">
        <is>
          <t>0035</t>
        </is>
      </c>
      <c r="H182" s="4" t="n">
        <v>45505</v>
      </c>
      <c r="I182" s="2" t="inlineStr">
        <is>
          <t>09:51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  <c r="N182" s="5" t="n">
        <v>2024</v>
      </c>
      <c r="O182" s="6" t="inlineStr">
        <is>
          <t>2024-07</t>
        </is>
      </c>
    </row>
    <row r="183">
      <c r="A183" s="2" t="inlineStr">
        <is>
          <t>Z001_01_072024_MATURIN.CSV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FILE001</t>
        </is>
      </c>
      <c r="F183" s="2" t="inlineStr">
        <is>
          <t>Z</t>
        </is>
      </c>
      <c r="G183" s="3" t="inlineStr">
        <is>
          <t>0035</t>
        </is>
      </c>
      <c r="H183" s="4" t="n">
        <v>45505</v>
      </c>
      <c r="I183" s="2" t="inlineStr">
        <is>
          <t>09:51</t>
        </is>
      </c>
      <c r="J183" s="3" t="inlineStr">
        <is>
          <t>0018</t>
        </is>
      </c>
      <c r="K183" s="2" t="inlineStr">
        <is>
          <t>CLIENTS</t>
        </is>
      </c>
      <c r="L183" s="5" t="n">
        <v>29</v>
      </c>
      <c r="M183" s="6" t="n">
        <v>0</v>
      </c>
      <c r="N183" s="5" t="n">
        <v>2024</v>
      </c>
      <c r="O183" s="6" t="inlineStr">
        <is>
          <t>2024-07</t>
        </is>
      </c>
    </row>
    <row r="184">
      <c r="A184" s="2" t="inlineStr">
        <is>
          <t>Z001_01_072024_MATURIN.CSV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FILE001</t>
        </is>
      </c>
      <c r="F184" s="2" t="inlineStr">
        <is>
          <t>Z</t>
        </is>
      </c>
      <c r="G184" s="3" t="inlineStr">
        <is>
          <t>0035</t>
        </is>
      </c>
      <c r="H184" s="4" t="n">
        <v>45505</v>
      </c>
      <c r="I184" s="2" t="inlineStr">
        <is>
          <t>09:51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  <c r="N184" s="5" t="n">
        <v>2024</v>
      </c>
      <c r="O184" s="6" t="inlineStr">
        <is>
          <t>2024-07</t>
        </is>
      </c>
    </row>
    <row r="185">
      <c r="A185" s="2" t="inlineStr">
        <is>
          <t>Z001_01_072024_MATURIN.CSV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FILE001</t>
        </is>
      </c>
      <c r="F185" s="2" t="inlineStr">
        <is>
          <t>Z</t>
        </is>
      </c>
      <c r="G185" s="3" t="inlineStr">
        <is>
          <t>0035</t>
        </is>
      </c>
      <c r="H185" s="4" t="n">
        <v>45505</v>
      </c>
      <c r="I185" s="2" t="inlineStr">
        <is>
          <t>09:51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  <c r="N185" s="5" t="n">
        <v>2024</v>
      </c>
      <c r="O185" s="6" t="inlineStr">
        <is>
          <t>2024-07</t>
        </is>
      </c>
    </row>
    <row r="186">
      <c r="A186" s="2" t="inlineStr">
        <is>
          <t>Z001_01_072024_MATURIN.CSV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FILE001</t>
        </is>
      </c>
      <c r="F186" s="2" t="inlineStr">
        <is>
          <t>Z</t>
        </is>
      </c>
      <c r="G186" s="3" t="inlineStr">
        <is>
          <t>0035</t>
        </is>
      </c>
      <c r="H186" s="4" t="n">
        <v>45505</v>
      </c>
      <c r="I186" s="2" t="inlineStr">
        <is>
          <t>09:51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  <c r="N186" s="5" t="n">
        <v>2024</v>
      </c>
      <c r="O186" s="6" t="inlineStr">
        <is>
          <t>2024-07</t>
        </is>
      </c>
    </row>
    <row r="187">
      <c r="A187" s="2" t="inlineStr">
        <is>
          <t>Z001_01_072024_MATURIN.CSV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FILE001</t>
        </is>
      </c>
      <c r="F187" s="2" t="inlineStr">
        <is>
          <t>Z</t>
        </is>
      </c>
      <c r="G187" s="3" t="inlineStr">
        <is>
          <t>0035</t>
        </is>
      </c>
      <c r="H187" s="4" t="n">
        <v>45505</v>
      </c>
      <c r="I187" s="2" t="inlineStr">
        <is>
          <t>09:51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  <c r="N187" s="5" t="n">
        <v>2024</v>
      </c>
      <c r="O187" s="6" t="inlineStr">
        <is>
          <t>2024-07</t>
        </is>
      </c>
    </row>
    <row r="188">
      <c r="A188" s="2" t="inlineStr">
        <is>
          <t>Z001_01_072024_MATURIN.CSV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FILE001</t>
        </is>
      </c>
      <c r="F188" s="2" t="inlineStr">
        <is>
          <t>Z</t>
        </is>
      </c>
      <c r="G188" s="3" t="inlineStr">
        <is>
          <t>0035</t>
        </is>
      </c>
      <c r="H188" s="4" t="n">
        <v>45505</v>
      </c>
      <c r="I188" s="2" t="inlineStr">
        <is>
          <t>09:51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  <c r="N188" s="5" t="n">
        <v>2024</v>
      </c>
      <c r="O188" s="6" t="inlineStr">
        <is>
          <t>2024-07</t>
        </is>
      </c>
    </row>
    <row r="189">
      <c r="A189" s="2" t="inlineStr">
        <is>
          <t>Z001_01_072024_MATURIN.CSV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FILE001</t>
        </is>
      </c>
      <c r="F189" s="2" t="inlineStr">
        <is>
          <t>Z</t>
        </is>
      </c>
      <c r="G189" s="3" t="inlineStr">
        <is>
          <t>0035</t>
        </is>
      </c>
      <c r="H189" s="4" t="n">
        <v>45505</v>
      </c>
      <c r="I189" s="2" t="inlineStr">
        <is>
          <t>09:51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  <c r="N189" s="5" t="n">
        <v>2024</v>
      </c>
      <c r="O189" s="6" t="inlineStr">
        <is>
          <t>2024-07</t>
        </is>
      </c>
    </row>
    <row r="190">
      <c r="A190" s="2" t="inlineStr">
        <is>
          <t>Z001_01_072024_MATURIN.CSV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FILE001</t>
        </is>
      </c>
      <c r="F190" s="2" t="inlineStr">
        <is>
          <t>Z</t>
        </is>
      </c>
      <c r="G190" s="3" t="inlineStr">
        <is>
          <t>0035</t>
        </is>
      </c>
      <c r="H190" s="4" t="n">
        <v>45505</v>
      </c>
      <c r="I190" s="2" t="inlineStr">
        <is>
          <t>09:51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  <c r="N190" s="5" t="n">
        <v>2024</v>
      </c>
      <c r="O190" s="6" t="inlineStr">
        <is>
          <t>2024-07</t>
        </is>
      </c>
    </row>
    <row r="191">
      <c r="A191" s="2" t="inlineStr">
        <is>
          <t>Z001_01_072024_MATURIN.CSV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FILE001</t>
        </is>
      </c>
      <c r="F191" s="2" t="inlineStr">
        <is>
          <t>Z</t>
        </is>
      </c>
      <c r="G191" s="3" t="inlineStr">
        <is>
          <t>0035</t>
        </is>
      </c>
      <c r="H191" s="4" t="n">
        <v>45505</v>
      </c>
      <c r="I191" s="2" t="inlineStr">
        <is>
          <t>09:51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  <c r="N191" s="5" t="n">
        <v>2024</v>
      </c>
      <c r="O191" s="6" t="inlineStr">
        <is>
          <t>2024-07</t>
        </is>
      </c>
    </row>
    <row r="192">
      <c r="A192" s="2" t="inlineStr">
        <is>
          <t>Z001_01_072024_MATURIN.CSV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FILE001</t>
        </is>
      </c>
      <c r="F192" s="2" t="inlineStr">
        <is>
          <t>Z</t>
        </is>
      </c>
      <c r="G192" s="3" t="inlineStr">
        <is>
          <t>0035</t>
        </is>
      </c>
      <c r="H192" s="4" t="n">
        <v>45505</v>
      </c>
      <c r="I192" s="2" t="inlineStr">
        <is>
          <t>09:51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  <c r="N192" s="5" t="n">
        <v>2024</v>
      </c>
      <c r="O192" s="6" t="inlineStr">
        <is>
          <t>2024-07</t>
        </is>
      </c>
    </row>
    <row r="193">
      <c r="A193" s="2" t="inlineStr">
        <is>
          <t>Z001_01_072024_MATURIN.CSV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FILE001</t>
        </is>
      </c>
      <c r="F193" s="2" t="inlineStr">
        <is>
          <t>Z</t>
        </is>
      </c>
      <c r="G193" s="3" t="inlineStr">
        <is>
          <t>0035</t>
        </is>
      </c>
      <c r="H193" s="4" t="n">
        <v>45505</v>
      </c>
      <c r="I193" s="2" t="inlineStr">
        <is>
          <t>09:51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  <c r="N193" s="5" t="n">
        <v>2024</v>
      </c>
      <c r="O193" s="6" t="inlineStr">
        <is>
          <t>2024-07</t>
        </is>
      </c>
    </row>
    <row r="194">
      <c r="A194" s="2" t="inlineStr">
        <is>
          <t>Z001_01_072024_MATURIN.CSV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FILE001</t>
        </is>
      </c>
      <c r="F194" s="2" t="inlineStr">
        <is>
          <t>Z</t>
        </is>
      </c>
      <c r="G194" s="3" t="inlineStr">
        <is>
          <t>0035</t>
        </is>
      </c>
      <c r="H194" s="4" t="n">
        <v>45505</v>
      </c>
      <c r="I194" s="2" t="inlineStr">
        <is>
          <t>09:51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  <c r="N194" s="5" t="n">
        <v>2024</v>
      </c>
      <c r="O194" s="6" t="inlineStr">
        <is>
          <t>2024-07</t>
        </is>
      </c>
    </row>
    <row r="195">
      <c r="A195" s="2" t="inlineStr">
        <is>
          <t>Z001_01_072024_MATURIN.CSV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FILE001</t>
        </is>
      </c>
      <c r="F195" s="2" t="inlineStr">
        <is>
          <t>Z</t>
        </is>
      </c>
      <c r="G195" s="3" t="inlineStr">
        <is>
          <t>0035</t>
        </is>
      </c>
      <c r="H195" s="4" t="n">
        <v>45505</v>
      </c>
      <c r="I195" s="2" t="inlineStr">
        <is>
          <t>09:51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  <c r="N195" s="5" t="n">
        <v>2024</v>
      </c>
      <c r="O195" s="6" t="inlineStr">
        <is>
          <t>2024-07</t>
        </is>
      </c>
    </row>
    <row r="196">
      <c r="A196" s="2" t="inlineStr">
        <is>
          <t>Z001_01_072024_MATURIN.CSV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FILE001</t>
        </is>
      </c>
      <c r="F196" s="2" t="inlineStr">
        <is>
          <t>Z</t>
        </is>
      </c>
      <c r="G196" s="3" t="inlineStr">
        <is>
          <t>0035</t>
        </is>
      </c>
      <c r="H196" s="4" t="n">
        <v>45505</v>
      </c>
      <c r="I196" s="2" t="inlineStr">
        <is>
          <t>09:51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  <c r="N196" s="5" t="n">
        <v>2024</v>
      </c>
      <c r="O196" s="6" t="inlineStr">
        <is>
          <t>2024-07</t>
        </is>
      </c>
    </row>
    <row r="197">
      <c r="A197" s="2" t="inlineStr">
        <is>
          <t>Z001_01_072024_MATURIN.CSV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FILE001</t>
        </is>
      </c>
      <c r="F197" s="2" t="inlineStr">
        <is>
          <t>Z</t>
        </is>
      </c>
      <c r="G197" s="3" t="inlineStr">
        <is>
          <t>0035</t>
        </is>
      </c>
      <c r="H197" s="4" t="n">
        <v>45505</v>
      </c>
      <c r="I197" s="2" t="inlineStr">
        <is>
          <t>09:51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  <c r="N197" s="5" t="n">
        <v>2024</v>
      </c>
      <c r="O197" s="6" t="inlineStr">
        <is>
          <t>2024-07</t>
        </is>
      </c>
    </row>
    <row r="198">
      <c r="A198" s="2" t="inlineStr">
        <is>
          <t>Z001_01_072024_MATURIN.CSV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FILE001</t>
        </is>
      </c>
      <c r="F198" s="2" t="inlineStr">
        <is>
          <t>Z</t>
        </is>
      </c>
      <c r="G198" s="3" t="inlineStr">
        <is>
          <t>0035</t>
        </is>
      </c>
      <c r="H198" s="4" t="n">
        <v>45505</v>
      </c>
      <c r="I198" s="2" t="inlineStr">
        <is>
          <t>09:51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35895.02</v>
      </c>
      <c r="N198" s="5" t="n">
        <v>2024</v>
      </c>
      <c r="O198" s="6" t="inlineStr">
        <is>
          <t>2024-07</t>
        </is>
      </c>
    </row>
    <row r="199">
      <c r="A199" s="2" t="inlineStr">
        <is>
          <t>Z001_01_072024_MATURIN.CSV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FILE001</t>
        </is>
      </c>
      <c r="F199" s="2" t="inlineStr">
        <is>
          <t>Z</t>
        </is>
      </c>
      <c r="G199" s="3" t="inlineStr">
        <is>
          <t>0035</t>
        </is>
      </c>
      <c r="H199" s="4" t="n">
        <v>45505</v>
      </c>
      <c r="I199" s="2" t="inlineStr">
        <is>
          <t>09:51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7178.98</v>
      </c>
      <c r="N199" s="5" t="n">
        <v>2024</v>
      </c>
      <c r="O199" s="6" t="inlineStr">
        <is>
          <t>2024-07</t>
        </is>
      </c>
    </row>
    <row r="200">
      <c r="A200" s="2" t="inlineStr">
        <is>
          <t>Z001_01_072024_MATURIN.CSV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FILE001</t>
        </is>
      </c>
      <c r="F200" s="2" t="inlineStr">
        <is>
          <t>Z</t>
        </is>
      </c>
      <c r="G200" s="3" t="inlineStr">
        <is>
          <t>0035</t>
        </is>
      </c>
      <c r="H200" s="4" t="n">
        <v>45505</v>
      </c>
      <c r="I200" s="2" t="inlineStr">
        <is>
          <t>09:51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  <c r="N200" s="5" t="n">
        <v>2024</v>
      </c>
      <c r="O200" s="6" t="inlineStr">
        <is>
          <t>2024-07</t>
        </is>
      </c>
    </row>
    <row r="201">
      <c r="A201" s="2" t="inlineStr">
        <is>
          <t>Z001_01_072024_MATURIN.CSV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FILE001</t>
        </is>
      </c>
      <c r="F201" s="2" t="inlineStr">
        <is>
          <t>Z</t>
        </is>
      </c>
      <c r="G201" s="3" t="inlineStr">
        <is>
          <t>0035</t>
        </is>
      </c>
      <c r="H201" s="4" t="n">
        <v>45505</v>
      </c>
      <c r="I201" s="2" t="inlineStr">
        <is>
          <t>09:51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  <c r="N201" s="5" t="n">
        <v>2024</v>
      </c>
      <c r="O201" s="6" t="inlineStr">
        <is>
          <t>2024-07</t>
        </is>
      </c>
    </row>
    <row r="202">
      <c r="A202" s="2" t="inlineStr">
        <is>
          <t>Z001_01_072024_MATURIN.CSV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FILE001</t>
        </is>
      </c>
      <c r="F202" s="2" t="inlineStr">
        <is>
          <t>Z</t>
        </is>
      </c>
      <c r="G202" s="3" t="inlineStr">
        <is>
          <t>0035</t>
        </is>
      </c>
      <c r="H202" s="4" t="n">
        <v>45505</v>
      </c>
      <c r="I202" s="2" t="inlineStr">
        <is>
          <t>09:51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  <c r="N202" s="5" t="n">
        <v>2024</v>
      </c>
      <c r="O202" s="6" t="inlineStr">
        <is>
          <t>2024-07</t>
        </is>
      </c>
    </row>
    <row r="203">
      <c r="A203" s="2" t="inlineStr">
        <is>
          <t>Z001_01_072024_MATURIN.CSV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FILE001</t>
        </is>
      </c>
      <c r="F203" s="2" t="inlineStr">
        <is>
          <t>Z</t>
        </is>
      </c>
      <c r="G203" s="3" t="inlineStr">
        <is>
          <t>0035</t>
        </is>
      </c>
      <c r="H203" s="4" t="n">
        <v>45505</v>
      </c>
      <c r="I203" s="2" t="inlineStr">
        <is>
          <t>09:51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  <c r="N203" s="5" t="n">
        <v>2024</v>
      </c>
      <c r="O203" s="6" t="inlineStr">
        <is>
          <t>2024-07</t>
        </is>
      </c>
    </row>
    <row r="204">
      <c r="A204" s="2" t="inlineStr">
        <is>
          <t>Z001_01_072024_MATURIN.CSV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FILE001</t>
        </is>
      </c>
      <c r="F204" s="2" t="inlineStr">
        <is>
          <t>Z</t>
        </is>
      </c>
      <c r="G204" s="3" t="inlineStr">
        <is>
          <t>0035</t>
        </is>
      </c>
      <c r="H204" s="4" t="n">
        <v>45505</v>
      </c>
      <c r="I204" s="2" t="inlineStr">
        <is>
          <t>09:51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  <c r="N204" s="5" t="n">
        <v>2024</v>
      </c>
      <c r="O204" s="6" t="inlineStr">
        <is>
          <t>2024-07</t>
        </is>
      </c>
    </row>
    <row r="205">
      <c r="A205" s="2" t="inlineStr">
        <is>
          <t>Z001_01_072024_MATURIN.CSV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FILE001</t>
        </is>
      </c>
      <c r="F205" s="2" t="inlineStr">
        <is>
          <t>Z</t>
        </is>
      </c>
      <c r="G205" s="3" t="inlineStr">
        <is>
          <t>0035</t>
        </is>
      </c>
      <c r="H205" s="4" t="n">
        <v>45505</v>
      </c>
      <c r="I205" s="2" t="inlineStr">
        <is>
          <t>09:51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  <c r="N205" s="5" t="n">
        <v>2024</v>
      </c>
      <c r="O205" s="6" t="inlineStr">
        <is>
          <t>2024-07</t>
        </is>
      </c>
    </row>
    <row r="206">
      <c r="A206" s="2" t="inlineStr">
        <is>
          <t>Z001_01_072024_MATURIN.CSV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FILE001</t>
        </is>
      </c>
      <c r="F206" s="2" t="inlineStr">
        <is>
          <t>Z</t>
        </is>
      </c>
      <c r="G206" s="3" t="inlineStr">
        <is>
          <t>0035</t>
        </is>
      </c>
      <c r="H206" s="4" t="n">
        <v>45505</v>
      </c>
      <c r="I206" s="2" t="inlineStr">
        <is>
          <t>09:51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  <c r="N206" s="5" t="n">
        <v>2024</v>
      </c>
      <c r="O206" s="6" t="inlineStr">
        <is>
          <t>2024-07</t>
        </is>
      </c>
    </row>
    <row r="207">
      <c r="A207" s="2" t="inlineStr">
        <is>
          <t>Z001_02_032024_MATURIN.CSV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FILE001</t>
        </is>
      </c>
      <c r="F207" s="2" t="inlineStr">
        <is>
          <t>Z</t>
        </is>
      </c>
      <c r="G207" s="3" t="inlineStr">
        <is>
          <t>0031</t>
        </is>
      </c>
      <c r="H207" s="4" t="n">
        <v>45384</v>
      </c>
      <c r="I207" s="2" t="inlineStr">
        <is>
          <t>14:09</t>
        </is>
      </c>
      <c r="J207" s="3" t="inlineStr">
        <is>
          <t>0001</t>
        </is>
      </c>
      <c r="K207" s="2" t="inlineStr">
        <is>
          <t>CA BRUT</t>
        </is>
      </c>
      <c r="L207" s="5" t="n">
        <v>67</v>
      </c>
      <c r="M207" s="6" t="n">
        <v>18249.4</v>
      </c>
      <c r="N207" s="5" t="n">
        <v>2024</v>
      </c>
      <c r="O207" s="6" t="inlineStr">
        <is>
          <t>2024-03</t>
        </is>
      </c>
    </row>
    <row r="208">
      <c r="A208" s="2" t="inlineStr">
        <is>
          <t>Z001_02_032024_MATURIN.CSV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FILE001</t>
        </is>
      </c>
      <c r="F208" s="2" t="inlineStr">
        <is>
          <t>Z</t>
        </is>
      </c>
      <c r="G208" s="3" t="inlineStr">
        <is>
          <t>0031</t>
        </is>
      </c>
      <c r="H208" s="4" t="n">
        <v>45384</v>
      </c>
      <c r="I208" s="2" t="inlineStr">
        <is>
          <t>14:09</t>
        </is>
      </c>
      <c r="J208" s="3" t="inlineStr">
        <is>
          <t>0002</t>
        </is>
      </c>
      <c r="K208" s="2" t="inlineStr">
        <is>
          <t>CA NET</t>
        </is>
      </c>
      <c r="L208" s="5" t="n">
        <v>30</v>
      </c>
      <c r="M208" s="6" t="n">
        <v>18249.4</v>
      </c>
      <c r="N208" s="5" t="n">
        <v>2024</v>
      </c>
      <c r="O208" s="6" t="inlineStr">
        <is>
          <t>2024-03</t>
        </is>
      </c>
    </row>
    <row r="209">
      <c r="A209" s="2" t="inlineStr">
        <is>
          <t>Z001_02_032024_MATURIN.CSV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FILE001</t>
        </is>
      </c>
      <c r="F209" s="2" t="inlineStr">
        <is>
          <t>Z</t>
        </is>
      </c>
      <c r="G209" s="3" t="inlineStr">
        <is>
          <t>0031</t>
        </is>
      </c>
      <c r="H209" s="4" t="n">
        <v>45384</v>
      </c>
      <c r="I209" s="2" t="inlineStr">
        <is>
          <t>14:09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8540.9</v>
      </c>
      <c r="N209" s="5" t="n">
        <v>2024</v>
      </c>
      <c r="O209" s="6" t="inlineStr">
        <is>
          <t>2024-03</t>
        </is>
      </c>
    </row>
    <row r="210">
      <c r="A210" s="2" t="inlineStr">
        <is>
          <t>Z001_02_032024_MATURIN.CSV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FILE001</t>
        </is>
      </c>
      <c r="F210" s="2" t="inlineStr">
        <is>
          <t>Z</t>
        </is>
      </c>
      <c r="G210" s="3" t="inlineStr">
        <is>
          <t>0031</t>
        </is>
      </c>
      <c r="H210" s="4" t="n">
        <v>45384</v>
      </c>
      <c r="I210" s="2" t="inlineStr">
        <is>
          <t>14:09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9708.5</v>
      </c>
      <c r="N210" s="5" t="n">
        <v>2024</v>
      </c>
      <c r="O210" s="6" t="inlineStr">
        <is>
          <t>2024-03</t>
        </is>
      </c>
    </row>
    <row r="211">
      <c r="A211" s="2" t="inlineStr">
        <is>
          <t>Z001_02_032024_MATURIN.CSV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FILE001</t>
        </is>
      </c>
      <c r="F211" s="2" t="inlineStr">
        <is>
          <t>Z</t>
        </is>
      </c>
      <c r="G211" s="3" t="inlineStr">
        <is>
          <t>0031</t>
        </is>
      </c>
      <c r="H211" s="4" t="n">
        <v>45384</v>
      </c>
      <c r="I211" s="2" t="inlineStr">
        <is>
          <t>14:09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0</v>
      </c>
      <c r="N211" s="5" t="n">
        <v>2024</v>
      </c>
      <c r="O211" s="6" t="inlineStr">
        <is>
          <t>2024-03</t>
        </is>
      </c>
    </row>
    <row r="212">
      <c r="A212" s="2" t="inlineStr">
        <is>
          <t>Z001_02_032024_MATURIN.CSV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FILE001</t>
        </is>
      </c>
      <c r="F212" s="2" t="inlineStr">
        <is>
          <t>Z</t>
        </is>
      </c>
      <c r="G212" s="3" t="inlineStr">
        <is>
          <t>0031</t>
        </is>
      </c>
      <c r="H212" s="4" t="n">
        <v>45384</v>
      </c>
      <c r="I212" s="2" t="inlineStr">
        <is>
          <t>14:09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  <c r="N212" s="5" t="n">
        <v>2024</v>
      </c>
      <c r="O212" s="6" t="inlineStr">
        <is>
          <t>2024-03</t>
        </is>
      </c>
    </row>
    <row r="213">
      <c r="A213" s="2" t="inlineStr">
        <is>
          <t>Z001_02_032024_MATURIN.CSV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FILE001</t>
        </is>
      </c>
      <c r="F213" s="2" t="inlineStr">
        <is>
          <t>Z</t>
        </is>
      </c>
      <c r="G213" s="3" t="inlineStr">
        <is>
          <t>0031</t>
        </is>
      </c>
      <c r="H213" s="4" t="n">
        <v>45384</v>
      </c>
      <c r="I213" s="2" t="inlineStr">
        <is>
          <t>14:09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  <c r="N213" s="5" t="n">
        <v>2024</v>
      </c>
      <c r="O213" s="6" t="inlineStr">
        <is>
          <t>2024-03</t>
        </is>
      </c>
    </row>
    <row r="214">
      <c r="A214" s="2" t="inlineStr">
        <is>
          <t>Z001_02_032024_MATURIN.CSV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FILE001</t>
        </is>
      </c>
      <c r="F214" s="2" t="inlineStr">
        <is>
          <t>Z</t>
        </is>
      </c>
      <c r="G214" s="3" t="inlineStr">
        <is>
          <t>0031</t>
        </is>
      </c>
      <c r="H214" s="4" t="n">
        <v>45384</v>
      </c>
      <c r="I214" s="2" t="inlineStr">
        <is>
          <t>14:09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  <c r="N214" s="5" t="n">
        <v>2024</v>
      </c>
      <c r="O214" s="6" t="inlineStr">
        <is>
          <t>2024-03</t>
        </is>
      </c>
    </row>
    <row r="215">
      <c r="A215" s="2" t="inlineStr">
        <is>
          <t>Z001_02_032024_MATURIN.CSV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FILE001</t>
        </is>
      </c>
      <c r="F215" s="2" t="inlineStr">
        <is>
          <t>Z</t>
        </is>
      </c>
      <c r="G215" s="3" t="inlineStr">
        <is>
          <t>0031</t>
        </is>
      </c>
      <c r="H215" s="4" t="n">
        <v>45384</v>
      </c>
      <c r="I215" s="2" t="inlineStr">
        <is>
          <t>14:09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  <c r="N215" s="5" t="n">
        <v>2024</v>
      </c>
      <c r="O215" s="6" t="inlineStr">
        <is>
          <t>2024-03</t>
        </is>
      </c>
    </row>
    <row r="216">
      <c r="A216" s="2" t="inlineStr">
        <is>
          <t>Z001_02_032024_MATURIN.CSV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FILE001</t>
        </is>
      </c>
      <c r="F216" s="2" t="inlineStr">
        <is>
          <t>Z</t>
        </is>
      </c>
      <c r="G216" s="3" t="inlineStr">
        <is>
          <t>0031</t>
        </is>
      </c>
      <c r="H216" s="4" t="n">
        <v>45384</v>
      </c>
      <c r="I216" s="2" t="inlineStr">
        <is>
          <t>14:09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  <c r="N216" s="5" t="n">
        <v>2024</v>
      </c>
      <c r="O216" s="6" t="inlineStr">
        <is>
          <t>2024-03</t>
        </is>
      </c>
    </row>
    <row r="217">
      <c r="A217" s="2" t="inlineStr">
        <is>
          <t>Z001_02_032024_MATURIN.CSV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FILE001</t>
        </is>
      </c>
      <c r="F217" s="2" t="inlineStr">
        <is>
          <t>Z</t>
        </is>
      </c>
      <c r="G217" s="3" t="inlineStr">
        <is>
          <t>0031</t>
        </is>
      </c>
      <c r="H217" s="4" t="n">
        <v>45384</v>
      </c>
      <c r="I217" s="2" t="inlineStr">
        <is>
          <t>14:09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  <c r="N217" s="5" t="n">
        <v>2024</v>
      </c>
      <c r="O217" s="6" t="inlineStr">
        <is>
          <t>2024-03</t>
        </is>
      </c>
    </row>
    <row r="218">
      <c r="A218" s="2" t="inlineStr">
        <is>
          <t>Z001_02_032024_MATURIN.CSV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FILE001</t>
        </is>
      </c>
      <c r="F218" s="2" t="inlineStr">
        <is>
          <t>Z</t>
        </is>
      </c>
      <c r="G218" s="3" t="inlineStr">
        <is>
          <t>0031</t>
        </is>
      </c>
      <c r="H218" s="4" t="n">
        <v>45384</v>
      </c>
      <c r="I218" s="2" t="inlineStr">
        <is>
          <t>14:09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  <c r="N218" s="5" t="n">
        <v>2024</v>
      </c>
      <c r="O218" s="6" t="inlineStr">
        <is>
          <t>2024-03</t>
        </is>
      </c>
    </row>
    <row r="219">
      <c r="A219" s="2" t="inlineStr">
        <is>
          <t>Z001_02_032024_MATURIN.CSV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FILE001</t>
        </is>
      </c>
      <c r="F219" s="2" t="inlineStr">
        <is>
          <t>Z</t>
        </is>
      </c>
      <c r="G219" s="3" t="inlineStr">
        <is>
          <t>0031</t>
        </is>
      </c>
      <c r="H219" s="4" t="n">
        <v>45384</v>
      </c>
      <c r="I219" s="2" t="inlineStr">
        <is>
          <t>14:09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  <c r="N219" s="5" t="n">
        <v>2024</v>
      </c>
      <c r="O219" s="6" t="inlineStr">
        <is>
          <t>2024-03</t>
        </is>
      </c>
    </row>
    <row r="220">
      <c r="A220" s="2" t="inlineStr">
        <is>
          <t>Z001_02_032024_MATURIN.CSV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FILE001</t>
        </is>
      </c>
      <c r="F220" s="2" t="inlineStr">
        <is>
          <t>Z</t>
        </is>
      </c>
      <c r="G220" s="3" t="inlineStr">
        <is>
          <t>0031</t>
        </is>
      </c>
      <c r="H220" s="4" t="n">
        <v>45384</v>
      </c>
      <c r="I220" s="2" t="inlineStr">
        <is>
          <t>14:09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  <c r="N220" s="5" t="n">
        <v>2024</v>
      </c>
      <c r="O220" s="6" t="inlineStr">
        <is>
          <t>2024-03</t>
        </is>
      </c>
    </row>
    <row r="221">
      <c r="A221" s="2" t="inlineStr">
        <is>
          <t>Z001_02_032024_MATURIN.CSV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FILE001</t>
        </is>
      </c>
      <c r="F221" s="2" t="inlineStr">
        <is>
          <t>Z</t>
        </is>
      </c>
      <c r="G221" s="3" t="inlineStr">
        <is>
          <t>0031</t>
        </is>
      </c>
      <c r="H221" s="4" t="n">
        <v>45384</v>
      </c>
      <c r="I221" s="2" t="inlineStr">
        <is>
          <t>14:09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  <c r="N221" s="5" t="n">
        <v>2024</v>
      </c>
      <c r="O221" s="6" t="inlineStr">
        <is>
          <t>2024-03</t>
        </is>
      </c>
    </row>
    <row r="222">
      <c r="A222" s="2" t="inlineStr">
        <is>
          <t>Z001_02_032024_MATURIN.CSV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FILE001</t>
        </is>
      </c>
      <c r="F222" s="2" t="inlineStr">
        <is>
          <t>Z</t>
        </is>
      </c>
      <c r="G222" s="3" t="inlineStr">
        <is>
          <t>0031</t>
        </is>
      </c>
      <c r="H222" s="4" t="n">
        <v>45384</v>
      </c>
      <c r="I222" s="2" t="inlineStr">
        <is>
          <t>14:09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  <c r="N222" s="5" t="n">
        <v>2024</v>
      </c>
      <c r="O222" s="6" t="inlineStr">
        <is>
          <t>2024-03</t>
        </is>
      </c>
    </row>
    <row r="223">
      <c r="A223" s="2" t="inlineStr">
        <is>
          <t>Z001_02_032024_MATURIN.CSV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FILE001</t>
        </is>
      </c>
      <c r="F223" s="2" t="inlineStr">
        <is>
          <t>Z</t>
        </is>
      </c>
      <c r="G223" s="3" t="inlineStr">
        <is>
          <t>0031</t>
        </is>
      </c>
      <c r="H223" s="4" t="n">
        <v>45384</v>
      </c>
      <c r="I223" s="2" t="inlineStr">
        <is>
          <t>14:09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  <c r="N223" s="5" t="n">
        <v>2024</v>
      </c>
      <c r="O223" s="6" t="inlineStr">
        <is>
          <t>2024-03</t>
        </is>
      </c>
    </row>
    <row r="224">
      <c r="A224" s="2" t="inlineStr">
        <is>
          <t>Z001_02_032024_MATURIN.CSV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FILE001</t>
        </is>
      </c>
      <c r="F224" s="2" t="inlineStr">
        <is>
          <t>Z</t>
        </is>
      </c>
      <c r="G224" s="3" t="inlineStr">
        <is>
          <t>0031</t>
        </is>
      </c>
      <c r="H224" s="4" t="n">
        <v>45384</v>
      </c>
      <c r="I224" s="2" t="inlineStr">
        <is>
          <t>14:09</t>
        </is>
      </c>
      <c r="J224" s="3" t="inlineStr">
        <is>
          <t>0018</t>
        </is>
      </c>
      <c r="K224" s="2" t="inlineStr">
        <is>
          <t>CLIENTS</t>
        </is>
      </c>
      <c r="L224" s="5" t="n">
        <v>30</v>
      </c>
      <c r="M224" s="6" t="n">
        <v>0</v>
      </c>
      <c r="N224" s="5" t="n">
        <v>2024</v>
      </c>
      <c r="O224" s="6" t="inlineStr">
        <is>
          <t>2024-03</t>
        </is>
      </c>
    </row>
    <row r="225">
      <c r="A225" s="2" t="inlineStr">
        <is>
          <t>Z001_02_032024_MATURIN.CSV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FILE001</t>
        </is>
      </c>
      <c r="F225" s="2" t="inlineStr">
        <is>
          <t>Z</t>
        </is>
      </c>
      <c r="G225" s="3" t="inlineStr">
        <is>
          <t>0031</t>
        </is>
      </c>
      <c r="H225" s="4" t="n">
        <v>45384</v>
      </c>
      <c r="I225" s="2" t="inlineStr">
        <is>
          <t>14:09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  <c r="N225" s="5" t="n">
        <v>2024</v>
      </c>
      <c r="O225" s="6" t="inlineStr">
        <is>
          <t>2024-03</t>
        </is>
      </c>
    </row>
    <row r="226">
      <c r="A226" s="2" t="inlineStr">
        <is>
          <t>Z001_02_032024_MATURIN.CSV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FILE001</t>
        </is>
      </c>
      <c r="F226" s="2" t="inlineStr">
        <is>
          <t>Z</t>
        </is>
      </c>
      <c r="G226" s="3" t="inlineStr">
        <is>
          <t>0031</t>
        </is>
      </c>
      <c r="H226" s="4" t="n">
        <v>45384</v>
      </c>
      <c r="I226" s="2" t="inlineStr">
        <is>
          <t>14:09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  <c r="N226" s="5" t="n">
        <v>2024</v>
      </c>
      <c r="O226" s="6" t="inlineStr">
        <is>
          <t>2024-03</t>
        </is>
      </c>
    </row>
    <row r="227">
      <c r="A227" s="2" t="inlineStr">
        <is>
          <t>Z001_02_032024_MATURIN.CSV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FILE001</t>
        </is>
      </c>
      <c r="F227" s="2" t="inlineStr">
        <is>
          <t>Z</t>
        </is>
      </c>
      <c r="G227" s="3" t="inlineStr">
        <is>
          <t>0031</t>
        </is>
      </c>
      <c r="H227" s="4" t="n">
        <v>45384</v>
      </c>
      <c r="I227" s="2" t="inlineStr">
        <is>
          <t>14:09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  <c r="N227" s="5" t="n">
        <v>2024</v>
      </c>
      <c r="O227" s="6" t="inlineStr">
        <is>
          <t>2024-03</t>
        </is>
      </c>
    </row>
    <row r="228">
      <c r="A228" s="2" t="inlineStr">
        <is>
          <t>Z001_02_032024_MATURIN.CSV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FILE001</t>
        </is>
      </c>
      <c r="F228" s="2" t="inlineStr">
        <is>
          <t>Z</t>
        </is>
      </c>
      <c r="G228" s="3" t="inlineStr">
        <is>
          <t>0031</t>
        </is>
      </c>
      <c r="H228" s="4" t="n">
        <v>45384</v>
      </c>
      <c r="I228" s="2" t="inlineStr">
        <is>
          <t>14:09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  <c r="N228" s="5" t="n">
        <v>2024</v>
      </c>
      <c r="O228" s="6" t="inlineStr">
        <is>
          <t>2024-03</t>
        </is>
      </c>
    </row>
    <row r="229">
      <c r="A229" s="2" t="inlineStr">
        <is>
          <t>Z001_02_032024_MATURIN.CSV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FILE001</t>
        </is>
      </c>
      <c r="F229" s="2" t="inlineStr">
        <is>
          <t>Z</t>
        </is>
      </c>
      <c r="G229" s="3" t="inlineStr">
        <is>
          <t>0031</t>
        </is>
      </c>
      <c r="H229" s="4" t="n">
        <v>45384</v>
      </c>
      <c r="I229" s="2" t="inlineStr">
        <is>
          <t>14:09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  <c r="N229" s="5" t="n">
        <v>2024</v>
      </c>
      <c r="O229" s="6" t="inlineStr">
        <is>
          <t>2024-03</t>
        </is>
      </c>
    </row>
    <row r="230">
      <c r="A230" s="2" t="inlineStr">
        <is>
          <t>Z001_02_032024_MATURIN.CSV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FILE001</t>
        </is>
      </c>
      <c r="F230" s="2" t="inlineStr">
        <is>
          <t>Z</t>
        </is>
      </c>
      <c r="G230" s="3" t="inlineStr">
        <is>
          <t>0031</t>
        </is>
      </c>
      <c r="H230" s="4" t="n">
        <v>45384</v>
      </c>
      <c r="I230" s="2" t="inlineStr">
        <is>
          <t>14:09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  <c r="N230" s="5" t="n">
        <v>2024</v>
      </c>
      <c r="O230" s="6" t="inlineStr">
        <is>
          <t>2024-03</t>
        </is>
      </c>
    </row>
    <row r="231">
      <c r="A231" s="2" t="inlineStr">
        <is>
          <t>Z001_02_032024_MATURIN.CSV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FILE001</t>
        </is>
      </c>
      <c r="F231" s="2" t="inlineStr">
        <is>
          <t>Z</t>
        </is>
      </c>
      <c r="G231" s="3" t="inlineStr">
        <is>
          <t>0031</t>
        </is>
      </c>
      <c r="H231" s="4" t="n">
        <v>45384</v>
      </c>
      <c r="I231" s="2" t="inlineStr">
        <is>
          <t>14:09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  <c r="N231" s="5" t="n">
        <v>2024</v>
      </c>
      <c r="O231" s="6" t="inlineStr">
        <is>
          <t>2024-03</t>
        </is>
      </c>
    </row>
    <row r="232">
      <c r="A232" s="2" t="inlineStr">
        <is>
          <t>Z001_02_032024_MATURIN.CSV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FILE001</t>
        </is>
      </c>
      <c r="F232" s="2" t="inlineStr">
        <is>
          <t>Z</t>
        </is>
      </c>
      <c r="G232" s="3" t="inlineStr">
        <is>
          <t>0031</t>
        </is>
      </c>
      <c r="H232" s="4" t="n">
        <v>45384</v>
      </c>
      <c r="I232" s="2" t="inlineStr">
        <is>
          <t>14:09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  <c r="N232" s="5" t="n">
        <v>2024</v>
      </c>
      <c r="O232" s="6" t="inlineStr">
        <is>
          <t>2024-03</t>
        </is>
      </c>
    </row>
    <row r="233">
      <c r="A233" s="2" t="inlineStr">
        <is>
          <t>Z001_02_032024_MATURIN.CSV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FILE001</t>
        </is>
      </c>
      <c r="F233" s="2" t="inlineStr">
        <is>
          <t>Z</t>
        </is>
      </c>
      <c r="G233" s="3" t="inlineStr">
        <is>
          <t>0031</t>
        </is>
      </c>
      <c r="H233" s="4" t="n">
        <v>45384</v>
      </c>
      <c r="I233" s="2" t="inlineStr">
        <is>
          <t>14:09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  <c r="N233" s="5" t="n">
        <v>2024</v>
      </c>
      <c r="O233" s="6" t="inlineStr">
        <is>
          <t>2024-03</t>
        </is>
      </c>
    </row>
    <row r="234">
      <c r="A234" s="2" t="inlineStr">
        <is>
          <t>Z001_02_032024_MATURIN.CSV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FILE001</t>
        </is>
      </c>
      <c r="F234" s="2" t="inlineStr">
        <is>
          <t>Z</t>
        </is>
      </c>
      <c r="G234" s="3" t="inlineStr">
        <is>
          <t>0031</t>
        </is>
      </c>
      <c r="H234" s="4" t="n">
        <v>45384</v>
      </c>
      <c r="I234" s="2" t="inlineStr">
        <is>
          <t>14:09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  <c r="N234" s="5" t="n">
        <v>2024</v>
      </c>
      <c r="O234" s="6" t="inlineStr">
        <is>
          <t>2024-03</t>
        </is>
      </c>
    </row>
    <row r="235">
      <c r="A235" s="2" t="inlineStr">
        <is>
          <t>Z001_02_032024_MATURIN.CSV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FILE001</t>
        </is>
      </c>
      <c r="F235" s="2" t="inlineStr">
        <is>
          <t>Z</t>
        </is>
      </c>
      <c r="G235" s="3" t="inlineStr">
        <is>
          <t>0031</t>
        </is>
      </c>
      <c r="H235" s="4" t="n">
        <v>45384</v>
      </c>
      <c r="I235" s="2" t="inlineStr">
        <is>
          <t>14:09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  <c r="N235" s="5" t="n">
        <v>2024</v>
      </c>
      <c r="O235" s="6" t="inlineStr">
        <is>
          <t>2024-03</t>
        </is>
      </c>
    </row>
    <row r="236">
      <c r="A236" s="2" t="inlineStr">
        <is>
          <t>Z001_02_032024_MATURIN.CSV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FILE001</t>
        </is>
      </c>
      <c r="F236" s="2" t="inlineStr">
        <is>
          <t>Z</t>
        </is>
      </c>
      <c r="G236" s="3" t="inlineStr">
        <is>
          <t>0031</t>
        </is>
      </c>
      <c r="H236" s="4" t="n">
        <v>45384</v>
      </c>
      <c r="I236" s="2" t="inlineStr">
        <is>
          <t>14:09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  <c r="N236" s="5" t="n">
        <v>2024</v>
      </c>
      <c r="O236" s="6" t="inlineStr">
        <is>
          <t>2024-03</t>
        </is>
      </c>
    </row>
    <row r="237">
      <c r="A237" s="2" t="inlineStr">
        <is>
          <t>Z001_02_032024_MATURIN.CSV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FILE001</t>
        </is>
      </c>
      <c r="F237" s="2" t="inlineStr">
        <is>
          <t>Z</t>
        </is>
      </c>
      <c r="G237" s="3" t="inlineStr">
        <is>
          <t>0031</t>
        </is>
      </c>
      <c r="H237" s="4" t="n">
        <v>45384</v>
      </c>
      <c r="I237" s="2" t="inlineStr">
        <is>
          <t>14:09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  <c r="N237" s="5" t="n">
        <v>2024</v>
      </c>
      <c r="O237" s="6" t="inlineStr">
        <is>
          <t>2024-03</t>
        </is>
      </c>
    </row>
    <row r="238">
      <c r="A238" s="2" t="inlineStr">
        <is>
          <t>Z001_02_032024_MATURIN.CSV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FILE001</t>
        </is>
      </c>
      <c r="F238" s="2" t="inlineStr">
        <is>
          <t>Z</t>
        </is>
      </c>
      <c r="G238" s="3" t="inlineStr">
        <is>
          <t>0031</t>
        </is>
      </c>
      <c r="H238" s="4" t="n">
        <v>45384</v>
      </c>
      <c r="I238" s="2" t="inlineStr">
        <is>
          <t>14:09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  <c r="N238" s="5" t="n">
        <v>2024</v>
      </c>
      <c r="O238" s="6" t="inlineStr">
        <is>
          <t>2024-03</t>
        </is>
      </c>
    </row>
    <row r="239">
      <c r="A239" s="2" t="inlineStr">
        <is>
          <t>Z001_02_032024_MATURIN.CSV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FILE001</t>
        </is>
      </c>
      <c r="F239" s="2" t="inlineStr">
        <is>
          <t>Z</t>
        </is>
      </c>
      <c r="G239" s="3" t="inlineStr">
        <is>
          <t>0031</t>
        </is>
      </c>
      <c r="H239" s="4" t="n">
        <v>45384</v>
      </c>
      <c r="I239" s="2" t="inlineStr">
        <is>
          <t>14:09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15207.84</v>
      </c>
      <c r="N239" s="5" t="n">
        <v>2024</v>
      </c>
      <c r="O239" s="6" t="inlineStr">
        <is>
          <t>2024-03</t>
        </is>
      </c>
    </row>
    <row r="240">
      <c r="A240" s="2" t="inlineStr">
        <is>
          <t>Z001_02_032024_MATURIN.CSV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FILE001</t>
        </is>
      </c>
      <c r="F240" s="2" t="inlineStr">
        <is>
          <t>Z</t>
        </is>
      </c>
      <c r="G240" s="3" t="inlineStr">
        <is>
          <t>0031</t>
        </is>
      </c>
      <c r="H240" s="4" t="n">
        <v>45384</v>
      </c>
      <c r="I240" s="2" t="inlineStr">
        <is>
          <t>14:09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3041.56</v>
      </c>
      <c r="N240" s="5" t="n">
        <v>2024</v>
      </c>
      <c r="O240" s="6" t="inlineStr">
        <is>
          <t>2024-03</t>
        </is>
      </c>
    </row>
    <row r="241">
      <c r="A241" s="2" t="inlineStr">
        <is>
          <t>Z001_02_032024_MATURIN.CSV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FILE001</t>
        </is>
      </c>
      <c r="F241" s="2" t="inlineStr">
        <is>
          <t>Z</t>
        </is>
      </c>
      <c r="G241" s="3" t="inlineStr">
        <is>
          <t>0031</t>
        </is>
      </c>
      <c r="H241" s="4" t="n">
        <v>45384</v>
      </c>
      <c r="I241" s="2" t="inlineStr">
        <is>
          <t>14:09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  <c r="N241" s="5" t="n">
        <v>2024</v>
      </c>
      <c r="O241" s="6" t="inlineStr">
        <is>
          <t>2024-03</t>
        </is>
      </c>
    </row>
    <row r="242">
      <c r="A242" s="2" t="inlineStr">
        <is>
          <t>Z001_02_032024_MATURIN.CSV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FILE001</t>
        </is>
      </c>
      <c r="F242" s="2" t="inlineStr">
        <is>
          <t>Z</t>
        </is>
      </c>
      <c r="G242" s="3" t="inlineStr">
        <is>
          <t>0031</t>
        </is>
      </c>
      <c r="H242" s="4" t="n">
        <v>45384</v>
      </c>
      <c r="I242" s="2" t="inlineStr">
        <is>
          <t>14:09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  <c r="N242" s="5" t="n">
        <v>2024</v>
      </c>
      <c r="O242" s="6" t="inlineStr">
        <is>
          <t>2024-03</t>
        </is>
      </c>
    </row>
    <row r="243">
      <c r="A243" s="2" t="inlineStr">
        <is>
          <t>Z001_02_032024_MATURIN.CSV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FILE001</t>
        </is>
      </c>
      <c r="F243" s="2" t="inlineStr">
        <is>
          <t>Z</t>
        </is>
      </c>
      <c r="G243" s="3" t="inlineStr">
        <is>
          <t>0031</t>
        </is>
      </c>
      <c r="H243" s="4" t="n">
        <v>45384</v>
      </c>
      <c r="I243" s="2" t="inlineStr">
        <is>
          <t>14:09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  <c r="N243" s="5" t="n">
        <v>2024</v>
      </c>
      <c r="O243" s="6" t="inlineStr">
        <is>
          <t>2024-03</t>
        </is>
      </c>
    </row>
    <row r="244">
      <c r="A244" s="2" t="inlineStr">
        <is>
          <t>Z001_02_032024_MATURIN.CSV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FILE001</t>
        </is>
      </c>
      <c r="F244" s="2" t="inlineStr">
        <is>
          <t>Z</t>
        </is>
      </c>
      <c r="G244" s="3" t="inlineStr">
        <is>
          <t>0031</t>
        </is>
      </c>
      <c r="H244" s="4" t="n">
        <v>45384</v>
      </c>
      <c r="I244" s="2" t="inlineStr">
        <is>
          <t>14:09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  <c r="N244" s="5" t="n">
        <v>2024</v>
      </c>
      <c r="O244" s="6" t="inlineStr">
        <is>
          <t>2024-03</t>
        </is>
      </c>
    </row>
    <row r="245">
      <c r="A245" s="2" t="inlineStr">
        <is>
          <t>Z001_02_032024_MATURIN.CSV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FILE001</t>
        </is>
      </c>
      <c r="F245" s="2" t="inlineStr">
        <is>
          <t>Z</t>
        </is>
      </c>
      <c r="G245" s="3" t="inlineStr">
        <is>
          <t>0031</t>
        </is>
      </c>
      <c r="H245" s="4" t="n">
        <v>45384</v>
      </c>
      <c r="I245" s="2" t="inlineStr">
        <is>
          <t>14:09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  <c r="N245" s="5" t="n">
        <v>2024</v>
      </c>
      <c r="O245" s="6" t="inlineStr">
        <is>
          <t>2024-03</t>
        </is>
      </c>
    </row>
    <row r="246">
      <c r="A246" s="2" t="inlineStr">
        <is>
          <t>Z001_02_032024_MATURIN.CSV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FILE001</t>
        </is>
      </c>
      <c r="F246" s="2" t="inlineStr">
        <is>
          <t>Z</t>
        </is>
      </c>
      <c r="G246" s="3" t="inlineStr">
        <is>
          <t>0031</t>
        </is>
      </c>
      <c r="H246" s="4" t="n">
        <v>45384</v>
      </c>
      <c r="I246" s="2" t="inlineStr">
        <is>
          <t>14:09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  <c r="N246" s="5" t="n">
        <v>2024</v>
      </c>
      <c r="O246" s="6" t="inlineStr">
        <is>
          <t>2024-03</t>
        </is>
      </c>
    </row>
    <row r="247">
      <c r="A247" s="2" t="inlineStr">
        <is>
          <t>Z001_02_032024_MATURIN.CSV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FILE001</t>
        </is>
      </c>
      <c r="F247" s="2" t="inlineStr">
        <is>
          <t>Z</t>
        </is>
      </c>
      <c r="G247" s="3" t="inlineStr">
        <is>
          <t>0031</t>
        </is>
      </c>
      <c r="H247" s="4" t="n">
        <v>45384</v>
      </c>
      <c r="I247" s="2" t="inlineStr">
        <is>
          <t>14:09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  <c r="N247" s="5" t="n">
        <v>2024</v>
      </c>
      <c r="O247" s="6" t="inlineStr">
        <is>
          <t>2024-03</t>
        </is>
      </c>
    </row>
    <row r="248">
      <c r="A248" s="2" t="inlineStr">
        <is>
          <t>Z001_02_042024_MATURIN.CSV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FILE001</t>
        </is>
      </c>
      <c r="F248" s="2" t="inlineStr">
        <is>
          <t>Z</t>
        </is>
      </c>
      <c r="G248" s="3" t="inlineStr">
        <is>
          <t>0032</t>
        </is>
      </c>
      <c r="H248" s="4" t="n">
        <v>45414</v>
      </c>
      <c r="I248" s="2" t="inlineStr">
        <is>
          <t>10:02</t>
        </is>
      </c>
      <c r="J248" s="3" t="inlineStr">
        <is>
          <t>0001</t>
        </is>
      </c>
      <c r="K248" s="2" t="inlineStr">
        <is>
          <t>CA BRUT</t>
        </is>
      </c>
      <c r="L248" s="5" t="n">
        <v>80</v>
      </c>
      <c r="M248" s="6" t="n">
        <v>22694.98</v>
      </c>
      <c r="N248" s="5" t="n">
        <v>2024</v>
      </c>
      <c r="O248" s="6" t="inlineStr">
        <is>
          <t>2024-04</t>
        </is>
      </c>
    </row>
    <row r="249">
      <c r="A249" s="2" t="inlineStr">
        <is>
          <t>Z001_02_042024_MATURIN.CSV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FILE001</t>
        </is>
      </c>
      <c r="F249" s="2" t="inlineStr">
        <is>
          <t>Z</t>
        </is>
      </c>
      <c r="G249" s="3" t="inlineStr">
        <is>
          <t>0032</t>
        </is>
      </c>
      <c r="H249" s="4" t="n">
        <v>45414</v>
      </c>
      <c r="I249" s="2" t="inlineStr">
        <is>
          <t>10:02</t>
        </is>
      </c>
      <c r="J249" s="3" t="inlineStr">
        <is>
          <t>0002</t>
        </is>
      </c>
      <c r="K249" s="2" t="inlineStr">
        <is>
          <t>CA NET</t>
        </is>
      </c>
      <c r="L249" s="5" t="n">
        <v>29</v>
      </c>
      <c r="M249" s="6" t="n">
        <v>22694.98</v>
      </c>
      <c r="N249" s="5" t="n">
        <v>2024</v>
      </c>
      <c r="O249" s="6" t="inlineStr">
        <is>
          <t>2024-04</t>
        </is>
      </c>
    </row>
    <row r="250">
      <c r="A250" s="2" t="inlineStr">
        <is>
          <t>Z001_02_042024_MATURIN.CSV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FILE001</t>
        </is>
      </c>
      <c r="F250" s="2" t="inlineStr">
        <is>
          <t>Z</t>
        </is>
      </c>
      <c r="G250" s="3" t="inlineStr">
        <is>
          <t>0032</t>
        </is>
      </c>
      <c r="H250" s="4" t="n">
        <v>45414</v>
      </c>
      <c r="I250" s="2" t="inlineStr">
        <is>
          <t>10:02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3402.7</v>
      </c>
      <c r="N250" s="5" t="n">
        <v>2024</v>
      </c>
      <c r="O250" s="6" t="inlineStr">
        <is>
          <t>2024-04</t>
        </is>
      </c>
    </row>
    <row r="251">
      <c r="A251" s="2" t="inlineStr">
        <is>
          <t>Z001_02_042024_MATURIN.CSV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FILE001</t>
        </is>
      </c>
      <c r="F251" s="2" t="inlineStr">
        <is>
          <t>Z</t>
        </is>
      </c>
      <c r="G251" s="3" t="inlineStr">
        <is>
          <t>0032</t>
        </is>
      </c>
      <c r="H251" s="4" t="n">
        <v>45414</v>
      </c>
      <c r="I251" s="2" t="inlineStr">
        <is>
          <t>10:02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19292.28</v>
      </c>
      <c r="N251" s="5" t="n">
        <v>2024</v>
      </c>
      <c r="O251" s="6" t="inlineStr">
        <is>
          <t>2024-04</t>
        </is>
      </c>
    </row>
    <row r="252">
      <c r="A252" s="2" t="inlineStr">
        <is>
          <t>Z001_02_042024_MATURIN.CSV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FILE001</t>
        </is>
      </c>
      <c r="F252" s="2" t="inlineStr">
        <is>
          <t>Z</t>
        </is>
      </c>
      <c r="G252" s="3" t="inlineStr">
        <is>
          <t>0032</t>
        </is>
      </c>
      <c r="H252" s="4" t="n">
        <v>45414</v>
      </c>
      <c r="I252" s="2" t="inlineStr">
        <is>
          <t>10:02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0</v>
      </c>
      <c r="N252" s="5" t="n">
        <v>2024</v>
      </c>
      <c r="O252" s="6" t="inlineStr">
        <is>
          <t>2024-04</t>
        </is>
      </c>
    </row>
    <row r="253">
      <c r="A253" s="2" t="inlineStr">
        <is>
          <t>Z001_02_042024_MATURIN.CSV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FILE001</t>
        </is>
      </c>
      <c r="F253" s="2" t="inlineStr">
        <is>
          <t>Z</t>
        </is>
      </c>
      <c r="G253" s="3" t="inlineStr">
        <is>
          <t>0032</t>
        </is>
      </c>
      <c r="H253" s="4" t="n">
        <v>45414</v>
      </c>
      <c r="I253" s="2" t="inlineStr">
        <is>
          <t>10:02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  <c r="N253" s="5" t="n">
        <v>2024</v>
      </c>
      <c r="O253" s="6" t="inlineStr">
        <is>
          <t>2024-04</t>
        </is>
      </c>
    </row>
    <row r="254">
      <c r="A254" s="2" t="inlineStr">
        <is>
          <t>Z001_02_042024_MATURIN.CSV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FILE001</t>
        </is>
      </c>
      <c r="F254" s="2" t="inlineStr">
        <is>
          <t>Z</t>
        </is>
      </c>
      <c r="G254" s="3" t="inlineStr">
        <is>
          <t>0032</t>
        </is>
      </c>
      <c r="H254" s="4" t="n">
        <v>45414</v>
      </c>
      <c r="I254" s="2" t="inlineStr">
        <is>
          <t>10:02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  <c r="N254" s="5" t="n">
        <v>2024</v>
      </c>
      <c r="O254" s="6" t="inlineStr">
        <is>
          <t>2024-04</t>
        </is>
      </c>
    </row>
    <row r="255">
      <c r="A255" s="2" t="inlineStr">
        <is>
          <t>Z001_02_042024_MATURIN.CSV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FILE001</t>
        </is>
      </c>
      <c r="F255" s="2" t="inlineStr">
        <is>
          <t>Z</t>
        </is>
      </c>
      <c r="G255" s="3" t="inlineStr">
        <is>
          <t>0032</t>
        </is>
      </c>
      <c r="H255" s="4" t="n">
        <v>45414</v>
      </c>
      <c r="I255" s="2" t="inlineStr">
        <is>
          <t>10:02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  <c r="N255" s="5" t="n">
        <v>2024</v>
      </c>
      <c r="O255" s="6" t="inlineStr">
        <is>
          <t>2024-04</t>
        </is>
      </c>
    </row>
    <row r="256">
      <c r="A256" s="2" t="inlineStr">
        <is>
          <t>Z001_02_042024_MATURIN.CSV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FILE001</t>
        </is>
      </c>
      <c r="F256" s="2" t="inlineStr">
        <is>
          <t>Z</t>
        </is>
      </c>
      <c r="G256" s="3" t="inlineStr">
        <is>
          <t>0032</t>
        </is>
      </c>
      <c r="H256" s="4" t="n">
        <v>45414</v>
      </c>
      <c r="I256" s="2" t="inlineStr">
        <is>
          <t>10:02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  <c r="N256" s="5" t="n">
        <v>2024</v>
      </c>
      <c r="O256" s="6" t="inlineStr">
        <is>
          <t>2024-04</t>
        </is>
      </c>
    </row>
    <row r="257">
      <c r="A257" s="2" t="inlineStr">
        <is>
          <t>Z001_02_042024_MATURIN.CSV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FILE001</t>
        </is>
      </c>
      <c r="F257" s="2" t="inlineStr">
        <is>
          <t>Z</t>
        </is>
      </c>
      <c r="G257" s="3" t="inlineStr">
        <is>
          <t>0032</t>
        </is>
      </c>
      <c r="H257" s="4" t="n">
        <v>45414</v>
      </c>
      <c r="I257" s="2" t="inlineStr">
        <is>
          <t>10:02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  <c r="N257" s="5" t="n">
        <v>2024</v>
      </c>
      <c r="O257" s="6" t="inlineStr">
        <is>
          <t>2024-04</t>
        </is>
      </c>
    </row>
    <row r="258">
      <c r="A258" s="2" t="inlineStr">
        <is>
          <t>Z001_02_042024_MATURIN.CSV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FILE001</t>
        </is>
      </c>
      <c r="F258" s="2" t="inlineStr">
        <is>
          <t>Z</t>
        </is>
      </c>
      <c r="G258" s="3" t="inlineStr">
        <is>
          <t>0032</t>
        </is>
      </c>
      <c r="H258" s="4" t="n">
        <v>45414</v>
      </c>
      <c r="I258" s="2" t="inlineStr">
        <is>
          <t>10:02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  <c r="N258" s="5" t="n">
        <v>2024</v>
      </c>
      <c r="O258" s="6" t="inlineStr">
        <is>
          <t>2024-04</t>
        </is>
      </c>
    </row>
    <row r="259">
      <c r="A259" s="2" t="inlineStr">
        <is>
          <t>Z001_02_042024_MATURIN.CSV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FILE001</t>
        </is>
      </c>
      <c r="F259" s="2" t="inlineStr">
        <is>
          <t>Z</t>
        </is>
      </c>
      <c r="G259" s="3" t="inlineStr">
        <is>
          <t>0032</t>
        </is>
      </c>
      <c r="H259" s="4" t="n">
        <v>45414</v>
      </c>
      <c r="I259" s="2" t="inlineStr">
        <is>
          <t>10:02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  <c r="N259" s="5" t="n">
        <v>2024</v>
      </c>
      <c r="O259" s="6" t="inlineStr">
        <is>
          <t>2024-04</t>
        </is>
      </c>
    </row>
    <row r="260">
      <c r="A260" s="2" t="inlineStr">
        <is>
          <t>Z001_02_042024_MATURIN.CSV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FILE001</t>
        </is>
      </c>
      <c r="F260" s="2" t="inlineStr">
        <is>
          <t>Z</t>
        </is>
      </c>
      <c r="G260" s="3" t="inlineStr">
        <is>
          <t>0032</t>
        </is>
      </c>
      <c r="H260" s="4" t="n">
        <v>45414</v>
      </c>
      <c r="I260" s="2" t="inlineStr">
        <is>
          <t>10:02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  <c r="N260" s="5" t="n">
        <v>2024</v>
      </c>
      <c r="O260" s="6" t="inlineStr">
        <is>
          <t>2024-04</t>
        </is>
      </c>
    </row>
    <row r="261">
      <c r="A261" s="2" t="inlineStr">
        <is>
          <t>Z001_02_042024_MATURIN.CSV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FILE001</t>
        </is>
      </c>
      <c r="F261" s="2" t="inlineStr">
        <is>
          <t>Z</t>
        </is>
      </c>
      <c r="G261" s="3" t="inlineStr">
        <is>
          <t>0032</t>
        </is>
      </c>
      <c r="H261" s="4" t="n">
        <v>45414</v>
      </c>
      <c r="I261" s="2" t="inlineStr">
        <is>
          <t>10:02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  <c r="N261" s="5" t="n">
        <v>2024</v>
      </c>
      <c r="O261" s="6" t="inlineStr">
        <is>
          <t>2024-04</t>
        </is>
      </c>
    </row>
    <row r="262">
      <c r="A262" s="2" t="inlineStr">
        <is>
          <t>Z001_02_042024_MATURIN.CSV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FILE001</t>
        </is>
      </c>
      <c r="F262" s="2" t="inlineStr">
        <is>
          <t>Z</t>
        </is>
      </c>
      <c r="G262" s="3" t="inlineStr">
        <is>
          <t>0032</t>
        </is>
      </c>
      <c r="H262" s="4" t="n">
        <v>45414</v>
      </c>
      <c r="I262" s="2" t="inlineStr">
        <is>
          <t>10:02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  <c r="N262" s="5" t="n">
        <v>2024</v>
      </c>
      <c r="O262" s="6" t="inlineStr">
        <is>
          <t>2024-04</t>
        </is>
      </c>
    </row>
    <row r="263">
      <c r="A263" s="2" t="inlineStr">
        <is>
          <t>Z001_02_042024_MATURIN.CSV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FILE001</t>
        </is>
      </c>
      <c r="F263" s="2" t="inlineStr">
        <is>
          <t>Z</t>
        </is>
      </c>
      <c r="G263" s="3" t="inlineStr">
        <is>
          <t>0032</t>
        </is>
      </c>
      <c r="H263" s="4" t="n">
        <v>45414</v>
      </c>
      <c r="I263" s="2" t="inlineStr">
        <is>
          <t>10:02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  <c r="N263" s="5" t="n">
        <v>2024</v>
      </c>
      <c r="O263" s="6" t="inlineStr">
        <is>
          <t>2024-04</t>
        </is>
      </c>
    </row>
    <row r="264">
      <c r="A264" s="2" t="inlineStr">
        <is>
          <t>Z001_02_042024_MATURIN.CSV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FILE001</t>
        </is>
      </c>
      <c r="F264" s="2" t="inlineStr">
        <is>
          <t>Z</t>
        </is>
      </c>
      <c r="G264" s="3" t="inlineStr">
        <is>
          <t>0032</t>
        </is>
      </c>
      <c r="H264" s="4" t="n">
        <v>45414</v>
      </c>
      <c r="I264" s="2" t="inlineStr">
        <is>
          <t>10:02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  <c r="N264" s="5" t="n">
        <v>2024</v>
      </c>
      <c r="O264" s="6" t="inlineStr">
        <is>
          <t>2024-04</t>
        </is>
      </c>
    </row>
    <row r="265">
      <c r="A265" s="2" t="inlineStr">
        <is>
          <t>Z001_02_042024_MATURIN.CSV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FILE001</t>
        </is>
      </c>
      <c r="F265" s="2" t="inlineStr">
        <is>
          <t>Z</t>
        </is>
      </c>
      <c r="G265" s="3" t="inlineStr">
        <is>
          <t>0032</t>
        </is>
      </c>
      <c r="H265" s="4" t="n">
        <v>45414</v>
      </c>
      <c r="I265" s="2" t="inlineStr">
        <is>
          <t>10:02</t>
        </is>
      </c>
      <c r="J265" s="3" t="inlineStr">
        <is>
          <t>0018</t>
        </is>
      </c>
      <c r="K265" s="2" t="inlineStr">
        <is>
          <t>CLIENTS</t>
        </is>
      </c>
      <c r="L265" s="5" t="n">
        <v>29</v>
      </c>
      <c r="M265" s="6" t="n">
        <v>0</v>
      </c>
      <c r="N265" s="5" t="n">
        <v>2024</v>
      </c>
      <c r="O265" s="6" t="inlineStr">
        <is>
          <t>2024-04</t>
        </is>
      </c>
    </row>
    <row r="266">
      <c r="A266" s="2" t="inlineStr">
        <is>
          <t>Z001_02_042024_MATURIN.CSV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FILE001</t>
        </is>
      </c>
      <c r="F266" s="2" t="inlineStr">
        <is>
          <t>Z</t>
        </is>
      </c>
      <c r="G266" s="3" t="inlineStr">
        <is>
          <t>0032</t>
        </is>
      </c>
      <c r="H266" s="4" t="n">
        <v>45414</v>
      </c>
      <c r="I266" s="2" t="inlineStr">
        <is>
          <t>10:02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  <c r="N266" s="5" t="n">
        <v>2024</v>
      </c>
      <c r="O266" s="6" t="inlineStr">
        <is>
          <t>2024-04</t>
        </is>
      </c>
    </row>
    <row r="267">
      <c r="A267" s="2" t="inlineStr">
        <is>
          <t>Z001_02_042024_MATURIN.CSV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FILE001</t>
        </is>
      </c>
      <c r="F267" s="2" t="inlineStr">
        <is>
          <t>Z</t>
        </is>
      </c>
      <c r="G267" s="3" t="inlineStr">
        <is>
          <t>0032</t>
        </is>
      </c>
      <c r="H267" s="4" t="n">
        <v>45414</v>
      </c>
      <c r="I267" s="2" t="inlineStr">
        <is>
          <t>10:02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  <c r="N267" s="5" t="n">
        <v>2024</v>
      </c>
      <c r="O267" s="6" t="inlineStr">
        <is>
          <t>2024-04</t>
        </is>
      </c>
    </row>
    <row r="268">
      <c r="A268" s="2" t="inlineStr">
        <is>
          <t>Z001_02_042024_MATURIN.CSV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FILE001</t>
        </is>
      </c>
      <c r="F268" s="2" t="inlineStr">
        <is>
          <t>Z</t>
        </is>
      </c>
      <c r="G268" s="3" t="inlineStr">
        <is>
          <t>0032</t>
        </is>
      </c>
      <c r="H268" s="4" t="n">
        <v>45414</v>
      </c>
      <c r="I268" s="2" t="inlineStr">
        <is>
          <t>10:02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  <c r="N268" s="5" t="n">
        <v>2024</v>
      </c>
      <c r="O268" s="6" t="inlineStr">
        <is>
          <t>2024-04</t>
        </is>
      </c>
    </row>
    <row r="269">
      <c r="A269" s="2" t="inlineStr">
        <is>
          <t>Z001_02_042024_MATURIN.CSV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FILE001</t>
        </is>
      </c>
      <c r="F269" s="2" t="inlineStr">
        <is>
          <t>Z</t>
        </is>
      </c>
      <c r="G269" s="3" t="inlineStr">
        <is>
          <t>0032</t>
        </is>
      </c>
      <c r="H269" s="4" t="n">
        <v>45414</v>
      </c>
      <c r="I269" s="2" t="inlineStr">
        <is>
          <t>10:02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  <c r="N269" s="5" t="n">
        <v>2024</v>
      </c>
      <c r="O269" s="6" t="inlineStr">
        <is>
          <t>2024-04</t>
        </is>
      </c>
    </row>
    <row r="270">
      <c r="A270" s="2" t="inlineStr">
        <is>
          <t>Z001_02_042024_MATURIN.CSV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FILE001</t>
        </is>
      </c>
      <c r="F270" s="2" t="inlineStr">
        <is>
          <t>Z</t>
        </is>
      </c>
      <c r="G270" s="3" t="inlineStr">
        <is>
          <t>0032</t>
        </is>
      </c>
      <c r="H270" s="4" t="n">
        <v>45414</v>
      </c>
      <c r="I270" s="2" t="inlineStr">
        <is>
          <t>10:02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  <c r="N270" s="5" t="n">
        <v>2024</v>
      </c>
      <c r="O270" s="6" t="inlineStr">
        <is>
          <t>2024-04</t>
        </is>
      </c>
    </row>
    <row r="271">
      <c r="A271" s="2" t="inlineStr">
        <is>
          <t>Z001_02_042024_MATURIN.CSV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FILE001</t>
        </is>
      </c>
      <c r="F271" s="2" t="inlineStr">
        <is>
          <t>Z</t>
        </is>
      </c>
      <c r="G271" s="3" t="inlineStr">
        <is>
          <t>0032</t>
        </is>
      </c>
      <c r="H271" s="4" t="n">
        <v>45414</v>
      </c>
      <c r="I271" s="2" t="inlineStr">
        <is>
          <t>10:02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  <c r="N271" s="5" t="n">
        <v>2024</v>
      </c>
      <c r="O271" s="6" t="inlineStr">
        <is>
          <t>2024-04</t>
        </is>
      </c>
    </row>
    <row r="272">
      <c r="A272" s="2" t="inlineStr">
        <is>
          <t>Z001_02_042024_MATURIN.CSV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FILE001</t>
        </is>
      </c>
      <c r="F272" s="2" t="inlineStr">
        <is>
          <t>Z</t>
        </is>
      </c>
      <c r="G272" s="3" t="inlineStr">
        <is>
          <t>0032</t>
        </is>
      </c>
      <c r="H272" s="4" t="n">
        <v>45414</v>
      </c>
      <c r="I272" s="2" t="inlineStr">
        <is>
          <t>10:02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  <c r="N272" s="5" t="n">
        <v>2024</v>
      </c>
      <c r="O272" s="6" t="inlineStr">
        <is>
          <t>2024-04</t>
        </is>
      </c>
    </row>
    <row r="273">
      <c r="A273" s="2" t="inlineStr">
        <is>
          <t>Z001_02_042024_MATURIN.CSV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FILE001</t>
        </is>
      </c>
      <c r="F273" s="2" t="inlineStr">
        <is>
          <t>Z</t>
        </is>
      </c>
      <c r="G273" s="3" t="inlineStr">
        <is>
          <t>0032</t>
        </is>
      </c>
      <c r="H273" s="4" t="n">
        <v>45414</v>
      </c>
      <c r="I273" s="2" t="inlineStr">
        <is>
          <t>10:02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  <c r="N273" s="5" t="n">
        <v>2024</v>
      </c>
      <c r="O273" s="6" t="inlineStr">
        <is>
          <t>2024-04</t>
        </is>
      </c>
    </row>
    <row r="274">
      <c r="A274" s="2" t="inlineStr">
        <is>
          <t>Z001_02_042024_MATURIN.CSV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FILE001</t>
        </is>
      </c>
      <c r="F274" s="2" t="inlineStr">
        <is>
          <t>Z</t>
        </is>
      </c>
      <c r="G274" s="3" t="inlineStr">
        <is>
          <t>0032</t>
        </is>
      </c>
      <c r="H274" s="4" t="n">
        <v>45414</v>
      </c>
      <c r="I274" s="2" t="inlineStr">
        <is>
          <t>10:02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  <c r="N274" s="5" t="n">
        <v>2024</v>
      </c>
      <c r="O274" s="6" t="inlineStr">
        <is>
          <t>2024-04</t>
        </is>
      </c>
    </row>
    <row r="275">
      <c r="A275" s="2" t="inlineStr">
        <is>
          <t>Z001_02_042024_MATURIN.CSV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FILE001</t>
        </is>
      </c>
      <c r="F275" s="2" t="inlineStr">
        <is>
          <t>Z</t>
        </is>
      </c>
      <c r="G275" s="3" t="inlineStr">
        <is>
          <t>0032</t>
        </is>
      </c>
      <c r="H275" s="4" t="n">
        <v>45414</v>
      </c>
      <c r="I275" s="2" t="inlineStr">
        <is>
          <t>10:02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  <c r="N275" s="5" t="n">
        <v>2024</v>
      </c>
      <c r="O275" s="6" t="inlineStr">
        <is>
          <t>2024-04</t>
        </is>
      </c>
    </row>
    <row r="276">
      <c r="A276" s="2" t="inlineStr">
        <is>
          <t>Z001_02_042024_MATURIN.CSV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FILE001</t>
        </is>
      </c>
      <c r="F276" s="2" t="inlineStr">
        <is>
          <t>Z</t>
        </is>
      </c>
      <c r="G276" s="3" t="inlineStr">
        <is>
          <t>0032</t>
        </is>
      </c>
      <c r="H276" s="4" t="n">
        <v>45414</v>
      </c>
      <c r="I276" s="2" t="inlineStr">
        <is>
          <t>10:02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  <c r="N276" s="5" t="n">
        <v>2024</v>
      </c>
      <c r="O276" s="6" t="inlineStr">
        <is>
          <t>2024-04</t>
        </is>
      </c>
    </row>
    <row r="277">
      <c r="A277" s="2" t="inlineStr">
        <is>
          <t>Z001_02_042024_MATURIN.CSV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FILE001</t>
        </is>
      </c>
      <c r="F277" s="2" t="inlineStr">
        <is>
          <t>Z</t>
        </is>
      </c>
      <c r="G277" s="3" t="inlineStr">
        <is>
          <t>0032</t>
        </is>
      </c>
      <c r="H277" s="4" t="n">
        <v>45414</v>
      </c>
      <c r="I277" s="2" t="inlineStr">
        <is>
          <t>10:02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  <c r="N277" s="5" t="n">
        <v>2024</v>
      </c>
      <c r="O277" s="6" t="inlineStr">
        <is>
          <t>2024-04</t>
        </is>
      </c>
    </row>
    <row r="278">
      <c r="A278" s="2" t="inlineStr">
        <is>
          <t>Z001_02_042024_MATURIN.CSV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FILE001</t>
        </is>
      </c>
      <c r="F278" s="2" t="inlineStr">
        <is>
          <t>Z</t>
        </is>
      </c>
      <c r="G278" s="3" t="inlineStr">
        <is>
          <t>0032</t>
        </is>
      </c>
      <c r="H278" s="4" t="n">
        <v>45414</v>
      </c>
      <c r="I278" s="2" t="inlineStr">
        <is>
          <t>10:02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  <c r="N278" s="5" t="n">
        <v>2024</v>
      </c>
      <c r="O278" s="6" t="inlineStr">
        <is>
          <t>2024-04</t>
        </is>
      </c>
    </row>
    <row r="279">
      <c r="A279" s="2" t="inlineStr">
        <is>
          <t>Z001_02_042024_MATURIN.CSV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FILE001</t>
        </is>
      </c>
      <c r="F279" s="2" t="inlineStr">
        <is>
          <t>Z</t>
        </is>
      </c>
      <c r="G279" s="3" t="inlineStr">
        <is>
          <t>0032</t>
        </is>
      </c>
      <c r="H279" s="4" t="n">
        <v>45414</v>
      </c>
      <c r="I279" s="2" t="inlineStr">
        <is>
          <t>10:02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  <c r="N279" s="5" t="n">
        <v>2024</v>
      </c>
      <c r="O279" s="6" t="inlineStr">
        <is>
          <t>2024-04</t>
        </is>
      </c>
    </row>
    <row r="280">
      <c r="A280" s="2" t="inlineStr">
        <is>
          <t>Z001_02_042024_MATURIN.CSV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FILE001</t>
        </is>
      </c>
      <c r="F280" s="2" t="inlineStr">
        <is>
          <t>Z</t>
        </is>
      </c>
      <c r="G280" s="3" t="inlineStr">
        <is>
          <t>0032</t>
        </is>
      </c>
      <c r="H280" s="4" t="n">
        <v>45414</v>
      </c>
      <c r="I280" s="2" t="inlineStr">
        <is>
          <t>10:02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18912.44</v>
      </c>
      <c r="N280" s="5" t="n">
        <v>2024</v>
      </c>
      <c r="O280" s="6" t="inlineStr">
        <is>
          <t>2024-04</t>
        </is>
      </c>
    </row>
    <row r="281">
      <c r="A281" s="2" t="inlineStr">
        <is>
          <t>Z001_02_042024_MATURIN.CSV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FILE001</t>
        </is>
      </c>
      <c r="F281" s="2" t="inlineStr">
        <is>
          <t>Z</t>
        </is>
      </c>
      <c r="G281" s="3" t="inlineStr">
        <is>
          <t>0032</t>
        </is>
      </c>
      <c r="H281" s="4" t="n">
        <v>45414</v>
      </c>
      <c r="I281" s="2" t="inlineStr">
        <is>
          <t>10:02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3782.54</v>
      </c>
      <c r="N281" s="5" t="n">
        <v>2024</v>
      </c>
      <c r="O281" s="6" t="inlineStr">
        <is>
          <t>2024-04</t>
        </is>
      </c>
    </row>
    <row r="282">
      <c r="A282" s="2" t="inlineStr">
        <is>
          <t>Z001_02_042024_MATURIN.CSV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FILE001</t>
        </is>
      </c>
      <c r="F282" s="2" t="inlineStr">
        <is>
          <t>Z</t>
        </is>
      </c>
      <c r="G282" s="3" t="inlineStr">
        <is>
          <t>0032</t>
        </is>
      </c>
      <c r="H282" s="4" t="n">
        <v>45414</v>
      </c>
      <c r="I282" s="2" t="inlineStr">
        <is>
          <t>10:02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  <c r="N282" s="5" t="n">
        <v>2024</v>
      </c>
      <c r="O282" s="6" t="inlineStr">
        <is>
          <t>2024-04</t>
        </is>
      </c>
    </row>
    <row r="283">
      <c r="A283" s="2" t="inlineStr">
        <is>
          <t>Z001_02_042024_MATURIN.CSV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FILE001</t>
        </is>
      </c>
      <c r="F283" s="2" t="inlineStr">
        <is>
          <t>Z</t>
        </is>
      </c>
      <c r="G283" s="3" t="inlineStr">
        <is>
          <t>0032</t>
        </is>
      </c>
      <c r="H283" s="4" t="n">
        <v>45414</v>
      </c>
      <c r="I283" s="2" t="inlineStr">
        <is>
          <t>10:02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  <c r="N283" s="5" t="n">
        <v>2024</v>
      </c>
      <c r="O283" s="6" t="inlineStr">
        <is>
          <t>2024-04</t>
        </is>
      </c>
    </row>
    <row r="284">
      <c r="A284" s="2" t="inlineStr">
        <is>
          <t>Z001_02_042024_MATURIN.CSV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FILE001</t>
        </is>
      </c>
      <c r="F284" s="2" t="inlineStr">
        <is>
          <t>Z</t>
        </is>
      </c>
      <c r="G284" s="3" t="inlineStr">
        <is>
          <t>0032</t>
        </is>
      </c>
      <c r="H284" s="4" t="n">
        <v>45414</v>
      </c>
      <c r="I284" s="2" t="inlineStr">
        <is>
          <t>10:02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  <c r="N284" s="5" t="n">
        <v>2024</v>
      </c>
      <c r="O284" s="6" t="inlineStr">
        <is>
          <t>2024-04</t>
        </is>
      </c>
    </row>
    <row r="285">
      <c r="A285" s="2" t="inlineStr">
        <is>
          <t>Z001_02_042024_MATURIN.CSV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FILE001</t>
        </is>
      </c>
      <c r="F285" s="2" t="inlineStr">
        <is>
          <t>Z</t>
        </is>
      </c>
      <c r="G285" s="3" t="inlineStr">
        <is>
          <t>0032</t>
        </is>
      </c>
      <c r="H285" s="4" t="n">
        <v>45414</v>
      </c>
      <c r="I285" s="2" t="inlineStr">
        <is>
          <t>10:02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  <c r="N285" s="5" t="n">
        <v>2024</v>
      </c>
      <c r="O285" s="6" t="inlineStr">
        <is>
          <t>2024-04</t>
        </is>
      </c>
    </row>
    <row r="286">
      <c r="A286" s="2" t="inlineStr">
        <is>
          <t>Z001_02_042024_MATURIN.CSV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FILE001</t>
        </is>
      </c>
      <c r="F286" s="2" t="inlineStr">
        <is>
          <t>Z</t>
        </is>
      </c>
      <c r="G286" s="3" t="inlineStr">
        <is>
          <t>0032</t>
        </is>
      </c>
      <c r="H286" s="4" t="n">
        <v>45414</v>
      </c>
      <c r="I286" s="2" t="inlineStr">
        <is>
          <t>10:02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  <c r="N286" s="5" t="n">
        <v>2024</v>
      </c>
      <c r="O286" s="6" t="inlineStr">
        <is>
          <t>2024-04</t>
        </is>
      </c>
    </row>
    <row r="287">
      <c r="A287" s="2" t="inlineStr">
        <is>
          <t>Z001_02_042024_MATURIN.CSV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FILE001</t>
        </is>
      </c>
      <c r="F287" s="2" t="inlineStr">
        <is>
          <t>Z</t>
        </is>
      </c>
      <c r="G287" s="3" t="inlineStr">
        <is>
          <t>0032</t>
        </is>
      </c>
      <c r="H287" s="4" t="n">
        <v>45414</v>
      </c>
      <c r="I287" s="2" t="inlineStr">
        <is>
          <t>10:02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  <c r="N287" s="5" t="n">
        <v>2024</v>
      </c>
      <c r="O287" s="6" t="inlineStr">
        <is>
          <t>2024-04</t>
        </is>
      </c>
    </row>
    <row r="288">
      <c r="A288" s="2" t="inlineStr">
        <is>
          <t>Z001_02_042024_MATURIN.CSV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FILE001</t>
        </is>
      </c>
      <c r="F288" s="2" t="inlineStr">
        <is>
          <t>Z</t>
        </is>
      </c>
      <c r="G288" s="3" t="inlineStr">
        <is>
          <t>0032</t>
        </is>
      </c>
      <c r="H288" s="4" t="n">
        <v>45414</v>
      </c>
      <c r="I288" s="2" t="inlineStr">
        <is>
          <t>10:02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  <c r="N288" s="5" t="n">
        <v>2024</v>
      </c>
      <c r="O288" s="6" t="inlineStr">
        <is>
          <t>2024-04</t>
        </is>
      </c>
    </row>
    <row r="289">
      <c r="A289" s="2" t="inlineStr">
        <is>
          <t>Z001_02_102024_MATURIN.CSV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FILE001</t>
        </is>
      </c>
      <c r="F289" s="2" t="inlineStr">
        <is>
          <t>Z</t>
        </is>
      </c>
      <c r="G289" s="3" t="inlineStr">
        <is>
          <t>0038</t>
        </is>
      </c>
      <c r="H289" s="4" t="n">
        <v>45598</v>
      </c>
      <c r="I289" s="2" t="inlineStr">
        <is>
          <t>14:14</t>
        </is>
      </c>
      <c r="J289" s="3" t="inlineStr">
        <is>
          <t>0001</t>
        </is>
      </c>
      <c r="K289" s="2" t="inlineStr">
        <is>
          <t>CA BRUT</t>
        </is>
      </c>
      <c r="L289" s="5" t="n">
        <v>50</v>
      </c>
      <c r="M289" s="6" t="n">
        <v>37337.6</v>
      </c>
      <c r="N289" s="5" t="n">
        <v>2024</v>
      </c>
      <c r="O289" s="6" t="inlineStr">
        <is>
          <t>2024-10</t>
        </is>
      </c>
    </row>
    <row r="290">
      <c r="A290" s="2" t="inlineStr">
        <is>
          <t>Z001_02_102024_MATURIN.CSV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FILE001</t>
        </is>
      </c>
      <c r="F290" s="2" t="inlineStr">
        <is>
          <t>Z</t>
        </is>
      </c>
      <c r="G290" s="3" t="inlineStr">
        <is>
          <t>0038</t>
        </is>
      </c>
      <c r="H290" s="4" t="n">
        <v>45598</v>
      </c>
      <c r="I290" s="2" t="inlineStr">
        <is>
          <t>14:14</t>
        </is>
      </c>
      <c r="J290" s="3" t="inlineStr">
        <is>
          <t>0002</t>
        </is>
      </c>
      <c r="K290" s="2" t="inlineStr">
        <is>
          <t>CA NET</t>
        </is>
      </c>
      <c r="L290" s="5" t="n">
        <v>14</v>
      </c>
      <c r="M290" s="6" t="n">
        <v>37337.6</v>
      </c>
      <c r="N290" s="5" t="n">
        <v>2024</v>
      </c>
      <c r="O290" s="6" t="inlineStr">
        <is>
          <t>2024-10</t>
        </is>
      </c>
    </row>
    <row r="291">
      <c r="A291" s="2" t="inlineStr">
        <is>
          <t>Z001_02_102024_MATURIN.CSV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FILE001</t>
        </is>
      </c>
      <c r="F291" s="2" t="inlineStr">
        <is>
          <t>Z</t>
        </is>
      </c>
      <c r="G291" s="3" t="inlineStr">
        <is>
          <t>0038</t>
        </is>
      </c>
      <c r="H291" s="4" t="n">
        <v>45598</v>
      </c>
      <c r="I291" s="2" t="inlineStr">
        <is>
          <t>14:14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6" t="n">
        <v>2633.8</v>
      </c>
      <c r="N291" s="5" t="n">
        <v>2024</v>
      </c>
      <c r="O291" s="6" t="inlineStr">
        <is>
          <t>2024-10</t>
        </is>
      </c>
    </row>
    <row r="292">
      <c r="A292" s="2" t="inlineStr">
        <is>
          <t>Z001_02_102024_MATURIN.CSV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FILE001</t>
        </is>
      </c>
      <c r="F292" s="2" t="inlineStr">
        <is>
          <t>Z</t>
        </is>
      </c>
      <c r="G292" s="3" t="inlineStr">
        <is>
          <t>0038</t>
        </is>
      </c>
      <c r="H292" s="4" t="n">
        <v>45598</v>
      </c>
      <c r="I292" s="2" t="inlineStr">
        <is>
          <t>14:14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6" t="n">
        <v>34703.8</v>
      </c>
      <c r="N292" s="5" t="n">
        <v>2024</v>
      </c>
      <c r="O292" s="6" t="inlineStr">
        <is>
          <t>2024-10</t>
        </is>
      </c>
    </row>
    <row r="293">
      <c r="A293" s="2" t="inlineStr">
        <is>
          <t>Z001_02_102024_MATURIN.CSV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FILE001</t>
        </is>
      </c>
      <c r="F293" s="2" t="inlineStr">
        <is>
          <t>Z</t>
        </is>
      </c>
      <c r="G293" s="3" t="inlineStr">
        <is>
          <t>0038</t>
        </is>
      </c>
      <c r="H293" s="4" t="n">
        <v>45598</v>
      </c>
      <c r="I293" s="2" t="inlineStr">
        <is>
          <t>14:14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6" t="n">
        <v>0</v>
      </c>
      <c r="N293" s="5" t="n">
        <v>2024</v>
      </c>
      <c r="O293" s="6" t="inlineStr">
        <is>
          <t>2024-10</t>
        </is>
      </c>
    </row>
    <row r="294">
      <c r="A294" s="2" t="inlineStr">
        <is>
          <t>Z001_02_102024_MATURIN.CSV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FILE001</t>
        </is>
      </c>
      <c r="F294" s="2" t="inlineStr">
        <is>
          <t>Z</t>
        </is>
      </c>
      <c r="G294" s="3" t="inlineStr">
        <is>
          <t>0038</t>
        </is>
      </c>
      <c r="H294" s="4" t="n">
        <v>45598</v>
      </c>
      <c r="I294" s="2" t="inlineStr">
        <is>
          <t>14:14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6" t="n">
        <v>0</v>
      </c>
      <c r="N294" s="5" t="n">
        <v>2024</v>
      </c>
      <c r="O294" s="6" t="inlineStr">
        <is>
          <t>2024-10</t>
        </is>
      </c>
    </row>
    <row r="295">
      <c r="A295" s="2" t="inlineStr">
        <is>
          <t>Z001_02_102024_MATURIN.CSV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FILE001</t>
        </is>
      </c>
      <c r="F295" s="2" t="inlineStr">
        <is>
          <t>Z</t>
        </is>
      </c>
      <c r="G295" s="3" t="inlineStr">
        <is>
          <t>0038</t>
        </is>
      </c>
      <c r="H295" s="4" t="n">
        <v>45598</v>
      </c>
      <c r="I295" s="2" t="inlineStr">
        <is>
          <t>14:14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6" t="n">
        <v>0</v>
      </c>
      <c r="N295" s="5" t="n">
        <v>2024</v>
      </c>
      <c r="O295" s="6" t="inlineStr">
        <is>
          <t>2024-10</t>
        </is>
      </c>
    </row>
    <row r="296">
      <c r="A296" s="2" t="inlineStr">
        <is>
          <t>Z001_02_102024_MATURIN.CSV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FILE001</t>
        </is>
      </c>
      <c r="F296" s="2" t="inlineStr">
        <is>
          <t>Z</t>
        </is>
      </c>
      <c r="G296" s="3" t="inlineStr">
        <is>
          <t>0038</t>
        </is>
      </c>
      <c r="H296" s="4" t="n">
        <v>45598</v>
      </c>
      <c r="I296" s="2" t="inlineStr">
        <is>
          <t>14:14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6" t="n">
        <v>0</v>
      </c>
      <c r="N296" s="5" t="n">
        <v>2024</v>
      </c>
      <c r="O296" s="6" t="inlineStr">
        <is>
          <t>2024-10</t>
        </is>
      </c>
    </row>
    <row r="297">
      <c r="A297" s="2" t="inlineStr">
        <is>
          <t>Z001_02_102024_MATURIN.CSV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FILE001</t>
        </is>
      </c>
      <c r="F297" s="2" t="inlineStr">
        <is>
          <t>Z</t>
        </is>
      </c>
      <c r="G297" s="3" t="inlineStr">
        <is>
          <t>0038</t>
        </is>
      </c>
      <c r="H297" s="4" t="n">
        <v>45598</v>
      </c>
      <c r="I297" s="2" t="inlineStr">
        <is>
          <t>14:14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6" t="n">
        <v>0</v>
      </c>
      <c r="N297" s="5" t="n">
        <v>2024</v>
      </c>
      <c r="O297" s="6" t="inlineStr">
        <is>
          <t>2024-10</t>
        </is>
      </c>
    </row>
    <row r="298">
      <c r="A298" s="2" t="inlineStr">
        <is>
          <t>Z001_02_102024_MATURIN.CSV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FILE001</t>
        </is>
      </c>
      <c r="F298" s="2" t="inlineStr">
        <is>
          <t>Z</t>
        </is>
      </c>
      <c r="G298" s="3" t="inlineStr">
        <is>
          <t>0038</t>
        </is>
      </c>
      <c r="H298" s="4" t="n">
        <v>45598</v>
      </c>
      <c r="I298" s="2" t="inlineStr">
        <is>
          <t>14:14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6" t="n">
        <v>0</v>
      </c>
      <c r="N298" s="5" t="n">
        <v>2024</v>
      </c>
      <c r="O298" s="6" t="inlineStr">
        <is>
          <t>2024-10</t>
        </is>
      </c>
    </row>
    <row r="299">
      <c r="A299" s="2" t="inlineStr">
        <is>
          <t>Z001_02_102024_MATURIN.CSV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FILE001</t>
        </is>
      </c>
      <c r="F299" s="2" t="inlineStr">
        <is>
          <t>Z</t>
        </is>
      </c>
      <c r="G299" s="3" t="inlineStr">
        <is>
          <t>0038</t>
        </is>
      </c>
      <c r="H299" s="4" t="n">
        <v>45598</v>
      </c>
      <c r="I299" s="2" t="inlineStr">
        <is>
          <t>14:14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6" t="n">
        <v>0</v>
      </c>
      <c r="N299" s="5" t="n">
        <v>2024</v>
      </c>
      <c r="O299" s="6" t="inlineStr">
        <is>
          <t>2024-10</t>
        </is>
      </c>
    </row>
    <row r="300">
      <c r="A300" s="2" t="inlineStr">
        <is>
          <t>Z001_02_102024_MATURIN.CSV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FILE001</t>
        </is>
      </c>
      <c r="F300" s="2" t="inlineStr">
        <is>
          <t>Z</t>
        </is>
      </c>
      <c r="G300" s="3" t="inlineStr">
        <is>
          <t>0038</t>
        </is>
      </c>
      <c r="H300" s="4" t="n">
        <v>45598</v>
      </c>
      <c r="I300" s="2" t="inlineStr">
        <is>
          <t>14:14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6" t="n">
        <v>0</v>
      </c>
      <c r="N300" s="5" t="n">
        <v>2024</v>
      </c>
      <c r="O300" s="6" t="inlineStr">
        <is>
          <t>2024-10</t>
        </is>
      </c>
    </row>
    <row r="301">
      <c r="A301" s="2" t="inlineStr">
        <is>
          <t>Z001_02_102024_MATURIN.CSV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FILE001</t>
        </is>
      </c>
      <c r="F301" s="2" t="inlineStr">
        <is>
          <t>Z</t>
        </is>
      </c>
      <c r="G301" s="3" t="inlineStr">
        <is>
          <t>0038</t>
        </is>
      </c>
      <c r="H301" s="4" t="n">
        <v>45598</v>
      </c>
      <c r="I301" s="2" t="inlineStr">
        <is>
          <t>14:14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6" t="n">
        <v>0</v>
      </c>
      <c r="N301" s="5" t="n">
        <v>2024</v>
      </c>
      <c r="O301" s="6" t="inlineStr">
        <is>
          <t>2024-10</t>
        </is>
      </c>
    </row>
    <row r="302">
      <c r="A302" s="2" t="inlineStr">
        <is>
          <t>Z001_02_102024_MATURIN.CSV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FILE001</t>
        </is>
      </c>
      <c r="F302" s="2" t="inlineStr">
        <is>
          <t>Z</t>
        </is>
      </c>
      <c r="G302" s="3" t="inlineStr">
        <is>
          <t>0038</t>
        </is>
      </c>
      <c r="H302" s="4" t="n">
        <v>45598</v>
      </c>
      <c r="I302" s="2" t="inlineStr">
        <is>
          <t>14:14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6" t="n">
        <v>0</v>
      </c>
      <c r="N302" s="5" t="n">
        <v>2024</v>
      </c>
      <c r="O302" s="6" t="inlineStr">
        <is>
          <t>2024-10</t>
        </is>
      </c>
    </row>
    <row r="303">
      <c r="A303" s="2" t="inlineStr">
        <is>
          <t>Z001_02_102024_MATURIN.CSV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FILE001</t>
        </is>
      </c>
      <c r="F303" s="2" t="inlineStr">
        <is>
          <t>Z</t>
        </is>
      </c>
      <c r="G303" s="3" t="inlineStr">
        <is>
          <t>0038</t>
        </is>
      </c>
      <c r="H303" s="4" t="n">
        <v>45598</v>
      </c>
      <c r="I303" s="2" t="inlineStr">
        <is>
          <t>14:14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6" t="n">
        <v>0</v>
      </c>
      <c r="N303" s="5" t="n">
        <v>2024</v>
      </c>
      <c r="O303" s="6" t="inlineStr">
        <is>
          <t>2024-10</t>
        </is>
      </c>
    </row>
    <row r="304">
      <c r="A304" s="2" t="inlineStr">
        <is>
          <t>Z001_02_102024_MATURIN.CSV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FILE001</t>
        </is>
      </c>
      <c r="F304" s="2" t="inlineStr">
        <is>
          <t>Z</t>
        </is>
      </c>
      <c r="G304" s="3" t="inlineStr">
        <is>
          <t>0038</t>
        </is>
      </c>
      <c r="H304" s="4" t="n">
        <v>45598</v>
      </c>
      <c r="I304" s="2" t="inlineStr">
        <is>
          <t>14:14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6" t="n">
        <v>0</v>
      </c>
      <c r="N304" s="5" t="n">
        <v>2024</v>
      </c>
      <c r="O304" s="6" t="inlineStr">
        <is>
          <t>2024-10</t>
        </is>
      </c>
    </row>
    <row r="305">
      <c r="A305" s="2" t="inlineStr">
        <is>
          <t>Z001_02_102024_MATURIN.CSV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FILE001</t>
        </is>
      </c>
      <c r="F305" s="2" t="inlineStr">
        <is>
          <t>Z</t>
        </is>
      </c>
      <c r="G305" s="3" t="inlineStr">
        <is>
          <t>0038</t>
        </is>
      </c>
      <c r="H305" s="4" t="n">
        <v>45598</v>
      </c>
      <c r="I305" s="2" t="inlineStr">
        <is>
          <t>14:14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6" t="n">
        <v>0</v>
      </c>
      <c r="N305" s="5" t="n">
        <v>2024</v>
      </c>
      <c r="O305" s="6" t="inlineStr">
        <is>
          <t>2024-10</t>
        </is>
      </c>
    </row>
    <row r="306">
      <c r="A306" s="2" t="inlineStr">
        <is>
          <t>Z001_02_102024_MATURIN.CSV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FILE001</t>
        </is>
      </c>
      <c r="F306" s="2" t="inlineStr">
        <is>
          <t>Z</t>
        </is>
      </c>
      <c r="G306" s="3" t="inlineStr">
        <is>
          <t>0038</t>
        </is>
      </c>
      <c r="H306" s="4" t="n">
        <v>45598</v>
      </c>
      <c r="I306" s="2" t="inlineStr">
        <is>
          <t>14:14</t>
        </is>
      </c>
      <c r="J306" s="3" t="inlineStr">
        <is>
          <t>0018</t>
        </is>
      </c>
      <c r="K306" s="2" t="inlineStr">
        <is>
          <t>CLIENTS</t>
        </is>
      </c>
      <c r="L306" s="5" t="n">
        <v>14</v>
      </c>
      <c r="M306" s="6" t="n">
        <v>0</v>
      </c>
      <c r="N306" s="5" t="n">
        <v>2024</v>
      </c>
      <c r="O306" s="6" t="inlineStr">
        <is>
          <t>2024-10</t>
        </is>
      </c>
    </row>
    <row r="307">
      <c r="A307" s="2" t="inlineStr">
        <is>
          <t>Z001_02_102024_MATURIN.CSV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FILE001</t>
        </is>
      </c>
      <c r="F307" s="2" t="inlineStr">
        <is>
          <t>Z</t>
        </is>
      </c>
      <c r="G307" s="3" t="inlineStr">
        <is>
          <t>0038</t>
        </is>
      </c>
      <c r="H307" s="4" t="n">
        <v>45598</v>
      </c>
      <c r="I307" s="2" t="inlineStr">
        <is>
          <t>14:14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6" t="n">
        <v>0</v>
      </c>
      <c r="N307" s="5" t="n">
        <v>2024</v>
      </c>
      <c r="O307" s="6" t="inlineStr">
        <is>
          <t>2024-10</t>
        </is>
      </c>
    </row>
    <row r="308">
      <c r="A308" s="2" t="inlineStr">
        <is>
          <t>Z001_02_102024_MATURIN.CSV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FILE001</t>
        </is>
      </c>
      <c r="F308" s="2" t="inlineStr">
        <is>
          <t>Z</t>
        </is>
      </c>
      <c r="G308" s="3" t="inlineStr">
        <is>
          <t>0038</t>
        </is>
      </c>
      <c r="H308" s="4" t="n">
        <v>45598</v>
      </c>
      <c r="I308" s="2" t="inlineStr">
        <is>
          <t>14:14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6" t="n">
        <v>0</v>
      </c>
      <c r="N308" s="5" t="n">
        <v>2024</v>
      </c>
      <c r="O308" s="6" t="inlineStr">
        <is>
          <t>2024-10</t>
        </is>
      </c>
    </row>
    <row r="309">
      <c r="A309" s="2" t="inlineStr">
        <is>
          <t>Z001_02_102024_MATURIN.CSV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FILE001</t>
        </is>
      </c>
      <c r="F309" s="2" t="inlineStr">
        <is>
          <t>Z</t>
        </is>
      </c>
      <c r="G309" s="3" t="inlineStr">
        <is>
          <t>0038</t>
        </is>
      </c>
      <c r="H309" s="4" t="n">
        <v>45598</v>
      </c>
      <c r="I309" s="2" t="inlineStr">
        <is>
          <t>14:14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6" t="n">
        <v>0</v>
      </c>
      <c r="N309" s="5" t="n">
        <v>2024</v>
      </c>
      <c r="O309" s="6" t="inlineStr">
        <is>
          <t>2024-10</t>
        </is>
      </c>
    </row>
    <row r="310">
      <c r="A310" s="2" t="inlineStr">
        <is>
          <t>Z001_02_102024_MATURIN.CSV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FILE001</t>
        </is>
      </c>
      <c r="F310" s="2" t="inlineStr">
        <is>
          <t>Z</t>
        </is>
      </c>
      <c r="G310" s="3" t="inlineStr">
        <is>
          <t>0038</t>
        </is>
      </c>
      <c r="H310" s="4" t="n">
        <v>45598</v>
      </c>
      <c r="I310" s="2" t="inlineStr">
        <is>
          <t>14:14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6" t="n">
        <v>0</v>
      </c>
      <c r="N310" s="5" t="n">
        <v>2024</v>
      </c>
      <c r="O310" s="6" t="inlineStr">
        <is>
          <t>2024-10</t>
        </is>
      </c>
    </row>
    <row r="311">
      <c r="A311" s="2" t="inlineStr">
        <is>
          <t>Z001_02_102024_MATURIN.CSV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FILE001</t>
        </is>
      </c>
      <c r="F311" s="2" t="inlineStr">
        <is>
          <t>Z</t>
        </is>
      </c>
      <c r="G311" s="3" t="inlineStr">
        <is>
          <t>0038</t>
        </is>
      </c>
      <c r="H311" s="4" t="n">
        <v>45598</v>
      </c>
      <c r="I311" s="2" t="inlineStr">
        <is>
          <t>14:14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6" t="n">
        <v>0</v>
      </c>
      <c r="N311" s="5" t="n">
        <v>2024</v>
      </c>
      <c r="O311" s="6" t="inlineStr">
        <is>
          <t>2024-10</t>
        </is>
      </c>
    </row>
    <row r="312">
      <c r="A312" s="2" t="inlineStr">
        <is>
          <t>Z001_02_102024_MATURIN.CSV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FILE001</t>
        </is>
      </c>
      <c r="F312" s="2" t="inlineStr">
        <is>
          <t>Z</t>
        </is>
      </c>
      <c r="G312" s="3" t="inlineStr">
        <is>
          <t>0038</t>
        </is>
      </c>
      <c r="H312" s="4" t="n">
        <v>45598</v>
      </c>
      <c r="I312" s="2" t="inlineStr">
        <is>
          <t>14:14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6" t="n">
        <v>0</v>
      </c>
      <c r="N312" s="5" t="n">
        <v>2024</v>
      </c>
      <c r="O312" s="6" t="inlineStr">
        <is>
          <t>2024-10</t>
        </is>
      </c>
    </row>
    <row r="313">
      <c r="A313" s="2" t="inlineStr">
        <is>
          <t>Z001_02_102024_MATURIN.CSV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FILE001</t>
        </is>
      </c>
      <c r="F313" s="2" t="inlineStr">
        <is>
          <t>Z</t>
        </is>
      </c>
      <c r="G313" s="3" t="inlineStr">
        <is>
          <t>0038</t>
        </is>
      </c>
      <c r="H313" s="4" t="n">
        <v>45598</v>
      </c>
      <c r="I313" s="2" t="inlineStr">
        <is>
          <t>14:14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6" t="n">
        <v>0</v>
      </c>
      <c r="N313" s="5" t="n">
        <v>2024</v>
      </c>
      <c r="O313" s="6" t="inlineStr">
        <is>
          <t>2024-10</t>
        </is>
      </c>
    </row>
    <row r="314">
      <c r="A314" s="2" t="inlineStr">
        <is>
          <t>Z001_02_102024_MATURIN.CSV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FILE001</t>
        </is>
      </c>
      <c r="F314" s="2" t="inlineStr">
        <is>
          <t>Z</t>
        </is>
      </c>
      <c r="G314" s="3" t="inlineStr">
        <is>
          <t>0038</t>
        </is>
      </c>
      <c r="H314" s="4" t="n">
        <v>45598</v>
      </c>
      <c r="I314" s="2" t="inlineStr">
        <is>
          <t>14:14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6" t="n">
        <v>0</v>
      </c>
      <c r="N314" s="5" t="n">
        <v>2024</v>
      </c>
      <c r="O314" s="6" t="inlineStr">
        <is>
          <t>2024-10</t>
        </is>
      </c>
    </row>
    <row r="315">
      <c r="A315" s="2" t="inlineStr">
        <is>
          <t>Z001_02_102024_MATURIN.CSV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FILE001</t>
        </is>
      </c>
      <c r="F315" s="2" t="inlineStr">
        <is>
          <t>Z</t>
        </is>
      </c>
      <c r="G315" s="3" t="inlineStr">
        <is>
          <t>0038</t>
        </is>
      </c>
      <c r="H315" s="4" t="n">
        <v>45598</v>
      </c>
      <c r="I315" s="2" t="inlineStr">
        <is>
          <t>14:14</t>
        </is>
      </c>
      <c r="J315" s="3" t="inlineStr">
        <is>
          <t>0027</t>
        </is>
      </c>
      <c r="K315" s="2" t="inlineStr"/>
      <c r="L315" s="5" t="n">
        <v>0</v>
      </c>
      <c r="M315" s="6" t="n">
        <v>0</v>
      </c>
      <c r="N315" s="5" t="n">
        <v>2024</v>
      </c>
      <c r="O315" s="6" t="inlineStr">
        <is>
          <t>2024-10</t>
        </is>
      </c>
    </row>
    <row r="316">
      <c r="A316" s="2" t="inlineStr">
        <is>
          <t>Z001_02_102024_MATURIN.CSV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FILE001</t>
        </is>
      </c>
      <c r="F316" s="2" t="inlineStr">
        <is>
          <t>Z</t>
        </is>
      </c>
      <c r="G316" s="3" t="inlineStr">
        <is>
          <t>0038</t>
        </is>
      </c>
      <c r="H316" s="4" t="n">
        <v>45598</v>
      </c>
      <c r="I316" s="2" t="inlineStr">
        <is>
          <t>14:14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6" t="n">
        <v>0</v>
      </c>
      <c r="N316" s="5" t="n">
        <v>2024</v>
      </c>
      <c r="O316" s="6" t="inlineStr">
        <is>
          <t>2024-10</t>
        </is>
      </c>
    </row>
    <row r="317">
      <c r="A317" s="2" t="inlineStr">
        <is>
          <t>Z001_02_102024_MATURIN.CSV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FILE001</t>
        </is>
      </c>
      <c r="F317" s="2" t="inlineStr">
        <is>
          <t>Z</t>
        </is>
      </c>
      <c r="G317" s="3" t="inlineStr">
        <is>
          <t>0038</t>
        </is>
      </c>
      <c r="H317" s="4" t="n">
        <v>45598</v>
      </c>
      <c r="I317" s="2" t="inlineStr">
        <is>
          <t>14:14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6" t="n">
        <v>0</v>
      </c>
      <c r="N317" s="5" t="n">
        <v>2024</v>
      </c>
      <c r="O317" s="6" t="inlineStr">
        <is>
          <t>2024-10</t>
        </is>
      </c>
    </row>
    <row r="318">
      <c r="A318" s="2" t="inlineStr">
        <is>
          <t>Z001_02_102024_MATURIN.CSV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FILE001</t>
        </is>
      </c>
      <c r="F318" s="2" t="inlineStr">
        <is>
          <t>Z</t>
        </is>
      </c>
      <c r="G318" s="3" t="inlineStr">
        <is>
          <t>0038</t>
        </is>
      </c>
      <c r="H318" s="4" t="n">
        <v>45598</v>
      </c>
      <c r="I318" s="2" t="inlineStr">
        <is>
          <t>14:14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6" t="n">
        <v>0</v>
      </c>
      <c r="N318" s="5" t="n">
        <v>2024</v>
      </c>
      <c r="O318" s="6" t="inlineStr">
        <is>
          <t>2024-10</t>
        </is>
      </c>
    </row>
    <row r="319">
      <c r="A319" s="2" t="inlineStr">
        <is>
          <t>Z001_02_102024_MATURIN.CSV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FILE001</t>
        </is>
      </c>
      <c r="F319" s="2" t="inlineStr">
        <is>
          <t>Z</t>
        </is>
      </c>
      <c r="G319" s="3" t="inlineStr">
        <is>
          <t>0038</t>
        </is>
      </c>
      <c r="H319" s="4" t="n">
        <v>45598</v>
      </c>
      <c r="I319" s="2" t="inlineStr">
        <is>
          <t>14:14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6" t="n">
        <v>0</v>
      </c>
      <c r="N319" s="5" t="n">
        <v>2024</v>
      </c>
      <c r="O319" s="6" t="inlineStr">
        <is>
          <t>2024-10</t>
        </is>
      </c>
    </row>
    <row r="320">
      <c r="A320" s="2" t="inlineStr">
        <is>
          <t>Z001_02_102024_MATURIN.CSV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FILE001</t>
        </is>
      </c>
      <c r="F320" s="2" t="inlineStr">
        <is>
          <t>Z</t>
        </is>
      </c>
      <c r="G320" s="3" t="inlineStr">
        <is>
          <t>0038</t>
        </is>
      </c>
      <c r="H320" s="4" t="n">
        <v>45598</v>
      </c>
      <c r="I320" s="2" t="inlineStr">
        <is>
          <t>14:14</t>
        </is>
      </c>
      <c r="J320" s="3" t="inlineStr">
        <is>
          <t>0032</t>
        </is>
      </c>
      <c r="K320" s="2" t="inlineStr"/>
      <c r="L320" s="5" t="n">
        <v>0</v>
      </c>
      <c r="M320" s="6" t="n">
        <v>0</v>
      </c>
      <c r="N320" s="5" t="n">
        <v>2024</v>
      </c>
      <c r="O320" s="6" t="inlineStr">
        <is>
          <t>2024-10</t>
        </is>
      </c>
    </row>
    <row r="321">
      <c r="A321" s="2" t="inlineStr">
        <is>
          <t>Z001_02_102024_MATURIN.CSV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FILE001</t>
        </is>
      </c>
      <c r="F321" s="2" t="inlineStr">
        <is>
          <t>Z</t>
        </is>
      </c>
      <c r="G321" s="3" t="inlineStr">
        <is>
          <t>0038</t>
        </is>
      </c>
      <c r="H321" s="4" t="n">
        <v>45598</v>
      </c>
      <c r="I321" s="2" t="inlineStr">
        <is>
          <t>14:14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6" t="n">
        <v>31114.67</v>
      </c>
      <c r="N321" s="5" t="n">
        <v>2024</v>
      </c>
      <c r="O321" s="6" t="inlineStr">
        <is>
          <t>2024-10</t>
        </is>
      </c>
    </row>
    <row r="322">
      <c r="A322" s="2" t="inlineStr">
        <is>
          <t>Z001_02_102024_MATURIN.CSV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FILE001</t>
        </is>
      </c>
      <c r="F322" s="2" t="inlineStr">
        <is>
          <t>Z</t>
        </is>
      </c>
      <c r="G322" s="3" t="inlineStr">
        <is>
          <t>0038</t>
        </is>
      </c>
      <c r="H322" s="4" t="n">
        <v>45598</v>
      </c>
      <c r="I322" s="2" t="inlineStr">
        <is>
          <t>14:14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6" t="n">
        <v>6222.93</v>
      </c>
      <c r="N322" s="5" t="n">
        <v>2024</v>
      </c>
      <c r="O322" s="6" t="inlineStr">
        <is>
          <t>2024-10</t>
        </is>
      </c>
    </row>
    <row r="323">
      <c r="A323" s="2" t="inlineStr">
        <is>
          <t>Z001_02_102024_MATURIN.CSV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FILE001</t>
        </is>
      </c>
      <c r="F323" s="2" t="inlineStr">
        <is>
          <t>Z</t>
        </is>
      </c>
      <c r="G323" s="3" t="inlineStr">
        <is>
          <t>0038</t>
        </is>
      </c>
      <c r="H323" s="4" t="n">
        <v>45598</v>
      </c>
      <c r="I323" s="2" t="inlineStr">
        <is>
          <t>14:14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6" t="n">
        <v>0</v>
      </c>
      <c r="N323" s="5" t="n">
        <v>2024</v>
      </c>
      <c r="O323" s="6" t="inlineStr">
        <is>
          <t>2024-10</t>
        </is>
      </c>
    </row>
    <row r="324">
      <c r="A324" s="2" t="inlineStr">
        <is>
          <t>Z001_02_102024_MATURIN.CSV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FILE001</t>
        </is>
      </c>
      <c r="F324" s="2" t="inlineStr">
        <is>
          <t>Z</t>
        </is>
      </c>
      <c r="G324" s="3" t="inlineStr">
        <is>
          <t>0038</t>
        </is>
      </c>
      <c r="H324" s="4" t="n">
        <v>45598</v>
      </c>
      <c r="I324" s="2" t="inlineStr">
        <is>
          <t>14:14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6" t="n">
        <v>0</v>
      </c>
      <c r="N324" s="5" t="n">
        <v>2024</v>
      </c>
      <c r="O324" s="6" t="inlineStr">
        <is>
          <t>2024-10</t>
        </is>
      </c>
    </row>
    <row r="325">
      <c r="A325" s="2" t="inlineStr">
        <is>
          <t>Z001_02_102024_MATURIN.CSV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FILE001</t>
        </is>
      </c>
      <c r="F325" s="2" t="inlineStr">
        <is>
          <t>Z</t>
        </is>
      </c>
      <c r="G325" s="3" t="inlineStr">
        <is>
          <t>0038</t>
        </is>
      </c>
      <c r="H325" s="4" t="n">
        <v>45598</v>
      </c>
      <c r="I325" s="2" t="inlineStr">
        <is>
          <t>14:14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6" t="n">
        <v>0</v>
      </c>
      <c r="N325" s="5" t="n">
        <v>2024</v>
      </c>
      <c r="O325" s="6" t="inlineStr">
        <is>
          <t>2024-10</t>
        </is>
      </c>
    </row>
    <row r="326">
      <c r="A326" s="2" t="inlineStr">
        <is>
          <t>Z001_02_102024_MATURIN.CSV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FILE001</t>
        </is>
      </c>
      <c r="F326" s="2" t="inlineStr">
        <is>
          <t>Z</t>
        </is>
      </c>
      <c r="G326" s="3" t="inlineStr">
        <is>
          <t>0038</t>
        </is>
      </c>
      <c r="H326" s="4" t="n">
        <v>45598</v>
      </c>
      <c r="I326" s="2" t="inlineStr">
        <is>
          <t>14:14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6" t="n">
        <v>0</v>
      </c>
      <c r="N326" s="5" t="n">
        <v>2024</v>
      </c>
      <c r="O326" s="6" t="inlineStr">
        <is>
          <t>2024-10</t>
        </is>
      </c>
    </row>
    <row r="327">
      <c r="A327" s="2" t="inlineStr">
        <is>
          <t>Z001_02_102024_MATURIN.CSV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FILE001</t>
        </is>
      </c>
      <c r="F327" s="2" t="inlineStr">
        <is>
          <t>Z</t>
        </is>
      </c>
      <c r="G327" s="3" t="inlineStr">
        <is>
          <t>0038</t>
        </is>
      </c>
      <c r="H327" s="4" t="n">
        <v>45598</v>
      </c>
      <c r="I327" s="2" t="inlineStr">
        <is>
          <t>14:14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6" t="n">
        <v>0</v>
      </c>
      <c r="N327" s="5" t="n">
        <v>2024</v>
      </c>
      <c r="O327" s="6" t="inlineStr">
        <is>
          <t>2024-10</t>
        </is>
      </c>
    </row>
    <row r="328">
      <c r="A328" s="2" t="inlineStr">
        <is>
          <t>Z001_02_102024_MATURIN.CSV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FILE001</t>
        </is>
      </c>
      <c r="F328" s="2" t="inlineStr">
        <is>
          <t>Z</t>
        </is>
      </c>
      <c r="G328" s="3" t="inlineStr">
        <is>
          <t>0038</t>
        </is>
      </c>
      <c r="H328" s="4" t="n">
        <v>45598</v>
      </c>
      <c r="I328" s="2" t="inlineStr">
        <is>
          <t>14:14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6" t="n">
        <v>0</v>
      </c>
      <c r="N328" s="5" t="n">
        <v>2024</v>
      </c>
      <c r="O328" s="6" t="inlineStr">
        <is>
          <t>2024-10</t>
        </is>
      </c>
    </row>
    <row r="329">
      <c r="A329" s="2" t="inlineStr">
        <is>
          <t>Z001_02_102024_MATURIN.CSV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FILE001</t>
        </is>
      </c>
      <c r="F329" s="2" t="inlineStr">
        <is>
          <t>Z</t>
        </is>
      </c>
      <c r="G329" s="3" t="inlineStr">
        <is>
          <t>0038</t>
        </is>
      </c>
      <c r="H329" s="4" t="n">
        <v>45598</v>
      </c>
      <c r="I329" s="2" t="inlineStr">
        <is>
          <t>14:14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6" t="n">
        <v>0</v>
      </c>
      <c r="N329" s="5" t="n">
        <v>2024</v>
      </c>
      <c r="O329" s="6" t="inlineStr">
        <is>
          <t>2024-10</t>
        </is>
      </c>
    </row>
    <row r="330">
      <c r="A330" s="2" t="inlineStr">
        <is>
          <t>Z001_02_112024_MATURIN.CSV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FILE001</t>
        </is>
      </c>
      <c r="F330" s="2" t="inlineStr">
        <is>
          <t>Z</t>
        </is>
      </c>
      <c r="G330" s="3" t="inlineStr">
        <is>
          <t>0039</t>
        </is>
      </c>
      <c r="H330" s="4" t="n">
        <v>45628</v>
      </c>
      <c r="I330" s="2" t="inlineStr">
        <is>
          <t>10:55</t>
        </is>
      </c>
      <c r="J330" s="3" t="inlineStr">
        <is>
          <t>0001</t>
        </is>
      </c>
      <c r="K330" s="2" t="inlineStr">
        <is>
          <t>CA BRUT</t>
        </is>
      </c>
      <c r="L330" s="5" t="n">
        <v>17</v>
      </c>
      <c r="M330" s="6" t="n">
        <v>5001.9</v>
      </c>
      <c r="N330" s="5" t="n">
        <v>2024</v>
      </c>
      <c r="O330" s="6" t="inlineStr">
        <is>
          <t>2024-11</t>
        </is>
      </c>
    </row>
    <row r="331">
      <c r="A331" s="2" t="inlineStr">
        <is>
          <t>Z001_02_112024_MATURIN.CSV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FILE001</t>
        </is>
      </c>
      <c r="F331" s="2" t="inlineStr">
        <is>
          <t>Z</t>
        </is>
      </c>
      <c r="G331" s="3" t="inlineStr">
        <is>
          <t>0039</t>
        </is>
      </c>
      <c r="H331" s="4" t="n">
        <v>45628</v>
      </c>
      <c r="I331" s="2" t="inlineStr">
        <is>
          <t>10:55</t>
        </is>
      </c>
      <c r="J331" s="3" t="inlineStr">
        <is>
          <t>0002</t>
        </is>
      </c>
      <c r="K331" s="2" t="inlineStr">
        <is>
          <t>CA NET</t>
        </is>
      </c>
      <c r="L331" s="5" t="n">
        <v>7</v>
      </c>
      <c r="M331" s="6" t="n">
        <v>5001.9</v>
      </c>
      <c r="N331" s="5" t="n">
        <v>2024</v>
      </c>
      <c r="O331" s="6" t="inlineStr">
        <is>
          <t>2024-11</t>
        </is>
      </c>
    </row>
    <row r="332">
      <c r="A332" s="2" t="inlineStr">
        <is>
          <t>Z001_02_112024_MATURIN.CSV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FILE001</t>
        </is>
      </c>
      <c r="F332" s="2" t="inlineStr">
        <is>
          <t>Z</t>
        </is>
      </c>
      <c r="G332" s="3" t="inlineStr">
        <is>
          <t>0039</t>
        </is>
      </c>
      <c r="H332" s="4" t="n">
        <v>45628</v>
      </c>
      <c r="I332" s="2" t="inlineStr">
        <is>
          <t>10:55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6" t="n">
        <v>0</v>
      </c>
      <c r="N332" s="5" t="n">
        <v>2024</v>
      </c>
      <c r="O332" s="6" t="inlineStr">
        <is>
          <t>2024-11</t>
        </is>
      </c>
    </row>
    <row r="333">
      <c r="A333" s="2" t="inlineStr">
        <is>
          <t>Z001_02_112024_MATURIN.CSV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FILE001</t>
        </is>
      </c>
      <c r="F333" s="2" t="inlineStr">
        <is>
          <t>Z</t>
        </is>
      </c>
      <c r="G333" s="3" t="inlineStr">
        <is>
          <t>0039</t>
        </is>
      </c>
      <c r="H333" s="4" t="n">
        <v>45628</v>
      </c>
      <c r="I333" s="2" t="inlineStr">
        <is>
          <t>10:55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6" t="n">
        <v>5001.9</v>
      </c>
      <c r="N333" s="5" t="n">
        <v>2024</v>
      </c>
      <c r="O333" s="6" t="inlineStr">
        <is>
          <t>2024-11</t>
        </is>
      </c>
    </row>
    <row r="334">
      <c r="A334" s="2" t="inlineStr">
        <is>
          <t>Z001_02_112024_MATURIN.CSV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FILE001</t>
        </is>
      </c>
      <c r="F334" s="2" t="inlineStr">
        <is>
          <t>Z</t>
        </is>
      </c>
      <c r="G334" s="3" t="inlineStr">
        <is>
          <t>0039</t>
        </is>
      </c>
      <c r="H334" s="4" t="n">
        <v>45628</v>
      </c>
      <c r="I334" s="2" t="inlineStr">
        <is>
          <t>10:55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6" t="n">
        <v>0</v>
      </c>
      <c r="N334" s="5" t="n">
        <v>2024</v>
      </c>
      <c r="O334" s="6" t="inlineStr">
        <is>
          <t>2024-11</t>
        </is>
      </c>
    </row>
    <row r="335">
      <c r="A335" s="2" t="inlineStr">
        <is>
          <t>Z001_02_112024_MATURIN.CSV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FILE001</t>
        </is>
      </c>
      <c r="F335" s="2" t="inlineStr">
        <is>
          <t>Z</t>
        </is>
      </c>
      <c r="G335" s="3" t="inlineStr">
        <is>
          <t>0039</t>
        </is>
      </c>
      <c r="H335" s="4" t="n">
        <v>45628</v>
      </c>
      <c r="I335" s="2" t="inlineStr">
        <is>
          <t>10:55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6" t="n">
        <v>0</v>
      </c>
      <c r="N335" s="5" t="n">
        <v>2024</v>
      </c>
      <c r="O335" s="6" t="inlineStr">
        <is>
          <t>2024-11</t>
        </is>
      </c>
    </row>
    <row r="336">
      <c r="A336" s="2" t="inlineStr">
        <is>
          <t>Z001_02_112024_MATURIN.CSV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FILE001</t>
        </is>
      </c>
      <c r="F336" s="2" t="inlineStr">
        <is>
          <t>Z</t>
        </is>
      </c>
      <c r="G336" s="3" t="inlineStr">
        <is>
          <t>0039</t>
        </is>
      </c>
      <c r="H336" s="4" t="n">
        <v>45628</v>
      </c>
      <c r="I336" s="2" t="inlineStr">
        <is>
          <t>10:55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6" t="n">
        <v>0</v>
      </c>
      <c r="N336" s="5" t="n">
        <v>2024</v>
      </c>
      <c r="O336" s="6" t="inlineStr">
        <is>
          <t>2024-11</t>
        </is>
      </c>
    </row>
    <row r="337">
      <c r="A337" s="2" t="inlineStr">
        <is>
          <t>Z001_02_112024_MATURIN.CSV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FILE001</t>
        </is>
      </c>
      <c r="F337" s="2" t="inlineStr">
        <is>
          <t>Z</t>
        </is>
      </c>
      <c r="G337" s="3" t="inlineStr">
        <is>
          <t>0039</t>
        </is>
      </c>
      <c r="H337" s="4" t="n">
        <v>45628</v>
      </c>
      <c r="I337" s="2" t="inlineStr">
        <is>
          <t>10:55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6" t="n">
        <v>0</v>
      </c>
      <c r="N337" s="5" t="n">
        <v>2024</v>
      </c>
      <c r="O337" s="6" t="inlineStr">
        <is>
          <t>2024-11</t>
        </is>
      </c>
    </row>
    <row r="338">
      <c r="A338" s="2" t="inlineStr">
        <is>
          <t>Z001_02_112024_MATURIN.CSV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FILE001</t>
        </is>
      </c>
      <c r="F338" s="2" t="inlineStr">
        <is>
          <t>Z</t>
        </is>
      </c>
      <c r="G338" s="3" t="inlineStr">
        <is>
          <t>0039</t>
        </is>
      </c>
      <c r="H338" s="4" t="n">
        <v>45628</v>
      </c>
      <c r="I338" s="2" t="inlineStr">
        <is>
          <t>10:55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6" t="n">
        <v>0</v>
      </c>
      <c r="N338" s="5" t="n">
        <v>2024</v>
      </c>
      <c r="O338" s="6" t="inlineStr">
        <is>
          <t>2024-11</t>
        </is>
      </c>
    </row>
    <row r="339">
      <c r="A339" s="2" t="inlineStr">
        <is>
          <t>Z001_02_112024_MATURIN.CSV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FILE001</t>
        </is>
      </c>
      <c r="F339" s="2" t="inlineStr">
        <is>
          <t>Z</t>
        </is>
      </c>
      <c r="G339" s="3" t="inlineStr">
        <is>
          <t>0039</t>
        </is>
      </c>
      <c r="H339" s="4" t="n">
        <v>45628</v>
      </c>
      <c r="I339" s="2" t="inlineStr">
        <is>
          <t>10:55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6" t="n">
        <v>0</v>
      </c>
      <c r="N339" s="5" t="n">
        <v>2024</v>
      </c>
      <c r="O339" s="6" t="inlineStr">
        <is>
          <t>2024-11</t>
        </is>
      </c>
    </row>
    <row r="340">
      <c r="A340" s="2" t="inlineStr">
        <is>
          <t>Z001_02_112024_MATURIN.CSV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FILE001</t>
        </is>
      </c>
      <c r="F340" s="2" t="inlineStr">
        <is>
          <t>Z</t>
        </is>
      </c>
      <c r="G340" s="3" t="inlineStr">
        <is>
          <t>0039</t>
        </is>
      </c>
      <c r="H340" s="4" t="n">
        <v>45628</v>
      </c>
      <c r="I340" s="2" t="inlineStr">
        <is>
          <t>10:55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6" t="n">
        <v>0</v>
      </c>
      <c r="N340" s="5" t="n">
        <v>2024</v>
      </c>
      <c r="O340" s="6" t="inlineStr">
        <is>
          <t>2024-11</t>
        </is>
      </c>
    </row>
    <row r="341">
      <c r="A341" s="2" t="inlineStr">
        <is>
          <t>Z001_02_112024_MATURIN.CSV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FILE001</t>
        </is>
      </c>
      <c r="F341" s="2" t="inlineStr">
        <is>
          <t>Z</t>
        </is>
      </c>
      <c r="G341" s="3" t="inlineStr">
        <is>
          <t>0039</t>
        </is>
      </c>
      <c r="H341" s="4" t="n">
        <v>45628</v>
      </c>
      <c r="I341" s="2" t="inlineStr">
        <is>
          <t>10:55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6" t="n">
        <v>0</v>
      </c>
      <c r="N341" s="5" t="n">
        <v>2024</v>
      </c>
      <c r="O341" s="6" t="inlineStr">
        <is>
          <t>2024-11</t>
        </is>
      </c>
    </row>
    <row r="342">
      <c r="A342" s="2" t="inlineStr">
        <is>
          <t>Z001_02_112024_MATURIN.CSV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FILE001</t>
        </is>
      </c>
      <c r="F342" s="2" t="inlineStr">
        <is>
          <t>Z</t>
        </is>
      </c>
      <c r="G342" s="3" t="inlineStr">
        <is>
          <t>0039</t>
        </is>
      </c>
      <c r="H342" s="4" t="n">
        <v>45628</v>
      </c>
      <c r="I342" s="2" t="inlineStr">
        <is>
          <t>10:55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6" t="n">
        <v>0</v>
      </c>
      <c r="N342" s="5" t="n">
        <v>2024</v>
      </c>
      <c r="O342" s="6" t="inlineStr">
        <is>
          <t>2024-11</t>
        </is>
      </c>
    </row>
    <row r="343">
      <c r="A343" s="2" t="inlineStr">
        <is>
          <t>Z001_02_112024_MATURIN.CSV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FILE001</t>
        </is>
      </c>
      <c r="F343" s="2" t="inlineStr">
        <is>
          <t>Z</t>
        </is>
      </c>
      <c r="G343" s="3" t="inlineStr">
        <is>
          <t>0039</t>
        </is>
      </c>
      <c r="H343" s="4" t="n">
        <v>45628</v>
      </c>
      <c r="I343" s="2" t="inlineStr">
        <is>
          <t>10:55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6" t="n">
        <v>0</v>
      </c>
      <c r="N343" s="5" t="n">
        <v>2024</v>
      </c>
      <c r="O343" s="6" t="inlineStr">
        <is>
          <t>2024-11</t>
        </is>
      </c>
    </row>
    <row r="344">
      <c r="A344" s="2" t="inlineStr">
        <is>
          <t>Z001_02_112024_MATURIN.CSV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FILE001</t>
        </is>
      </c>
      <c r="F344" s="2" t="inlineStr">
        <is>
          <t>Z</t>
        </is>
      </c>
      <c r="G344" s="3" t="inlineStr">
        <is>
          <t>0039</t>
        </is>
      </c>
      <c r="H344" s="4" t="n">
        <v>45628</v>
      </c>
      <c r="I344" s="2" t="inlineStr">
        <is>
          <t>10:55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6" t="n">
        <v>0</v>
      </c>
      <c r="N344" s="5" t="n">
        <v>2024</v>
      </c>
      <c r="O344" s="6" t="inlineStr">
        <is>
          <t>2024-11</t>
        </is>
      </c>
    </row>
    <row r="345">
      <c r="A345" s="2" t="inlineStr">
        <is>
          <t>Z001_02_112024_MATURIN.CSV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FILE001</t>
        </is>
      </c>
      <c r="F345" s="2" t="inlineStr">
        <is>
          <t>Z</t>
        </is>
      </c>
      <c r="G345" s="3" t="inlineStr">
        <is>
          <t>0039</t>
        </is>
      </c>
      <c r="H345" s="4" t="n">
        <v>45628</v>
      </c>
      <c r="I345" s="2" t="inlineStr">
        <is>
          <t>10:55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6" t="n">
        <v>0</v>
      </c>
      <c r="N345" s="5" t="n">
        <v>2024</v>
      </c>
      <c r="O345" s="6" t="inlineStr">
        <is>
          <t>2024-11</t>
        </is>
      </c>
    </row>
    <row r="346">
      <c r="A346" s="2" t="inlineStr">
        <is>
          <t>Z001_02_112024_MATURIN.CSV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FILE001</t>
        </is>
      </c>
      <c r="F346" s="2" t="inlineStr">
        <is>
          <t>Z</t>
        </is>
      </c>
      <c r="G346" s="3" t="inlineStr">
        <is>
          <t>0039</t>
        </is>
      </c>
      <c r="H346" s="4" t="n">
        <v>45628</v>
      </c>
      <c r="I346" s="2" t="inlineStr">
        <is>
          <t>10:55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6" t="n">
        <v>0</v>
      </c>
      <c r="N346" s="5" t="n">
        <v>2024</v>
      </c>
      <c r="O346" s="6" t="inlineStr">
        <is>
          <t>2024-11</t>
        </is>
      </c>
    </row>
    <row r="347">
      <c r="A347" s="2" t="inlineStr">
        <is>
          <t>Z001_02_112024_MATURIN.CSV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FILE001</t>
        </is>
      </c>
      <c r="F347" s="2" t="inlineStr">
        <is>
          <t>Z</t>
        </is>
      </c>
      <c r="G347" s="3" t="inlineStr">
        <is>
          <t>0039</t>
        </is>
      </c>
      <c r="H347" s="4" t="n">
        <v>45628</v>
      </c>
      <c r="I347" s="2" t="inlineStr">
        <is>
          <t>10:55</t>
        </is>
      </c>
      <c r="J347" s="3" t="inlineStr">
        <is>
          <t>0018</t>
        </is>
      </c>
      <c r="K347" s="2" t="inlineStr">
        <is>
          <t>CLIENTS</t>
        </is>
      </c>
      <c r="L347" s="5" t="n">
        <v>7</v>
      </c>
      <c r="M347" s="6" t="n">
        <v>0</v>
      </c>
      <c r="N347" s="5" t="n">
        <v>2024</v>
      </c>
      <c r="O347" s="6" t="inlineStr">
        <is>
          <t>2024-11</t>
        </is>
      </c>
    </row>
    <row r="348">
      <c r="A348" s="2" t="inlineStr">
        <is>
          <t>Z001_02_112024_MATURIN.CSV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FILE001</t>
        </is>
      </c>
      <c r="F348" s="2" t="inlineStr">
        <is>
          <t>Z</t>
        </is>
      </c>
      <c r="G348" s="3" t="inlineStr">
        <is>
          <t>0039</t>
        </is>
      </c>
      <c r="H348" s="4" t="n">
        <v>45628</v>
      </c>
      <c r="I348" s="2" t="inlineStr">
        <is>
          <t>10:55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6" t="n">
        <v>0</v>
      </c>
      <c r="N348" s="5" t="n">
        <v>2024</v>
      </c>
      <c r="O348" s="6" t="inlineStr">
        <is>
          <t>2024-11</t>
        </is>
      </c>
    </row>
    <row r="349">
      <c r="A349" s="2" t="inlineStr">
        <is>
          <t>Z001_02_112024_MATURIN.CSV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FILE001</t>
        </is>
      </c>
      <c r="F349" s="2" t="inlineStr">
        <is>
          <t>Z</t>
        </is>
      </c>
      <c r="G349" s="3" t="inlineStr">
        <is>
          <t>0039</t>
        </is>
      </c>
      <c r="H349" s="4" t="n">
        <v>45628</v>
      </c>
      <c r="I349" s="2" t="inlineStr">
        <is>
          <t>10:55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6" t="n">
        <v>0</v>
      </c>
      <c r="N349" s="5" t="n">
        <v>2024</v>
      </c>
      <c r="O349" s="6" t="inlineStr">
        <is>
          <t>2024-11</t>
        </is>
      </c>
    </row>
    <row r="350">
      <c r="A350" s="2" t="inlineStr">
        <is>
          <t>Z001_02_112024_MATURIN.CSV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FILE001</t>
        </is>
      </c>
      <c r="F350" s="2" t="inlineStr">
        <is>
          <t>Z</t>
        </is>
      </c>
      <c r="G350" s="3" t="inlineStr">
        <is>
          <t>0039</t>
        </is>
      </c>
      <c r="H350" s="4" t="n">
        <v>45628</v>
      </c>
      <c r="I350" s="2" t="inlineStr">
        <is>
          <t>10:55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6" t="n">
        <v>0</v>
      </c>
      <c r="N350" s="5" t="n">
        <v>2024</v>
      </c>
      <c r="O350" s="6" t="inlineStr">
        <is>
          <t>2024-11</t>
        </is>
      </c>
    </row>
    <row r="351">
      <c r="A351" s="2" t="inlineStr">
        <is>
          <t>Z001_02_112024_MATURIN.CSV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FILE001</t>
        </is>
      </c>
      <c r="F351" s="2" t="inlineStr">
        <is>
          <t>Z</t>
        </is>
      </c>
      <c r="G351" s="3" t="inlineStr">
        <is>
          <t>0039</t>
        </is>
      </c>
      <c r="H351" s="4" t="n">
        <v>45628</v>
      </c>
      <c r="I351" s="2" t="inlineStr">
        <is>
          <t>10:55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6" t="n">
        <v>0</v>
      </c>
      <c r="N351" s="5" t="n">
        <v>2024</v>
      </c>
      <c r="O351" s="6" t="inlineStr">
        <is>
          <t>2024-11</t>
        </is>
      </c>
    </row>
    <row r="352">
      <c r="A352" s="2" t="inlineStr">
        <is>
          <t>Z001_02_112024_MATURIN.CSV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FILE001</t>
        </is>
      </c>
      <c r="F352" s="2" t="inlineStr">
        <is>
          <t>Z</t>
        </is>
      </c>
      <c r="G352" s="3" t="inlineStr">
        <is>
          <t>0039</t>
        </is>
      </c>
      <c r="H352" s="4" t="n">
        <v>45628</v>
      </c>
      <c r="I352" s="2" t="inlineStr">
        <is>
          <t>10:55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6" t="n">
        <v>0</v>
      </c>
      <c r="N352" s="5" t="n">
        <v>2024</v>
      </c>
      <c r="O352" s="6" t="inlineStr">
        <is>
          <t>2024-11</t>
        </is>
      </c>
    </row>
    <row r="353">
      <c r="A353" s="2" t="inlineStr">
        <is>
          <t>Z001_02_112024_MATURIN.CSV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FILE001</t>
        </is>
      </c>
      <c r="F353" s="2" t="inlineStr">
        <is>
          <t>Z</t>
        </is>
      </c>
      <c r="G353" s="3" t="inlineStr">
        <is>
          <t>0039</t>
        </is>
      </c>
      <c r="H353" s="4" t="n">
        <v>45628</v>
      </c>
      <c r="I353" s="2" t="inlineStr">
        <is>
          <t>10:55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6" t="n">
        <v>0</v>
      </c>
      <c r="N353" s="5" t="n">
        <v>2024</v>
      </c>
      <c r="O353" s="6" t="inlineStr">
        <is>
          <t>2024-11</t>
        </is>
      </c>
    </row>
    <row r="354">
      <c r="A354" s="2" t="inlineStr">
        <is>
          <t>Z001_02_112024_MATURIN.CSV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FILE001</t>
        </is>
      </c>
      <c r="F354" s="2" t="inlineStr">
        <is>
          <t>Z</t>
        </is>
      </c>
      <c r="G354" s="3" t="inlineStr">
        <is>
          <t>0039</t>
        </is>
      </c>
      <c r="H354" s="4" t="n">
        <v>45628</v>
      </c>
      <c r="I354" s="2" t="inlineStr">
        <is>
          <t>10:55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6" t="n">
        <v>0</v>
      </c>
      <c r="N354" s="5" t="n">
        <v>2024</v>
      </c>
      <c r="O354" s="6" t="inlineStr">
        <is>
          <t>2024-11</t>
        </is>
      </c>
    </row>
    <row r="355">
      <c r="A355" s="2" t="inlineStr">
        <is>
          <t>Z001_02_112024_MATURIN.CSV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FILE001</t>
        </is>
      </c>
      <c r="F355" s="2" t="inlineStr">
        <is>
          <t>Z</t>
        </is>
      </c>
      <c r="G355" s="3" t="inlineStr">
        <is>
          <t>0039</t>
        </is>
      </c>
      <c r="H355" s="4" t="n">
        <v>45628</v>
      </c>
      <c r="I355" s="2" t="inlineStr">
        <is>
          <t>10:55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6" t="n">
        <v>0</v>
      </c>
      <c r="N355" s="5" t="n">
        <v>2024</v>
      </c>
      <c r="O355" s="6" t="inlineStr">
        <is>
          <t>2024-11</t>
        </is>
      </c>
    </row>
    <row r="356">
      <c r="A356" s="2" t="inlineStr">
        <is>
          <t>Z001_02_112024_MATURIN.CSV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FILE001</t>
        </is>
      </c>
      <c r="F356" s="2" t="inlineStr">
        <is>
          <t>Z</t>
        </is>
      </c>
      <c r="G356" s="3" t="inlineStr">
        <is>
          <t>0039</t>
        </is>
      </c>
      <c r="H356" s="4" t="n">
        <v>45628</v>
      </c>
      <c r="I356" s="2" t="inlineStr">
        <is>
          <t>10:55</t>
        </is>
      </c>
      <c r="J356" s="3" t="inlineStr">
        <is>
          <t>0027</t>
        </is>
      </c>
      <c r="K356" s="2" t="inlineStr"/>
      <c r="L356" s="5" t="n">
        <v>0</v>
      </c>
      <c r="M356" s="6" t="n">
        <v>0</v>
      </c>
      <c r="N356" s="5" t="n">
        <v>2024</v>
      </c>
      <c r="O356" s="6" t="inlineStr">
        <is>
          <t>2024-11</t>
        </is>
      </c>
    </row>
    <row r="357">
      <c r="A357" s="2" t="inlineStr">
        <is>
          <t>Z001_02_112024_MATURIN.CSV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FILE001</t>
        </is>
      </c>
      <c r="F357" s="2" t="inlineStr">
        <is>
          <t>Z</t>
        </is>
      </c>
      <c r="G357" s="3" t="inlineStr">
        <is>
          <t>0039</t>
        </is>
      </c>
      <c r="H357" s="4" t="n">
        <v>45628</v>
      </c>
      <c r="I357" s="2" t="inlineStr">
        <is>
          <t>10:55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6" t="n">
        <v>0</v>
      </c>
      <c r="N357" s="5" t="n">
        <v>2024</v>
      </c>
      <c r="O357" s="6" t="inlineStr">
        <is>
          <t>2024-11</t>
        </is>
      </c>
    </row>
    <row r="358">
      <c r="A358" s="2" t="inlineStr">
        <is>
          <t>Z001_02_112024_MATURIN.CSV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FILE001</t>
        </is>
      </c>
      <c r="F358" s="2" t="inlineStr">
        <is>
          <t>Z</t>
        </is>
      </c>
      <c r="G358" s="3" t="inlineStr">
        <is>
          <t>0039</t>
        </is>
      </c>
      <c r="H358" s="4" t="n">
        <v>45628</v>
      </c>
      <c r="I358" s="2" t="inlineStr">
        <is>
          <t>10:55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6" t="n">
        <v>0</v>
      </c>
      <c r="N358" s="5" t="n">
        <v>2024</v>
      </c>
      <c r="O358" s="6" t="inlineStr">
        <is>
          <t>2024-11</t>
        </is>
      </c>
    </row>
    <row r="359">
      <c r="A359" s="2" t="inlineStr">
        <is>
          <t>Z001_02_112024_MATURIN.CSV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FILE001</t>
        </is>
      </c>
      <c r="F359" s="2" t="inlineStr">
        <is>
          <t>Z</t>
        </is>
      </c>
      <c r="G359" s="3" t="inlineStr">
        <is>
          <t>0039</t>
        </is>
      </c>
      <c r="H359" s="4" t="n">
        <v>45628</v>
      </c>
      <c r="I359" s="2" t="inlineStr">
        <is>
          <t>10:55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6" t="n">
        <v>0</v>
      </c>
      <c r="N359" s="5" t="n">
        <v>2024</v>
      </c>
      <c r="O359" s="6" t="inlineStr">
        <is>
          <t>2024-11</t>
        </is>
      </c>
    </row>
    <row r="360">
      <c r="A360" s="2" t="inlineStr">
        <is>
          <t>Z001_02_112024_MATURIN.CSV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FILE001</t>
        </is>
      </c>
      <c r="F360" s="2" t="inlineStr">
        <is>
          <t>Z</t>
        </is>
      </c>
      <c r="G360" s="3" t="inlineStr">
        <is>
          <t>0039</t>
        </is>
      </c>
      <c r="H360" s="4" t="n">
        <v>45628</v>
      </c>
      <c r="I360" s="2" t="inlineStr">
        <is>
          <t>10:55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6" t="n">
        <v>0</v>
      </c>
      <c r="N360" s="5" t="n">
        <v>2024</v>
      </c>
      <c r="O360" s="6" t="inlineStr">
        <is>
          <t>2024-11</t>
        </is>
      </c>
    </row>
    <row r="361">
      <c r="A361" s="2" t="inlineStr">
        <is>
          <t>Z001_02_112024_MATURIN.CSV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FILE001</t>
        </is>
      </c>
      <c r="F361" s="2" t="inlineStr">
        <is>
          <t>Z</t>
        </is>
      </c>
      <c r="G361" s="3" t="inlineStr">
        <is>
          <t>0039</t>
        </is>
      </c>
      <c r="H361" s="4" t="n">
        <v>45628</v>
      </c>
      <c r="I361" s="2" t="inlineStr">
        <is>
          <t>10:55</t>
        </is>
      </c>
      <c r="J361" s="3" t="inlineStr">
        <is>
          <t>0032</t>
        </is>
      </c>
      <c r="K361" s="2" t="inlineStr"/>
      <c r="L361" s="5" t="n">
        <v>0</v>
      </c>
      <c r="M361" s="6" t="n">
        <v>0</v>
      </c>
      <c r="N361" s="5" t="n">
        <v>2024</v>
      </c>
      <c r="O361" s="6" t="inlineStr">
        <is>
          <t>2024-11</t>
        </is>
      </c>
    </row>
    <row r="362">
      <c r="A362" s="2" t="inlineStr">
        <is>
          <t>Z001_02_112024_MATURIN.CSV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FILE001</t>
        </is>
      </c>
      <c r="F362" s="2" t="inlineStr">
        <is>
          <t>Z</t>
        </is>
      </c>
      <c r="G362" s="3" t="inlineStr">
        <is>
          <t>0039</t>
        </is>
      </c>
      <c r="H362" s="4" t="n">
        <v>45628</v>
      </c>
      <c r="I362" s="2" t="inlineStr">
        <is>
          <t>10:55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6" t="n">
        <v>4168.26</v>
      </c>
      <c r="N362" s="5" t="n">
        <v>2024</v>
      </c>
      <c r="O362" s="6" t="inlineStr">
        <is>
          <t>2024-11</t>
        </is>
      </c>
    </row>
    <row r="363">
      <c r="A363" s="2" t="inlineStr">
        <is>
          <t>Z001_02_112024_MATURIN.CSV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FILE001</t>
        </is>
      </c>
      <c r="F363" s="2" t="inlineStr">
        <is>
          <t>Z</t>
        </is>
      </c>
      <c r="G363" s="3" t="inlineStr">
        <is>
          <t>0039</t>
        </is>
      </c>
      <c r="H363" s="4" t="n">
        <v>45628</v>
      </c>
      <c r="I363" s="2" t="inlineStr">
        <is>
          <t>10:55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6" t="n">
        <v>833.64</v>
      </c>
      <c r="N363" s="5" t="n">
        <v>2024</v>
      </c>
      <c r="O363" s="6" t="inlineStr">
        <is>
          <t>2024-11</t>
        </is>
      </c>
    </row>
    <row r="364">
      <c r="A364" s="2" t="inlineStr">
        <is>
          <t>Z001_02_112024_MATURIN.CSV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FILE001</t>
        </is>
      </c>
      <c r="F364" s="2" t="inlineStr">
        <is>
          <t>Z</t>
        </is>
      </c>
      <c r="G364" s="3" t="inlineStr">
        <is>
          <t>0039</t>
        </is>
      </c>
      <c r="H364" s="4" t="n">
        <v>45628</v>
      </c>
      <c r="I364" s="2" t="inlineStr">
        <is>
          <t>10:55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6" t="n">
        <v>0</v>
      </c>
      <c r="N364" s="5" t="n">
        <v>2024</v>
      </c>
      <c r="O364" s="6" t="inlineStr">
        <is>
          <t>2024-11</t>
        </is>
      </c>
    </row>
    <row r="365">
      <c r="A365" s="2" t="inlineStr">
        <is>
          <t>Z001_02_112024_MATURIN.CSV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FILE001</t>
        </is>
      </c>
      <c r="F365" s="2" t="inlineStr">
        <is>
          <t>Z</t>
        </is>
      </c>
      <c r="G365" s="3" t="inlineStr">
        <is>
          <t>0039</t>
        </is>
      </c>
      <c r="H365" s="4" t="n">
        <v>45628</v>
      </c>
      <c r="I365" s="2" t="inlineStr">
        <is>
          <t>10:55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6" t="n">
        <v>0</v>
      </c>
      <c r="N365" s="5" t="n">
        <v>2024</v>
      </c>
      <c r="O365" s="6" t="inlineStr">
        <is>
          <t>2024-11</t>
        </is>
      </c>
    </row>
    <row r="366">
      <c r="A366" s="2" t="inlineStr">
        <is>
          <t>Z001_02_112024_MATURIN.CSV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FILE001</t>
        </is>
      </c>
      <c r="F366" s="2" t="inlineStr">
        <is>
          <t>Z</t>
        </is>
      </c>
      <c r="G366" s="3" t="inlineStr">
        <is>
          <t>0039</t>
        </is>
      </c>
      <c r="H366" s="4" t="n">
        <v>45628</v>
      </c>
      <c r="I366" s="2" t="inlineStr">
        <is>
          <t>10:55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6" t="n">
        <v>0</v>
      </c>
      <c r="N366" s="5" t="n">
        <v>2024</v>
      </c>
      <c r="O366" s="6" t="inlineStr">
        <is>
          <t>2024-11</t>
        </is>
      </c>
    </row>
    <row r="367">
      <c r="A367" s="2" t="inlineStr">
        <is>
          <t>Z001_02_112024_MATURIN.CSV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FILE001</t>
        </is>
      </c>
      <c r="F367" s="2" t="inlineStr">
        <is>
          <t>Z</t>
        </is>
      </c>
      <c r="G367" s="3" t="inlineStr">
        <is>
          <t>0039</t>
        </is>
      </c>
      <c r="H367" s="4" t="n">
        <v>45628</v>
      </c>
      <c r="I367" s="2" t="inlineStr">
        <is>
          <t>10:55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6" t="n">
        <v>0</v>
      </c>
      <c r="N367" s="5" t="n">
        <v>2024</v>
      </c>
      <c r="O367" s="6" t="inlineStr">
        <is>
          <t>2024-11</t>
        </is>
      </c>
    </row>
    <row r="368">
      <c r="A368" s="2" t="inlineStr">
        <is>
          <t>Z001_02_112024_MATURIN.CSV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FILE001</t>
        </is>
      </c>
      <c r="F368" s="2" t="inlineStr">
        <is>
          <t>Z</t>
        </is>
      </c>
      <c r="G368" s="3" t="inlineStr">
        <is>
          <t>0039</t>
        </is>
      </c>
      <c r="H368" s="4" t="n">
        <v>45628</v>
      </c>
      <c r="I368" s="2" t="inlineStr">
        <is>
          <t>10:55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6" t="n">
        <v>0</v>
      </c>
      <c r="N368" s="5" t="n">
        <v>2024</v>
      </c>
      <c r="O368" s="6" t="inlineStr">
        <is>
          <t>2024-11</t>
        </is>
      </c>
    </row>
    <row r="369">
      <c r="A369" s="2" t="inlineStr">
        <is>
          <t>Z001_02_112024_MATURIN.CSV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FILE001</t>
        </is>
      </c>
      <c r="F369" s="2" t="inlineStr">
        <is>
          <t>Z</t>
        </is>
      </c>
      <c r="G369" s="3" t="inlineStr">
        <is>
          <t>0039</t>
        </is>
      </c>
      <c r="H369" s="4" t="n">
        <v>45628</v>
      </c>
      <c r="I369" s="2" t="inlineStr">
        <is>
          <t>10:55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6" t="n">
        <v>0</v>
      </c>
      <c r="N369" s="5" t="n">
        <v>2024</v>
      </c>
      <c r="O369" s="6" t="inlineStr">
        <is>
          <t>2024-11</t>
        </is>
      </c>
    </row>
    <row r="370">
      <c r="A370" s="2" t="inlineStr">
        <is>
          <t>Z001_02_112024_MATURIN.CSV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FILE001</t>
        </is>
      </c>
      <c r="F370" s="2" t="inlineStr">
        <is>
          <t>Z</t>
        </is>
      </c>
      <c r="G370" s="3" t="inlineStr">
        <is>
          <t>0039</t>
        </is>
      </c>
      <c r="H370" s="4" t="n">
        <v>45628</v>
      </c>
      <c r="I370" s="2" t="inlineStr">
        <is>
          <t>10:55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6" t="n">
        <v>0</v>
      </c>
      <c r="N370" s="5" t="n">
        <v>2024</v>
      </c>
      <c r="O370" s="6" t="inlineStr">
        <is>
          <t>2024-11</t>
        </is>
      </c>
    </row>
    <row r="371">
      <c r="A371" s="2" t="inlineStr">
        <is>
          <t>Z001_30_082024_MATURIN.CSV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FILE001</t>
        </is>
      </c>
      <c r="F371" s="2" t="inlineStr">
        <is>
          <t>Z</t>
        </is>
      </c>
      <c r="G371" s="3" t="inlineStr">
        <is>
          <t>0036</t>
        </is>
      </c>
      <c r="H371" s="4" t="n">
        <v>45534</v>
      </c>
      <c r="I371" s="2" t="inlineStr">
        <is>
          <t>14:07</t>
        </is>
      </c>
      <c r="J371" s="3" t="inlineStr">
        <is>
          <t>0001</t>
        </is>
      </c>
      <c r="K371" s="2" t="inlineStr">
        <is>
          <t>CA BRUT</t>
        </is>
      </c>
      <c r="L371" s="5" t="n">
        <v>66</v>
      </c>
      <c r="M371" s="6" t="n">
        <v>38707.5</v>
      </c>
      <c r="N371" s="5" t="n">
        <v>2024</v>
      </c>
      <c r="O371" s="6" t="inlineStr">
        <is>
          <t>2024-08</t>
        </is>
      </c>
    </row>
    <row r="372">
      <c r="A372" s="2" t="inlineStr">
        <is>
          <t>Z001_30_082024_MATURIN.CSV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FILE001</t>
        </is>
      </c>
      <c r="F372" s="2" t="inlineStr">
        <is>
          <t>Z</t>
        </is>
      </c>
      <c r="G372" s="3" t="inlineStr">
        <is>
          <t>0036</t>
        </is>
      </c>
      <c r="H372" s="4" t="n">
        <v>45534</v>
      </c>
      <c r="I372" s="2" t="inlineStr">
        <is>
          <t>14:07</t>
        </is>
      </c>
      <c r="J372" s="3" t="inlineStr">
        <is>
          <t>0002</t>
        </is>
      </c>
      <c r="K372" s="2" t="inlineStr">
        <is>
          <t>CA NET</t>
        </is>
      </c>
      <c r="L372" s="5" t="n">
        <v>24</v>
      </c>
      <c r="M372" s="6" t="n">
        <v>38707.5</v>
      </c>
      <c r="N372" s="5" t="n">
        <v>2024</v>
      </c>
      <c r="O372" s="6" t="inlineStr">
        <is>
          <t>2024-08</t>
        </is>
      </c>
    </row>
    <row r="373">
      <c r="A373" s="2" t="inlineStr">
        <is>
          <t>Z001_30_082024_MATURIN.CSV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FILE001</t>
        </is>
      </c>
      <c r="F373" s="2" t="inlineStr">
        <is>
          <t>Z</t>
        </is>
      </c>
      <c r="G373" s="3" t="inlineStr">
        <is>
          <t>0036</t>
        </is>
      </c>
      <c r="H373" s="4" t="n">
        <v>45534</v>
      </c>
      <c r="I373" s="2" t="inlineStr">
        <is>
          <t>14:07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6" t="n">
        <v>2597</v>
      </c>
      <c r="N373" s="5" t="n">
        <v>2024</v>
      </c>
      <c r="O373" s="6" t="inlineStr">
        <is>
          <t>2024-08</t>
        </is>
      </c>
    </row>
    <row r="374">
      <c r="A374" s="2" t="inlineStr">
        <is>
          <t>Z001_30_082024_MATURIN.CSV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FILE001</t>
        </is>
      </c>
      <c r="F374" s="2" t="inlineStr">
        <is>
          <t>Z</t>
        </is>
      </c>
      <c r="G374" s="3" t="inlineStr">
        <is>
          <t>0036</t>
        </is>
      </c>
      <c r="H374" s="4" t="n">
        <v>45534</v>
      </c>
      <c r="I374" s="2" t="inlineStr">
        <is>
          <t>14:07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6" t="n">
        <v>36110.5</v>
      </c>
      <c r="N374" s="5" t="n">
        <v>2024</v>
      </c>
      <c r="O374" s="6" t="inlineStr">
        <is>
          <t>2024-08</t>
        </is>
      </c>
    </row>
    <row r="375">
      <c r="A375" s="2" t="inlineStr">
        <is>
          <t>Z001_30_082024_MATURIN.CSV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FILE001</t>
        </is>
      </c>
      <c r="F375" s="2" t="inlineStr">
        <is>
          <t>Z</t>
        </is>
      </c>
      <c r="G375" s="3" t="inlineStr">
        <is>
          <t>0036</t>
        </is>
      </c>
      <c r="H375" s="4" t="n">
        <v>45534</v>
      </c>
      <c r="I375" s="2" t="inlineStr">
        <is>
          <t>14:07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6" t="n">
        <v>0</v>
      </c>
      <c r="N375" s="5" t="n">
        <v>2024</v>
      </c>
      <c r="O375" s="6" t="inlineStr">
        <is>
          <t>2024-08</t>
        </is>
      </c>
    </row>
    <row r="376">
      <c r="A376" s="2" t="inlineStr">
        <is>
          <t>Z001_30_082024_MATURIN.CSV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FILE001</t>
        </is>
      </c>
      <c r="F376" s="2" t="inlineStr">
        <is>
          <t>Z</t>
        </is>
      </c>
      <c r="G376" s="3" t="inlineStr">
        <is>
          <t>0036</t>
        </is>
      </c>
      <c r="H376" s="4" t="n">
        <v>45534</v>
      </c>
      <c r="I376" s="2" t="inlineStr">
        <is>
          <t>14:07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6" t="n">
        <v>0</v>
      </c>
      <c r="N376" s="5" t="n">
        <v>2024</v>
      </c>
      <c r="O376" s="6" t="inlineStr">
        <is>
          <t>2024-08</t>
        </is>
      </c>
    </row>
    <row r="377">
      <c r="A377" s="2" t="inlineStr">
        <is>
          <t>Z001_30_082024_MATURIN.CSV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FILE001</t>
        </is>
      </c>
      <c r="F377" s="2" t="inlineStr">
        <is>
          <t>Z</t>
        </is>
      </c>
      <c r="G377" s="3" t="inlineStr">
        <is>
          <t>0036</t>
        </is>
      </c>
      <c r="H377" s="4" t="n">
        <v>45534</v>
      </c>
      <c r="I377" s="2" t="inlineStr">
        <is>
          <t>14:07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6" t="n">
        <v>0</v>
      </c>
      <c r="N377" s="5" t="n">
        <v>2024</v>
      </c>
      <c r="O377" s="6" t="inlineStr">
        <is>
          <t>2024-08</t>
        </is>
      </c>
    </row>
    <row r="378">
      <c r="A378" s="2" t="inlineStr">
        <is>
          <t>Z001_30_082024_MATURIN.CSV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FILE001</t>
        </is>
      </c>
      <c r="F378" s="2" t="inlineStr">
        <is>
          <t>Z</t>
        </is>
      </c>
      <c r="G378" s="3" t="inlineStr">
        <is>
          <t>0036</t>
        </is>
      </c>
      <c r="H378" s="4" t="n">
        <v>45534</v>
      </c>
      <c r="I378" s="2" t="inlineStr">
        <is>
          <t>14:07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6" t="n">
        <v>0</v>
      </c>
      <c r="N378" s="5" t="n">
        <v>2024</v>
      </c>
      <c r="O378" s="6" t="inlineStr">
        <is>
          <t>2024-08</t>
        </is>
      </c>
    </row>
    <row r="379">
      <c r="A379" s="2" t="inlineStr">
        <is>
          <t>Z001_30_082024_MATURIN.CSV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FILE001</t>
        </is>
      </c>
      <c r="F379" s="2" t="inlineStr">
        <is>
          <t>Z</t>
        </is>
      </c>
      <c r="G379" s="3" t="inlineStr">
        <is>
          <t>0036</t>
        </is>
      </c>
      <c r="H379" s="4" t="n">
        <v>45534</v>
      </c>
      <c r="I379" s="2" t="inlineStr">
        <is>
          <t>14:07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6" t="n">
        <v>0</v>
      </c>
      <c r="N379" s="5" t="n">
        <v>2024</v>
      </c>
      <c r="O379" s="6" t="inlineStr">
        <is>
          <t>2024-08</t>
        </is>
      </c>
    </row>
    <row r="380">
      <c r="A380" s="2" t="inlineStr">
        <is>
          <t>Z001_30_082024_MATURIN.CSV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FILE001</t>
        </is>
      </c>
      <c r="F380" s="2" t="inlineStr">
        <is>
          <t>Z</t>
        </is>
      </c>
      <c r="G380" s="3" t="inlineStr">
        <is>
          <t>0036</t>
        </is>
      </c>
      <c r="H380" s="4" t="n">
        <v>45534</v>
      </c>
      <c r="I380" s="2" t="inlineStr">
        <is>
          <t>14:07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6" t="n">
        <v>0</v>
      </c>
      <c r="N380" s="5" t="n">
        <v>2024</v>
      </c>
      <c r="O380" s="6" t="inlineStr">
        <is>
          <t>2024-08</t>
        </is>
      </c>
    </row>
    <row r="381">
      <c r="A381" s="2" t="inlineStr">
        <is>
          <t>Z001_30_082024_MATURIN.CSV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FILE001</t>
        </is>
      </c>
      <c r="F381" s="2" t="inlineStr">
        <is>
          <t>Z</t>
        </is>
      </c>
      <c r="G381" s="3" t="inlineStr">
        <is>
          <t>0036</t>
        </is>
      </c>
      <c r="H381" s="4" t="n">
        <v>45534</v>
      </c>
      <c r="I381" s="2" t="inlineStr">
        <is>
          <t>14:07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6" t="n">
        <v>0</v>
      </c>
      <c r="N381" s="5" t="n">
        <v>2024</v>
      </c>
      <c r="O381" s="6" t="inlineStr">
        <is>
          <t>2024-08</t>
        </is>
      </c>
    </row>
    <row r="382">
      <c r="A382" s="2" t="inlineStr">
        <is>
          <t>Z001_30_082024_MATURIN.CSV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FILE001</t>
        </is>
      </c>
      <c r="F382" s="2" t="inlineStr">
        <is>
          <t>Z</t>
        </is>
      </c>
      <c r="G382" s="3" t="inlineStr">
        <is>
          <t>0036</t>
        </is>
      </c>
      <c r="H382" s="4" t="n">
        <v>45534</v>
      </c>
      <c r="I382" s="2" t="inlineStr">
        <is>
          <t>14:07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6" t="n">
        <v>0</v>
      </c>
      <c r="N382" s="5" t="n">
        <v>2024</v>
      </c>
      <c r="O382" s="6" t="inlineStr">
        <is>
          <t>2024-08</t>
        </is>
      </c>
    </row>
    <row r="383">
      <c r="A383" s="2" t="inlineStr">
        <is>
          <t>Z001_30_082024_MATURIN.CSV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FILE001</t>
        </is>
      </c>
      <c r="F383" s="2" t="inlineStr">
        <is>
          <t>Z</t>
        </is>
      </c>
      <c r="G383" s="3" t="inlineStr">
        <is>
          <t>0036</t>
        </is>
      </c>
      <c r="H383" s="4" t="n">
        <v>45534</v>
      </c>
      <c r="I383" s="2" t="inlineStr">
        <is>
          <t>14:07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6" t="n">
        <v>0</v>
      </c>
      <c r="N383" s="5" t="n">
        <v>2024</v>
      </c>
      <c r="O383" s="6" t="inlineStr">
        <is>
          <t>2024-08</t>
        </is>
      </c>
    </row>
    <row r="384">
      <c r="A384" s="2" t="inlineStr">
        <is>
          <t>Z001_30_082024_MATURIN.CSV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FILE001</t>
        </is>
      </c>
      <c r="F384" s="2" t="inlineStr">
        <is>
          <t>Z</t>
        </is>
      </c>
      <c r="G384" s="3" t="inlineStr">
        <is>
          <t>0036</t>
        </is>
      </c>
      <c r="H384" s="4" t="n">
        <v>45534</v>
      </c>
      <c r="I384" s="2" t="inlineStr">
        <is>
          <t>14:07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6" t="n">
        <v>0</v>
      </c>
      <c r="N384" s="5" t="n">
        <v>2024</v>
      </c>
      <c r="O384" s="6" t="inlineStr">
        <is>
          <t>2024-08</t>
        </is>
      </c>
    </row>
    <row r="385">
      <c r="A385" s="2" t="inlineStr">
        <is>
          <t>Z001_30_082024_MATURIN.CSV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FILE001</t>
        </is>
      </c>
      <c r="F385" s="2" t="inlineStr">
        <is>
          <t>Z</t>
        </is>
      </c>
      <c r="G385" s="3" t="inlineStr">
        <is>
          <t>0036</t>
        </is>
      </c>
      <c r="H385" s="4" t="n">
        <v>45534</v>
      </c>
      <c r="I385" s="2" t="inlineStr">
        <is>
          <t>14:07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6" t="n">
        <v>0</v>
      </c>
      <c r="N385" s="5" t="n">
        <v>2024</v>
      </c>
      <c r="O385" s="6" t="inlineStr">
        <is>
          <t>2024-08</t>
        </is>
      </c>
    </row>
    <row r="386">
      <c r="A386" s="2" t="inlineStr">
        <is>
          <t>Z001_30_082024_MATURIN.CSV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FILE001</t>
        </is>
      </c>
      <c r="F386" s="2" t="inlineStr">
        <is>
          <t>Z</t>
        </is>
      </c>
      <c r="G386" s="3" t="inlineStr">
        <is>
          <t>0036</t>
        </is>
      </c>
      <c r="H386" s="4" t="n">
        <v>45534</v>
      </c>
      <c r="I386" s="2" t="inlineStr">
        <is>
          <t>14:07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6" t="n">
        <v>0</v>
      </c>
      <c r="N386" s="5" t="n">
        <v>2024</v>
      </c>
      <c r="O386" s="6" t="inlineStr">
        <is>
          <t>2024-08</t>
        </is>
      </c>
    </row>
    <row r="387">
      <c r="A387" s="2" t="inlineStr">
        <is>
          <t>Z001_30_082024_MATURIN.CSV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FILE001</t>
        </is>
      </c>
      <c r="F387" s="2" t="inlineStr">
        <is>
          <t>Z</t>
        </is>
      </c>
      <c r="G387" s="3" t="inlineStr">
        <is>
          <t>0036</t>
        </is>
      </c>
      <c r="H387" s="4" t="n">
        <v>45534</v>
      </c>
      <c r="I387" s="2" t="inlineStr">
        <is>
          <t>14:07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6" t="n">
        <v>0</v>
      </c>
      <c r="N387" s="5" t="n">
        <v>2024</v>
      </c>
      <c r="O387" s="6" t="inlineStr">
        <is>
          <t>2024-08</t>
        </is>
      </c>
    </row>
    <row r="388">
      <c r="A388" s="2" t="inlineStr">
        <is>
          <t>Z001_30_082024_MATURIN.CSV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FILE001</t>
        </is>
      </c>
      <c r="F388" s="2" t="inlineStr">
        <is>
          <t>Z</t>
        </is>
      </c>
      <c r="G388" s="3" t="inlineStr">
        <is>
          <t>0036</t>
        </is>
      </c>
      <c r="H388" s="4" t="n">
        <v>45534</v>
      </c>
      <c r="I388" s="2" t="inlineStr">
        <is>
          <t>14:07</t>
        </is>
      </c>
      <c r="J388" s="3" t="inlineStr">
        <is>
          <t>0018</t>
        </is>
      </c>
      <c r="K388" s="2" t="inlineStr">
        <is>
          <t>CLIENTS</t>
        </is>
      </c>
      <c r="L388" s="5" t="n">
        <v>24</v>
      </c>
      <c r="M388" s="6" t="n">
        <v>0</v>
      </c>
      <c r="N388" s="5" t="n">
        <v>2024</v>
      </c>
      <c r="O388" s="6" t="inlineStr">
        <is>
          <t>2024-08</t>
        </is>
      </c>
    </row>
    <row r="389">
      <c r="A389" s="2" t="inlineStr">
        <is>
          <t>Z001_30_082024_MATURIN.CSV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FILE001</t>
        </is>
      </c>
      <c r="F389" s="2" t="inlineStr">
        <is>
          <t>Z</t>
        </is>
      </c>
      <c r="G389" s="3" t="inlineStr">
        <is>
          <t>0036</t>
        </is>
      </c>
      <c r="H389" s="4" t="n">
        <v>45534</v>
      </c>
      <c r="I389" s="2" t="inlineStr">
        <is>
          <t>14:07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6" t="n">
        <v>0</v>
      </c>
      <c r="N389" s="5" t="n">
        <v>2024</v>
      </c>
      <c r="O389" s="6" t="inlineStr">
        <is>
          <t>2024-08</t>
        </is>
      </c>
    </row>
    <row r="390">
      <c r="A390" s="2" t="inlineStr">
        <is>
          <t>Z001_30_082024_MATURIN.CSV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FILE001</t>
        </is>
      </c>
      <c r="F390" s="2" t="inlineStr">
        <is>
          <t>Z</t>
        </is>
      </c>
      <c r="G390" s="3" t="inlineStr">
        <is>
          <t>0036</t>
        </is>
      </c>
      <c r="H390" s="4" t="n">
        <v>45534</v>
      </c>
      <c r="I390" s="2" t="inlineStr">
        <is>
          <t>14:07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6" t="n">
        <v>0</v>
      </c>
      <c r="N390" s="5" t="n">
        <v>2024</v>
      </c>
      <c r="O390" s="6" t="inlineStr">
        <is>
          <t>2024-08</t>
        </is>
      </c>
    </row>
    <row r="391">
      <c r="A391" s="2" t="inlineStr">
        <is>
          <t>Z001_30_082024_MATURIN.CSV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FILE001</t>
        </is>
      </c>
      <c r="F391" s="2" t="inlineStr">
        <is>
          <t>Z</t>
        </is>
      </c>
      <c r="G391" s="3" t="inlineStr">
        <is>
          <t>0036</t>
        </is>
      </c>
      <c r="H391" s="4" t="n">
        <v>45534</v>
      </c>
      <c r="I391" s="2" t="inlineStr">
        <is>
          <t>14:07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6" t="n">
        <v>0</v>
      </c>
      <c r="N391" s="5" t="n">
        <v>2024</v>
      </c>
      <c r="O391" s="6" t="inlineStr">
        <is>
          <t>2024-08</t>
        </is>
      </c>
    </row>
    <row r="392">
      <c r="A392" s="2" t="inlineStr">
        <is>
          <t>Z001_30_082024_MATURIN.CSV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FILE001</t>
        </is>
      </c>
      <c r="F392" s="2" t="inlineStr">
        <is>
          <t>Z</t>
        </is>
      </c>
      <c r="G392" s="3" t="inlineStr">
        <is>
          <t>0036</t>
        </is>
      </c>
      <c r="H392" s="4" t="n">
        <v>45534</v>
      </c>
      <c r="I392" s="2" t="inlineStr">
        <is>
          <t>14:07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6" t="n">
        <v>0</v>
      </c>
      <c r="N392" s="5" t="n">
        <v>2024</v>
      </c>
      <c r="O392" s="6" t="inlineStr">
        <is>
          <t>2024-08</t>
        </is>
      </c>
    </row>
    <row r="393">
      <c r="A393" s="2" t="inlineStr">
        <is>
          <t>Z001_30_082024_MATURIN.CSV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FILE001</t>
        </is>
      </c>
      <c r="F393" s="2" t="inlineStr">
        <is>
          <t>Z</t>
        </is>
      </c>
      <c r="G393" s="3" t="inlineStr">
        <is>
          <t>0036</t>
        </is>
      </c>
      <c r="H393" s="4" t="n">
        <v>45534</v>
      </c>
      <c r="I393" s="2" t="inlineStr">
        <is>
          <t>14:07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6" t="n">
        <v>0</v>
      </c>
      <c r="N393" s="5" t="n">
        <v>2024</v>
      </c>
      <c r="O393" s="6" t="inlineStr">
        <is>
          <t>2024-08</t>
        </is>
      </c>
    </row>
    <row r="394">
      <c r="A394" s="2" t="inlineStr">
        <is>
          <t>Z001_30_082024_MATURIN.CSV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FILE001</t>
        </is>
      </c>
      <c r="F394" s="2" t="inlineStr">
        <is>
          <t>Z</t>
        </is>
      </c>
      <c r="G394" s="3" t="inlineStr">
        <is>
          <t>0036</t>
        </is>
      </c>
      <c r="H394" s="4" t="n">
        <v>45534</v>
      </c>
      <c r="I394" s="2" t="inlineStr">
        <is>
          <t>14:07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6" t="n">
        <v>0</v>
      </c>
      <c r="N394" s="5" t="n">
        <v>2024</v>
      </c>
      <c r="O394" s="6" t="inlineStr">
        <is>
          <t>2024-08</t>
        </is>
      </c>
    </row>
    <row r="395">
      <c r="A395" s="2" t="inlineStr">
        <is>
          <t>Z001_30_082024_MATURIN.CSV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FILE001</t>
        </is>
      </c>
      <c r="F395" s="2" t="inlineStr">
        <is>
          <t>Z</t>
        </is>
      </c>
      <c r="G395" s="3" t="inlineStr">
        <is>
          <t>0036</t>
        </is>
      </c>
      <c r="H395" s="4" t="n">
        <v>45534</v>
      </c>
      <c r="I395" s="2" t="inlineStr">
        <is>
          <t>14:07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6" t="n">
        <v>0</v>
      </c>
      <c r="N395" s="5" t="n">
        <v>2024</v>
      </c>
      <c r="O395" s="6" t="inlineStr">
        <is>
          <t>2024-08</t>
        </is>
      </c>
    </row>
    <row r="396">
      <c r="A396" s="2" t="inlineStr">
        <is>
          <t>Z001_30_082024_MATURIN.CSV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FILE001</t>
        </is>
      </c>
      <c r="F396" s="2" t="inlineStr">
        <is>
          <t>Z</t>
        </is>
      </c>
      <c r="G396" s="3" t="inlineStr">
        <is>
          <t>0036</t>
        </is>
      </c>
      <c r="H396" s="4" t="n">
        <v>45534</v>
      </c>
      <c r="I396" s="2" t="inlineStr">
        <is>
          <t>14:07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6" t="n">
        <v>0</v>
      </c>
      <c r="N396" s="5" t="n">
        <v>2024</v>
      </c>
      <c r="O396" s="6" t="inlineStr">
        <is>
          <t>2024-08</t>
        </is>
      </c>
    </row>
    <row r="397">
      <c r="A397" s="2" t="inlineStr">
        <is>
          <t>Z001_30_082024_MATURIN.CSV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FILE001</t>
        </is>
      </c>
      <c r="F397" s="2" t="inlineStr">
        <is>
          <t>Z</t>
        </is>
      </c>
      <c r="G397" s="3" t="inlineStr">
        <is>
          <t>0036</t>
        </is>
      </c>
      <c r="H397" s="4" t="n">
        <v>45534</v>
      </c>
      <c r="I397" s="2" t="inlineStr">
        <is>
          <t>14:07</t>
        </is>
      </c>
      <c r="J397" s="3" t="inlineStr">
        <is>
          <t>0027</t>
        </is>
      </c>
      <c r="K397" s="2" t="inlineStr"/>
      <c r="L397" s="5" t="n">
        <v>0</v>
      </c>
      <c r="M397" s="6" t="n">
        <v>0</v>
      </c>
      <c r="N397" s="5" t="n">
        <v>2024</v>
      </c>
      <c r="O397" s="6" t="inlineStr">
        <is>
          <t>2024-08</t>
        </is>
      </c>
    </row>
    <row r="398">
      <c r="A398" s="2" t="inlineStr">
        <is>
          <t>Z001_30_082024_MATURIN.CSV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FILE001</t>
        </is>
      </c>
      <c r="F398" s="2" t="inlineStr">
        <is>
          <t>Z</t>
        </is>
      </c>
      <c r="G398" s="3" t="inlineStr">
        <is>
          <t>0036</t>
        </is>
      </c>
      <c r="H398" s="4" t="n">
        <v>45534</v>
      </c>
      <c r="I398" s="2" t="inlineStr">
        <is>
          <t>14:07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6" t="n">
        <v>0</v>
      </c>
      <c r="N398" s="5" t="n">
        <v>2024</v>
      </c>
      <c r="O398" s="6" t="inlineStr">
        <is>
          <t>2024-08</t>
        </is>
      </c>
    </row>
    <row r="399">
      <c r="A399" s="2" t="inlineStr">
        <is>
          <t>Z001_30_082024_MATURIN.CSV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FILE001</t>
        </is>
      </c>
      <c r="F399" s="2" t="inlineStr">
        <is>
          <t>Z</t>
        </is>
      </c>
      <c r="G399" s="3" t="inlineStr">
        <is>
          <t>0036</t>
        </is>
      </c>
      <c r="H399" s="4" t="n">
        <v>45534</v>
      </c>
      <c r="I399" s="2" t="inlineStr">
        <is>
          <t>14:07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6" t="n">
        <v>0</v>
      </c>
      <c r="N399" s="5" t="n">
        <v>2024</v>
      </c>
      <c r="O399" s="6" t="inlineStr">
        <is>
          <t>2024-08</t>
        </is>
      </c>
    </row>
    <row r="400">
      <c r="A400" s="2" t="inlineStr">
        <is>
          <t>Z001_30_082024_MATURIN.CSV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FILE001</t>
        </is>
      </c>
      <c r="F400" s="2" t="inlineStr">
        <is>
          <t>Z</t>
        </is>
      </c>
      <c r="G400" s="3" t="inlineStr">
        <is>
          <t>0036</t>
        </is>
      </c>
      <c r="H400" s="4" t="n">
        <v>45534</v>
      </c>
      <c r="I400" s="2" t="inlineStr">
        <is>
          <t>14:07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6" t="n">
        <v>0</v>
      </c>
      <c r="N400" s="5" t="n">
        <v>2024</v>
      </c>
      <c r="O400" s="6" t="inlineStr">
        <is>
          <t>2024-08</t>
        </is>
      </c>
    </row>
    <row r="401">
      <c r="A401" s="2" t="inlineStr">
        <is>
          <t>Z001_30_082024_MATURIN.CSV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FILE001</t>
        </is>
      </c>
      <c r="F401" s="2" t="inlineStr">
        <is>
          <t>Z</t>
        </is>
      </c>
      <c r="G401" s="3" t="inlineStr">
        <is>
          <t>0036</t>
        </is>
      </c>
      <c r="H401" s="4" t="n">
        <v>45534</v>
      </c>
      <c r="I401" s="2" t="inlineStr">
        <is>
          <t>14:07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6" t="n">
        <v>0</v>
      </c>
      <c r="N401" s="5" t="n">
        <v>2024</v>
      </c>
      <c r="O401" s="6" t="inlineStr">
        <is>
          <t>2024-08</t>
        </is>
      </c>
    </row>
    <row r="402">
      <c r="A402" s="2" t="inlineStr">
        <is>
          <t>Z001_30_082024_MATURIN.CSV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FILE001</t>
        </is>
      </c>
      <c r="F402" s="2" t="inlineStr">
        <is>
          <t>Z</t>
        </is>
      </c>
      <c r="G402" s="3" t="inlineStr">
        <is>
          <t>0036</t>
        </is>
      </c>
      <c r="H402" s="4" t="n">
        <v>45534</v>
      </c>
      <c r="I402" s="2" t="inlineStr">
        <is>
          <t>14:07</t>
        </is>
      </c>
      <c r="J402" s="3" t="inlineStr">
        <is>
          <t>0032</t>
        </is>
      </c>
      <c r="K402" s="2" t="inlineStr"/>
      <c r="L402" s="5" t="n">
        <v>0</v>
      </c>
      <c r="M402" s="6" t="n">
        <v>0</v>
      </c>
      <c r="N402" s="5" t="n">
        <v>2024</v>
      </c>
      <c r="O402" s="6" t="inlineStr">
        <is>
          <t>2024-08</t>
        </is>
      </c>
    </row>
    <row r="403">
      <c r="A403" s="2" t="inlineStr">
        <is>
          <t>Z001_30_082024_MATURIN.CSV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FILE001</t>
        </is>
      </c>
      <c r="F403" s="2" t="inlineStr">
        <is>
          <t>Z</t>
        </is>
      </c>
      <c r="G403" s="3" t="inlineStr">
        <is>
          <t>0036</t>
        </is>
      </c>
      <c r="H403" s="4" t="n">
        <v>45534</v>
      </c>
      <c r="I403" s="2" t="inlineStr">
        <is>
          <t>14:07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6" t="n">
        <v>32256.27</v>
      </c>
      <c r="N403" s="5" t="n">
        <v>2024</v>
      </c>
      <c r="O403" s="6" t="inlineStr">
        <is>
          <t>2024-08</t>
        </is>
      </c>
    </row>
    <row r="404">
      <c r="A404" s="2" t="inlineStr">
        <is>
          <t>Z001_30_082024_MATURIN.CSV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FILE001</t>
        </is>
      </c>
      <c r="F404" s="2" t="inlineStr">
        <is>
          <t>Z</t>
        </is>
      </c>
      <c r="G404" s="3" t="inlineStr">
        <is>
          <t>0036</t>
        </is>
      </c>
      <c r="H404" s="4" t="n">
        <v>45534</v>
      </c>
      <c r="I404" s="2" t="inlineStr">
        <is>
          <t>14:07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6" t="n">
        <v>6451.23</v>
      </c>
      <c r="N404" s="5" t="n">
        <v>2024</v>
      </c>
      <c r="O404" s="6" t="inlineStr">
        <is>
          <t>2024-08</t>
        </is>
      </c>
    </row>
    <row r="405">
      <c r="A405" s="2" t="inlineStr">
        <is>
          <t>Z001_30_082024_MATURIN.CSV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FILE001</t>
        </is>
      </c>
      <c r="F405" s="2" t="inlineStr">
        <is>
          <t>Z</t>
        </is>
      </c>
      <c r="G405" s="3" t="inlineStr">
        <is>
          <t>0036</t>
        </is>
      </c>
      <c r="H405" s="4" t="n">
        <v>45534</v>
      </c>
      <c r="I405" s="2" t="inlineStr">
        <is>
          <t>14:07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6" t="n">
        <v>0</v>
      </c>
      <c r="N405" s="5" t="n">
        <v>2024</v>
      </c>
      <c r="O405" s="6" t="inlineStr">
        <is>
          <t>2024-08</t>
        </is>
      </c>
    </row>
    <row r="406">
      <c r="A406" s="2" t="inlineStr">
        <is>
          <t>Z001_30_082024_MATURIN.CSV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FILE001</t>
        </is>
      </c>
      <c r="F406" s="2" t="inlineStr">
        <is>
          <t>Z</t>
        </is>
      </c>
      <c r="G406" s="3" t="inlineStr">
        <is>
          <t>0036</t>
        </is>
      </c>
      <c r="H406" s="4" t="n">
        <v>45534</v>
      </c>
      <c r="I406" s="2" t="inlineStr">
        <is>
          <t>14:07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6" t="n">
        <v>0</v>
      </c>
      <c r="N406" s="5" t="n">
        <v>2024</v>
      </c>
      <c r="O406" s="6" t="inlineStr">
        <is>
          <t>2024-08</t>
        </is>
      </c>
    </row>
    <row r="407">
      <c r="A407" s="2" t="inlineStr">
        <is>
          <t>Z001_30_082024_MATURIN.CSV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FILE001</t>
        </is>
      </c>
      <c r="F407" s="2" t="inlineStr">
        <is>
          <t>Z</t>
        </is>
      </c>
      <c r="G407" s="3" t="inlineStr">
        <is>
          <t>0036</t>
        </is>
      </c>
      <c r="H407" s="4" t="n">
        <v>45534</v>
      </c>
      <c r="I407" s="2" t="inlineStr">
        <is>
          <t>14:07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6" t="n">
        <v>0</v>
      </c>
      <c r="N407" s="5" t="n">
        <v>2024</v>
      </c>
      <c r="O407" s="6" t="inlineStr">
        <is>
          <t>2024-08</t>
        </is>
      </c>
    </row>
    <row r="408">
      <c r="A408" s="2" t="inlineStr">
        <is>
          <t>Z001_30_082024_MATURIN.CSV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FILE001</t>
        </is>
      </c>
      <c r="F408" s="2" t="inlineStr">
        <is>
          <t>Z</t>
        </is>
      </c>
      <c r="G408" s="3" t="inlineStr">
        <is>
          <t>0036</t>
        </is>
      </c>
      <c r="H408" s="4" t="n">
        <v>45534</v>
      </c>
      <c r="I408" s="2" t="inlineStr">
        <is>
          <t>14:07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6" t="n">
        <v>0</v>
      </c>
      <c r="N408" s="5" t="n">
        <v>2024</v>
      </c>
      <c r="O408" s="6" t="inlineStr">
        <is>
          <t>2024-08</t>
        </is>
      </c>
    </row>
    <row r="409">
      <c r="A409" s="2" t="inlineStr">
        <is>
          <t>Z001_30_082024_MATURIN.CSV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FILE001</t>
        </is>
      </c>
      <c r="F409" s="2" t="inlineStr">
        <is>
          <t>Z</t>
        </is>
      </c>
      <c r="G409" s="3" t="inlineStr">
        <is>
          <t>0036</t>
        </is>
      </c>
      <c r="H409" s="4" t="n">
        <v>45534</v>
      </c>
      <c r="I409" s="2" t="inlineStr">
        <is>
          <t>14:07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6" t="n">
        <v>0</v>
      </c>
      <c r="N409" s="5" t="n">
        <v>2024</v>
      </c>
      <c r="O409" s="6" t="inlineStr">
        <is>
          <t>2024-08</t>
        </is>
      </c>
    </row>
    <row r="410">
      <c r="A410" s="2" t="inlineStr">
        <is>
          <t>Z001_30_082024_MATURIN.CSV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FILE001</t>
        </is>
      </c>
      <c r="F410" s="2" t="inlineStr">
        <is>
          <t>Z</t>
        </is>
      </c>
      <c r="G410" s="3" t="inlineStr">
        <is>
          <t>0036</t>
        </is>
      </c>
      <c r="H410" s="4" t="n">
        <v>45534</v>
      </c>
      <c r="I410" s="2" t="inlineStr">
        <is>
          <t>14:07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6" t="n">
        <v>0</v>
      </c>
      <c r="N410" s="5" t="n">
        <v>2024</v>
      </c>
      <c r="O410" s="6" t="inlineStr">
        <is>
          <t>2024-08</t>
        </is>
      </c>
    </row>
    <row r="411">
      <c r="A411" s="2" t="inlineStr">
        <is>
          <t>Z001_30_082024_MATURIN.CSV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FILE001</t>
        </is>
      </c>
      <c r="F411" s="2" t="inlineStr">
        <is>
          <t>Z</t>
        </is>
      </c>
      <c r="G411" s="3" t="inlineStr">
        <is>
          <t>0036</t>
        </is>
      </c>
      <c r="H411" s="4" t="n">
        <v>45534</v>
      </c>
      <c r="I411" s="2" t="inlineStr">
        <is>
          <t>14:07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6" t="n">
        <v>0</v>
      </c>
      <c r="N411" s="5" t="n">
        <v>2024</v>
      </c>
      <c r="O411" s="6" t="inlineStr">
        <is>
          <t>2024-08</t>
        </is>
      </c>
    </row>
    <row r="412">
      <c r="A412" s="2" t="inlineStr">
        <is>
          <t>Z001_30_092024_MATURIN.CSV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FILE001</t>
        </is>
      </c>
      <c r="F412" s="2" t="inlineStr">
        <is>
          <t>Z</t>
        </is>
      </c>
      <c r="G412" s="3" t="inlineStr">
        <is>
          <t>0037</t>
        </is>
      </c>
      <c r="H412" s="4" t="n">
        <v>45565</v>
      </c>
      <c r="I412" s="2" t="inlineStr">
        <is>
          <t>16:55</t>
        </is>
      </c>
      <c r="J412" s="3" t="inlineStr">
        <is>
          <t>0001</t>
        </is>
      </c>
      <c r="K412" s="2" t="inlineStr">
        <is>
          <t>CA BRUT</t>
        </is>
      </c>
      <c r="L412" s="5" t="n">
        <v>42</v>
      </c>
      <c r="M412" s="6" t="n">
        <v>19983.9</v>
      </c>
      <c r="N412" s="5" t="n">
        <v>2024</v>
      </c>
      <c r="O412" s="6" t="inlineStr">
        <is>
          <t>2024-09</t>
        </is>
      </c>
    </row>
    <row r="413">
      <c r="A413" s="2" t="inlineStr">
        <is>
          <t>Z001_30_092024_MATURIN.CSV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FILE001</t>
        </is>
      </c>
      <c r="F413" s="2" t="inlineStr">
        <is>
          <t>Z</t>
        </is>
      </c>
      <c r="G413" s="3" t="inlineStr">
        <is>
          <t>0037</t>
        </is>
      </c>
      <c r="H413" s="4" t="n">
        <v>45565</v>
      </c>
      <c r="I413" s="2" t="inlineStr">
        <is>
          <t>16:55</t>
        </is>
      </c>
      <c r="J413" s="3" t="inlineStr">
        <is>
          <t>0002</t>
        </is>
      </c>
      <c r="K413" s="2" t="inlineStr">
        <is>
          <t>CA NET</t>
        </is>
      </c>
      <c r="L413" s="5" t="n">
        <v>22</v>
      </c>
      <c r="M413" s="6" t="n">
        <v>19983.9</v>
      </c>
      <c r="N413" s="5" t="n">
        <v>2024</v>
      </c>
      <c r="O413" s="6" t="inlineStr">
        <is>
          <t>2024-09</t>
        </is>
      </c>
    </row>
    <row r="414">
      <c r="A414" s="2" t="inlineStr">
        <is>
          <t>Z001_30_092024_MATURIN.CSV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FILE001</t>
        </is>
      </c>
      <c r="F414" s="2" t="inlineStr">
        <is>
          <t>Z</t>
        </is>
      </c>
      <c r="G414" s="3" t="inlineStr">
        <is>
          <t>0037</t>
        </is>
      </c>
      <c r="H414" s="4" t="n">
        <v>45565</v>
      </c>
      <c r="I414" s="2" t="inlineStr">
        <is>
          <t>16:55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6" t="n">
        <v>5027.2</v>
      </c>
      <c r="N414" s="5" t="n">
        <v>2024</v>
      </c>
      <c r="O414" s="6" t="inlineStr">
        <is>
          <t>2024-09</t>
        </is>
      </c>
    </row>
    <row r="415">
      <c r="A415" s="2" t="inlineStr">
        <is>
          <t>Z001_30_092024_MATURIN.CSV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FILE001</t>
        </is>
      </c>
      <c r="F415" s="2" t="inlineStr">
        <is>
          <t>Z</t>
        </is>
      </c>
      <c r="G415" s="3" t="inlineStr">
        <is>
          <t>0037</t>
        </is>
      </c>
      <c r="H415" s="4" t="n">
        <v>45565</v>
      </c>
      <c r="I415" s="2" t="inlineStr">
        <is>
          <t>16:55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6" t="n">
        <v>14956.7</v>
      </c>
      <c r="N415" s="5" t="n">
        <v>2024</v>
      </c>
      <c r="O415" s="6" t="inlineStr">
        <is>
          <t>2024-09</t>
        </is>
      </c>
    </row>
    <row r="416">
      <c r="A416" s="2" t="inlineStr">
        <is>
          <t>Z001_30_092024_MATURIN.CSV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FILE001</t>
        </is>
      </c>
      <c r="F416" s="2" t="inlineStr">
        <is>
          <t>Z</t>
        </is>
      </c>
      <c r="G416" s="3" t="inlineStr">
        <is>
          <t>0037</t>
        </is>
      </c>
      <c r="H416" s="4" t="n">
        <v>45565</v>
      </c>
      <c r="I416" s="2" t="inlineStr">
        <is>
          <t>16:55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6" t="n">
        <v>0</v>
      </c>
      <c r="N416" s="5" t="n">
        <v>2024</v>
      </c>
      <c r="O416" s="6" t="inlineStr">
        <is>
          <t>2024-09</t>
        </is>
      </c>
    </row>
    <row r="417">
      <c r="A417" s="2" t="inlineStr">
        <is>
          <t>Z001_30_092024_MATURIN.CSV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FILE001</t>
        </is>
      </c>
      <c r="F417" s="2" t="inlineStr">
        <is>
          <t>Z</t>
        </is>
      </c>
      <c r="G417" s="3" t="inlineStr">
        <is>
          <t>0037</t>
        </is>
      </c>
      <c r="H417" s="4" t="n">
        <v>45565</v>
      </c>
      <c r="I417" s="2" t="inlineStr">
        <is>
          <t>16:55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6" t="n">
        <v>0</v>
      </c>
      <c r="N417" s="5" t="n">
        <v>2024</v>
      </c>
      <c r="O417" s="6" t="inlineStr">
        <is>
          <t>2024-09</t>
        </is>
      </c>
    </row>
    <row r="418">
      <c r="A418" s="2" t="inlineStr">
        <is>
          <t>Z001_30_092024_MATURIN.CSV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FILE001</t>
        </is>
      </c>
      <c r="F418" s="2" t="inlineStr">
        <is>
          <t>Z</t>
        </is>
      </c>
      <c r="G418" s="3" t="inlineStr">
        <is>
          <t>0037</t>
        </is>
      </c>
      <c r="H418" s="4" t="n">
        <v>45565</v>
      </c>
      <c r="I418" s="2" t="inlineStr">
        <is>
          <t>16:55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6" t="n">
        <v>0</v>
      </c>
      <c r="N418" s="5" t="n">
        <v>2024</v>
      </c>
      <c r="O418" s="6" t="inlineStr">
        <is>
          <t>2024-09</t>
        </is>
      </c>
    </row>
    <row r="419">
      <c r="A419" s="2" t="inlineStr">
        <is>
          <t>Z001_30_092024_MATURIN.CSV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FILE001</t>
        </is>
      </c>
      <c r="F419" s="2" t="inlineStr">
        <is>
          <t>Z</t>
        </is>
      </c>
      <c r="G419" s="3" t="inlineStr">
        <is>
          <t>0037</t>
        </is>
      </c>
      <c r="H419" s="4" t="n">
        <v>45565</v>
      </c>
      <c r="I419" s="2" t="inlineStr">
        <is>
          <t>16:55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6" t="n">
        <v>0</v>
      </c>
      <c r="N419" s="5" t="n">
        <v>2024</v>
      </c>
      <c r="O419" s="6" t="inlineStr">
        <is>
          <t>2024-09</t>
        </is>
      </c>
    </row>
    <row r="420">
      <c r="A420" s="2" t="inlineStr">
        <is>
          <t>Z001_30_092024_MATURIN.CSV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FILE001</t>
        </is>
      </c>
      <c r="F420" s="2" t="inlineStr">
        <is>
          <t>Z</t>
        </is>
      </c>
      <c r="G420" s="3" t="inlineStr">
        <is>
          <t>0037</t>
        </is>
      </c>
      <c r="H420" s="4" t="n">
        <v>45565</v>
      </c>
      <c r="I420" s="2" t="inlineStr">
        <is>
          <t>16:55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6" t="n">
        <v>0</v>
      </c>
      <c r="N420" s="5" t="n">
        <v>2024</v>
      </c>
      <c r="O420" s="6" t="inlineStr">
        <is>
          <t>2024-09</t>
        </is>
      </c>
    </row>
    <row r="421">
      <c r="A421" s="2" t="inlineStr">
        <is>
          <t>Z001_30_092024_MATURIN.CSV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FILE001</t>
        </is>
      </c>
      <c r="F421" s="2" t="inlineStr">
        <is>
          <t>Z</t>
        </is>
      </c>
      <c r="G421" s="3" t="inlineStr">
        <is>
          <t>0037</t>
        </is>
      </c>
      <c r="H421" s="4" t="n">
        <v>45565</v>
      </c>
      <c r="I421" s="2" t="inlineStr">
        <is>
          <t>16:55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6" t="n">
        <v>0</v>
      </c>
      <c r="N421" s="5" t="n">
        <v>2024</v>
      </c>
      <c r="O421" s="6" t="inlineStr">
        <is>
          <t>2024-09</t>
        </is>
      </c>
    </row>
    <row r="422">
      <c r="A422" s="2" t="inlineStr">
        <is>
          <t>Z001_30_092024_MATURIN.CSV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FILE001</t>
        </is>
      </c>
      <c r="F422" s="2" t="inlineStr">
        <is>
          <t>Z</t>
        </is>
      </c>
      <c r="G422" s="3" t="inlineStr">
        <is>
          <t>0037</t>
        </is>
      </c>
      <c r="H422" s="4" t="n">
        <v>45565</v>
      </c>
      <c r="I422" s="2" t="inlineStr">
        <is>
          <t>16:55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6" t="n">
        <v>0</v>
      </c>
      <c r="N422" s="5" t="n">
        <v>2024</v>
      </c>
      <c r="O422" s="6" t="inlineStr">
        <is>
          <t>2024-09</t>
        </is>
      </c>
    </row>
    <row r="423">
      <c r="A423" s="2" t="inlineStr">
        <is>
          <t>Z001_30_092024_MATURIN.CSV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FILE001</t>
        </is>
      </c>
      <c r="F423" s="2" t="inlineStr">
        <is>
          <t>Z</t>
        </is>
      </c>
      <c r="G423" s="3" t="inlineStr">
        <is>
          <t>0037</t>
        </is>
      </c>
      <c r="H423" s="4" t="n">
        <v>45565</v>
      </c>
      <c r="I423" s="2" t="inlineStr">
        <is>
          <t>16:55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6" t="n">
        <v>0</v>
      </c>
      <c r="N423" s="5" t="n">
        <v>2024</v>
      </c>
      <c r="O423" s="6" t="inlineStr">
        <is>
          <t>2024-09</t>
        </is>
      </c>
    </row>
    <row r="424">
      <c r="A424" s="2" t="inlineStr">
        <is>
          <t>Z001_30_092024_MATURIN.CSV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FILE001</t>
        </is>
      </c>
      <c r="F424" s="2" t="inlineStr">
        <is>
          <t>Z</t>
        </is>
      </c>
      <c r="G424" s="3" t="inlineStr">
        <is>
          <t>0037</t>
        </is>
      </c>
      <c r="H424" s="4" t="n">
        <v>45565</v>
      </c>
      <c r="I424" s="2" t="inlineStr">
        <is>
          <t>16:55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6" t="n">
        <v>0</v>
      </c>
      <c r="N424" s="5" t="n">
        <v>2024</v>
      </c>
      <c r="O424" s="6" t="inlineStr">
        <is>
          <t>2024-09</t>
        </is>
      </c>
    </row>
    <row r="425">
      <c r="A425" s="2" t="inlineStr">
        <is>
          <t>Z001_30_092024_MATURIN.CSV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FILE001</t>
        </is>
      </c>
      <c r="F425" s="2" t="inlineStr">
        <is>
          <t>Z</t>
        </is>
      </c>
      <c r="G425" s="3" t="inlineStr">
        <is>
          <t>0037</t>
        </is>
      </c>
      <c r="H425" s="4" t="n">
        <v>45565</v>
      </c>
      <c r="I425" s="2" t="inlineStr">
        <is>
          <t>16:55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6" t="n">
        <v>0</v>
      </c>
      <c r="N425" s="5" t="n">
        <v>2024</v>
      </c>
      <c r="O425" s="6" t="inlineStr">
        <is>
          <t>2024-09</t>
        </is>
      </c>
    </row>
    <row r="426">
      <c r="A426" s="2" t="inlineStr">
        <is>
          <t>Z001_30_092024_MATURIN.CSV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FILE001</t>
        </is>
      </c>
      <c r="F426" s="2" t="inlineStr">
        <is>
          <t>Z</t>
        </is>
      </c>
      <c r="G426" s="3" t="inlineStr">
        <is>
          <t>0037</t>
        </is>
      </c>
      <c r="H426" s="4" t="n">
        <v>45565</v>
      </c>
      <c r="I426" s="2" t="inlineStr">
        <is>
          <t>16:55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6" t="n">
        <v>0</v>
      </c>
      <c r="N426" s="5" t="n">
        <v>2024</v>
      </c>
      <c r="O426" s="6" t="inlineStr">
        <is>
          <t>2024-09</t>
        </is>
      </c>
    </row>
    <row r="427">
      <c r="A427" s="2" t="inlineStr">
        <is>
          <t>Z001_30_092024_MATURIN.CSV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FILE001</t>
        </is>
      </c>
      <c r="F427" s="2" t="inlineStr">
        <is>
          <t>Z</t>
        </is>
      </c>
      <c r="G427" s="3" t="inlineStr">
        <is>
          <t>0037</t>
        </is>
      </c>
      <c r="H427" s="4" t="n">
        <v>45565</v>
      </c>
      <c r="I427" s="2" t="inlineStr">
        <is>
          <t>16:55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6" t="n">
        <v>0</v>
      </c>
      <c r="N427" s="5" t="n">
        <v>2024</v>
      </c>
      <c r="O427" s="6" t="inlineStr">
        <is>
          <t>2024-09</t>
        </is>
      </c>
    </row>
    <row r="428">
      <c r="A428" s="2" t="inlineStr">
        <is>
          <t>Z001_30_092024_MATURIN.CSV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FILE001</t>
        </is>
      </c>
      <c r="F428" s="2" t="inlineStr">
        <is>
          <t>Z</t>
        </is>
      </c>
      <c r="G428" s="3" t="inlineStr">
        <is>
          <t>0037</t>
        </is>
      </c>
      <c r="H428" s="4" t="n">
        <v>45565</v>
      </c>
      <c r="I428" s="2" t="inlineStr">
        <is>
          <t>16:55</t>
        </is>
      </c>
      <c r="J428" s="3" t="inlineStr">
        <is>
          <t>0017</t>
        </is>
      </c>
      <c r="K428" s="2" t="inlineStr">
        <is>
          <t>RETOUR CLE</t>
        </is>
      </c>
      <c r="L428" s="5" t="n">
        <v>0</v>
      </c>
      <c r="M428" s="6" t="n">
        <v>0</v>
      </c>
      <c r="N428" s="5" t="n">
        <v>2024</v>
      </c>
      <c r="O428" s="6" t="inlineStr">
        <is>
          <t>2024-09</t>
        </is>
      </c>
    </row>
    <row r="429">
      <c r="A429" s="2" t="inlineStr">
        <is>
          <t>Z001_30_092024_MATURIN.CSV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FILE001</t>
        </is>
      </c>
      <c r="F429" s="2" t="inlineStr">
        <is>
          <t>Z</t>
        </is>
      </c>
      <c r="G429" s="3" t="inlineStr">
        <is>
          <t>0037</t>
        </is>
      </c>
      <c r="H429" s="4" t="n">
        <v>45565</v>
      </c>
      <c r="I429" s="2" t="inlineStr">
        <is>
          <t>16:55</t>
        </is>
      </c>
      <c r="J429" s="3" t="inlineStr">
        <is>
          <t>0018</t>
        </is>
      </c>
      <c r="K429" s="2" t="inlineStr">
        <is>
          <t>CLIENTS</t>
        </is>
      </c>
      <c r="L429" s="5" t="n">
        <v>22</v>
      </c>
      <c r="M429" s="6" t="n">
        <v>0</v>
      </c>
      <c r="N429" s="5" t="n">
        <v>2024</v>
      </c>
      <c r="O429" s="6" t="inlineStr">
        <is>
          <t>2024-09</t>
        </is>
      </c>
    </row>
    <row r="430">
      <c r="A430" s="2" t="inlineStr">
        <is>
          <t>Z001_30_092024_MATURIN.CSV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FILE001</t>
        </is>
      </c>
      <c r="F430" s="2" t="inlineStr">
        <is>
          <t>Z</t>
        </is>
      </c>
      <c r="G430" s="3" t="inlineStr">
        <is>
          <t>0037</t>
        </is>
      </c>
      <c r="H430" s="4" t="n">
        <v>45565</v>
      </c>
      <c r="I430" s="2" t="inlineStr">
        <is>
          <t>16:55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6" t="n">
        <v>0</v>
      </c>
      <c r="N430" s="5" t="n">
        <v>2024</v>
      </c>
      <c r="O430" s="6" t="inlineStr">
        <is>
          <t>2024-09</t>
        </is>
      </c>
    </row>
    <row r="431">
      <c r="A431" s="2" t="inlineStr">
        <is>
          <t>Z001_30_092024_MATURIN.CSV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FILE001</t>
        </is>
      </c>
      <c r="F431" s="2" t="inlineStr">
        <is>
          <t>Z</t>
        </is>
      </c>
      <c r="G431" s="3" t="inlineStr">
        <is>
          <t>0037</t>
        </is>
      </c>
      <c r="H431" s="4" t="n">
        <v>45565</v>
      </c>
      <c r="I431" s="2" t="inlineStr">
        <is>
          <t>16:55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6" t="n">
        <v>0</v>
      </c>
      <c r="N431" s="5" t="n">
        <v>2024</v>
      </c>
      <c r="O431" s="6" t="inlineStr">
        <is>
          <t>2024-09</t>
        </is>
      </c>
    </row>
    <row r="432">
      <c r="A432" s="2" t="inlineStr">
        <is>
          <t>Z001_30_092024_MATURIN.CSV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FILE001</t>
        </is>
      </c>
      <c r="F432" s="2" t="inlineStr">
        <is>
          <t>Z</t>
        </is>
      </c>
      <c r="G432" s="3" t="inlineStr">
        <is>
          <t>0037</t>
        </is>
      </c>
      <c r="H432" s="4" t="n">
        <v>45565</v>
      </c>
      <c r="I432" s="2" t="inlineStr">
        <is>
          <t>16:55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6" t="n">
        <v>0</v>
      </c>
      <c r="N432" s="5" t="n">
        <v>2024</v>
      </c>
      <c r="O432" s="6" t="inlineStr">
        <is>
          <t>2024-09</t>
        </is>
      </c>
    </row>
    <row r="433">
      <c r="A433" s="2" t="inlineStr">
        <is>
          <t>Z001_30_092024_MATURIN.CSV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FILE001</t>
        </is>
      </c>
      <c r="F433" s="2" t="inlineStr">
        <is>
          <t>Z</t>
        </is>
      </c>
      <c r="G433" s="3" t="inlineStr">
        <is>
          <t>0037</t>
        </is>
      </c>
      <c r="H433" s="4" t="n">
        <v>45565</v>
      </c>
      <c r="I433" s="2" t="inlineStr">
        <is>
          <t>16:55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6" t="n">
        <v>0</v>
      </c>
      <c r="N433" s="5" t="n">
        <v>2024</v>
      </c>
      <c r="O433" s="6" t="inlineStr">
        <is>
          <t>2024-09</t>
        </is>
      </c>
    </row>
    <row r="434">
      <c r="A434" s="2" t="inlineStr">
        <is>
          <t>Z001_30_092024_MATURIN.CSV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FILE001</t>
        </is>
      </c>
      <c r="F434" s="2" t="inlineStr">
        <is>
          <t>Z</t>
        </is>
      </c>
      <c r="G434" s="3" t="inlineStr">
        <is>
          <t>0037</t>
        </is>
      </c>
      <c r="H434" s="4" t="n">
        <v>45565</v>
      </c>
      <c r="I434" s="2" t="inlineStr">
        <is>
          <t>16:55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6" t="n">
        <v>0</v>
      </c>
      <c r="N434" s="5" t="n">
        <v>2024</v>
      </c>
      <c r="O434" s="6" t="inlineStr">
        <is>
          <t>2024-09</t>
        </is>
      </c>
    </row>
    <row r="435">
      <c r="A435" s="2" t="inlineStr">
        <is>
          <t>Z001_30_092024_MATURIN.CSV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FILE001</t>
        </is>
      </c>
      <c r="F435" s="2" t="inlineStr">
        <is>
          <t>Z</t>
        </is>
      </c>
      <c r="G435" s="3" t="inlineStr">
        <is>
          <t>0037</t>
        </is>
      </c>
      <c r="H435" s="4" t="n">
        <v>45565</v>
      </c>
      <c r="I435" s="2" t="inlineStr">
        <is>
          <t>16:55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6" t="n">
        <v>0</v>
      </c>
      <c r="N435" s="5" t="n">
        <v>2024</v>
      </c>
      <c r="O435" s="6" t="inlineStr">
        <is>
          <t>2024-09</t>
        </is>
      </c>
    </row>
    <row r="436">
      <c r="A436" s="2" t="inlineStr">
        <is>
          <t>Z001_30_092024_MATURIN.CSV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FILE001</t>
        </is>
      </c>
      <c r="F436" s="2" t="inlineStr">
        <is>
          <t>Z</t>
        </is>
      </c>
      <c r="G436" s="3" t="inlineStr">
        <is>
          <t>0037</t>
        </is>
      </c>
      <c r="H436" s="4" t="n">
        <v>45565</v>
      </c>
      <c r="I436" s="2" t="inlineStr">
        <is>
          <t>16:55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6" t="n">
        <v>0</v>
      </c>
      <c r="N436" s="5" t="n">
        <v>2024</v>
      </c>
      <c r="O436" s="6" t="inlineStr">
        <is>
          <t>2024-09</t>
        </is>
      </c>
    </row>
    <row r="437">
      <c r="A437" s="2" t="inlineStr">
        <is>
          <t>Z001_30_092024_MATURIN.CSV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FILE001</t>
        </is>
      </c>
      <c r="F437" s="2" t="inlineStr">
        <is>
          <t>Z</t>
        </is>
      </c>
      <c r="G437" s="3" t="inlineStr">
        <is>
          <t>0037</t>
        </is>
      </c>
      <c r="H437" s="4" t="n">
        <v>45565</v>
      </c>
      <c r="I437" s="2" t="inlineStr">
        <is>
          <t>16:55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6" t="n">
        <v>0</v>
      </c>
      <c r="N437" s="5" t="n">
        <v>2024</v>
      </c>
      <c r="O437" s="6" t="inlineStr">
        <is>
          <t>2024-09</t>
        </is>
      </c>
    </row>
    <row r="438">
      <c r="A438" s="2" t="inlineStr">
        <is>
          <t>Z001_30_092024_MATURIN.CSV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FILE001</t>
        </is>
      </c>
      <c r="F438" s="2" t="inlineStr">
        <is>
          <t>Z</t>
        </is>
      </c>
      <c r="G438" s="3" t="inlineStr">
        <is>
          <t>0037</t>
        </is>
      </c>
      <c r="H438" s="4" t="n">
        <v>45565</v>
      </c>
      <c r="I438" s="2" t="inlineStr">
        <is>
          <t>16:55</t>
        </is>
      </c>
      <c r="J438" s="3" t="inlineStr">
        <is>
          <t>0027</t>
        </is>
      </c>
      <c r="K438" s="2" t="inlineStr"/>
      <c r="L438" s="5" t="n">
        <v>0</v>
      </c>
      <c r="M438" s="6" t="n">
        <v>0</v>
      </c>
      <c r="N438" s="5" t="n">
        <v>2024</v>
      </c>
      <c r="O438" s="6" t="inlineStr">
        <is>
          <t>2024-09</t>
        </is>
      </c>
    </row>
    <row r="439">
      <c r="A439" s="2" t="inlineStr">
        <is>
          <t>Z001_30_092024_MATURIN.CSV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FILE001</t>
        </is>
      </c>
      <c r="F439" s="2" t="inlineStr">
        <is>
          <t>Z</t>
        </is>
      </c>
      <c r="G439" s="3" t="inlineStr">
        <is>
          <t>0037</t>
        </is>
      </c>
      <c r="H439" s="4" t="n">
        <v>45565</v>
      </c>
      <c r="I439" s="2" t="inlineStr">
        <is>
          <t>16:55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6" t="n">
        <v>0</v>
      </c>
      <c r="N439" s="5" t="n">
        <v>2024</v>
      </c>
      <c r="O439" s="6" t="inlineStr">
        <is>
          <t>2024-09</t>
        </is>
      </c>
    </row>
    <row r="440">
      <c r="A440" s="2" t="inlineStr">
        <is>
          <t>Z001_30_092024_MATURIN.CSV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FILE001</t>
        </is>
      </c>
      <c r="F440" s="2" t="inlineStr">
        <is>
          <t>Z</t>
        </is>
      </c>
      <c r="G440" s="3" t="inlineStr">
        <is>
          <t>0037</t>
        </is>
      </c>
      <c r="H440" s="4" t="n">
        <v>45565</v>
      </c>
      <c r="I440" s="2" t="inlineStr">
        <is>
          <t>16:55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6" t="n">
        <v>0</v>
      </c>
      <c r="N440" s="5" t="n">
        <v>2024</v>
      </c>
      <c r="O440" s="6" t="inlineStr">
        <is>
          <t>2024-09</t>
        </is>
      </c>
    </row>
    <row r="441">
      <c r="A441" s="2" t="inlineStr">
        <is>
          <t>Z001_30_092024_MATURIN.CSV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FILE001</t>
        </is>
      </c>
      <c r="F441" s="2" t="inlineStr">
        <is>
          <t>Z</t>
        </is>
      </c>
      <c r="G441" s="3" t="inlineStr">
        <is>
          <t>0037</t>
        </is>
      </c>
      <c r="H441" s="4" t="n">
        <v>45565</v>
      </c>
      <c r="I441" s="2" t="inlineStr">
        <is>
          <t>16:55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6" t="n">
        <v>0</v>
      </c>
      <c r="N441" s="5" t="n">
        <v>2024</v>
      </c>
      <c r="O441" s="6" t="inlineStr">
        <is>
          <t>2024-09</t>
        </is>
      </c>
    </row>
    <row r="442">
      <c r="A442" s="2" t="inlineStr">
        <is>
          <t>Z001_30_092024_MATURIN.CSV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FILE001</t>
        </is>
      </c>
      <c r="F442" s="2" t="inlineStr">
        <is>
          <t>Z</t>
        </is>
      </c>
      <c r="G442" s="3" t="inlineStr">
        <is>
          <t>0037</t>
        </is>
      </c>
      <c r="H442" s="4" t="n">
        <v>45565</v>
      </c>
      <c r="I442" s="2" t="inlineStr">
        <is>
          <t>16:55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6" t="n">
        <v>0</v>
      </c>
      <c r="N442" s="5" t="n">
        <v>2024</v>
      </c>
      <c r="O442" s="6" t="inlineStr">
        <is>
          <t>2024-09</t>
        </is>
      </c>
    </row>
    <row r="443">
      <c r="A443" s="2" t="inlineStr">
        <is>
          <t>Z001_30_092024_MATURIN.CSV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FILE001</t>
        </is>
      </c>
      <c r="F443" s="2" t="inlineStr">
        <is>
          <t>Z</t>
        </is>
      </c>
      <c r="G443" s="3" t="inlineStr">
        <is>
          <t>0037</t>
        </is>
      </c>
      <c r="H443" s="4" t="n">
        <v>45565</v>
      </c>
      <c r="I443" s="2" t="inlineStr">
        <is>
          <t>16:55</t>
        </is>
      </c>
      <c r="J443" s="3" t="inlineStr">
        <is>
          <t>0032</t>
        </is>
      </c>
      <c r="K443" s="2" t="inlineStr"/>
      <c r="L443" s="5" t="n">
        <v>0</v>
      </c>
      <c r="M443" s="6" t="n">
        <v>0</v>
      </c>
      <c r="N443" s="5" t="n">
        <v>2024</v>
      </c>
      <c r="O443" s="6" t="inlineStr">
        <is>
          <t>2024-09</t>
        </is>
      </c>
    </row>
    <row r="444">
      <c r="A444" s="2" t="inlineStr">
        <is>
          <t>Z001_30_092024_MATURIN.CSV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FILE001</t>
        </is>
      </c>
      <c r="F444" s="2" t="inlineStr">
        <is>
          <t>Z</t>
        </is>
      </c>
      <c r="G444" s="3" t="inlineStr">
        <is>
          <t>0037</t>
        </is>
      </c>
      <c r="H444" s="4" t="n">
        <v>45565</v>
      </c>
      <c r="I444" s="2" t="inlineStr">
        <is>
          <t>16:55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6" t="n">
        <v>16653.23</v>
      </c>
      <c r="N444" s="5" t="n">
        <v>2024</v>
      </c>
      <c r="O444" s="6" t="inlineStr">
        <is>
          <t>2024-09</t>
        </is>
      </c>
    </row>
    <row r="445">
      <c r="A445" s="2" t="inlineStr">
        <is>
          <t>Z001_30_092024_MATURIN.CSV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FILE001</t>
        </is>
      </c>
      <c r="F445" s="2" t="inlineStr">
        <is>
          <t>Z</t>
        </is>
      </c>
      <c r="G445" s="3" t="inlineStr">
        <is>
          <t>0037</t>
        </is>
      </c>
      <c r="H445" s="4" t="n">
        <v>45565</v>
      </c>
      <c r="I445" s="2" t="inlineStr">
        <is>
          <t>16:55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6" t="n">
        <v>3330.67</v>
      </c>
      <c r="N445" s="5" t="n">
        <v>2024</v>
      </c>
      <c r="O445" s="6" t="inlineStr">
        <is>
          <t>2024-09</t>
        </is>
      </c>
    </row>
    <row r="446">
      <c r="A446" s="2" t="inlineStr">
        <is>
          <t>Z001_30_092024_MATURIN.CSV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FILE001</t>
        </is>
      </c>
      <c r="F446" s="2" t="inlineStr">
        <is>
          <t>Z</t>
        </is>
      </c>
      <c r="G446" s="3" t="inlineStr">
        <is>
          <t>0037</t>
        </is>
      </c>
      <c r="H446" s="4" t="n">
        <v>45565</v>
      </c>
      <c r="I446" s="2" t="inlineStr">
        <is>
          <t>16:55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6" t="n">
        <v>0</v>
      </c>
      <c r="N446" s="5" t="n">
        <v>2024</v>
      </c>
      <c r="O446" s="6" t="inlineStr">
        <is>
          <t>2024-09</t>
        </is>
      </c>
    </row>
    <row r="447">
      <c r="A447" s="2" t="inlineStr">
        <is>
          <t>Z001_30_092024_MATURIN.CSV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FILE001</t>
        </is>
      </c>
      <c r="F447" s="2" t="inlineStr">
        <is>
          <t>Z</t>
        </is>
      </c>
      <c r="G447" s="3" t="inlineStr">
        <is>
          <t>0037</t>
        </is>
      </c>
      <c r="H447" s="4" t="n">
        <v>45565</v>
      </c>
      <c r="I447" s="2" t="inlineStr">
        <is>
          <t>16:55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6" t="n">
        <v>0</v>
      </c>
      <c r="N447" s="5" t="n">
        <v>2024</v>
      </c>
      <c r="O447" s="6" t="inlineStr">
        <is>
          <t>2024-09</t>
        </is>
      </c>
    </row>
    <row r="448">
      <c r="A448" s="2" t="inlineStr">
        <is>
          <t>Z001_30_092024_MATURIN.CSV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FILE001</t>
        </is>
      </c>
      <c r="F448" s="2" t="inlineStr">
        <is>
          <t>Z</t>
        </is>
      </c>
      <c r="G448" s="3" t="inlineStr">
        <is>
          <t>0037</t>
        </is>
      </c>
      <c r="H448" s="4" t="n">
        <v>45565</v>
      </c>
      <c r="I448" s="2" t="inlineStr">
        <is>
          <t>16:55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6" t="n">
        <v>0</v>
      </c>
      <c r="N448" s="5" t="n">
        <v>2024</v>
      </c>
      <c r="O448" s="6" t="inlineStr">
        <is>
          <t>2024-09</t>
        </is>
      </c>
    </row>
    <row r="449">
      <c r="A449" s="2" t="inlineStr">
        <is>
          <t>Z001_30_092024_MATURIN.CSV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FILE001</t>
        </is>
      </c>
      <c r="F449" s="2" t="inlineStr">
        <is>
          <t>Z</t>
        </is>
      </c>
      <c r="G449" s="3" t="inlineStr">
        <is>
          <t>0037</t>
        </is>
      </c>
      <c r="H449" s="4" t="n">
        <v>45565</v>
      </c>
      <c r="I449" s="2" t="inlineStr">
        <is>
          <t>16:55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6" t="n">
        <v>0</v>
      </c>
      <c r="N449" s="5" t="n">
        <v>2024</v>
      </c>
      <c r="O449" s="6" t="inlineStr">
        <is>
          <t>2024-09</t>
        </is>
      </c>
    </row>
    <row r="450">
      <c r="A450" s="2" t="inlineStr">
        <is>
          <t>Z001_30_092024_MATURIN.CSV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FILE001</t>
        </is>
      </c>
      <c r="F450" s="2" t="inlineStr">
        <is>
          <t>Z</t>
        </is>
      </c>
      <c r="G450" s="3" t="inlineStr">
        <is>
          <t>0037</t>
        </is>
      </c>
      <c r="H450" s="4" t="n">
        <v>45565</v>
      </c>
      <c r="I450" s="2" t="inlineStr">
        <is>
          <t>16:55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6" t="n">
        <v>0</v>
      </c>
      <c r="N450" s="5" t="n">
        <v>2024</v>
      </c>
      <c r="O450" s="6" t="inlineStr">
        <is>
          <t>2024-09</t>
        </is>
      </c>
    </row>
    <row r="451">
      <c r="A451" s="2" t="inlineStr">
        <is>
          <t>Z001_30_092024_MATURIN.CSV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FILE001</t>
        </is>
      </c>
      <c r="F451" s="2" t="inlineStr">
        <is>
          <t>Z</t>
        </is>
      </c>
      <c r="G451" s="3" t="inlineStr">
        <is>
          <t>0037</t>
        </is>
      </c>
      <c r="H451" s="4" t="n">
        <v>45565</v>
      </c>
      <c r="I451" s="2" t="inlineStr">
        <is>
          <t>16:55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6" t="n">
        <v>0</v>
      </c>
      <c r="N451" s="5" t="n">
        <v>2024</v>
      </c>
      <c r="O451" s="6" t="inlineStr">
        <is>
          <t>2024-09</t>
        </is>
      </c>
    </row>
    <row r="452">
      <c r="A452" s="2" t="inlineStr">
        <is>
          <t>Z001_30_092024_MATURIN.CSV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FILE001</t>
        </is>
      </c>
      <c r="F452" s="2" t="inlineStr">
        <is>
          <t>Z</t>
        </is>
      </c>
      <c r="G452" s="3" t="inlineStr">
        <is>
          <t>0037</t>
        </is>
      </c>
      <c r="H452" s="4" t="n">
        <v>45565</v>
      </c>
      <c r="I452" s="2" t="inlineStr">
        <is>
          <t>16:55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6" t="n">
        <v>0</v>
      </c>
      <c r="N452" s="5" t="n">
        <v>2024</v>
      </c>
      <c r="O452" s="6" t="inlineStr">
        <is>
          <t>2024-09</t>
        </is>
      </c>
    </row>
    <row r="453">
      <c r="A453" s="2" t="inlineStr">
        <is>
          <t>Z001_31_122024_MATURIN.CSV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FILE001</t>
        </is>
      </c>
      <c r="F453" s="2" t="inlineStr">
        <is>
          <t>Z</t>
        </is>
      </c>
      <c r="G453" s="3" t="inlineStr">
        <is>
          <t>0040</t>
        </is>
      </c>
      <c r="H453" s="4" t="n">
        <v>45657</v>
      </c>
      <c r="I453" s="2" t="inlineStr">
        <is>
          <t>17:08</t>
        </is>
      </c>
      <c r="J453" s="3" t="inlineStr">
        <is>
          <t>0001</t>
        </is>
      </c>
      <c r="K453" s="2" t="inlineStr">
        <is>
          <t>CA BRUT</t>
        </is>
      </c>
      <c r="L453" s="5" t="n">
        <v>36</v>
      </c>
      <c r="M453" s="6" t="n">
        <v>10927.6</v>
      </c>
      <c r="N453" s="5" t="n">
        <v>2024</v>
      </c>
      <c r="O453" s="6" t="inlineStr">
        <is>
          <t>2024-12</t>
        </is>
      </c>
    </row>
    <row r="454">
      <c r="A454" s="2" t="inlineStr">
        <is>
          <t>Z001_31_122024_MATURIN.CSV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FILE001</t>
        </is>
      </c>
      <c r="F454" s="2" t="inlineStr">
        <is>
          <t>Z</t>
        </is>
      </c>
      <c r="G454" s="3" t="inlineStr">
        <is>
          <t>0040</t>
        </is>
      </c>
      <c r="H454" s="4" t="n">
        <v>45657</v>
      </c>
      <c r="I454" s="2" t="inlineStr">
        <is>
          <t>17:08</t>
        </is>
      </c>
      <c r="J454" s="3" t="inlineStr">
        <is>
          <t>0002</t>
        </is>
      </c>
      <c r="K454" s="2" t="inlineStr">
        <is>
          <t>CA NET</t>
        </is>
      </c>
      <c r="L454" s="5" t="n">
        <v>17</v>
      </c>
      <c r="M454" s="6" t="n">
        <v>10927.6</v>
      </c>
      <c r="N454" s="5" t="n">
        <v>2024</v>
      </c>
      <c r="O454" s="6" t="inlineStr">
        <is>
          <t>2024-12</t>
        </is>
      </c>
    </row>
    <row r="455">
      <c r="A455" s="2" t="inlineStr">
        <is>
          <t>Z001_31_122024_MATURIN.CSV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FILE001</t>
        </is>
      </c>
      <c r="F455" s="2" t="inlineStr">
        <is>
          <t>Z</t>
        </is>
      </c>
      <c r="G455" s="3" t="inlineStr">
        <is>
          <t>0040</t>
        </is>
      </c>
      <c r="H455" s="4" t="n">
        <v>45657</v>
      </c>
      <c r="I455" s="2" t="inlineStr">
        <is>
          <t>17:08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6" t="n">
        <v>3062</v>
      </c>
      <c r="N455" s="5" t="n">
        <v>2024</v>
      </c>
      <c r="O455" s="6" t="inlineStr">
        <is>
          <t>2024-12</t>
        </is>
      </c>
    </row>
    <row r="456">
      <c r="A456" s="2" t="inlineStr">
        <is>
          <t>Z001_31_122024_MATURIN.CSV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FILE001</t>
        </is>
      </c>
      <c r="F456" s="2" t="inlineStr">
        <is>
          <t>Z</t>
        </is>
      </c>
      <c r="G456" s="3" t="inlineStr">
        <is>
          <t>0040</t>
        </is>
      </c>
      <c r="H456" s="4" t="n">
        <v>45657</v>
      </c>
      <c r="I456" s="2" t="inlineStr">
        <is>
          <t>17:08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6" t="n">
        <v>7865.6</v>
      </c>
      <c r="N456" s="5" t="n">
        <v>2024</v>
      </c>
      <c r="O456" s="6" t="inlineStr">
        <is>
          <t>2024-12</t>
        </is>
      </c>
    </row>
    <row r="457">
      <c r="A457" s="2" t="inlineStr">
        <is>
          <t>Z001_31_122024_MATURIN.CSV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FILE001</t>
        </is>
      </c>
      <c r="F457" s="2" t="inlineStr">
        <is>
          <t>Z</t>
        </is>
      </c>
      <c r="G457" s="3" t="inlineStr">
        <is>
          <t>0040</t>
        </is>
      </c>
      <c r="H457" s="4" t="n">
        <v>45657</v>
      </c>
      <c r="I457" s="2" t="inlineStr">
        <is>
          <t>17:08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6" t="n">
        <v>0</v>
      </c>
      <c r="N457" s="5" t="n">
        <v>2024</v>
      </c>
      <c r="O457" s="6" t="inlineStr">
        <is>
          <t>2024-12</t>
        </is>
      </c>
    </row>
    <row r="458">
      <c r="A458" s="2" t="inlineStr">
        <is>
          <t>Z001_31_122024_MATURIN.CSV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FILE001</t>
        </is>
      </c>
      <c r="F458" s="2" t="inlineStr">
        <is>
          <t>Z</t>
        </is>
      </c>
      <c r="G458" s="3" t="inlineStr">
        <is>
          <t>0040</t>
        </is>
      </c>
      <c r="H458" s="4" t="n">
        <v>45657</v>
      </c>
      <c r="I458" s="2" t="inlineStr">
        <is>
          <t>17:08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6" t="n">
        <v>0</v>
      </c>
      <c r="N458" s="5" t="n">
        <v>2024</v>
      </c>
      <c r="O458" s="6" t="inlineStr">
        <is>
          <t>2024-12</t>
        </is>
      </c>
    </row>
    <row r="459">
      <c r="A459" s="2" t="inlineStr">
        <is>
          <t>Z001_31_122024_MATURIN.CSV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FILE001</t>
        </is>
      </c>
      <c r="F459" s="2" t="inlineStr">
        <is>
          <t>Z</t>
        </is>
      </c>
      <c r="G459" s="3" t="inlineStr">
        <is>
          <t>0040</t>
        </is>
      </c>
      <c r="H459" s="4" t="n">
        <v>45657</v>
      </c>
      <c r="I459" s="2" t="inlineStr">
        <is>
          <t>17:08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6" t="n">
        <v>0</v>
      </c>
      <c r="N459" s="5" t="n">
        <v>2024</v>
      </c>
      <c r="O459" s="6" t="inlineStr">
        <is>
          <t>2024-12</t>
        </is>
      </c>
    </row>
    <row r="460">
      <c r="A460" s="2" t="inlineStr">
        <is>
          <t>Z001_31_122024_MATURIN.CSV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FILE001</t>
        </is>
      </c>
      <c r="F460" s="2" t="inlineStr">
        <is>
          <t>Z</t>
        </is>
      </c>
      <c r="G460" s="3" t="inlineStr">
        <is>
          <t>0040</t>
        </is>
      </c>
      <c r="H460" s="4" t="n">
        <v>45657</v>
      </c>
      <c r="I460" s="2" t="inlineStr">
        <is>
          <t>17:08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6" t="n">
        <v>0</v>
      </c>
      <c r="N460" s="5" t="n">
        <v>2024</v>
      </c>
      <c r="O460" s="6" t="inlineStr">
        <is>
          <t>2024-12</t>
        </is>
      </c>
    </row>
    <row r="461">
      <c r="A461" s="2" t="inlineStr">
        <is>
          <t>Z001_31_122024_MATURIN.CSV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FILE001</t>
        </is>
      </c>
      <c r="F461" s="2" t="inlineStr">
        <is>
          <t>Z</t>
        </is>
      </c>
      <c r="G461" s="3" t="inlineStr">
        <is>
          <t>0040</t>
        </is>
      </c>
      <c r="H461" s="4" t="n">
        <v>45657</v>
      </c>
      <c r="I461" s="2" t="inlineStr">
        <is>
          <t>17:08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6" t="n">
        <v>0</v>
      </c>
      <c r="N461" s="5" t="n">
        <v>2024</v>
      </c>
      <c r="O461" s="6" t="inlineStr">
        <is>
          <t>2024-12</t>
        </is>
      </c>
    </row>
    <row r="462">
      <c r="A462" s="2" t="inlineStr">
        <is>
          <t>Z001_31_122024_MATURIN.CSV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FILE001</t>
        </is>
      </c>
      <c r="F462" s="2" t="inlineStr">
        <is>
          <t>Z</t>
        </is>
      </c>
      <c r="G462" s="3" t="inlineStr">
        <is>
          <t>0040</t>
        </is>
      </c>
      <c r="H462" s="4" t="n">
        <v>45657</v>
      </c>
      <c r="I462" s="2" t="inlineStr">
        <is>
          <t>17:08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6" t="n">
        <v>0</v>
      </c>
      <c r="N462" s="5" t="n">
        <v>2024</v>
      </c>
      <c r="O462" s="6" t="inlineStr">
        <is>
          <t>2024-12</t>
        </is>
      </c>
    </row>
    <row r="463">
      <c r="A463" s="2" t="inlineStr">
        <is>
          <t>Z001_31_122024_MATURIN.CSV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FILE001</t>
        </is>
      </c>
      <c r="F463" s="2" t="inlineStr">
        <is>
          <t>Z</t>
        </is>
      </c>
      <c r="G463" s="3" t="inlineStr">
        <is>
          <t>0040</t>
        </is>
      </c>
      <c r="H463" s="4" t="n">
        <v>45657</v>
      </c>
      <c r="I463" s="2" t="inlineStr">
        <is>
          <t>17:08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6" t="n">
        <v>0</v>
      </c>
      <c r="N463" s="5" t="n">
        <v>2024</v>
      </c>
      <c r="O463" s="6" t="inlineStr">
        <is>
          <t>2024-12</t>
        </is>
      </c>
    </row>
    <row r="464">
      <c r="A464" s="2" t="inlineStr">
        <is>
          <t>Z001_31_122024_MATURIN.CSV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FILE001</t>
        </is>
      </c>
      <c r="F464" s="2" t="inlineStr">
        <is>
          <t>Z</t>
        </is>
      </c>
      <c r="G464" s="3" t="inlineStr">
        <is>
          <t>0040</t>
        </is>
      </c>
      <c r="H464" s="4" t="n">
        <v>45657</v>
      </c>
      <c r="I464" s="2" t="inlineStr">
        <is>
          <t>17:08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6" t="n">
        <v>0</v>
      </c>
      <c r="N464" s="5" t="n">
        <v>2024</v>
      </c>
      <c r="O464" s="6" t="inlineStr">
        <is>
          <t>2024-12</t>
        </is>
      </c>
    </row>
    <row r="465">
      <c r="A465" s="2" t="inlineStr">
        <is>
          <t>Z001_31_122024_MATURIN.CSV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FILE001</t>
        </is>
      </c>
      <c r="F465" s="2" t="inlineStr">
        <is>
          <t>Z</t>
        </is>
      </c>
      <c r="G465" s="3" t="inlineStr">
        <is>
          <t>0040</t>
        </is>
      </c>
      <c r="H465" s="4" t="n">
        <v>45657</v>
      </c>
      <c r="I465" s="2" t="inlineStr">
        <is>
          <t>17:08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6" t="n">
        <v>0</v>
      </c>
      <c r="N465" s="5" t="n">
        <v>2024</v>
      </c>
      <c r="O465" s="6" t="inlineStr">
        <is>
          <t>2024-12</t>
        </is>
      </c>
    </row>
    <row r="466">
      <c r="A466" s="2" t="inlineStr">
        <is>
          <t>Z001_31_122024_MATURIN.CSV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FILE001</t>
        </is>
      </c>
      <c r="F466" s="2" t="inlineStr">
        <is>
          <t>Z</t>
        </is>
      </c>
      <c r="G466" s="3" t="inlineStr">
        <is>
          <t>0040</t>
        </is>
      </c>
      <c r="H466" s="4" t="n">
        <v>45657</v>
      </c>
      <c r="I466" s="2" t="inlineStr">
        <is>
          <t>17:08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6" t="n">
        <v>0</v>
      </c>
      <c r="N466" s="5" t="n">
        <v>2024</v>
      </c>
      <c r="O466" s="6" t="inlineStr">
        <is>
          <t>2024-12</t>
        </is>
      </c>
    </row>
    <row r="467">
      <c r="A467" s="2" t="inlineStr">
        <is>
          <t>Z001_31_122024_MATURIN.CSV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FILE001</t>
        </is>
      </c>
      <c r="F467" s="2" t="inlineStr">
        <is>
          <t>Z</t>
        </is>
      </c>
      <c r="G467" s="3" t="inlineStr">
        <is>
          <t>0040</t>
        </is>
      </c>
      <c r="H467" s="4" t="n">
        <v>45657</v>
      </c>
      <c r="I467" s="2" t="inlineStr">
        <is>
          <t>17:08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6" t="n">
        <v>0</v>
      </c>
      <c r="N467" s="5" t="n">
        <v>2024</v>
      </c>
      <c r="O467" s="6" t="inlineStr">
        <is>
          <t>2024-12</t>
        </is>
      </c>
    </row>
    <row r="468">
      <c r="A468" s="2" t="inlineStr">
        <is>
          <t>Z001_31_122024_MATURIN.CSV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FILE001</t>
        </is>
      </c>
      <c r="F468" s="2" t="inlineStr">
        <is>
          <t>Z</t>
        </is>
      </c>
      <c r="G468" s="3" t="inlineStr">
        <is>
          <t>0040</t>
        </is>
      </c>
      <c r="H468" s="4" t="n">
        <v>45657</v>
      </c>
      <c r="I468" s="2" t="inlineStr">
        <is>
          <t>17:08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6" t="n">
        <v>0</v>
      </c>
      <c r="N468" s="5" t="n">
        <v>2024</v>
      </c>
      <c r="O468" s="6" t="inlineStr">
        <is>
          <t>2024-12</t>
        </is>
      </c>
    </row>
    <row r="469">
      <c r="A469" s="2" t="inlineStr">
        <is>
          <t>Z001_31_122024_MATURIN.CSV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FILE001</t>
        </is>
      </c>
      <c r="F469" s="2" t="inlineStr">
        <is>
          <t>Z</t>
        </is>
      </c>
      <c r="G469" s="3" t="inlineStr">
        <is>
          <t>0040</t>
        </is>
      </c>
      <c r="H469" s="4" t="n">
        <v>45657</v>
      </c>
      <c r="I469" s="2" t="inlineStr">
        <is>
          <t>17:08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6" t="n">
        <v>0</v>
      </c>
      <c r="N469" s="5" t="n">
        <v>2024</v>
      </c>
      <c r="O469" s="6" t="inlineStr">
        <is>
          <t>2024-12</t>
        </is>
      </c>
    </row>
    <row r="470">
      <c r="A470" s="2" t="inlineStr">
        <is>
          <t>Z001_31_122024_MATURIN.CSV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FILE001</t>
        </is>
      </c>
      <c r="F470" s="2" t="inlineStr">
        <is>
          <t>Z</t>
        </is>
      </c>
      <c r="G470" s="3" t="inlineStr">
        <is>
          <t>0040</t>
        </is>
      </c>
      <c r="H470" s="4" t="n">
        <v>45657</v>
      </c>
      <c r="I470" s="2" t="inlineStr">
        <is>
          <t>17:08</t>
        </is>
      </c>
      <c r="J470" s="3" t="inlineStr">
        <is>
          <t>0018</t>
        </is>
      </c>
      <c r="K470" s="2" t="inlineStr">
        <is>
          <t>CLIENTS</t>
        </is>
      </c>
      <c r="L470" s="5" t="n">
        <v>17</v>
      </c>
      <c r="M470" s="6" t="n">
        <v>0</v>
      </c>
      <c r="N470" s="5" t="n">
        <v>2024</v>
      </c>
      <c r="O470" s="6" t="inlineStr">
        <is>
          <t>2024-12</t>
        </is>
      </c>
    </row>
    <row r="471">
      <c r="A471" s="2" t="inlineStr">
        <is>
          <t>Z001_31_122024_MATURIN.CSV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FILE001</t>
        </is>
      </c>
      <c r="F471" s="2" t="inlineStr">
        <is>
          <t>Z</t>
        </is>
      </c>
      <c r="G471" s="3" t="inlineStr">
        <is>
          <t>0040</t>
        </is>
      </c>
      <c r="H471" s="4" t="n">
        <v>45657</v>
      </c>
      <c r="I471" s="2" t="inlineStr">
        <is>
          <t>17:08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6" t="n">
        <v>0</v>
      </c>
      <c r="N471" s="5" t="n">
        <v>2024</v>
      </c>
      <c r="O471" s="6" t="inlineStr">
        <is>
          <t>2024-12</t>
        </is>
      </c>
    </row>
    <row r="472">
      <c r="A472" s="2" t="inlineStr">
        <is>
          <t>Z001_31_122024_MATURIN.CSV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FILE001</t>
        </is>
      </c>
      <c r="F472" s="2" t="inlineStr">
        <is>
          <t>Z</t>
        </is>
      </c>
      <c r="G472" s="3" t="inlineStr">
        <is>
          <t>0040</t>
        </is>
      </c>
      <c r="H472" s="4" t="n">
        <v>45657</v>
      </c>
      <c r="I472" s="2" t="inlineStr">
        <is>
          <t>17:08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6" t="n">
        <v>0</v>
      </c>
      <c r="N472" s="5" t="n">
        <v>2024</v>
      </c>
      <c r="O472" s="6" t="inlineStr">
        <is>
          <t>2024-12</t>
        </is>
      </c>
    </row>
    <row r="473">
      <c r="A473" s="2" t="inlineStr">
        <is>
          <t>Z001_31_122024_MATURIN.CSV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FILE001</t>
        </is>
      </c>
      <c r="F473" s="2" t="inlineStr">
        <is>
          <t>Z</t>
        </is>
      </c>
      <c r="G473" s="3" t="inlineStr">
        <is>
          <t>0040</t>
        </is>
      </c>
      <c r="H473" s="4" t="n">
        <v>45657</v>
      </c>
      <c r="I473" s="2" t="inlineStr">
        <is>
          <t>17:08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6" t="n">
        <v>0</v>
      </c>
      <c r="N473" s="5" t="n">
        <v>2024</v>
      </c>
      <c r="O473" s="6" t="inlineStr">
        <is>
          <t>2024-12</t>
        </is>
      </c>
    </row>
    <row r="474">
      <c r="A474" s="2" t="inlineStr">
        <is>
          <t>Z001_31_122024_MATURIN.CSV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FILE001</t>
        </is>
      </c>
      <c r="F474" s="2" t="inlineStr">
        <is>
          <t>Z</t>
        </is>
      </c>
      <c r="G474" s="3" t="inlineStr">
        <is>
          <t>0040</t>
        </is>
      </c>
      <c r="H474" s="4" t="n">
        <v>45657</v>
      </c>
      <c r="I474" s="2" t="inlineStr">
        <is>
          <t>17:08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6" t="n">
        <v>0</v>
      </c>
      <c r="N474" s="5" t="n">
        <v>2024</v>
      </c>
      <c r="O474" s="6" t="inlineStr">
        <is>
          <t>2024-12</t>
        </is>
      </c>
    </row>
    <row r="475">
      <c r="A475" s="2" t="inlineStr">
        <is>
          <t>Z001_31_122024_MATURIN.CSV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FILE001</t>
        </is>
      </c>
      <c r="F475" s="2" t="inlineStr">
        <is>
          <t>Z</t>
        </is>
      </c>
      <c r="G475" s="3" t="inlineStr">
        <is>
          <t>0040</t>
        </is>
      </c>
      <c r="H475" s="4" t="n">
        <v>45657</v>
      </c>
      <c r="I475" s="2" t="inlineStr">
        <is>
          <t>17:08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6" t="n">
        <v>0</v>
      </c>
      <c r="N475" s="5" t="n">
        <v>2024</v>
      </c>
      <c r="O475" s="6" t="inlineStr">
        <is>
          <t>2024-12</t>
        </is>
      </c>
    </row>
    <row r="476">
      <c r="A476" s="2" t="inlineStr">
        <is>
          <t>Z001_31_122024_MATURIN.CSV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FILE001</t>
        </is>
      </c>
      <c r="F476" s="2" t="inlineStr">
        <is>
          <t>Z</t>
        </is>
      </c>
      <c r="G476" s="3" t="inlineStr">
        <is>
          <t>0040</t>
        </is>
      </c>
      <c r="H476" s="4" t="n">
        <v>45657</v>
      </c>
      <c r="I476" s="2" t="inlineStr">
        <is>
          <t>17:08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6" t="n">
        <v>0</v>
      </c>
      <c r="N476" s="5" t="n">
        <v>2024</v>
      </c>
      <c r="O476" s="6" t="inlineStr">
        <is>
          <t>2024-12</t>
        </is>
      </c>
    </row>
    <row r="477">
      <c r="A477" s="2" t="inlineStr">
        <is>
          <t>Z001_31_122024_MATURIN.CSV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FILE001</t>
        </is>
      </c>
      <c r="F477" s="2" t="inlineStr">
        <is>
          <t>Z</t>
        </is>
      </c>
      <c r="G477" s="3" t="inlineStr">
        <is>
          <t>0040</t>
        </is>
      </c>
      <c r="H477" s="4" t="n">
        <v>45657</v>
      </c>
      <c r="I477" s="2" t="inlineStr">
        <is>
          <t>17:08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6" t="n">
        <v>0</v>
      </c>
      <c r="N477" s="5" t="n">
        <v>2024</v>
      </c>
      <c r="O477" s="6" t="inlineStr">
        <is>
          <t>2024-12</t>
        </is>
      </c>
    </row>
    <row r="478">
      <c r="A478" s="2" t="inlineStr">
        <is>
          <t>Z001_31_122024_MATURIN.CSV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FILE001</t>
        </is>
      </c>
      <c r="F478" s="2" t="inlineStr">
        <is>
          <t>Z</t>
        </is>
      </c>
      <c r="G478" s="3" t="inlineStr">
        <is>
          <t>0040</t>
        </is>
      </c>
      <c r="H478" s="4" t="n">
        <v>45657</v>
      </c>
      <c r="I478" s="2" t="inlineStr">
        <is>
          <t>17:08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6" t="n">
        <v>0</v>
      </c>
      <c r="N478" s="5" t="n">
        <v>2024</v>
      </c>
      <c r="O478" s="6" t="inlineStr">
        <is>
          <t>2024-12</t>
        </is>
      </c>
    </row>
    <row r="479">
      <c r="A479" s="2" t="inlineStr">
        <is>
          <t>Z001_31_122024_MATURIN.CSV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FILE001</t>
        </is>
      </c>
      <c r="F479" s="2" t="inlineStr">
        <is>
          <t>Z</t>
        </is>
      </c>
      <c r="G479" s="3" t="inlineStr">
        <is>
          <t>0040</t>
        </is>
      </c>
      <c r="H479" s="4" t="n">
        <v>45657</v>
      </c>
      <c r="I479" s="2" t="inlineStr">
        <is>
          <t>17:08</t>
        </is>
      </c>
      <c r="J479" s="3" t="inlineStr">
        <is>
          <t>0027</t>
        </is>
      </c>
      <c r="K479" s="2" t="inlineStr"/>
      <c r="L479" s="5" t="n">
        <v>0</v>
      </c>
      <c r="M479" s="6" t="n">
        <v>0</v>
      </c>
      <c r="N479" s="5" t="n">
        <v>2024</v>
      </c>
      <c r="O479" s="6" t="inlineStr">
        <is>
          <t>2024-12</t>
        </is>
      </c>
    </row>
    <row r="480">
      <c r="A480" s="2" t="inlineStr">
        <is>
          <t>Z001_31_122024_MATURIN.CSV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FILE001</t>
        </is>
      </c>
      <c r="F480" s="2" t="inlineStr">
        <is>
          <t>Z</t>
        </is>
      </c>
      <c r="G480" s="3" t="inlineStr">
        <is>
          <t>0040</t>
        </is>
      </c>
      <c r="H480" s="4" t="n">
        <v>45657</v>
      </c>
      <c r="I480" s="2" t="inlineStr">
        <is>
          <t>17:08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6" t="n">
        <v>0</v>
      </c>
      <c r="N480" s="5" t="n">
        <v>2024</v>
      </c>
      <c r="O480" s="6" t="inlineStr">
        <is>
          <t>2024-12</t>
        </is>
      </c>
    </row>
    <row r="481">
      <c r="A481" s="2" t="inlineStr">
        <is>
          <t>Z001_31_122024_MATURIN.CSV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FILE001</t>
        </is>
      </c>
      <c r="F481" s="2" t="inlineStr">
        <is>
          <t>Z</t>
        </is>
      </c>
      <c r="G481" s="3" t="inlineStr">
        <is>
          <t>0040</t>
        </is>
      </c>
      <c r="H481" s="4" t="n">
        <v>45657</v>
      </c>
      <c r="I481" s="2" t="inlineStr">
        <is>
          <t>17:08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6" t="n">
        <v>0</v>
      </c>
      <c r="N481" s="5" t="n">
        <v>2024</v>
      </c>
      <c r="O481" s="6" t="inlineStr">
        <is>
          <t>2024-12</t>
        </is>
      </c>
    </row>
    <row r="482">
      <c r="A482" s="2" t="inlineStr">
        <is>
          <t>Z001_31_122024_MATURIN.CSV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FILE001</t>
        </is>
      </c>
      <c r="F482" s="2" t="inlineStr">
        <is>
          <t>Z</t>
        </is>
      </c>
      <c r="G482" s="3" t="inlineStr">
        <is>
          <t>0040</t>
        </is>
      </c>
      <c r="H482" s="4" t="n">
        <v>45657</v>
      </c>
      <c r="I482" s="2" t="inlineStr">
        <is>
          <t>17:08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6" t="n">
        <v>0</v>
      </c>
      <c r="N482" s="5" t="n">
        <v>2024</v>
      </c>
      <c r="O482" s="6" t="inlineStr">
        <is>
          <t>2024-12</t>
        </is>
      </c>
    </row>
    <row r="483">
      <c r="A483" s="2" t="inlineStr">
        <is>
          <t>Z001_31_122024_MATURIN.CSV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FILE001</t>
        </is>
      </c>
      <c r="F483" s="2" t="inlineStr">
        <is>
          <t>Z</t>
        </is>
      </c>
      <c r="G483" s="3" t="inlineStr">
        <is>
          <t>0040</t>
        </is>
      </c>
      <c r="H483" s="4" t="n">
        <v>45657</v>
      </c>
      <c r="I483" s="2" t="inlineStr">
        <is>
          <t>17:08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6" t="n">
        <v>0</v>
      </c>
      <c r="N483" s="5" t="n">
        <v>2024</v>
      </c>
      <c r="O483" s="6" t="inlineStr">
        <is>
          <t>2024-12</t>
        </is>
      </c>
    </row>
    <row r="484">
      <c r="A484" s="2" t="inlineStr">
        <is>
          <t>Z001_31_122024_MATURIN.CSV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FILE001</t>
        </is>
      </c>
      <c r="F484" s="2" t="inlineStr">
        <is>
          <t>Z</t>
        </is>
      </c>
      <c r="G484" s="3" t="inlineStr">
        <is>
          <t>0040</t>
        </is>
      </c>
      <c r="H484" s="4" t="n">
        <v>45657</v>
      </c>
      <c r="I484" s="2" t="inlineStr">
        <is>
          <t>17:08</t>
        </is>
      </c>
      <c r="J484" s="3" t="inlineStr">
        <is>
          <t>0032</t>
        </is>
      </c>
      <c r="K484" s="2" t="inlineStr"/>
      <c r="L484" s="5" t="n">
        <v>0</v>
      </c>
      <c r="M484" s="6" t="n">
        <v>0</v>
      </c>
      <c r="N484" s="5" t="n">
        <v>2024</v>
      </c>
      <c r="O484" s="6" t="inlineStr">
        <is>
          <t>2024-12</t>
        </is>
      </c>
    </row>
    <row r="485">
      <c r="A485" s="2" t="inlineStr">
        <is>
          <t>Z001_31_122024_MATURIN.CSV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FILE001</t>
        </is>
      </c>
      <c r="F485" s="2" t="inlineStr">
        <is>
          <t>Z</t>
        </is>
      </c>
      <c r="G485" s="3" t="inlineStr">
        <is>
          <t>0040</t>
        </is>
      </c>
      <c r="H485" s="4" t="n">
        <v>45657</v>
      </c>
      <c r="I485" s="2" t="inlineStr">
        <is>
          <t>17:08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6" t="n">
        <v>9106.33</v>
      </c>
      <c r="N485" s="5" t="n">
        <v>2024</v>
      </c>
      <c r="O485" s="6" t="inlineStr">
        <is>
          <t>2024-12</t>
        </is>
      </c>
    </row>
    <row r="486">
      <c r="A486" s="2" t="inlineStr">
        <is>
          <t>Z001_31_122024_MATURIN.CSV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FILE001</t>
        </is>
      </c>
      <c r="F486" s="2" t="inlineStr">
        <is>
          <t>Z</t>
        </is>
      </c>
      <c r="G486" s="3" t="inlineStr">
        <is>
          <t>0040</t>
        </is>
      </c>
      <c r="H486" s="4" t="n">
        <v>45657</v>
      </c>
      <c r="I486" s="2" t="inlineStr">
        <is>
          <t>17:08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6" t="n">
        <v>1821.27</v>
      </c>
      <c r="N486" s="5" t="n">
        <v>2024</v>
      </c>
      <c r="O486" s="6" t="inlineStr">
        <is>
          <t>2024-12</t>
        </is>
      </c>
    </row>
    <row r="487">
      <c r="A487" s="2" t="inlineStr">
        <is>
          <t>Z001_31_122024_MATURIN.CSV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FILE001</t>
        </is>
      </c>
      <c r="F487" s="2" t="inlineStr">
        <is>
          <t>Z</t>
        </is>
      </c>
      <c r="G487" s="3" t="inlineStr">
        <is>
          <t>0040</t>
        </is>
      </c>
      <c r="H487" s="4" t="n">
        <v>45657</v>
      </c>
      <c r="I487" s="2" t="inlineStr">
        <is>
          <t>17:08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6" t="n">
        <v>0</v>
      </c>
      <c r="N487" s="5" t="n">
        <v>2024</v>
      </c>
      <c r="O487" s="6" t="inlineStr">
        <is>
          <t>2024-12</t>
        </is>
      </c>
    </row>
    <row r="488">
      <c r="A488" s="2" t="inlineStr">
        <is>
          <t>Z001_31_122024_MATURIN.CSV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FILE001</t>
        </is>
      </c>
      <c r="F488" s="2" t="inlineStr">
        <is>
          <t>Z</t>
        </is>
      </c>
      <c r="G488" s="3" t="inlineStr">
        <is>
          <t>0040</t>
        </is>
      </c>
      <c r="H488" s="4" t="n">
        <v>45657</v>
      </c>
      <c r="I488" s="2" t="inlineStr">
        <is>
          <t>17:08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6" t="n">
        <v>0</v>
      </c>
      <c r="N488" s="5" t="n">
        <v>2024</v>
      </c>
      <c r="O488" s="6" t="inlineStr">
        <is>
          <t>2024-12</t>
        </is>
      </c>
    </row>
    <row r="489">
      <c r="A489" s="2" t="inlineStr">
        <is>
          <t>Z001_31_122024_MATURIN.CSV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FILE001</t>
        </is>
      </c>
      <c r="F489" s="2" t="inlineStr">
        <is>
          <t>Z</t>
        </is>
      </c>
      <c r="G489" s="3" t="inlineStr">
        <is>
          <t>0040</t>
        </is>
      </c>
      <c r="H489" s="4" t="n">
        <v>45657</v>
      </c>
      <c r="I489" s="2" t="inlineStr">
        <is>
          <t>17:08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6" t="n">
        <v>0</v>
      </c>
      <c r="N489" s="5" t="n">
        <v>2024</v>
      </c>
      <c r="O489" s="6" t="inlineStr">
        <is>
          <t>2024-12</t>
        </is>
      </c>
    </row>
    <row r="490">
      <c r="A490" s="2" t="inlineStr">
        <is>
          <t>Z001_31_122024_MATURIN.CSV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FILE001</t>
        </is>
      </c>
      <c r="F490" s="2" t="inlineStr">
        <is>
          <t>Z</t>
        </is>
      </c>
      <c r="G490" s="3" t="inlineStr">
        <is>
          <t>0040</t>
        </is>
      </c>
      <c r="H490" s="4" t="n">
        <v>45657</v>
      </c>
      <c r="I490" s="2" t="inlineStr">
        <is>
          <t>17:08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6" t="n">
        <v>0</v>
      </c>
      <c r="N490" s="5" t="n">
        <v>2024</v>
      </c>
      <c r="O490" s="6" t="inlineStr">
        <is>
          <t>2024-12</t>
        </is>
      </c>
    </row>
    <row r="491">
      <c r="A491" s="2" t="inlineStr">
        <is>
          <t>Z001_31_122024_MATURIN.CSV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FILE001</t>
        </is>
      </c>
      <c r="F491" s="2" t="inlineStr">
        <is>
          <t>Z</t>
        </is>
      </c>
      <c r="G491" s="3" t="inlineStr">
        <is>
          <t>0040</t>
        </is>
      </c>
      <c r="H491" s="4" t="n">
        <v>45657</v>
      </c>
      <c r="I491" s="2" t="inlineStr">
        <is>
          <t>17:08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6" t="n">
        <v>0</v>
      </c>
      <c r="N491" s="5" t="n">
        <v>2024</v>
      </c>
      <c r="O491" s="6" t="inlineStr">
        <is>
          <t>2024-12</t>
        </is>
      </c>
    </row>
    <row r="492">
      <c r="A492" s="2" t="inlineStr">
        <is>
          <t>Z001_31_122024_MATURIN.CSV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FILE001</t>
        </is>
      </c>
      <c r="F492" s="2" t="inlineStr">
        <is>
          <t>Z</t>
        </is>
      </c>
      <c r="G492" s="3" t="inlineStr">
        <is>
          <t>0040</t>
        </is>
      </c>
      <c r="H492" s="4" t="n">
        <v>45657</v>
      </c>
      <c r="I492" s="2" t="inlineStr">
        <is>
          <t>17:08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6" t="n">
        <v>0</v>
      </c>
      <c r="N492" s="5" t="n">
        <v>2024</v>
      </c>
      <c r="O492" s="6" t="inlineStr">
        <is>
          <t>2024-12</t>
        </is>
      </c>
    </row>
    <row r="493">
      <c r="A493" s="2" t="inlineStr">
        <is>
          <t>Z001_31_122024_MATURIN.CSV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FILE001</t>
        </is>
      </c>
      <c r="F493" s="2" t="inlineStr">
        <is>
          <t>Z</t>
        </is>
      </c>
      <c r="G493" s="3" t="inlineStr">
        <is>
          <t>0040</t>
        </is>
      </c>
      <c r="H493" s="4" t="n">
        <v>45657</v>
      </c>
      <c r="I493" s="2" t="inlineStr">
        <is>
          <t>17:08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6" t="n">
        <v>0</v>
      </c>
      <c r="N493" s="5" t="n">
        <v>2024</v>
      </c>
      <c r="O493" s="6" t="inlineStr">
        <is>
          <t>2024-12</t>
        </is>
      </c>
    </row>
  </sheetData>
  <autoFilter ref="A1:O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5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E_DATE</t>
        </is>
      </c>
      <c r="D1" s="1" t="inlineStr">
        <is>
          <t>E_FICHIER</t>
        </is>
      </c>
      <c r="E1" s="1" t="inlineStr">
        <is>
          <t>E_MODE</t>
        </is>
      </c>
      <c r="F1" s="1" t="inlineStr">
        <is>
          <t>OCCURRENCES</t>
        </is>
      </c>
    </row>
    <row r="2">
      <c r="A2" s="5" t="n">
        <v>2024</v>
      </c>
      <c r="B2" s="6" t="inlineStr">
        <is>
          <t>2024-01</t>
        </is>
      </c>
      <c r="C2" s="4" t="n">
        <v>45323</v>
      </c>
      <c r="D2" s="2" t="inlineStr">
        <is>
          <t>FILE001</t>
        </is>
      </c>
      <c r="E2" s="2" t="inlineStr">
        <is>
          <t>Z</t>
        </is>
      </c>
      <c r="F2" s="5">
        <f>COUNTIFS('Z1_CplteAnneeMois'!$O$2:$O$493,B2,'Z1_CplteAnneeMois'!$H$2:$H$493,C2,'Z1_CplteAnneeMois'!$E$2:$E$493,D2,'Z1_CplteAnneeMois'!$F$2:$F$493,E2)</f>
        <v/>
      </c>
    </row>
    <row r="3">
      <c r="A3" s="5" t="n">
        <v>2024</v>
      </c>
      <c r="B3" s="6" t="inlineStr">
        <is>
          <t>2024-02</t>
        </is>
      </c>
      <c r="C3" s="4" t="n">
        <v>45352</v>
      </c>
      <c r="D3" s="2" t="inlineStr">
        <is>
          <t>FILE001</t>
        </is>
      </c>
      <c r="E3" s="2" t="inlineStr">
        <is>
          <t>Z</t>
        </is>
      </c>
      <c r="F3" s="5">
        <f>COUNTIFS('Z1_CplteAnneeMois'!$O$2:$O$493,B3,'Z1_CplteAnneeMois'!$H$2:$H$493,C3,'Z1_CplteAnneeMois'!$E$2:$E$493,D3,'Z1_CplteAnneeMois'!$F$2:$F$493,E3)</f>
        <v/>
      </c>
    </row>
    <row r="4">
      <c r="A4" s="5" t="n">
        <v>2024</v>
      </c>
      <c r="B4" s="6" t="inlineStr">
        <is>
          <t>2024-03</t>
        </is>
      </c>
      <c r="C4" s="4" t="n">
        <v>45384</v>
      </c>
      <c r="D4" s="2" t="inlineStr">
        <is>
          <t>FILE001</t>
        </is>
      </c>
      <c r="E4" s="2" t="inlineStr">
        <is>
          <t>Z</t>
        </is>
      </c>
      <c r="F4" s="5">
        <f>COUNTIFS('Z1_CplteAnneeMois'!$O$2:$O$493,B4,'Z1_CplteAnneeMois'!$H$2:$H$493,C4,'Z1_CplteAnneeMois'!$E$2:$E$493,D4,'Z1_CplteAnneeMois'!$F$2:$F$493,E4)</f>
        <v/>
      </c>
    </row>
    <row r="5">
      <c r="A5" s="5" t="n">
        <v>2024</v>
      </c>
      <c r="B5" s="6" t="inlineStr">
        <is>
          <t>2024-04</t>
        </is>
      </c>
      <c r="C5" s="4" t="n">
        <v>45414</v>
      </c>
      <c r="D5" s="2" t="inlineStr">
        <is>
          <t>FILE001</t>
        </is>
      </c>
      <c r="E5" s="2" t="inlineStr">
        <is>
          <t>Z</t>
        </is>
      </c>
      <c r="F5" s="5">
        <f>COUNTIFS('Z1_CplteAnneeMois'!$O$2:$O$493,B5,'Z1_CplteAnneeMois'!$H$2:$H$493,C5,'Z1_CplteAnneeMois'!$E$2:$E$493,D5,'Z1_CplteAnneeMois'!$F$2:$F$493,E5)</f>
        <v/>
      </c>
    </row>
    <row r="6">
      <c r="A6" s="5" t="n">
        <v>2024</v>
      </c>
      <c r="B6" s="6" t="inlineStr">
        <is>
          <t>2024-05</t>
        </is>
      </c>
      <c r="C6" s="4" t="n">
        <v>45444</v>
      </c>
      <c r="D6" s="2" t="inlineStr">
        <is>
          <t>FILE001</t>
        </is>
      </c>
      <c r="E6" s="2" t="inlineStr">
        <is>
          <t>Z</t>
        </is>
      </c>
      <c r="F6" s="5">
        <f>COUNTIFS('Z1_CplteAnneeMois'!$O$2:$O$493,B6,'Z1_CplteAnneeMois'!$H$2:$H$493,C6,'Z1_CplteAnneeMois'!$E$2:$E$493,D6,'Z1_CplteAnneeMois'!$F$2:$F$493,E6)</f>
        <v/>
      </c>
    </row>
    <row r="7">
      <c r="A7" s="5" t="n">
        <v>2024</v>
      </c>
      <c r="B7" s="6" t="inlineStr">
        <is>
          <t>2024-06</t>
        </is>
      </c>
      <c r="C7" s="4" t="n">
        <v>45474</v>
      </c>
      <c r="D7" s="2" t="inlineStr">
        <is>
          <t>FILE001</t>
        </is>
      </c>
      <c r="E7" s="2" t="inlineStr">
        <is>
          <t>Z</t>
        </is>
      </c>
      <c r="F7" s="5">
        <f>COUNTIFS('Z1_CplteAnneeMois'!$O$2:$O$493,B7,'Z1_CplteAnneeMois'!$H$2:$H$493,C7,'Z1_CplteAnneeMois'!$E$2:$E$493,D7,'Z1_CplteAnneeMois'!$F$2:$F$493,E7)</f>
        <v/>
      </c>
    </row>
    <row r="8">
      <c r="A8" s="5" t="n">
        <v>2024</v>
      </c>
      <c r="B8" s="6" t="inlineStr">
        <is>
          <t>2024-07</t>
        </is>
      </c>
      <c r="C8" s="4" t="n">
        <v>45505</v>
      </c>
      <c r="D8" s="2" t="inlineStr">
        <is>
          <t>FILE001</t>
        </is>
      </c>
      <c r="E8" s="2" t="inlineStr">
        <is>
          <t>Z</t>
        </is>
      </c>
      <c r="F8" s="5">
        <f>COUNTIFS('Z1_CplteAnneeMois'!$O$2:$O$493,B8,'Z1_CplteAnneeMois'!$H$2:$H$493,C8,'Z1_CplteAnneeMois'!$E$2:$E$493,D8,'Z1_CplteAnneeMois'!$F$2:$F$493,E8)</f>
        <v/>
      </c>
    </row>
    <row r="9">
      <c r="A9" s="5" t="n">
        <v>2024</v>
      </c>
      <c r="B9" s="6" t="inlineStr">
        <is>
          <t>2024-08</t>
        </is>
      </c>
      <c r="C9" s="4" t="n">
        <v>45534</v>
      </c>
      <c r="D9" s="2" t="inlineStr">
        <is>
          <t>FILE001</t>
        </is>
      </c>
      <c r="E9" s="2" t="inlineStr">
        <is>
          <t>Z</t>
        </is>
      </c>
      <c r="F9" s="5">
        <f>COUNTIFS('Z1_CplteAnneeMois'!$O$2:$O$493,B9,'Z1_CplteAnneeMois'!$H$2:$H$493,C9,'Z1_CplteAnneeMois'!$E$2:$E$493,D9,'Z1_CplteAnneeMois'!$F$2:$F$493,E9)</f>
        <v/>
      </c>
    </row>
    <row r="10">
      <c r="A10" s="5" t="n">
        <v>2024</v>
      </c>
      <c r="B10" s="6" t="inlineStr">
        <is>
          <t>2024-09</t>
        </is>
      </c>
      <c r="C10" s="4" t="n">
        <v>45565</v>
      </c>
      <c r="D10" s="2" t="inlineStr">
        <is>
          <t>FILE001</t>
        </is>
      </c>
      <c r="E10" s="2" t="inlineStr">
        <is>
          <t>Z</t>
        </is>
      </c>
      <c r="F10" s="5">
        <f>COUNTIFS('Z1_CplteAnneeMois'!$O$2:$O$493,B10,'Z1_CplteAnneeMois'!$H$2:$H$493,C10,'Z1_CplteAnneeMois'!$E$2:$E$493,D10,'Z1_CplteAnneeMois'!$F$2:$F$493,E10)</f>
        <v/>
      </c>
    </row>
    <row r="11">
      <c r="A11" s="5" t="n">
        <v>2024</v>
      </c>
      <c r="B11" s="6" t="inlineStr">
        <is>
          <t>2024-10</t>
        </is>
      </c>
      <c r="C11" s="4" t="n">
        <v>45598</v>
      </c>
      <c r="D11" s="2" t="inlineStr">
        <is>
          <t>FILE001</t>
        </is>
      </c>
      <c r="E11" s="2" t="inlineStr">
        <is>
          <t>Z</t>
        </is>
      </c>
      <c r="F11" s="5">
        <f>COUNTIFS('Z1_CplteAnneeMois'!$O$2:$O$493,B11,'Z1_CplteAnneeMois'!$H$2:$H$493,C11,'Z1_CplteAnneeMois'!$E$2:$E$493,D11,'Z1_CplteAnneeMois'!$F$2:$F$493,E11)</f>
        <v/>
      </c>
    </row>
    <row r="12">
      <c r="A12" s="5" t="n">
        <v>2024</v>
      </c>
      <c r="B12" s="6" t="inlineStr">
        <is>
          <t>2024-11</t>
        </is>
      </c>
      <c r="C12" s="4" t="n">
        <v>45628</v>
      </c>
      <c r="D12" s="2" t="inlineStr">
        <is>
          <t>FILE001</t>
        </is>
      </c>
      <c r="E12" s="2" t="inlineStr">
        <is>
          <t>Z</t>
        </is>
      </c>
      <c r="F12" s="5">
        <f>COUNTIFS('Z1_CplteAnneeMois'!$O$2:$O$493,B12,'Z1_CplteAnneeMois'!$H$2:$H$493,C12,'Z1_CplteAnneeMois'!$E$2:$E$493,D12,'Z1_CplteAnneeMois'!$F$2:$F$493,E12)</f>
        <v/>
      </c>
    </row>
    <row r="13">
      <c r="A13" s="5" t="n">
        <v>2024</v>
      </c>
      <c r="B13" s="6" t="inlineStr">
        <is>
          <t>2024-12</t>
        </is>
      </c>
      <c r="C13" s="4" t="n">
        <v>45657</v>
      </c>
      <c r="D13" s="2" t="inlineStr">
        <is>
          <t>FILE001</t>
        </is>
      </c>
      <c r="E13" s="2" t="inlineStr">
        <is>
          <t>Z</t>
        </is>
      </c>
      <c r="F13" s="5">
        <f>COUNTIFS('Z1_CplteAnneeMois'!$O$2:$O$493,B13,'Z1_CplteAnneeMois'!$H$2:$H$493,C13,'Z1_CplteAnneeMois'!$E$2:$E$493,D13,'Z1_CplteAnneeMois'!$F$2:$F$493,E13)</f>
        <v/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D_MONTANT</t>
        </is>
      </c>
    </row>
    <row r="2">
      <c r="A2" s="5" t="n">
        <v>2024</v>
      </c>
      <c r="B2" s="6" t="inlineStr">
        <is>
          <t>2024-01</t>
        </is>
      </c>
      <c r="C2" s="2" t="inlineStr">
        <is>
          <t>Z</t>
        </is>
      </c>
      <c r="D2" s="2" t="inlineStr">
        <is>
          <t>CA BRUT</t>
        </is>
      </c>
      <c r="E2" s="6">
        <f>SUMIFS('Z1_CplteAnneeMois'!$M$2:$M$493,'Z1_CplteAnneeMois'!$O$2:$O$493,B2,'Z1_CplteAnneeMois'!$F$2:$F$493,C2,'Z1_CplteAnneeMois'!$K$2:$K$493,D2)</f>
        <v/>
      </c>
    </row>
    <row r="3">
      <c r="A3" s="5" t="n">
        <v>2024</v>
      </c>
      <c r="B3" s="6" t="inlineStr">
        <is>
          <t>2024-01</t>
        </is>
      </c>
      <c r="C3" s="2" t="inlineStr">
        <is>
          <t>Z</t>
        </is>
      </c>
      <c r="D3" s="2" t="inlineStr">
        <is>
          <t>CA NET</t>
        </is>
      </c>
      <c r="E3" s="6">
        <f>SUMIFS('Z1_CplteAnneeMois'!$M$2:$M$493,'Z1_CplteAnneeMois'!$O$2:$O$493,B3,'Z1_CplteAnneeMois'!$F$2:$F$493,C3,'Z1_CplteAnneeMois'!$K$2:$K$493,D3)</f>
        <v/>
      </c>
    </row>
    <row r="4">
      <c r="A4" s="5" t="n">
        <v>2024</v>
      </c>
      <c r="B4" s="6" t="inlineStr">
        <is>
          <t>2024-01</t>
        </is>
      </c>
      <c r="C4" s="2" t="inlineStr">
        <is>
          <t>Z</t>
        </is>
      </c>
      <c r="D4" s="2" t="inlineStr">
        <is>
          <t>CB.TIROIR</t>
        </is>
      </c>
      <c r="E4" s="6">
        <f>SUMIFS('Z1_CplteAnneeMois'!$M$2:$M$493,'Z1_CplteAnneeMois'!$O$2:$O$493,B4,'Z1_CplteAnneeMois'!$F$2:$F$493,C4,'Z1_CplteAnneeMois'!$K$2:$K$493,D4)</f>
        <v/>
      </c>
    </row>
    <row r="5">
      <c r="A5" s="5" t="n">
        <v>2024</v>
      </c>
      <c r="B5" s="6" t="inlineStr">
        <is>
          <t>2024-01</t>
        </is>
      </c>
      <c r="C5" s="2" t="inlineStr">
        <is>
          <t>Z</t>
        </is>
      </c>
      <c r="D5" s="2" t="inlineStr">
        <is>
          <t>CHQ.TIROIR</t>
        </is>
      </c>
      <c r="E5" s="6">
        <f>SUMIFS('Z1_CplteAnneeMois'!$M$2:$M$493,'Z1_CplteAnneeMois'!$O$2:$O$493,B5,'Z1_CplteAnneeMois'!$F$2:$F$493,C5,'Z1_CplteAnneeMois'!$K$2:$K$493,D5)</f>
        <v/>
      </c>
    </row>
    <row r="6">
      <c r="A6" s="5" t="n">
        <v>2024</v>
      </c>
      <c r="B6" s="6" t="inlineStr">
        <is>
          <t>2024-01</t>
        </is>
      </c>
      <c r="C6" s="2" t="inlineStr">
        <is>
          <t>Z</t>
        </is>
      </c>
      <c r="D6" s="2" t="inlineStr">
        <is>
          <t>ESP.TIROIR</t>
        </is>
      </c>
      <c r="E6" s="6">
        <f>SUMIFS('Z1_CplteAnneeMois'!$M$2:$M$493,'Z1_CplteAnneeMois'!$O$2:$O$493,B6,'Z1_CplteAnneeMois'!$F$2:$F$493,C6,'Z1_CplteAnneeMois'!$K$2:$K$493,D6)</f>
        <v/>
      </c>
    </row>
    <row r="7">
      <c r="A7" s="5" t="n">
        <v>2024</v>
      </c>
      <c r="B7" s="6" t="inlineStr">
        <is>
          <t>2024-01</t>
        </is>
      </c>
      <c r="C7" s="2" t="inlineStr">
        <is>
          <t>Z</t>
        </is>
      </c>
      <c r="D7" s="2" t="inlineStr">
        <is>
          <t>HORS TAXE 1</t>
        </is>
      </c>
      <c r="E7" s="6">
        <f>SUMIFS('Z1_CplteAnneeMois'!$M$2:$M$493,'Z1_CplteAnneeMois'!$O$2:$O$493,B7,'Z1_CplteAnneeMois'!$F$2:$F$493,C7,'Z1_CplteAnneeMois'!$K$2:$K$493,D7)</f>
        <v/>
      </c>
    </row>
    <row r="8">
      <c r="A8" s="5" t="n">
        <v>2024</v>
      </c>
      <c r="B8" s="6" t="inlineStr">
        <is>
          <t>2024-01</t>
        </is>
      </c>
      <c r="C8" s="2" t="inlineStr">
        <is>
          <t>Z</t>
        </is>
      </c>
      <c r="D8" s="2" t="inlineStr">
        <is>
          <t>TVA 1</t>
        </is>
      </c>
      <c r="E8" s="6">
        <f>SUMIFS('Z1_CplteAnneeMois'!$M$2:$M$493,'Z1_CplteAnneeMois'!$O$2:$O$493,B8,'Z1_CplteAnneeMois'!$F$2:$F$493,C8,'Z1_CplteAnneeMois'!$K$2:$K$493,D8)</f>
        <v/>
      </c>
    </row>
    <row r="9">
      <c r="A9" s="5" t="n">
        <v>2024</v>
      </c>
      <c r="B9" s="6" t="inlineStr">
        <is>
          <t>2024-01</t>
        </is>
      </c>
      <c r="C9" s="2" t="inlineStr">
        <is>
          <t>ZZ1</t>
        </is>
      </c>
      <c r="D9" s="2" t="inlineStr">
        <is>
          <t>CA BRUT</t>
        </is>
      </c>
      <c r="E9" s="6">
        <f>SUMIFS('Z1_CplteAnneeMois'!$M$2:$M$493,'Z1_CplteAnneeMois'!$O$2:$O$493,B9,'Z1_CplteAnneeMois'!$F$2:$F$493,C9,'Z1_CplteAnneeMois'!$K$2:$K$493,D9)</f>
        <v/>
      </c>
    </row>
    <row r="10">
      <c r="A10" s="5" t="n">
        <v>2024</v>
      </c>
      <c r="B10" s="6" t="inlineStr">
        <is>
          <t>2024-01</t>
        </is>
      </c>
      <c r="C10" s="2" t="inlineStr">
        <is>
          <t>ZZ1</t>
        </is>
      </c>
      <c r="D10" s="2" t="inlineStr">
        <is>
          <t>CA NET</t>
        </is>
      </c>
      <c r="E10" s="6">
        <f>SUMIFS('Z1_CplteAnneeMois'!$M$2:$M$493,'Z1_CplteAnneeMois'!$O$2:$O$493,B10,'Z1_CplteAnneeMois'!$F$2:$F$493,C10,'Z1_CplteAnneeMois'!$K$2:$K$493,D10)</f>
        <v/>
      </c>
    </row>
    <row r="11">
      <c r="A11" s="5" t="n">
        <v>2024</v>
      </c>
      <c r="B11" s="6" t="inlineStr">
        <is>
          <t>2024-01</t>
        </is>
      </c>
      <c r="C11" s="2" t="inlineStr">
        <is>
          <t>ZZ1</t>
        </is>
      </c>
      <c r="D11" s="2" t="inlineStr">
        <is>
          <t>CB.TIROIR</t>
        </is>
      </c>
      <c r="E11" s="6">
        <f>SUMIFS('Z1_CplteAnneeMois'!$M$2:$M$493,'Z1_CplteAnneeMois'!$O$2:$O$493,B11,'Z1_CplteAnneeMois'!$F$2:$F$493,C11,'Z1_CplteAnneeMois'!$K$2:$K$493,D11)</f>
        <v/>
      </c>
    </row>
    <row r="12">
      <c r="A12" s="5" t="n">
        <v>2024</v>
      </c>
      <c r="B12" s="6" t="inlineStr">
        <is>
          <t>2024-01</t>
        </is>
      </c>
      <c r="C12" s="2" t="inlineStr">
        <is>
          <t>ZZ1</t>
        </is>
      </c>
      <c r="D12" s="2" t="inlineStr">
        <is>
          <t>CHQ.TIROIR</t>
        </is>
      </c>
      <c r="E12" s="6">
        <f>SUMIFS('Z1_CplteAnneeMois'!$M$2:$M$493,'Z1_CplteAnneeMois'!$O$2:$O$493,B12,'Z1_CplteAnneeMois'!$F$2:$F$493,C12,'Z1_CplteAnneeMois'!$K$2:$K$493,D12)</f>
        <v/>
      </c>
    </row>
    <row r="13">
      <c r="A13" s="5" t="n">
        <v>2024</v>
      </c>
      <c r="B13" s="6" t="inlineStr">
        <is>
          <t>2024-01</t>
        </is>
      </c>
      <c r="C13" s="2" t="inlineStr">
        <is>
          <t>ZZ1</t>
        </is>
      </c>
      <c r="D13" s="2" t="inlineStr">
        <is>
          <t>ESP.TIROIR</t>
        </is>
      </c>
      <c r="E13" s="6">
        <f>SUMIFS('Z1_CplteAnneeMois'!$M$2:$M$493,'Z1_CplteAnneeMois'!$O$2:$O$493,B13,'Z1_CplteAnneeMois'!$F$2:$F$493,C13,'Z1_CplteAnneeMois'!$K$2:$K$493,D13)</f>
        <v/>
      </c>
    </row>
    <row r="14">
      <c r="A14" s="5" t="n">
        <v>2024</v>
      </c>
      <c r="B14" s="6" t="inlineStr">
        <is>
          <t>2024-01</t>
        </is>
      </c>
      <c r="C14" s="2" t="inlineStr">
        <is>
          <t>ZZ1</t>
        </is>
      </c>
      <c r="D14" s="2" t="inlineStr">
        <is>
          <t>HORS TAXE 1</t>
        </is>
      </c>
      <c r="E14" s="6">
        <f>SUMIFS('Z1_CplteAnneeMois'!$M$2:$M$493,'Z1_CplteAnneeMois'!$O$2:$O$493,B14,'Z1_CplteAnneeMois'!$F$2:$F$493,C14,'Z1_CplteAnneeMois'!$K$2:$K$493,D14)</f>
        <v/>
      </c>
    </row>
    <row r="15">
      <c r="A15" s="5" t="n">
        <v>2024</v>
      </c>
      <c r="B15" s="6" t="inlineStr">
        <is>
          <t>2024-01</t>
        </is>
      </c>
      <c r="C15" s="2" t="inlineStr">
        <is>
          <t>ZZ1</t>
        </is>
      </c>
      <c r="D15" s="2" t="inlineStr">
        <is>
          <t>TVA 1</t>
        </is>
      </c>
      <c r="E15" s="6">
        <f>SUMIFS('Z1_CplteAnneeMois'!$M$2:$M$493,'Z1_CplteAnneeMois'!$O$2:$O$493,B15,'Z1_CplteAnneeMois'!$F$2:$F$493,C15,'Z1_CplteAnneeMois'!$K$2:$K$493,D15)</f>
        <v/>
      </c>
    </row>
    <row r="16">
      <c r="A16" s="5" t="n">
        <v>2024</v>
      </c>
      <c r="B16" s="6" t="inlineStr">
        <is>
          <t>2024-01</t>
        </is>
      </c>
      <c r="C16" s="2" t="inlineStr">
        <is>
          <t>ZZ2</t>
        </is>
      </c>
      <c r="D16" s="2" t="inlineStr">
        <is>
          <t>CA BRUT</t>
        </is>
      </c>
      <c r="E16" s="6">
        <f>SUMIFS('Z1_CplteAnneeMois'!$M$2:$M$493,'Z1_CplteAnneeMois'!$O$2:$O$493,B16,'Z1_CplteAnneeMois'!$F$2:$F$493,C16,'Z1_CplteAnneeMois'!$K$2:$K$493,D16)</f>
        <v/>
      </c>
    </row>
    <row r="17">
      <c r="A17" s="5" t="n">
        <v>2024</v>
      </c>
      <c r="B17" s="6" t="inlineStr">
        <is>
          <t>2024-01</t>
        </is>
      </c>
      <c r="C17" s="2" t="inlineStr">
        <is>
          <t>ZZ2</t>
        </is>
      </c>
      <c r="D17" s="2" t="inlineStr">
        <is>
          <t>CA NET</t>
        </is>
      </c>
      <c r="E17" s="6">
        <f>SUMIFS('Z1_CplteAnneeMois'!$M$2:$M$493,'Z1_CplteAnneeMois'!$O$2:$O$493,B17,'Z1_CplteAnneeMois'!$F$2:$F$493,C17,'Z1_CplteAnneeMois'!$K$2:$K$493,D17)</f>
        <v/>
      </c>
    </row>
    <row r="18">
      <c r="A18" s="5" t="n">
        <v>2024</v>
      </c>
      <c r="B18" s="6" t="inlineStr">
        <is>
          <t>2024-01</t>
        </is>
      </c>
      <c r="C18" s="2" t="inlineStr">
        <is>
          <t>ZZ2</t>
        </is>
      </c>
      <c r="D18" s="2" t="inlineStr">
        <is>
          <t>CB.TIROIR</t>
        </is>
      </c>
      <c r="E18" s="6">
        <f>SUMIFS('Z1_CplteAnneeMois'!$M$2:$M$493,'Z1_CplteAnneeMois'!$O$2:$O$493,B18,'Z1_CplteAnneeMois'!$F$2:$F$493,C18,'Z1_CplteAnneeMois'!$K$2:$K$493,D18)</f>
        <v/>
      </c>
    </row>
    <row r="19">
      <c r="A19" s="5" t="n">
        <v>2024</v>
      </c>
      <c r="B19" s="6" t="inlineStr">
        <is>
          <t>2024-01</t>
        </is>
      </c>
      <c r="C19" s="2" t="inlineStr">
        <is>
          <t>ZZ2</t>
        </is>
      </c>
      <c r="D19" s="2" t="inlineStr">
        <is>
          <t>CHQ.TIROIR</t>
        </is>
      </c>
      <c r="E19" s="6">
        <f>SUMIFS('Z1_CplteAnneeMois'!$M$2:$M$493,'Z1_CplteAnneeMois'!$O$2:$O$493,B19,'Z1_CplteAnneeMois'!$F$2:$F$493,C19,'Z1_CplteAnneeMois'!$K$2:$K$493,D19)</f>
        <v/>
      </c>
    </row>
    <row r="20">
      <c r="A20" s="5" t="n">
        <v>2024</v>
      </c>
      <c r="B20" s="6" t="inlineStr">
        <is>
          <t>2024-01</t>
        </is>
      </c>
      <c r="C20" s="2" t="inlineStr">
        <is>
          <t>ZZ2</t>
        </is>
      </c>
      <c r="D20" s="2" t="inlineStr">
        <is>
          <t>ESP.TIROIR</t>
        </is>
      </c>
      <c r="E20" s="6">
        <f>SUMIFS('Z1_CplteAnneeMois'!$M$2:$M$493,'Z1_CplteAnneeMois'!$O$2:$O$493,B20,'Z1_CplteAnneeMois'!$F$2:$F$493,C20,'Z1_CplteAnneeMois'!$K$2:$K$493,D20)</f>
        <v/>
      </c>
    </row>
    <row r="21">
      <c r="A21" s="5" t="n">
        <v>2024</v>
      </c>
      <c r="B21" s="6" t="inlineStr">
        <is>
          <t>2024-01</t>
        </is>
      </c>
      <c r="C21" s="2" t="inlineStr">
        <is>
          <t>ZZ2</t>
        </is>
      </c>
      <c r="D21" s="2" t="inlineStr">
        <is>
          <t>HORS TAXE 1</t>
        </is>
      </c>
      <c r="E21" s="6">
        <f>SUMIFS('Z1_CplteAnneeMois'!$M$2:$M$493,'Z1_CplteAnneeMois'!$O$2:$O$493,B21,'Z1_CplteAnneeMois'!$F$2:$F$493,C21,'Z1_CplteAnneeMois'!$K$2:$K$493,D21)</f>
        <v/>
      </c>
    </row>
    <row r="22">
      <c r="A22" s="5" t="n">
        <v>2024</v>
      </c>
      <c r="B22" s="6" t="inlineStr">
        <is>
          <t>2024-01</t>
        </is>
      </c>
      <c r="C22" s="2" t="inlineStr">
        <is>
          <t>ZZ2</t>
        </is>
      </c>
      <c r="D22" s="2" t="inlineStr">
        <is>
          <t>TVA 1</t>
        </is>
      </c>
      <c r="E22" s="6">
        <f>SUMIFS('Z1_CplteAnneeMois'!$M$2:$M$493,'Z1_CplteAnneeMois'!$O$2:$O$493,B22,'Z1_CplteAnneeMois'!$F$2:$F$493,C22,'Z1_CplteAnneeMois'!$K$2:$K$493,D22)</f>
        <v/>
      </c>
    </row>
    <row r="23">
      <c r="A23" s="5" t="n">
        <v>2024</v>
      </c>
      <c r="B23" s="6" t="inlineStr">
        <is>
          <t>2024-02</t>
        </is>
      </c>
      <c r="C23" s="2" t="inlineStr">
        <is>
          <t>Z</t>
        </is>
      </c>
      <c r="D23" s="2" t="inlineStr">
        <is>
          <t>CA BRUT</t>
        </is>
      </c>
      <c r="E23" s="6">
        <f>SUMIFS('Z1_CplteAnneeMois'!$M$2:$M$493,'Z1_CplteAnneeMois'!$O$2:$O$493,B23,'Z1_CplteAnneeMois'!$F$2:$F$493,C23,'Z1_CplteAnneeMois'!$K$2:$K$493,D23)</f>
        <v/>
      </c>
    </row>
    <row r="24">
      <c r="A24" s="5" t="n">
        <v>2024</v>
      </c>
      <c r="B24" s="6" t="inlineStr">
        <is>
          <t>2024-02</t>
        </is>
      </c>
      <c r="C24" s="2" t="inlineStr">
        <is>
          <t>Z</t>
        </is>
      </c>
      <c r="D24" s="2" t="inlineStr">
        <is>
          <t>CA NET</t>
        </is>
      </c>
      <c r="E24" s="6">
        <f>SUMIFS('Z1_CplteAnneeMois'!$M$2:$M$493,'Z1_CplteAnneeMois'!$O$2:$O$493,B24,'Z1_CplteAnneeMois'!$F$2:$F$493,C24,'Z1_CplteAnneeMois'!$K$2:$K$493,D24)</f>
        <v/>
      </c>
    </row>
    <row r="25">
      <c r="A25" s="5" t="n">
        <v>2024</v>
      </c>
      <c r="B25" s="6" t="inlineStr">
        <is>
          <t>2024-02</t>
        </is>
      </c>
      <c r="C25" s="2" t="inlineStr">
        <is>
          <t>Z</t>
        </is>
      </c>
      <c r="D25" s="2" t="inlineStr">
        <is>
          <t>CB.TIROIR</t>
        </is>
      </c>
      <c r="E25" s="6">
        <f>SUMIFS('Z1_CplteAnneeMois'!$M$2:$M$493,'Z1_CplteAnneeMois'!$O$2:$O$493,B25,'Z1_CplteAnneeMois'!$F$2:$F$493,C25,'Z1_CplteAnneeMois'!$K$2:$K$493,D25)</f>
        <v/>
      </c>
    </row>
    <row r="26">
      <c r="A26" s="5" t="n">
        <v>2024</v>
      </c>
      <c r="B26" s="6" t="inlineStr">
        <is>
          <t>2024-02</t>
        </is>
      </c>
      <c r="C26" s="2" t="inlineStr">
        <is>
          <t>Z</t>
        </is>
      </c>
      <c r="D26" s="2" t="inlineStr">
        <is>
          <t>CHQ.TIROIR</t>
        </is>
      </c>
      <c r="E26" s="6">
        <f>SUMIFS('Z1_CplteAnneeMois'!$M$2:$M$493,'Z1_CplteAnneeMois'!$O$2:$O$493,B26,'Z1_CplteAnneeMois'!$F$2:$F$493,C26,'Z1_CplteAnneeMois'!$K$2:$K$493,D26)</f>
        <v/>
      </c>
    </row>
    <row r="27">
      <c r="A27" s="5" t="n">
        <v>2024</v>
      </c>
      <c r="B27" s="6" t="inlineStr">
        <is>
          <t>2024-02</t>
        </is>
      </c>
      <c r="C27" s="2" t="inlineStr">
        <is>
          <t>Z</t>
        </is>
      </c>
      <c r="D27" s="2" t="inlineStr">
        <is>
          <t>ESP.TIROIR</t>
        </is>
      </c>
      <c r="E27" s="6">
        <f>SUMIFS('Z1_CplteAnneeMois'!$M$2:$M$493,'Z1_CplteAnneeMois'!$O$2:$O$493,B27,'Z1_CplteAnneeMois'!$F$2:$F$493,C27,'Z1_CplteAnneeMois'!$K$2:$K$493,D27)</f>
        <v/>
      </c>
    </row>
    <row r="28">
      <c r="A28" s="5" t="n">
        <v>2024</v>
      </c>
      <c r="B28" s="6" t="inlineStr">
        <is>
          <t>2024-02</t>
        </is>
      </c>
      <c r="C28" s="2" t="inlineStr">
        <is>
          <t>Z</t>
        </is>
      </c>
      <c r="D28" s="2" t="inlineStr">
        <is>
          <t>HORS TAXE 1</t>
        </is>
      </c>
      <c r="E28" s="6">
        <f>SUMIFS('Z1_CplteAnneeMois'!$M$2:$M$493,'Z1_CplteAnneeMois'!$O$2:$O$493,B28,'Z1_CplteAnneeMois'!$F$2:$F$493,C28,'Z1_CplteAnneeMois'!$K$2:$K$493,D28)</f>
        <v/>
      </c>
    </row>
    <row r="29">
      <c r="A29" s="5" t="n">
        <v>2024</v>
      </c>
      <c r="B29" s="6" t="inlineStr">
        <is>
          <t>2024-02</t>
        </is>
      </c>
      <c r="C29" s="2" t="inlineStr">
        <is>
          <t>Z</t>
        </is>
      </c>
      <c r="D29" s="2" t="inlineStr">
        <is>
          <t>TVA 1</t>
        </is>
      </c>
      <c r="E29" s="6">
        <f>SUMIFS('Z1_CplteAnneeMois'!$M$2:$M$493,'Z1_CplteAnneeMois'!$O$2:$O$493,B29,'Z1_CplteAnneeMois'!$F$2:$F$493,C29,'Z1_CplteAnneeMois'!$K$2:$K$493,D29)</f>
        <v/>
      </c>
    </row>
    <row r="30">
      <c r="A30" s="5" t="n">
        <v>2024</v>
      </c>
      <c r="B30" s="6" t="inlineStr">
        <is>
          <t>2024-02</t>
        </is>
      </c>
      <c r="C30" s="2" t="inlineStr">
        <is>
          <t>ZZ1</t>
        </is>
      </c>
      <c r="D30" s="2" t="inlineStr">
        <is>
          <t>CA BRUT</t>
        </is>
      </c>
      <c r="E30" s="6">
        <f>SUMIFS('Z1_CplteAnneeMois'!$M$2:$M$493,'Z1_CplteAnneeMois'!$O$2:$O$493,B30,'Z1_CplteAnneeMois'!$F$2:$F$493,C30,'Z1_CplteAnneeMois'!$K$2:$K$493,D30)</f>
        <v/>
      </c>
    </row>
    <row r="31">
      <c r="A31" s="5" t="n">
        <v>2024</v>
      </c>
      <c r="B31" s="6" t="inlineStr">
        <is>
          <t>2024-02</t>
        </is>
      </c>
      <c r="C31" s="2" t="inlineStr">
        <is>
          <t>ZZ1</t>
        </is>
      </c>
      <c r="D31" s="2" t="inlineStr">
        <is>
          <t>CA NET</t>
        </is>
      </c>
      <c r="E31" s="6">
        <f>SUMIFS('Z1_CplteAnneeMois'!$M$2:$M$493,'Z1_CplteAnneeMois'!$O$2:$O$493,B31,'Z1_CplteAnneeMois'!$F$2:$F$493,C31,'Z1_CplteAnneeMois'!$K$2:$K$493,D31)</f>
        <v/>
      </c>
    </row>
    <row r="32">
      <c r="A32" s="5" t="n">
        <v>2024</v>
      </c>
      <c r="B32" s="6" t="inlineStr">
        <is>
          <t>2024-02</t>
        </is>
      </c>
      <c r="C32" s="2" t="inlineStr">
        <is>
          <t>ZZ1</t>
        </is>
      </c>
      <c r="D32" s="2" t="inlineStr">
        <is>
          <t>CB.TIROIR</t>
        </is>
      </c>
      <c r="E32" s="6">
        <f>SUMIFS('Z1_CplteAnneeMois'!$M$2:$M$493,'Z1_CplteAnneeMois'!$O$2:$O$493,B32,'Z1_CplteAnneeMois'!$F$2:$F$493,C32,'Z1_CplteAnneeMois'!$K$2:$K$493,D32)</f>
        <v/>
      </c>
    </row>
    <row r="33">
      <c r="A33" s="5" t="n">
        <v>2024</v>
      </c>
      <c r="B33" s="6" t="inlineStr">
        <is>
          <t>2024-02</t>
        </is>
      </c>
      <c r="C33" s="2" t="inlineStr">
        <is>
          <t>ZZ1</t>
        </is>
      </c>
      <c r="D33" s="2" t="inlineStr">
        <is>
          <t>CHQ.TIROIR</t>
        </is>
      </c>
      <c r="E33" s="6">
        <f>SUMIFS('Z1_CplteAnneeMois'!$M$2:$M$493,'Z1_CplteAnneeMois'!$O$2:$O$493,B33,'Z1_CplteAnneeMois'!$F$2:$F$493,C33,'Z1_CplteAnneeMois'!$K$2:$K$493,D33)</f>
        <v/>
      </c>
    </row>
    <row r="34">
      <c r="A34" s="5" t="n">
        <v>2024</v>
      </c>
      <c r="B34" s="6" t="inlineStr">
        <is>
          <t>2024-02</t>
        </is>
      </c>
      <c r="C34" s="2" t="inlineStr">
        <is>
          <t>ZZ1</t>
        </is>
      </c>
      <c r="D34" s="2" t="inlineStr">
        <is>
          <t>ESP.TIROIR</t>
        </is>
      </c>
      <c r="E34" s="6">
        <f>SUMIFS('Z1_CplteAnneeMois'!$M$2:$M$493,'Z1_CplteAnneeMois'!$O$2:$O$493,B34,'Z1_CplteAnneeMois'!$F$2:$F$493,C34,'Z1_CplteAnneeMois'!$K$2:$K$493,D34)</f>
        <v/>
      </c>
    </row>
    <row r="35">
      <c r="A35" s="5" t="n">
        <v>2024</v>
      </c>
      <c r="B35" s="6" t="inlineStr">
        <is>
          <t>2024-02</t>
        </is>
      </c>
      <c r="C35" s="2" t="inlineStr">
        <is>
          <t>ZZ1</t>
        </is>
      </c>
      <c r="D35" s="2" t="inlineStr">
        <is>
          <t>HORS TAXE 1</t>
        </is>
      </c>
      <c r="E35" s="6">
        <f>SUMIFS('Z1_CplteAnneeMois'!$M$2:$M$493,'Z1_CplteAnneeMois'!$O$2:$O$493,B35,'Z1_CplteAnneeMois'!$F$2:$F$493,C35,'Z1_CplteAnneeMois'!$K$2:$K$493,D35)</f>
        <v/>
      </c>
    </row>
    <row r="36">
      <c r="A36" s="5" t="n">
        <v>2024</v>
      </c>
      <c r="B36" s="6" t="inlineStr">
        <is>
          <t>2024-02</t>
        </is>
      </c>
      <c r="C36" s="2" t="inlineStr">
        <is>
          <t>ZZ1</t>
        </is>
      </c>
      <c r="D36" s="2" t="inlineStr">
        <is>
          <t>TVA 1</t>
        </is>
      </c>
      <c r="E36" s="6">
        <f>SUMIFS('Z1_CplteAnneeMois'!$M$2:$M$493,'Z1_CplteAnneeMois'!$O$2:$O$493,B36,'Z1_CplteAnneeMois'!$F$2:$F$493,C36,'Z1_CplteAnneeMois'!$K$2:$K$493,D36)</f>
        <v/>
      </c>
    </row>
    <row r="37">
      <c r="A37" s="5" t="n">
        <v>2024</v>
      </c>
      <c r="B37" s="6" t="inlineStr">
        <is>
          <t>2024-02</t>
        </is>
      </c>
      <c r="C37" s="2" t="inlineStr">
        <is>
          <t>ZZ2</t>
        </is>
      </c>
      <c r="D37" s="2" t="inlineStr">
        <is>
          <t>CA BRUT</t>
        </is>
      </c>
      <c r="E37" s="6">
        <f>SUMIFS('Z1_CplteAnneeMois'!$M$2:$M$493,'Z1_CplteAnneeMois'!$O$2:$O$493,B37,'Z1_CplteAnneeMois'!$F$2:$F$493,C37,'Z1_CplteAnneeMois'!$K$2:$K$493,D37)</f>
        <v/>
      </c>
    </row>
    <row r="38">
      <c r="A38" s="5" t="n">
        <v>2024</v>
      </c>
      <c r="B38" s="6" t="inlineStr">
        <is>
          <t>2024-02</t>
        </is>
      </c>
      <c r="C38" s="2" t="inlineStr">
        <is>
          <t>ZZ2</t>
        </is>
      </c>
      <c r="D38" s="2" t="inlineStr">
        <is>
          <t>CA NET</t>
        </is>
      </c>
      <c r="E38" s="6">
        <f>SUMIFS('Z1_CplteAnneeMois'!$M$2:$M$493,'Z1_CplteAnneeMois'!$O$2:$O$493,B38,'Z1_CplteAnneeMois'!$F$2:$F$493,C38,'Z1_CplteAnneeMois'!$K$2:$K$493,D38)</f>
        <v/>
      </c>
    </row>
    <row r="39">
      <c r="A39" s="5" t="n">
        <v>2024</v>
      </c>
      <c r="B39" s="6" t="inlineStr">
        <is>
          <t>2024-02</t>
        </is>
      </c>
      <c r="C39" s="2" t="inlineStr">
        <is>
          <t>ZZ2</t>
        </is>
      </c>
      <c r="D39" s="2" t="inlineStr">
        <is>
          <t>CB.TIROIR</t>
        </is>
      </c>
      <c r="E39" s="6">
        <f>SUMIFS('Z1_CplteAnneeMois'!$M$2:$M$493,'Z1_CplteAnneeMois'!$O$2:$O$493,B39,'Z1_CplteAnneeMois'!$F$2:$F$493,C39,'Z1_CplteAnneeMois'!$K$2:$K$493,D39)</f>
        <v/>
      </c>
    </row>
    <row r="40">
      <c r="A40" s="5" t="n">
        <v>2024</v>
      </c>
      <c r="B40" s="6" t="inlineStr">
        <is>
          <t>2024-02</t>
        </is>
      </c>
      <c r="C40" s="2" t="inlineStr">
        <is>
          <t>ZZ2</t>
        </is>
      </c>
      <c r="D40" s="2" t="inlineStr">
        <is>
          <t>CHQ.TIROIR</t>
        </is>
      </c>
      <c r="E40" s="6">
        <f>SUMIFS('Z1_CplteAnneeMois'!$M$2:$M$493,'Z1_CplteAnneeMois'!$O$2:$O$493,B40,'Z1_CplteAnneeMois'!$F$2:$F$493,C40,'Z1_CplteAnneeMois'!$K$2:$K$493,D40)</f>
        <v/>
      </c>
    </row>
    <row r="41">
      <c r="A41" s="5" t="n">
        <v>2024</v>
      </c>
      <c r="B41" s="6" t="inlineStr">
        <is>
          <t>2024-02</t>
        </is>
      </c>
      <c r="C41" s="2" t="inlineStr">
        <is>
          <t>ZZ2</t>
        </is>
      </c>
      <c r="D41" s="2" t="inlineStr">
        <is>
          <t>ESP.TIROIR</t>
        </is>
      </c>
      <c r="E41" s="6">
        <f>SUMIFS('Z1_CplteAnneeMois'!$M$2:$M$493,'Z1_CplteAnneeMois'!$O$2:$O$493,B41,'Z1_CplteAnneeMois'!$F$2:$F$493,C41,'Z1_CplteAnneeMois'!$K$2:$K$493,D41)</f>
        <v/>
      </c>
    </row>
    <row r="42">
      <c r="A42" s="5" t="n">
        <v>2024</v>
      </c>
      <c r="B42" s="6" t="inlineStr">
        <is>
          <t>2024-02</t>
        </is>
      </c>
      <c r="C42" s="2" t="inlineStr">
        <is>
          <t>ZZ2</t>
        </is>
      </c>
      <c r="D42" s="2" t="inlineStr">
        <is>
          <t>HORS TAXE 1</t>
        </is>
      </c>
      <c r="E42" s="6">
        <f>SUMIFS('Z1_CplteAnneeMois'!$M$2:$M$493,'Z1_CplteAnneeMois'!$O$2:$O$493,B42,'Z1_CplteAnneeMois'!$F$2:$F$493,C42,'Z1_CplteAnneeMois'!$K$2:$K$493,D42)</f>
        <v/>
      </c>
    </row>
    <row r="43">
      <c r="A43" s="5" t="n">
        <v>2024</v>
      </c>
      <c r="B43" s="6" t="inlineStr">
        <is>
          <t>2024-02</t>
        </is>
      </c>
      <c r="C43" s="2" t="inlineStr">
        <is>
          <t>ZZ2</t>
        </is>
      </c>
      <c r="D43" s="2" t="inlineStr">
        <is>
          <t>TVA 1</t>
        </is>
      </c>
      <c r="E43" s="6">
        <f>SUMIFS('Z1_CplteAnneeMois'!$M$2:$M$493,'Z1_CplteAnneeMois'!$O$2:$O$493,B43,'Z1_CplteAnneeMois'!$F$2:$F$493,C43,'Z1_CplteAnneeMois'!$K$2:$K$493,D43)</f>
        <v/>
      </c>
    </row>
    <row r="44">
      <c r="A44" s="5" t="n">
        <v>2024</v>
      </c>
      <c r="B44" s="6" t="inlineStr">
        <is>
          <t>2024-03</t>
        </is>
      </c>
      <c r="C44" s="2" t="inlineStr">
        <is>
          <t>Z</t>
        </is>
      </c>
      <c r="D44" s="2" t="inlineStr">
        <is>
          <t>CA BRUT</t>
        </is>
      </c>
      <c r="E44" s="6">
        <f>SUMIFS('Z1_CplteAnneeMois'!$M$2:$M$493,'Z1_CplteAnneeMois'!$O$2:$O$493,B44,'Z1_CplteAnneeMois'!$F$2:$F$493,C44,'Z1_CplteAnneeMois'!$K$2:$K$493,D44)</f>
        <v/>
      </c>
    </row>
    <row r="45">
      <c r="A45" s="5" t="n">
        <v>2024</v>
      </c>
      <c r="B45" s="6" t="inlineStr">
        <is>
          <t>2024-03</t>
        </is>
      </c>
      <c r="C45" s="2" t="inlineStr">
        <is>
          <t>Z</t>
        </is>
      </c>
      <c r="D45" s="2" t="inlineStr">
        <is>
          <t>CA NET</t>
        </is>
      </c>
      <c r="E45" s="6">
        <f>SUMIFS('Z1_CplteAnneeMois'!$M$2:$M$493,'Z1_CplteAnneeMois'!$O$2:$O$493,B45,'Z1_CplteAnneeMois'!$F$2:$F$493,C45,'Z1_CplteAnneeMois'!$K$2:$K$493,D45)</f>
        <v/>
      </c>
    </row>
    <row r="46">
      <c r="A46" s="5" t="n">
        <v>2024</v>
      </c>
      <c r="B46" s="6" t="inlineStr">
        <is>
          <t>2024-03</t>
        </is>
      </c>
      <c r="C46" s="2" t="inlineStr">
        <is>
          <t>Z</t>
        </is>
      </c>
      <c r="D46" s="2" t="inlineStr">
        <is>
          <t>CB.TIROIR</t>
        </is>
      </c>
      <c r="E46" s="6">
        <f>SUMIFS('Z1_CplteAnneeMois'!$M$2:$M$493,'Z1_CplteAnneeMois'!$O$2:$O$493,B46,'Z1_CplteAnneeMois'!$F$2:$F$493,C46,'Z1_CplteAnneeMois'!$K$2:$K$493,D46)</f>
        <v/>
      </c>
    </row>
    <row r="47">
      <c r="A47" s="5" t="n">
        <v>2024</v>
      </c>
      <c r="B47" s="6" t="inlineStr">
        <is>
          <t>2024-03</t>
        </is>
      </c>
      <c r="C47" s="2" t="inlineStr">
        <is>
          <t>Z</t>
        </is>
      </c>
      <c r="D47" s="2" t="inlineStr">
        <is>
          <t>CHQ.TIROIR</t>
        </is>
      </c>
      <c r="E47" s="6">
        <f>SUMIFS('Z1_CplteAnneeMois'!$M$2:$M$493,'Z1_CplteAnneeMois'!$O$2:$O$493,B47,'Z1_CplteAnneeMois'!$F$2:$F$493,C47,'Z1_CplteAnneeMois'!$K$2:$K$493,D47)</f>
        <v/>
      </c>
    </row>
    <row r="48">
      <c r="A48" s="5" t="n">
        <v>2024</v>
      </c>
      <c r="B48" s="6" t="inlineStr">
        <is>
          <t>2024-03</t>
        </is>
      </c>
      <c r="C48" s="2" t="inlineStr">
        <is>
          <t>Z</t>
        </is>
      </c>
      <c r="D48" s="2" t="inlineStr">
        <is>
          <t>ESP.TIROIR</t>
        </is>
      </c>
      <c r="E48" s="6">
        <f>SUMIFS('Z1_CplteAnneeMois'!$M$2:$M$493,'Z1_CplteAnneeMois'!$O$2:$O$493,B48,'Z1_CplteAnneeMois'!$F$2:$F$493,C48,'Z1_CplteAnneeMois'!$K$2:$K$493,D48)</f>
        <v/>
      </c>
    </row>
    <row r="49">
      <c r="A49" s="5" t="n">
        <v>2024</v>
      </c>
      <c r="B49" s="6" t="inlineStr">
        <is>
          <t>2024-03</t>
        </is>
      </c>
      <c r="C49" s="2" t="inlineStr">
        <is>
          <t>Z</t>
        </is>
      </c>
      <c r="D49" s="2" t="inlineStr">
        <is>
          <t>HORS TAXE 1</t>
        </is>
      </c>
      <c r="E49" s="6">
        <f>SUMIFS('Z1_CplteAnneeMois'!$M$2:$M$493,'Z1_CplteAnneeMois'!$O$2:$O$493,B49,'Z1_CplteAnneeMois'!$F$2:$F$493,C49,'Z1_CplteAnneeMois'!$K$2:$K$493,D49)</f>
        <v/>
      </c>
    </row>
    <row r="50">
      <c r="A50" s="5" t="n">
        <v>2024</v>
      </c>
      <c r="B50" s="6" t="inlineStr">
        <is>
          <t>2024-03</t>
        </is>
      </c>
      <c r="C50" s="2" t="inlineStr">
        <is>
          <t>Z</t>
        </is>
      </c>
      <c r="D50" s="2" t="inlineStr">
        <is>
          <t>TVA 1</t>
        </is>
      </c>
      <c r="E50" s="6">
        <f>SUMIFS('Z1_CplteAnneeMois'!$M$2:$M$493,'Z1_CplteAnneeMois'!$O$2:$O$493,B50,'Z1_CplteAnneeMois'!$F$2:$F$493,C50,'Z1_CplteAnneeMois'!$K$2:$K$493,D50)</f>
        <v/>
      </c>
    </row>
    <row r="51">
      <c r="A51" s="5" t="n">
        <v>2024</v>
      </c>
      <c r="B51" s="6" t="inlineStr">
        <is>
          <t>2024-03</t>
        </is>
      </c>
      <c r="C51" s="2" t="inlineStr">
        <is>
          <t>ZZ1</t>
        </is>
      </c>
      <c r="D51" s="2" t="inlineStr">
        <is>
          <t>CA BRUT</t>
        </is>
      </c>
      <c r="E51" s="6">
        <f>SUMIFS('Z1_CplteAnneeMois'!$M$2:$M$493,'Z1_CplteAnneeMois'!$O$2:$O$493,B51,'Z1_CplteAnneeMois'!$F$2:$F$493,C51,'Z1_CplteAnneeMois'!$K$2:$K$493,D51)</f>
        <v/>
      </c>
    </row>
    <row r="52">
      <c r="A52" s="5" t="n">
        <v>2024</v>
      </c>
      <c r="B52" s="6" t="inlineStr">
        <is>
          <t>2024-03</t>
        </is>
      </c>
      <c r="C52" s="2" t="inlineStr">
        <is>
          <t>ZZ1</t>
        </is>
      </c>
      <c r="D52" s="2" t="inlineStr">
        <is>
          <t>CA NET</t>
        </is>
      </c>
      <c r="E52" s="6">
        <f>SUMIFS('Z1_CplteAnneeMois'!$M$2:$M$493,'Z1_CplteAnneeMois'!$O$2:$O$493,B52,'Z1_CplteAnneeMois'!$F$2:$F$493,C52,'Z1_CplteAnneeMois'!$K$2:$K$493,D52)</f>
        <v/>
      </c>
    </row>
    <row r="53">
      <c r="A53" s="5" t="n">
        <v>2024</v>
      </c>
      <c r="B53" s="6" t="inlineStr">
        <is>
          <t>2024-03</t>
        </is>
      </c>
      <c r="C53" s="2" t="inlineStr">
        <is>
          <t>ZZ1</t>
        </is>
      </c>
      <c r="D53" s="2" t="inlineStr">
        <is>
          <t>CB.TIROIR</t>
        </is>
      </c>
      <c r="E53" s="6">
        <f>SUMIFS('Z1_CplteAnneeMois'!$M$2:$M$493,'Z1_CplteAnneeMois'!$O$2:$O$493,B53,'Z1_CplteAnneeMois'!$F$2:$F$493,C53,'Z1_CplteAnneeMois'!$K$2:$K$493,D53)</f>
        <v/>
      </c>
    </row>
    <row r="54">
      <c r="A54" s="5" t="n">
        <v>2024</v>
      </c>
      <c r="B54" s="6" t="inlineStr">
        <is>
          <t>2024-03</t>
        </is>
      </c>
      <c r="C54" s="2" t="inlineStr">
        <is>
          <t>ZZ1</t>
        </is>
      </c>
      <c r="D54" s="2" t="inlineStr">
        <is>
          <t>CHQ.TIROIR</t>
        </is>
      </c>
      <c r="E54" s="6">
        <f>SUMIFS('Z1_CplteAnneeMois'!$M$2:$M$493,'Z1_CplteAnneeMois'!$O$2:$O$493,B54,'Z1_CplteAnneeMois'!$F$2:$F$493,C54,'Z1_CplteAnneeMois'!$K$2:$K$493,D54)</f>
        <v/>
      </c>
    </row>
    <row r="55">
      <c r="A55" s="5" t="n">
        <v>2024</v>
      </c>
      <c r="B55" s="6" t="inlineStr">
        <is>
          <t>2024-03</t>
        </is>
      </c>
      <c r="C55" s="2" t="inlineStr">
        <is>
          <t>ZZ1</t>
        </is>
      </c>
      <c r="D55" s="2" t="inlineStr">
        <is>
          <t>ESP.TIROIR</t>
        </is>
      </c>
      <c r="E55" s="6">
        <f>SUMIFS('Z1_CplteAnneeMois'!$M$2:$M$493,'Z1_CplteAnneeMois'!$O$2:$O$493,B55,'Z1_CplteAnneeMois'!$F$2:$F$493,C55,'Z1_CplteAnneeMois'!$K$2:$K$493,D55)</f>
        <v/>
      </c>
    </row>
    <row r="56">
      <c r="A56" s="5" t="n">
        <v>2024</v>
      </c>
      <c r="B56" s="6" t="inlineStr">
        <is>
          <t>2024-03</t>
        </is>
      </c>
      <c r="C56" s="2" t="inlineStr">
        <is>
          <t>ZZ1</t>
        </is>
      </c>
      <c r="D56" s="2" t="inlineStr">
        <is>
          <t>HORS TAXE 1</t>
        </is>
      </c>
      <c r="E56" s="6">
        <f>SUMIFS('Z1_CplteAnneeMois'!$M$2:$M$493,'Z1_CplteAnneeMois'!$O$2:$O$493,B56,'Z1_CplteAnneeMois'!$F$2:$F$493,C56,'Z1_CplteAnneeMois'!$K$2:$K$493,D56)</f>
        <v/>
      </c>
    </row>
    <row r="57">
      <c r="A57" s="5" t="n">
        <v>2024</v>
      </c>
      <c r="B57" s="6" t="inlineStr">
        <is>
          <t>2024-03</t>
        </is>
      </c>
      <c r="C57" s="2" t="inlineStr">
        <is>
          <t>ZZ1</t>
        </is>
      </c>
      <c r="D57" s="2" t="inlineStr">
        <is>
          <t>TVA 1</t>
        </is>
      </c>
      <c r="E57" s="6">
        <f>SUMIFS('Z1_CplteAnneeMois'!$M$2:$M$493,'Z1_CplteAnneeMois'!$O$2:$O$493,B57,'Z1_CplteAnneeMois'!$F$2:$F$493,C57,'Z1_CplteAnneeMois'!$K$2:$K$493,D57)</f>
        <v/>
      </c>
    </row>
    <row r="58">
      <c r="A58" s="5" t="n">
        <v>2024</v>
      </c>
      <c r="B58" s="6" t="inlineStr">
        <is>
          <t>2024-03</t>
        </is>
      </c>
      <c r="C58" s="2" t="inlineStr">
        <is>
          <t>ZZ2</t>
        </is>
      </c>
      <c r="D58" s="2" t="inlineStr">
        <is>
          <t>CA BRUT</t>
        </is>
      </c>
      <c r="E58" s="6">
        <f>SUMIFS('Z1_CplteAnneeMois'!$M$2:$M$493,'Z1_CplteAnneeMois'!$O$2:$O$493,B58,'Z1_CplteAnneeMois'!$F$2:$F$493,C58,'Z1_CplteAnneeMois'!$K$2:$K$493,D58)</f>
        <v/>
      </c>
    </row>
    <row r="59">
      <c r="A59" s="5" t="n">
        <v>2024</v>
      </c>
      <c r="B59" s="6" t="inlineStr">
        <is>
          <t>2024-03</t>
        </is>
      </c>
      <c r="C59" s="2" t="inlineStr">
        <is>
          <t>ZZ2</t>
        </is>
      </c>
      <c r="D59" s="2" t="inlineStr">
        <is>
          <t>CA NET</t>
        </is>
      </c>
      <c r="E59" s="6">
        <f>SUMIFS('Z1_CplteAnneeMois'!$M$2:$M$493,'Z1_CplteAnneeMois'!$O$2:$O$493,B59,'Z1_CplteAnneeMois'!$F$2:$F$493,C59,'Z1_CplteAnneeMois'!$K$2:$K$493,D59)</f>
        <v/>
      </c>
    </row>
    <row r="60">
      <c r="A60" s="5" t="n">
        <v>2024</v>
      </c>
      <c r="B60" s="6" t="inlineStr">
        <is>
          <t>2024-03</t>
        </is>
      </c>
      <c r="C60" s="2" t="inlineStr">
        <is>
          <t>ZZ2</t>
        </is>
      </c>
      <c r="D60" s="2" t="inlineStr">
        <is>
          <t>CB.TIROIR</t>
        </is>
      </c>
      <c r="E60" s="6">
        <f>SUMIFS('Z1_CplteAnneeMois'!$M$2:$M$493,'Z1_CplteAnneeMois'!$O$2:$O$493,B60,'Z1_CplteAnneeMois'!$F$2:$F$493,C60,'Z1_CplteAnneeMois'!$K$2:$K$493,D60)</f>
        <v/>
      </c>
    </row>
    <row r="61">
      <c r="A61" s="5" t="n">
        <v>2024</v>
      </c>
      <c r="B61" s="6" t="inlineStr">
        <is>
          <t>2024-03</t>
        </is>
      </c>
      <c r="C61" s="2" t="inlineStr">
        <is>
          <t>ZZ2</t>
        </is>
      </c>
      <c r="D61" s="2" t="inlineStr">
        <is>
          <t>CHQ.TIROIR</t>
        </is>
      </c>
      <c r="E61" s="6">
        <f>SUMIFS('Z1_CplteAnneeMois'!$M$2:$M$493,'Z1_CplteAnneeMois'!$O$2:$O$493,B61,'Z1_CplteAnneeMois'!$F$2:$F$493,C61,'Z1_CplteAnneeMois'!$K$2:$K$493,D61)</f>
        <v/>
      </c>
    </row>
    <row r="62">
      <c r="A62" s="5" t="n">
        <v>2024</v>
      </c>
      <c r="B62" s="6" t="inlineStr">
        <is>
          <t>2024-03</t>
        </is>
      </c>
      <c r="C62" s="2" t="inlineStr">
        <is>
          <t>ZZ2</t>
        </is>
      </c>
      <c r="D62" s="2" t="inlineStr">
        <is>
          <t>ESP.TIROIR</t>
        </is>
      </c>
      <c r="E62" s="6">
        <f>SUMIFS('Z1_CplteAnneeMois'!$M$2:$M$493,'Z1_CplteAnneeMois'!$O$2:$O$493,B62,'Z1_CplteAnneeMois'!$F$2:$F$493,C62,'Z1_CplteAnneeMois'!$K$2:$K$493,D62)</f>
        <v/>
      </c>
    </row>
    <row r="63">
      <c r="A63" s="5" t="n">
        <v>2024</v>
      </c>
      <c r="B63" s="6" t="inlineStr">
        <is>
          <t>2024-03</t>
        </is>
      </c>
      <c r="C63" s="2" t="inlineStr">
        <is>
          <t>ZZ2</t>
        </is>
      </c>
      <c r="D63" s="2" t="inlineStr">
        <is>
          <t>HORS TAXE 1</t>
        </is>
      </c>
      <c r="E63" s="6">
        <f>SUMIFS('Z1_CplteAnneeMois'!$M$2:$M$493,'Z1_CplteAnneeMois'!$O$2:$O$493,B63,'Z1_CplteAnneeMois'!$F$2:$F$493,C63,'Z1_CplteAnneeMois'!$K$2:$K$493,D63)</f>
        <v/>
      </c>
    </row>
    <row r="64">
      <c r="A64" s="5" t="n">
        <v>2024</v>
      </c>
      <c r="B64" s="6" t="inlineStr">
        <is>
          <t>2024-03</t>
        </is>
      </c>
      <c r="C64" s="2" t="inlineStr">
        <is>
          <t>ZZ2</t>
        </is>
      </c>
      <c r="D64" s="2" t="inlineStr">
        <is>
          <t>TVA 1</t>
        </is>
      </c>
      <c r="E64" s="6">
        <f>SUMIFS('Z1_CplteAnneeMois'!$M$2:$M$493,'Z1_CplteAnneeMois'!$O$2:$O$493,B64,'Z1_CplteAnneeMois'!$F$2:$F$493,C64,'Z1_CplteAnneeMois'!$K$2:$K$493,D64)</f>
        <v/>
      </c>
    </row>
    <row r="65">
      <c r="A65" s="5" t="n">
        <v>2024</v>
      </c>
      <c r="B65" s="6" t="inlineStr">
        <is>
          <t>2024-04</t>
        </is>
      </c>
      <c r="C65" s="2" t="inlineStr">
        <is>
          <t>Z</t>
        </is>
      </c>
      <c r="D65" s="2" t="inlineStr">
        <is>
          <t>CA BRUT</t>
        </is>
      </c>
      <c r="E65" s="6">
        <f>SUMIFS('Z1_CplteAnneeMois'!$M$2:$M$493,'Z1_CplteAnneeMois'!$O$2:$O$493,B65,'Z1_CplteAnneeMois'!$F$2:$F$493,C65,'Z1_CplteAnneeMois'!$K$2:$K$493,D65)</f>
        <v/>
      </c>
    </row>
    <row r="66">
      <c r="A66" s="5" t="n">
        <v>2024</v>
      </c>
      <c r="B66" s="6" t="inlineStr">
        <is>
          <t>2024-04</t>
        </is>
      </c>
      <c r="C66" s="2" t="inlineStr">
        <is>
          <t>Z</t>
        </is>
      </c>
      <c r="D66" s="2" t="inlineStr">
        <is>
          <t>CA NET</t>
        </is>
      </c>
      <c r="E66" s="6">
        <f>SUMIFS('Z1_CplteAnneeMois'!$M$2:$M$493,'Z1_CplteAnneeMois'!$O$2:$O$493,B66,'Z1_CplteAnneeMois'!$F$2:$F$493,C66,'Z1_CplteAnneeMois'!$K$2:$K$493,D66)</f>
        <v/>
      </c>
    </row>
    <row r="67">
      <c r="A67" s="5" t="n">
        <v>2024</v>
      </c>
      <c r="B67" s="6" t="inlineStr">
        <is>
          <t>2024-04</t>
        </is>
      </c>
      <c r="C67" s="2" t="inlineStr">
        <is>
          <t>Z</t>
        </is>
      </c>
      <c r="D67" s="2" t="inlineStr">
        <is>
          <t>CB.TIROIR</t>
        </is>
      </c>
      <c r="E67" s="6">
        <f>SUMIFS('Z1_CplteAnneeMois'!$M$2:$M$493,'Z1_CplteAnneeMois'!$O$2:$O$493,B67,'Z1_CplteAnneeMois'!$F$2:$F$493,C67,'Z1_CplteAnneeMois'!$K$2:$K$493,D67)</f>
        <v/>
      </c>
    </row>
    <row r="68">
      <c r="A68" s="5" t="n">
        <v>2024</v>
      </c>
      <c r="B68" s="6" t="inlineStr">
        <is>
          <t>2024-04</t>
        </is>
      </c>
      <c r="C68" s="2" t="inlineStr">
        <is>
          <t>Z</t>
        </is>
      </c>
      <c r="D68" s="2" t="inlineStr">
        <is>
          <t>CHQ.TIROIR</t>
        </is>
      </c>
      <c r="E68" s="6">
        <f>SUMIFS('Z1_CplteAnneeMois'!$M$2:$M$493,'Z1_CplteAnneeMois'!$O$2:$O$493,B68,'Z1_CplteAnneeMois'!$F$2:$F$493,C68,'Z1_CplteAnneeMois'!$K$2:$K$493,D68)</f>
        <v/>
      </c>
    </row>
    <row r="69">
      <c r="A69" s="5" t="n">
        <v>2024</v>
      </c>
      <c r="B69" s="6" t="inlineStr">
        <is>
          <t>2024-04</t>
        </is>
      </c>
      <c r="C69" s="2" t="inlineStr">
        <is>
          <t>Z</t>
        </is>
      </c>
      <c r="D69" s="2" t="inlineStr">
        <is>
          <t>ESP.TIROIR</t>
        </is>
      </c>
      <c r="E69" s="6">
        <f>SUMIFS('Z1_CplteAnneeMois'!$M$2:$M$493,'Z1_CplteAnneeMois'!$O$2:$O$493,B69,'Z1_CplteAnneeMois'!$F$2:$F$493,C69,'Z1_CplteAnneeMois'!$K$2:$K$493,D69)</f>
        <v/>
      </c>
    </row>
    <row r="70">
      <c r="A70" s="5" t="n">
        <v>2024</v>
      </c>
      <c r="B70" s="6" t="inlineStr">
        <is>
          <t>2024-04</t>
        </is>
      </c>
      <c r="C70" s="2" t="inlineStr">
        <is>
          <t>Z</t>
        </is>
      </c>
      <c r="D70" s="2" t="inlineStr">
        <is>
          <t>HORS TAXE 1</t>
        </is>
      </c>
      <c r="E70" s="6">
        <f>SUMIFS('Z1_CplteAnneeMois'!$M$2:$M$493,'Z1_CplteAnneeMois'!$O$2:$O$493,B70,'Z1_CplteAnneeMois'!$F$2:$F$493,C70,'Z1_CplteAnneeMois'!$K$2:$K$493,D70)</f>
        <v/>
      </c>
    </row>
    <row r="71">
      <c r="A71" s="5" t="n">
        <v>2024</v>
      </c>
      <c r="B71" s="6" t="inlineStr">
        <is>
          <t>2024-04</t>
        </is>
      </c>
      <c r="C71" s="2" t="inlineStr">
        <is>
          <t>Z</t>
        </is>
      </c>
      <c r="D71" s="2" t="inlineStr">
        <is>
          <t>TVA 1</t>
        </is>
      </c>
      <c r="E71" s="6">
        <f>SUMIFS('Z1_CplteAnneeMois'!$M$2:$M$493,'Z1_CplteAnneeMois'!$O$2:$O$493,B71,'Z1_CplteAnneeMois'!$F$2:$F$493,C71,'Z1_CplteAnneeMois'!$K$2:$K$493,D71)</f>
        <v/>
      </c>
    </row>
    <row r="72">
      <c r="A72" s="5" t="n">
        <v>2024</v>
      </c>
      <c r="B72" s="6" t="inlineStr">
        <is>
          <t>2024-04</t>
        </is>
      </c>
      <c r="C72" s="2" t="inlineStr">
        <is>
          <t>ZZ1</t>
        </is>
      </c>
      <c r="D72" s="2" t="inlineStr">
        <is>
          <t>CA BRUT</t>
        </is>
      </c>
      <c r="E72" s="6">
        <f>SUMIFS('Z1_CplteAnneeMois'!$M$2:$M$493,'Z1_CplteAnneeMois'!$O$2:$O$493,B72,'Z1_CplteAnneeMois'!$F$2:$F$493,C72,'Z1_CplteAnneeMois'!$K$2:$K$493,D72)</f>
        <v/>
      </c>
    </row>
    <row r="73">
      <c r="A73" s="5" t="n">
        <v>2024</v>
      </c>
      <c r="B73" s="6" t="inlineStr">
        <is>
          <t>2024-04</t>
        </is>
      </c>
      <c r="C73" s="2" t="inlineStr">
        <is>
          <t>ZZ1</t>
        </is>
      </c>
      <c r="D73" s="2" t="inlineStr">
        <is>
          <t>CA NET</t>
        </is>
      </c>
      <c r="E73" s="6">
        <f>SUMIFS('Z1_CplteAnneeMois'!$M$2:$M$493,'Z1_CplteAnneeMois'!$O$2:$O$493,B73,'Z1_CplteAnneeMois'!$F$2:$F$493,C73,'Z1_CplteAnneeMois'!$K$2:$K$493,D73)</f>
        <v/>
      </c>
    </row>
    <row r="74">
      <c r="A74" s="5" t="n">
        <v>2024</v>
      </c>
      <c r="B74" s="6" t="inlineStr">
        <is>
          <t>2024-04</t>
        </is>
      </c>
      <c r="C74" s="2" t="inlineStr">
        <is>
          <t>ZZ1</t>
        </is>
      </c>
      <c r="D74" s="2" t="inlineStr">
        <is>
          <t>CB.TIROIR</t>
        </is>
      </c>
      <c r="E74" s="6">
        <f>SUMIFS('Z1_CplteAnneeMois'!$M$2:$M$493,'Z1_CplteAnneeMois'!$O$2:$O$493,B74,'Z1_CplteAnneeMois'!$F$2:$F$493,C74,'Z1_CplteAnneeMois'!$K$2:$K$493,D74)</f>
        <v/>
      </c>
    </row>
    <row r="75">
      <c r="A75" s="5" t="n">
        <v>2024</v>
      </c>
      <c r="B75" s="6" t="inlineStr">
        <is>
          <t>2024-04</t>
        </is>
      </c>
      <c r="C75" s="2" t="inlineStr">
        <is>
          <t>ZZ1</t>
        </is>
      </c>
      <c r="D75" s="2" t="inlineStr">
        <is>
          <t>CHQ.TIROIR</t>
        </is>
      </c>
      <c r="E75" s="6">
        <f>SUMIFS('Z1_CplteAnneeMois'!$M$2:$M$493,'Z1_CplteAnneeMois'!$O$2:$O$493,B75,'Z1_CplteAnneeMois'!$F$2:$F$493,C75,'Z1_CplteAnneeMois'!$K$2:$K$493,D75)</f>
        <v/>
      </c>
    </row>
    <row r="76">
      <c r="A76" s="5" t="n">
        <v>2024</v>
      </c>
      <c r="B76" s="6" t="inlineStr">
        <is>
          <t>2024-04</t>
        </is>
      </c>
      <c r="C76" s="2" t="inlineStr">
        <is>
          <t>ZZ1</t>
        </is>
      </c>
      <c r="D76" s="2" t="inlineStr">
        <is>
          <t>ESP.TIROIR</t>
        </is>
      </c>
      <c r="E76" s="6">
        <f>SUMIFS('Z1_CplteAnneeMois'!$M$2:$M$493,'Z1_CplteAnneeMois'!$O$2:$O$493,B76,'Z1_CplteAnneeMois'!$F$2:$F$493,C76,'Z1_CplteAnneeMois'!$K$2:$K$493,D76)</f>
        <v/>
      </c>
    </row>
    <row r="77">
      <c r="A77" s="5" t="n">
        <v>2024</v>
      </c>
      <c r="B77" s="6" t="inlineStr">
        <is>
          <t>2024-04</t>
        </is>
      </c>
      <c r="C77" s="2" t="inlineStr">
        <is>
          <t>ZZ1</t>
        </is>
      </c>
      <c r="D77" s="2" t="inlineStr">
        <is>
          <t>HORS TAXE 1</t>
        </is>
      </c>
      <c r="E77" s="6">
        <f>SUMIFS('Z1_CplteAnneeMois'!$M$2:$M$493,'Z1_CplteAnneeMois'!$O$2:$O$493,B77,'Z1_CplteAnneeMois'!$F$2:$F$493,C77,'Z1_CplteAnneeMois'!$K$2:$K$493,D77)</f>
        <v/>
      </c>
    </row>
    <row r="78">
      <c r="A78" s="5" t="n">
        <v>2024</v>
      </c>
      <c r="B78" s="6" t="inlineStr">
        <is>
          <t>2024-04</t>
        </is>
      </c>
      <c r="C78" s="2" t="inlineStr">
        <is>
          <t>ZZ1</t>
        </is>
      </c>
      <c r="D78" s="2" t="inlineStr">
        <is>
          <t>TVA 1</t>
        </is>
      </c>
      <c r="E78" s="6">
        <f>SUMIFS('Z1_CplteAnneeMois'!$M$2:$M$493,'Z1_CplteAnneeMois'!$O$2:$O$493,B78,'Z1_CplteAnneeMois'!$F$2:$F$493,C78,'Z1_CplteAnneeMois'!$K$2:$K$493,D78)</f>
        <v/>
      </c>
    </row>
    <row r="79">
      <c r="A79" s="5" t="n">
        <v>2024</v>
      </c>
      <c r="B79" s="6" t="inlineStr">
        <is>
          <t>2024-04</t>
        </is>
      </c>
      <c r="C79" s="2" t="inlineStr">
        <is>
          <t>ZZ2</t>
        </is>
      </c>
      <c r="D79" s="2" t="inlineStr">
        <is>
          <t>CA BRUT</t>
        </is>
      </c>
      <c r="E79" s="6">
        <f>SUMIFS('Z1_CplteAnneeMois'!$M$2:$M$493,'Z1_CplteAnneeMois'!$O$2:$O$493,B79,'Z1_CplteAnneeMois'!$F$2:$F$493,C79,'Z1_CplteAnneeMois'!$K$2:$K$493,D79)</f>
        <v/>
      </c>
    </row>
    <row r="80">
      <c r="A80" s="5" t="n">
        <v>2024</v>
      </c>
      <c r="B80" s="6" t="inlineStr">
        <is>
          <t>2024-04</t>
        </is>
      </c>
      <c r="C80" s="2" t="inlineStr">
        <is>
          <t>ZZ2</t>
        </is>
      </c>
      <c r="D80" s="2" t="inlineStr">
        <is>
          <t>CA NET</t>
        </is>
      </c>
      <c r="E80" s="6">
        <f>SUMIFS('Z1_CplteAnneeMois'!$M$2:$M$493,'Z1_CplteAnneeMois'!$O$2:$O$493,B80,'Z1_CplteAnneeMois'!$F$2:$F$493,C80,'Z1_CplteAnneeMois'!$K$2:$K$493,D80)</f>
        <v/>
      </c>
    </row>
    <row r="81">
      <c r="A81" s="5" t="n">
        <v>2024</v>
      </c>
      <c r="B81" s="6" t="inlineStr">
        <is>
          <t>2024-04</t>
        </is>
      </c>
      <c r="C81" s="2" t="inlineStr">
        <is>
          <t>ZZ2</t>
        </is>
      </c>
      <c r="D81" s="2" t="inlineStr">
        <is>
          <t>CB.TIROIR</t>
        </is>
      </c>
      <c r="E81" s="6">
        <f>SUMIFS('Z1_CplteAnneeMois'!$M$2:$M$493,'Z1_CplteAnneeMois'!$O$2:$O$493,B81,'Z1_CplteAnneeMois'!$F$2:$F$493,C81,'Z1_CplteAnneeMois'!$K$2:$K$493,D81)</f>
        <v/>
      </c>
    </row>
    <row r="82">
      <c r="A82" s="5" t="n">
        <v>2024</v>
      </c>
      <c r="B82" s="6" t="inlineStr">
        <is>
          <t>2024-04</t>
        </is>
      </c>
      <c r="C82" s="2" t="inlineStr">
        <is>
          <t>ZZ2</t>
        </is>
      </c>
      <c r="D82" s="2" t="inlineStr">
        <is>
          <t>CHQ.TIROIR</t>
        </is>
      </c>
      <c r="E82" s="6">
        <f>SUMIFS('Z1_CplteAnneeMois'!$M$2:$M$493,'Z1_CplteAnneeMois'!$O$2:$O$493,B82,'Z1_CplteAnneeMois'!$F$2:$F$493,C82,'Z1_CplteAnneeMois'!$K$2:$K$493,D82)</f>
        <v/>
      </c>
    </row>
    <row r="83">
      <c r="A83" s="5" t="n">
        <v>2024</v>
      </c>
      <c r="B83" s="6" t="inlineStr">
        <is>
          <t>2024-04</t>
        </is>
      </c>
      <c r="C83" s="2" t="inlineStr">
        <is>
          <t>ZZ2</t>
        </is>
      </c>
      <c r="D83" s="2" t="inlineStr">
        <is>
          <t>ESP.TIROIR</t>
        </is>
      </c>
      <c r="E83" s="6">
        <f>SUMIFS('Z1_CplteAnneeMois'!$M$2:$M$493,'Z1_CplteAnneeMois'!$O$2:$O$493,B83,'Z1_CplteAnneeMois'!$F$2:$F$493,C83,'Z1_CplteAnneeMois'!$K$2:$K$493,D83)</f>
        <v/>
      </c>
    </row>
    <row r="84">
      <c r="A84" s="5" t="n">
        <v>2024</v>
      </c>
      <c r="B84" s="6" t="inlineStr">
        <is>
          <t>2024-04</t>
        </is>
      </c>
      <c r="C84" s="2" t="inlineStr">
        <is>
          <t>ZZ2</t>
        </is>
      </c>
      <c r="D84" s="2" t="inlineStr">
        <is>
          <t>HORS TAXE 1</t>
        </is>
      </c>
      <c r="E84" s="6">
        <f>SUMIFS('Z1_CplteAnneeMois'!$M$2:$M$493,'Z1_CplteAnneeMois'!$O$2:$O$493,B84,'Z1_CplteAnneeMois'!$F$2:$F$493,C84,'Z1_CplteAnneeMois'!$K$2:$K$493,D84)</f>
        <v/>
      </c>
    </row>
    <row r="85">
      <c r="A85" s="5" t="n">
        <v>2024</v>
      </c>
      <c r="B85" s="6" t="inlineStr">
        <is>
          <t>2024-04</t>
        </is>
      </c>
      <c r="C85" s="2" t="inlineStr">
        <is>
          <t>ZZ2</t>
        </is>
      </c>
      <c r="D85" s="2" t="inlineStr">
        <is>
          <t>TVA 1</t>
        </is>
      </c>
      <c r="E85" s="6">
        <f>SUMIFS('Z1_CplteAnneeMois'!$M$2:$M$493,'Z1_CplteAnneeMois'!$O$2:$O$493,B85,'Z1_CplteAnneeMois'!$F$2:$F$493,C85,'Z1_CplteAnneeMois'!$K$2:$K$493,D85)</f>
        <v/>
      </c>
    </row>
    <row r="86">
      <c r="A86" s="5" t="n">
        <v>2024</v>
      </c>
      <c r="B86" s="6" t="inlineStr">
        <is>
          <t>2024-05</t>
        </is>
      </c>
      <c r="C86" s="2" t="inlineStr">
        <is>
          <t>Z</t>
        </is>
      </c>
      <c r="D86" s="2" t="inlineStr">
        <is>
          <t>CA BRUT</t>
        </is>
      </c>
      <c r="E86" s="6">
        <f>SUMIFS('Z1_CplteAnneeMois'!$M$2:$M$493,'Z1_CplteAnneeMois'!$O$2:$O$493,B86,'Z1_CplteAnneeMois'!$F$2:$F$493,C86,'Z1_CplteAnneeMois'!$K$2:$K$493,D86)</f>
        <v/>
      </c>
    </row>
    <row r="87">
      <c r="A87" s="5" t="n">
        <v>2024</v>
      </c>
      <c r="B87" s="6" t="inlineStr">
        <is>
          <t>2024-05</t>
        </is>
      </c>
      <c r="C87" s="2" t="inlineStr">
        <is>
          <t>Z</t>
        </is>
      </c>
      <c r="D87" s="2" t="inlineStr">
        <is>
          <t>CA NET</t>
        </is>
      </c>
      <c r="E87" s="6">
        <f>SUMIFS('Z1_CplteAnneeMois'!$M$2:$M$493,'Z1_CplteAnneeMois'!$O$2:$O$493,B87,'Z1_CplteAnneeMois'!$F$2:$F$493,C87,'Z1_CplteAnneeMois'!$K$2:$K$493,D87)</f>
        <v/>
      </c>
    </row>
    <row r="88">
      <c r="A88" s="5" t="n">
        <v>2024</v>
      </c>
      <c r="B88" s="6" t="inlineStr">
        <is>
          <t>2024-05</t>
        </is>
      </c>
      <c r="C88" s="2" t="inlineStr">
        <is>
          <t>Z</t>
        </is>
      </c>
      <c r="D88" s="2" t="inlineStr">
        <is>
          <t>CB.TIROIR</t>
        </is>
      </c>
      <c r="E88" s="6">
        <f>SUMIFS('Z1_CplteAnneeMois'!$M$2:$M$493,'Z1_CplteAnneeMois'!$O$2:$O$493,B88,'Z1_CplteAnneeMois'!$F$2:$F$493,C88,'Z1_CplteAnneeMois'!$K$2:$K$493,D88)</f>
        <v/>
      </c>
    </row>
    <row r="89">
      <c r="A89" s="5" t="n">
        <v>2024</v>
      </c>
      <c r="B89" s="6" t="inlineStr">
        <is>
          <t>2024-05</t>
        </is>
      </c>
      <c r="C89" s="2" t="inlineStr">
        <is>
          <t>Z</t>
        </is>
      </c>
      <c r="D89" s="2" t="inlineStr">
        <is>
          <t>CHQ.TIROIR</t>
        </is>
      </c>
      <c r="E89" s="6">
        <f>SUMIFS('Z1_CplteAnneeMois'!$M$2:$M$493,'Z1_CplteAnneeMois'!$O$2:$O$493,B89,'Z1_CplteAnneeMois'!$F$2:$F$493,C89,'Z1_CplteAnneeMois'!$K$2:$K$493,D89)</f>
        <v/>
      </c>
    </row>
    <row r="90">
      <c r="A90" s="5" t="n">
        <v>2024</v>
      </c>
      <c r="B90" s="6" t="inlineStr">
        <is>
          <t>2024-05</t>
        </is>
      </c>
      <c r="C90" s="2" t="inlineStr">
        <is>
          <t>Z</t>
        </is>
      </c>
      <c r="D90" s="2" t="inlineStr">
        <is>
          <t>ESP.TIROIR</t>
        </is>
      </c>
      <c r="E90" s="6">
        <f>SUMIFS('Z1_CplteAnneeMois'!$M$2:$M$493,'Z1_CplteAnneeMois'!$O$2:$O$493,B90,'Z1_CplteAnneeMois'!$F$2:$F$493,C90,'Z1_CplteAnneeMois'!$K$2:$K$493,D90)</f>
        <v/>
      </c>
    </row>
    <row r="91">
      <c r="A91" s="5" t="n">
        <v>2024</v>
      </c>
      <c r="B91" s="6" t="inlineStr">
        <is>
          <t>2024-05</t>
        </is>
      </c>
      <c r="C91" s="2" t="inlineStr">
        <is>
          <t>Z</t>
        </is>
      </c>
      <c r="D91" s="2" t="inlineStr">
        <is>
          <t>HORS TAXE 1</t>
        </is>
      </c>
      <c r="E91" s="6">
        <f>SUMIFS('Z1_CplteAnneeMois'!$M$2:$M$493,'Z1_CplteAnneeMois'!$O$2:$O$493,B91,'Z1_CplteAnneeMois'!$F$2:$F$493,C91,'Z1_CplteAnneeMois'!$K$2:$K$493,D91)</f>
        <v/>
      </c>
    </row>
    <row r="92">
      <c r="A92" s="5" t="n">
        <v>2024</v>
      </c>
      <c r="B92" s="6" t="inlineStr">
        <is>
          <t>2024-05</t>
        </is>
      </c>
      <c r="C92" s="2" t="inlineStr">
        <is>
          <t>Z</t>
        </is>
      </c>
      <c r="D92" s="2" t="inlineStr">
        <is>
          <t>TVA 1</t>
        </is>
      </c>
      <c r="E92" s="6">
        <f>SUMIFS('Z1_CplteAnneeMois'!$M$2:$M$493,'Z1_CplteAnneeMois'!$O$2:$O$493,B92,'Z1_CplteAnneeMois'!$F$2:$F$493,C92,'Z1_CplteAnneeMois'!$K$2:$K$493,D92)</f>
        <v/>
      </c>
    </row>
    <row r="93">
      <c r="A93" s="5" t="n">
        <v>2024</v>
      </c>
      <c r="B93" s="6" t="inlineStr">
        <is>
          <t>2024-05</t>
        </is>
      </c>
      <c r="C93" s="2" t="inlineStr">
        <is>
          <t>ZZ1</t>
        </is>
      </c>
      <c r="D93" s="2" t="inlineStr">
        <is>
          <t>CA BRUT</t>
        </is>
      </c>
      <c r="E93" s="6">
        <f>SUMIFS('Z1_CplteAnneeMois'!$M$2:$M$493,'Z1_CplteAnneeMois'!$O$2:$O$493,B93,'Z1_CplteAnneeMois'!$F$2:$F$493,C93,'Z1_CplteAnneeMois'!$K$2:$K$493,D93)</f>
        <v/>
      </c>
    </row>
    <row r="94">
      <c r="A94" s="5" t="n">
        <v>2024</v>
      </c>
      <c r="B94" s="6" t="inlineStr">
        <is>
          <t>2024-05</t>
        </is>
      </c>
      <c r="C94" s="2" t="inlineStr">
        <is>
          <t>ZZ1</t>
        </is>
      </c>
      <c r="D94" s="2" t="inlineStr">
        <is>
          <t>CA NET</t>
        </is>
      </c>
      <c r="E94" s="6">
        <f>SUMIFS('Z1_CplteAnneeMois'!$M$2:$M$493,'Z1_CplteAnneeMois'!$O$2:$O$493,B94,'Z1_CplteAnneeMois'!$F$2:$F$493,C94,'Z1_CplteAnneeMois'!$K$2:$K$493,D94)</f>
        <v/>
      </c>
    </row>
    <row r="95">
      <c r="A95" s="5" t="n">
        <v>2024</v>
      </c>
      <c r="B95" s="6" t="inlineStr">
        <is>
          <t>2024-05</t>
        </is>
      </c>
      <c r="C95" s="2" t="inlineStr">
        <is>
          <t>ZZ1</t>
        </is>
      </c>
      <c r="D95" s="2" t="inlineStr">
        <is>
          <t>CB.TIROIR</t>
        </is>
      </c>
      <c r="E95" s="6">
        <f>SUMIFS('Z1_CplteAnneeMois'!$M$2:$M$493,'Z1_CplteAnneeMois'!$O$2:$O$493,B95,'Z1_CplteAnneeMois'!$F$2:$F$493,C95,'Z1_CplteAnneeMois'!$K$2:$K$493,D95)</f>
        <v/>
      </c>
    </row>
    <row r="96">
      <c r="A96" s="5" t="n">
        <v>2024</v>
      </c>
      <c r="B96" s="6" t="inlineStr">
        <is>
          <t>2024-05</t>
        </is>
      </c>
      <c r="C96" s="2" t="inlineStr">
        <is>
          <t>ZZ1</t>
        </is>
      </c>
      <c r="D96" s="2" t="inlineStr">
        <is>
          <t>CHQ.TIROIR</t>
        </is>
      </c>
      <c r="E96" s="6">
        <f>SUMIFS('Z1_CplteAnneeMois'!$M$2:$M$493,'Z1_CplteAnneeMois'!$O$2:$O$493,B96,'Z1_CplteAnneeMois'!$F$2:$F$493,C96,'Z1_CplteAnneeMois'!$K$2:$K$493,D96)</f>
        <v/>
      </c>
    </row>
    <row r="97">
      <c r="A97" s="5" t="n">
        <v>2024</v>
      </c>
      <c r="B97" s="6" t="inlineStr">
        <is>
          <t>2024-05</t>
        </is>
      </c>
      <c r="C97" s="2" t="inlineStr">
        <is>
          <t>ZZ1</t>
        </is>
      </c>
      <c r="D97" s="2" t="inlineStr">
        <is>
          <t>ESP.TIROIR</t>
        </is>
      </c>
      <c r="E97" s="6">
        <f>SUMIFS('Z1_CplteAnneeMois'!$M$2:$M$493,'Z1_CplteAnneeMois'!$O$2:$O$493,B97,'Z1_CplteAnneeMois'!$F$2:$F$493,C97,'Z1_CplteAnneeMois'!$K$2:$K$493,D97)</f>
        <v/>
      </c>
    </row>
    <row r="98">
      <c r="A98" s="5" t="n">
        <v>2024</v>
      </c>
      <c r="B98" s="6" t="inlineStr">
        <is>
          <t>2024-05</t>
        </is>
      </c>
      <c r="C98" s="2" t="inlineStr">
        <is>
          <t>ZZ1</t>
        </is>
      </c>
      <c r="D98" s="2" t="inlineStr">
        <is>
          <t>HORS TAXE 1</t>
        </is>
      </c>
      <c r="E98" s="6">
        <f>SUMIFS('Z1_CplteAnneeMois'!$M$2:$M$493,'Z1_CplteAnneeMois'!$O$2:$O$493,B98,'Z1_CplteAnneeMois'!$F$2:$F$493,C98,'Z1_CplteAnneeMois'!$K$2:$K$493,D98)</f>
        <v/>
      </c>
    </row>
    <row r="99">
      <c r="A99" s="5" t="n">
        <v>2024</v>
      </c>
      <c r="B99" s="6" t="inlineStr">
        <is>
          <t>2024-05</t>
        </is>
      </c>
      <c r="C99" s="2" t="inlineStr">
        <is>
          <t>ZZ1</t>
        </is>
      </c>
      <c r="D99" s="2" t="inlineStr">
        <is>
          <t>TVA 1</t>
        </is>
      </c>
      <c r="E99" s="6">
        <f>SUMIFS('Z1_CplteAnneeMois'!$M$2:$M$493,'Z1_CplteAnneeMois'!$O$2:$O$493,B99,'Z1_CplteAnneeMois'!$F$2:$F$493,C99,'Z1_CplteAnneeMois'!$K$2:$K$493,D99)</f>
        <v/>
      </c>
    </row>
    <row r="100">
      <c r="A100" s="5" t="n">
        <v>2024</v>
      </c>
      <c r="B100" s="6" t="inlineStr">
        <is>
          <t>2024-05</t>
        </is>
      </c>
      <c r="C100" s="2" t="inlineStr">
        <is>
          <t>ZZ2</t>
        </is>
      </c>
      <c r="D100" s="2" t="inlineStr">
        <is>
          <t>CA BRUT</t>
        </is>
      </c>
      <c r="E100" s="6">
        <f>SUMIFS('Z1_CplteAnneeMois'!$M$2:$M$493,'Z1_CplteAnneeMois'!$O$2:$O$493,B100,'Z1_CplteAnneeMois'!$F$2:$F$493,C100,'Z1_CplteAnneeMois'!$K$2:$K$493,D100)</f>
        <v/>
      </c>
    </row>
    <row r="101">
      <c r="A101" s="5" t="n">
        <v>2024</v>
      </c>
      <c r="B101" s="6" t="inlineStr">
        <is>
          <t>2024-05</t>
        </is>
      </c>
      <c r="C101" s="2" t="inlineStr">
        <is>
          <t>ZZ2</t>
        </is>
      </c>
      <c r="D101" s="2" t="inlineStr">
        <is>
          <t>CA NET</t>
        </is>
      </c>
      <c r="E101" s="6">
        <f>SUMIFS('Z1_CplteAnneeMois'!$M$2:$M$493,'Z1_CplteAnneeMois'!$O$2:$O$493,B101,'Z1_CplteAnneeMois'!$F$2:$F$493,C101,'Z1_CplteAnneeMois'!$K$2:$K$493,D101)</f>
        <v/>
      </c>
    </row>
    <row r="102">
      <c r="A102" s="5" t="n">
        <v>2024</v>
      </c>
      <c r="B102" s="6" t="inlineStr">
        <is>
          <t>2024-05</t>
        </is>
      </c>
      <c r="C102" s="2" t="inlineStr">
        <is>
          <t>ZZ2</t>
        </is>
      </c>
      <c r="D102" s="2" t="inlineStr">
        <is>
          <t>CB.TIROIR</t>
        </is>
      </c>
      <c r="E102" s="6">
        <f>SUMIFS('Z1_CplteAnneeMois'!$M$2:$M$493,'Z1_CplteAnneeMois'!$O$2:$O$493,B102,'Z1_CplteAnneeMois'!$F$2:$F$493,C102,'Z1_CplteAnneeMois'!$K$2:$K$493,D102)</f>
        <v/>
      </c>
    </row>
    <row r="103">
      <c r="A103" s="5" t="n">
        <v>2024</v>
      </c>
      <c r="B103" s="6" t="inlineStr">
        <is>
          <t>2024-05</t>
        </is>
      </c>
      <c r="C103" s="2" t="inlineStr">
        <is>
          <t>ZZ2</t>
        </is>
      </c>
      <c r="D103" s="2" t="inlineStr">
        <is>
          <t>CHQ.TIROIR</t>
        </is>
      </c>
      <c r="E103" s="6">
        <f>SUMIFS('Z1_CplteAnneeMois'!$M$2:$M$493,'Z1_CplteAnneeMois'!$O$2:$O$493,B103,'Z1_CplteAnneeMois'!$F$2:$F$493,C103,'Z1_CplteAnneeMois'!$K$2:$K$493,D103)</f>
        <v/>
      </c>
    </row>
    <row r="104">
      <c r="A104" s="5" t="n">
        <v>2024</v>
      </c>
      <c r="B104" s="6" t="inlineStr">
        <is>
          <t>2024-05</t>
        </is>
      </c>
      <c r="C104" s="2" t="inlineStr">
        <is>
          <t>ZZ2</t>
        </is>
      </c>
      <c r="D104" s="2" t="inlineStr">
        <is>
          <t>ESP.TIROIR</t>
        </is>
      </c>
      <c r="E104" s="6">
        <f>SUMIFS('Z1_CplteAnneeMois'!$M$2:$M$493,'Z1_CplteAnneeMois'!$O$2:$O$493,B104,'Z1_CplteAnneeMois'!$F$2:$F$493,C104,'Z1_CplteAnneeMois'!$K$2:$K$493,D104)</f>
        <v/>
      </c>
    </row>
    <row r="105">
      <c r="A105" s="5" t="n">
        <v>2024</v>
      </c>
      <c r="B105" s="6" t="inlineStr">
        <is>
          <t>2024-05</t>
        </is>
      </c>
      <c r="C105" s="2" t="inlineStr">
        <is>
          <t>ZZ2</t>
        </is>
      </c>
      <c r="D105" s="2" t="inlineStr">
        <is>
          <t>HORS TAXE 1</t>
        </is>
      </c>
      <c r="E105" s="6">
        <f>SUMIFS('Z1_CplteAnneeMois'!$M$2:$M$493,'Z1_CplteAnneeMois'!$O$2:$O$493,B105,'Z1_CplteAnneeMois'!$F$2:$F$493,C105,'Z1_CplteAnneeMois'!$K$2:$K$493,D105)</f>
        <v/>
      </c>
    </row>
    <row r="106">
      <c r="A106" s="5" t="n">
        <v>2024</v>
      </c>
      <c r="B106" s="6" t="inlineStr">
        <is>
          <t>2024-05</t>
        </is>
      </c>
      <c r="C106" s="2" t="inlineStr">
        <is>
          <t>ZZ2</t>
        </is>
      </c>
      <c r="D106" s="2" t="inlineStr">
        <is>
          <t>TVA 1</t>
        </is>
      </c>
      <c r="E106" s="6">
        <f>SUMIFS('Z1_CplteAnneeMois'!$M$2:$M$493,'Z1_CplteAnneeMois'!$O$2:$O$493,B106,'Z1_CplteAnneeMois'!$F$2:$F$493,C106,'Z1_CplteAnneeMois'!$K$2:$K$493,D106)</f>
        <v/>
      </c>
    </row>
    <row r="107">
      <c r="A107" s="5" t="n">
        <v>2024</v>
      </c>
      <c r="B107" s="6" t="inlineStr">
        <is>
          <t>2024-06</t>
        </is>
      </c>
      <c r="C107" s="2" t="inlineStr">
        <is>
          <t>Z</t>
        </is>
      </c>
      <c r="D107" s="2" t="inlineStr">
        <is>
          <t>CA BRUT</t>
        </is>
      </c>
      <c r="E107" s="6">
        <f>SUMIFS('Z1_CplteAnneeMois'!$M$2:$M$493,'Z1_CplteAnneeMois'!$O$2:$O$493,B107,'Z1_CplteAnneeMois'!$F$2:$F$493,C107,'Z1_CplteAnneeMois'!$K$2:$K$493,D107)</f>
        <v/>
      </c>
    </row>
    <row r="108">
      <c r="A108" s="5" t="n">
        <v>2024</v>
      </c>
      <c r="B108" s="6" t="inlineStr">
        <is>
          <t>2024-06</t>
        </is>
      </c>
      <c r="C108" s="2" t="inlineStr">
        <is>
          <t>Z</t>
        </is>
      </c>
      <c r="D108" s="2" t="inlineStr">
        <is>
          <t>CA NET</t>
        </is>
      </c>
      <c r="E108" s="6">
        <f>SUMIFS('Z1_CplteAnneeMois'!$M$2:$M$493,'Z1_CplteAnneeMois'!$O$2:$O$493,B108,'Z1_CplteAnneeMois'!$F$2:$F$493,C108,'Z1_CplteAnneeMois'!$K$2:$K$493,D108)</f>
        <v/>
      </c>
    </row>
    <row r="109">
      <c r="A109" s="5" t="n">
        <v>2024</v>
      </c>
      <c r="B109" s="6" t="inlineStr">
        <is>
          <t>2024-06</t>
        </is>
      </c>
      <c r="C109" s="2" t="inlineStr">
        <is>
          <t>Z</t>
        </is>
      </c>
      <c r="D109" s="2" t="inlineStr">
        <is>
          <t>CB.TIROIR</t>
        </is>
      </c>
      <c r="E109" s="6">
        <f>SUMIFS('Z1_CplteAnneeMois'!$M$2:$M$493,'Z1_CplteAnneeMois'!$O$2:$O$493,B109,'Z1_CplteAnneeMois'!$F$2:$F$493,C109,'Z1_CplteAnneeMois'!$K$2:$K$493,D109)</f>
        <v/>
      </c>
    </row>
    <row r="110">
      <c r="A110" s="5" t="n">
        <v>2024</v>
      </c>
      <c r="B110" s="6" t="inlineStr">
        <is>
          <t>2024-06</t>
        </is>
      </c>
      <c r="C110" s="2" t="inlineStr">
        <is>
          <t>Z</t>
        </is>
      </c>
      <c r="D110" s="2" t="inlineStr">
        <is>
          <t>CHQ.TIROIR</t>
        </is>
      </c>
      <c r="E110" s="6">
        <f>SUMIFS('Z1_CplteAnneeMois'!$M$2:$M$493,'Z1_CplteAnneeMois'!$O$2:$O$493,B110,'Z1_CplteAnneeMois'!$F$2:$F$493,C110,'Z1_CplteAnneeMois'!$K$2:$K$493,D110)</f>
        <v/>
      </c>
    </row>
    <row r="111">
      <c r="A111" s="5" t="n">
        <v>2024</v>
      </c>
      <c r="B111" s="6" t="inlineStr">
        <is>
          <t>2024-06</t>
        </is>
      </c>
      <c r="C111" s="2" t="inlineStr">
        <is>
          <t>Z</t>
        </is>
      </c>
      <c r="D111" s="2" t="inlineStr">
        <is>
          <t>ESP.TIROIR</t>
        </is>
      </c>
      <c r="E111" s="6">
        <f>SUMIFS('Z1_CplteAnneeMois'!$M$2:$M$493,'Z1_CplteAnneeMois'!$O$2:$O$493,B111,'Z1_CplteAnneeMois'!$F$2:$F$493,C111,'Z1_CplteAnneeMois'!$K$2:$K$493,D111)</f>
        <v/>
      </c>
    </row>
    <row r="112">
      <c r="A112" s="5" t="n">
        <v>2024</v>
      </c>
      <c r="B112" s="6" t="inlineStr">
        <is>
          <t>2024-06</t>
        </is>
      </c>
      <c r="C112" s="2" t="inlineStr">
        <is>
          <t>Z</t>
        </is>
      </c>
      <c r="D112" s="2" t="inlineStr">
        <is>
          <t>HORS TAXE 1</t>
        </is>
      </c>
      <c r="E112" s="6">
        <f>SUMIFS('Z1_CplteAnneeMois'!$M$2:$M$493,'Z1_CplteAnneeMois'!$O$2:$O$493,B112,'Z1_CplteAnneeMois'!$F$2:$F$493,C112,'Z1_CplteAnneeMois'!$K$2:$K$493,D112)</f>
        <v/>
      </c>
    </row>
    <row r="113">
      <c r="A113" s="5" t="n">
        <v>2024</v>
      </c>
      <c r="B113" s="6" t="inlineStr">
        <is>
          <t>2024-06</t>
        </is>
      </c>
      <c r="C113" s="2" t="inlineStr">
        <is>
          <t>Z</t>
        </is>
      </c>
      <c r="D113" s="2" t="inlineStr">
        <is>
          <t>TVA 1</t>
        </is>
      </c>
      <c r="E113" s="6">
        <f>SUMIFS('Z1_CplteAnneeMois'!$M$2:$M$493,'Z1_CplteAnneeMois'!$O$2:$O$493,B113,'Z1_CplteAnneeMois'!$F$2:$F$493,C113,'Z1_CplteAnneeMois'!$K$2:$K$493,D113)</f>
        <v/>
      </c>
    </row>
    <row r="114">
      <c r="A114" s="5" t="n">
        <v>2024</v>
      </c>
      <c r="B114" s="6" t="inlineStr">
        <is>
          <t>2024-06</t>
        </is>
      </c>
      <c r="C114" s="2" t="inlineStr">
        <is>
          <t>ZZ1</t>
        </is>
      </c>
      <c r="D114" s="2" t="inlineStr">
        <is>
          <t>CA BRUT</t>
        </is>
      </c>
      <c r="E114" s="6">
        <f>SUMIFS('Z1_CplteAnneeMois'!$M$2:$M$493,'Z1_CplteAnneeMois'!$O$2:$O$493,B114,'Z1_CplteAnneeMois'!$F$2:$F$493,C114,'Z1_CplteAnneeMois'!$K$2:$K$493,D114)</f>
        <v/>
      </c>
    </row>
    <row r="115">
      <c r="A115" s="5" t="n">
        <v>2024</v>
      </c>
      <c r="B115" s="6" t="inlineStr">
        <is>
          <t>2024-06</t>
        </is>
      </c>
      <c r="C115" s="2" t="inlineStr">
        <is>
          <t>ZZ1</t>
        </is>
      </c>
      <c r="D115" s="2" t="inlineStr">
        <is>
          <t>CA NET</t>
        </is>
      </c>
      <c r="E115" s="6">
        <f>SUMIFS('Z1_CplteAnneeMois'!$M$2:$M$493,'Z1_CplteAnneeMois'!$O$2:$O$493,B115,'Z1_CplteAnneeMois'!$F$2:$F$493,C115,'Z1_CplteAnneeMois'!$K$2:$K$493,D115)</f>
        <v/>
      </c>
    </row>
    <row r="116">
      <c r="A116" s="5" t="n">
        <v>2024</v>
      </c>
      <c r="B116" s="6" t="inlineStr">
        <is>
          <t>2024-06</t>
        </is>
      </c>
      <c r="C116" s="2" t="inlineStr">
        <is>
          <t>ZZ1</t>
        </is>
      </c>
      <c r="D116" s="2" t="inlineStr">
        <is>
          <t>CB.TIROIR</t>
        </is>
      </c>
      <c r="E116" s="6">
        <f>SUMIFS('Z1_CplteAnneeMois'!$M$2:$M$493,'Z1_CplteAnneeMois'!$O$2:$O$493,B116,'Z1_CplteAnneeMois'!$F$2:$F$493,C116,'Z1_CplteAnneeMois'!$K$2:$K$493,D116)</f>
        <v/>
      </c>
    </row>
    <row r="117">
      <c r="A117" s="5" t="n">
        <v>2024</v>
      </c>
      <c r="B117" s="6" t="inlineStr">
        <is>
          <t>2024-06</t>
        </is>
      </c>
      <c r="C117" s="2" t="inlineStr">
        <is>
          <t>ZZ1</t>
        </is>
      </c>
      <c r="D117" s="2" t="inlineStr">
        <is>
          <t>CHQ.TIROIR</t>
        </is>
      </c>
      <c r="E117" s="6">
        <f>SUMIFS('Z1_CplteAnneeMois'!$M$2:$M$493,'Z1_CplteAnneeMois'!$O$2:$O$493,B117,'Z1_CplteAnneeMois'!$F$2:$F$493,C117,'Z1_CplteAnneeMois'!$K$2:$K$493,D117)</f>
        <v/>
      </c>
    </row>
    <row r="118">
      <c r="A118" s="5" t="n">
        <v>2024</v>
      </c>
      <c r="B118" s="6" t="inlineStr">
        <is>
          <t>2024-06</t>
        </is>
      </c>
      <c r="C118" s="2" t="inlineStr">
        <is>
          <t>ZZ1</t>
        </is>
      </c>
      <c r="D118" s="2" t="inlineStr">
        <is>
          <t>ESP.TIROIR</t>
        </is>
      </c>
      <c r="E118" s="6">
        <f>SUMIFS('Z1_CplteAnneeMois'!$M$2:$M$493,'Z1_CplteAnneeMois'!$O$2:$O$493,B118,'Z1_CplteAnneeMois'!$F$2:$F$493,C118,'Z1_CplteAnneeMois'!$K$2:$K$493,D118)</f>
        <v/>
      </c>
    </row>
    <row r="119">
      <c r="A119" s="5" t="n">
        <v>2024</v>
      </c>
      <c r="B119" s="6" t="inlineStr">
        <is>
          <t>2024-06</t>
        </is>
      </c>
      <c r="C119" s="2" t="inlineStr">
        <is>
          <t>ZZ1</t>
        </is>
      </c>
      <c r="D119" s="2" t="inlineStr">
        <is>
          <t>HORS TAXE 1</t>
        </is>
      </c>
      <c r="E119" s="6">
        <f>SUMIFS('Z1_CplteAnneeMois'!$M$2:$M$493,'Z1_CplteAnneeMois'!$O$2:$O$493,B119,'Z1_CplteAnneeMois'!$F$2:$F$493,C119,'Z1_CplteAnneeMois'!$K$2:$K$493,D119)</f>
        <v/>
      </c>
    </row>
    <row r="120">
      <c r="A120" s="5" t="n">
        <v>2024</v>
      </c>
      <c r="B120" s="6" t="inlineStr">
        <is>
          <t>2024-06</t>
        </is>
      </c>
      <c r="C120" s="2" t="inlineStr">
        <is>
          <t>ZZ1</t>
        </is>
      </c>
      <c r="D120" s="2" t="inlineStr">
        <is>
          <t>TVA 1</t>
        </is>
      </c>
      <c r="E120" s="6">
        <f>SUMIFS('Z1_CplteAnneeMois'!$M$2:$M$493,'Z1_CplteAnneeMois'!$O$2:$O$493,B120,'Z1_CplteAnneeMois'!$F$2:$F$493,C120,'Z1_CplteAnneeMois'!$K$2:$K$493,D120)</f>
        <v/>
      </c>
    </row>
    <row r="121">
      <c r="A121" s="5" t="n">
        <v>2024</v>
      </c>
      <c r="B121" s="6" t="inlineStr">
        <is>
          <t>2024-06</t>
        </is>
      </c>
      <c r="C121" s="2" t="inlineStr">
        <is>
          <t>ZZ2</t>
        </is>
      </c>
      <c r="D121" s="2" t="inlineStr">
        <is>
          <t>CA BRUT</t>
        </is>
      </c>
      <c r="E121" s="6">
        <f>SUMIFS('Z1_CplteAnneeMois'!$M$2:$M$493,'Z1_CplteAnneeMois'!$O$2:$O$493,B121,'Z1_CplteAnneeMois'!$F$2:$F$493,C121,'Z1_CplteAnneeMois'!$K$2:$K$493,D121)</f>
        <v/>
      </c>
    </row>
    <row r="122">
      <c r="A122" s="5" t="n">
        <v>2024</v>
      </c>
      <c r="B122" s="6" t="inlineStr">
        <is>
          <t>2024-06</t>
        </is>
      </c>
      <c r="C122" s="2" t="inlineStr">
        <is>
          <t>ZZ2</t>
        </is>
      </c>
      <c r="D122" s="2" t="inlineStr">
        <is>
          <t>CA NET</t>
        </is>
      </c>
      <c r="E122" s="6">
        <f>SUMIFS('Z1_CplteAnneeMois'!$M$2:$M$493,'Z1_CplteAnneeMois'!$O$2:$O$493,B122,'Z1_CplteAnneeMois'!$F$2:$F$493,C122,'Z1_CplteAnneeMois'!$K$2:$K$493,D122)</f>
        <v/>
      </c>
    </row>
    <row r="123">
      <c r="A123" s="5" t="n">
        <v>2024</v>
      </c>
      <c r="B123" s="6" t="inlineStr">
        <is>
          <t>2024-06</t>
        </is>
      </c>
      <c r="C123" s="2" t="inlineStr">
        <is>
          <t>ZZ2</t>
        </is>
      </c>
      <c r="D123" s="2" t="inlineStr">
        <is>
          <t>CB.TIROIR</t>
        </is>
      </c>
      <c r="E123" s="6">
        <f>SUMIFS('Z1_CplteAnneeMois'!$M$2:$M$493,'Z1_CplteAnneeMois'!$O$2:$O$493,B123,'Z1_CplteAnneeMois'!$F$2:$F$493,C123,'Z1_CplteAnneeMois'!$K$2:$K$493,D123)</f>
        <v/>
      </c>
    </row>
    <row r="124">
      <c r="A124" s="5" t="n">
        <v>2024</v>
      </c>
      <c r="B124" s="6" t="inlineStr">
        <is>
          <t>2024-06</t>
        </is>
      </c>
      <c r="C124" s="2" t="inlineStr">
        <is>
          <t>ZZ2</t>
        </is>
      </c>
      <c r="D124" s="2" t="inlineStr">
        <is>
          <t>CHQ.TIROIR</t>
        </is>
      </c>
      <c r="E124" s="6">
        <f>SUMIFS('Z1_CplteAnneeMois'!$M$2:$M$493,'Z1_CplteAnneeMois'!$O$2:$O$493,B124,'Z1_CplteAnneeMois'!$F$2:$F$493,C124,'Z1_CplteAnneeMois'!$K$2:$K$493,D124)</f>
        <v/>
      </c>
    </row>
    <row r="125">
      <c r="A125" s="5" t="n">
        <v>2024</v>
      </c>
      <c r="B125" s="6" t="inlineStr">
        <is>
          <t>2024-06</t>
        </is>
      </c>
      <c r="C125" s="2" t="inlineStr">
        <is>
          <t>ZZ2</t>
        </is>
      </c>
      <c r="D125" s="2" t="inlineStr">
        <is>
          <t>ESP.TIROIR</t>
        </is>
      </c>
      <c r="E125" s="6">
        <f>SUMIFS('Z1_CplteAnneeMois'!$M$2:$M$493,'Z1_CplteAnneeMois'!$O$2:$O$493,B125,'Z1_CplteAnneeMois'!$F$2:$F$493,C125,'Z1_CplteAnneeMois'!$K$2:$K$493,D125)</f>
        <v/>
      </c>
    </row>
    <row r="126">
      <c r="A126" s="5" t="n">
        <v>2024</v>
      </c>
      <c r="B126" s="6" t="inlineStr">
        <is>
          <t>2024-06</t>
        </is>
      </c>
      <c r="C126" s="2" t="inlineStr">
        <is>
          <t>ZZ2</t>
        </is>
      </c>
      <c r="D126" s="2" t="inlineStr">
        <is>
          <t>HORS TAXE 1</t>
        </is>
      </c>
      <c r="E126" s="6">
        <f>SUMIFS('Z1_CplteAnneeMois'!$M$2:$M$493,'Z1_CplteAnneeMois'!$O$2:$O$493,B126,'Z1_CplteAnneeMois'!$F$2:$F$493,C126,'Z1_CplteAnneeMois'!$K$2:$K$493,D126)</f>
        <v/>
      </c>
    </row>
    <row r="127">
      <c r="A127" s="5" t="n">
        <v>2024</v>
      </c>
      <c r="B127" s="6" t="inlineStr">
        <is>
          <t>2024-06</t>
        </is>
      </c>
      <c r="C127" s="2" t="inlineStr">
        <is>
          <t>ZZ2</t>
        </is>
      </c>
      <c r="D127" s="2" t="inlineStr">
        <is>
          <t>TVA 1</t>
        </is>
      </c>
      <c r="E127" s="6">
        <f>SUMIFS('Z1_CplteAnneeMois'!$M$2:$M$493,'Z1_CplteAnneeMois'!$O$2:$O$493,B127,'Z1_CplteAnneeMois'!$F$2:$F$493,C127,'Z1_CplteAnneeMois'!$K$2:$K$493,D127)</f>
        <v/>
      </c>
    </row>
    <row r="128">
      <c r="A128" s="5" t="n">
        <v>2024</v>
      </c>
      <c r="B128" s="6" t="inlineStr">
        <is>
          <t>2024-07</t>
        </is>
      </c>
      <c r="C128" s="2" t="inlineStr">
        <is>
          <t>Z</t>
        </is>
      </c>
      <c r="D128" s="2" t="inlineStr">
        <is>
          <t>CA BRUT</t>
        </is>
      </c>
      <c r="E128" s="6">
        <f>SUMIFS('Z1_CplteAnneeMois'!$M$2:$M$493,'Z1_CplteAnneeMois'!$O$2:$O$493,B128,'Z1_CplteAnneeMois'!$F$2:$F$493,C128,'Z1_CplteAnneeMois'!$K$2:$K$493,D128)</f>
        <v/>
      </c>
    </row>
    <row r="129">
      <c r="A129" s="5" t="n">
        <v>2024</v>
      </c>
      <c r="B129" s="6" t="inlineStr">
        <is>
          <t>2024-07</t>
        </is>
      </c>
      <c r="C129" s="2" t="inlineStr">
        <is>
          <t>Z</t>
        </is>
      </c>
      <c r="D129" s="2" t="inlineStr">
        <is>
          <t>CA NET</t>
        </is>
      </c>
      <c r="E129" s="6">
        <f>SUMIFS('Z1_CplteAnneeMois'!$M$2:$M$493,'Z1_CplteAnneeMois'!$O$2:$O$493,B129,'Z1_CplteAnneeMois'!$F$2:$F$493,C129,'Z1_CplteAnneeMois'!$K$2:$K$493,D129)</f>
        <v/>
      </c>
    </row>
    <row r="130">
      <c r="A130" s="5" t="n">
        <v>2024</v>
      </c>
      <c r="B130" s="6" t="inlineStr">
        <is>
          <t>2024-07</t>
        </is>
      </c>
      <c r="C130" s="2" t="inlineStr">
        <is>
          <t>Z</t>
        </is>
      </c>
      <c r="D130" s="2" t="inlineStr">
        <is>
          <t>CB.TIROIR</t>
        </is>
      </c>
      <c r="E130" s="6">
        <f>SUMIFS('Z1_CplteAnneeMois'!$M$2:$M$493,'Z1_CplteAnneeMois'!$O$2:$O$493,B130,'Z1_CplteAnneeMois'!$F$2:$F$493,C130,'Z1_CplteAnneeMois'!$K$2:$K$493,D130)</f>
        <v/>
      </c>
    </row>
    <row r="131">
      <c r="A131" s="5" t="n">
        <v>2024</v>
      </c>
      <c r="B131" s="6" t="inlineStr">
        <is>
          <t>2024-07</t>
        </is>
      </c>
      <c r="C131" s="2" t="inlineStr">
        <is>
          <t>Z</t>
        </is>
      </c>
      <c r="D131" s="2" t="inlineStr">
        <is>
          <t>CHQ.TIROIR</t>
        </is>
      </c>
      <c r="E131" s="6">
        <f>SUMIFS('Z1_CplteAnneeMois'!$M$2:$M$493,'Z1_CplteAnneeMois'!$O$2:$O$493,B131,'Z1_CplteAnneeMois'!$F$2:$F$493,C131,'Z1_CplteAnneeMois'!$K$2:$K$493,D131)</f>
        <v/>
      </c>
    </row>
    <row r="132">
      <c r="A132" s="5" t="n">
        <v>2024</v>
      </c>
      <c r="B132" s="6" t="inlineStr">
        <is>
          <t>2024-07</t>
        </is>
      </c>
      <c r="C132" s="2" t="inlineStr">
        <is>
          <t>Z</t>
        </is>
      </c>
      <c r="D132" s="2" t="inlineStr">
        <is>
          <t>ESP.TIROIR</t>
        </is>
      </c>
      <c r="E132" s="6">
        <f>SUMIFS('Z1_CplteAnneeMois'!$M$2:$M$493,'Z1_CplteAnneeMois'!$O$2:$O$493,B132,'Z1_CplteAnneeMois'!$F$2:$F$493,C132,'Z1_CplteAnneeMois'!$K$2:$K$493,D132)</f>
        <v/>
      </c>
    </row>
    <row r="133">
      <c r="A133" s="5" t="n">
        <v>2024</v>
      </c>
      <c r="B133" s="6" t="inlineStr">
        <is>
          <t>2024-07</t>
        </is>
      </c>
      <c r="C133" s="2" t="inlineStr">
        <is>
          <t>Z</t>
        </is>
      </c>
      <c r="D133" s="2" t="inlineStr">
        <is>
          <t>HORS TAXE 1</t>
        </is>
      </c>
      <c r="E133" s="6">
        <f>SUMIFS('Z1_CplteAnneeMois'!$M$2:$M$493,'Z1_CplteAnneeMois'!$O$2:$O$493,B133,'Z1_CplteAnneeMois'!$F$2:$F$493,C133,'Z1_CplteAnneeMois'!$K$2:$K$493,D133)</f>
        <v/>
      </c>
    </row>
    <row r="134">
      <c r="A134" s="5" t="n">
        <v>2024</v>
      </c>
      <c r="B134" s="6" t="inlineStr">
        <is>
          <t>2024-07</t>
        </is>
      </c>
      <c r="C134" s="2" t="inlineStr">
        <is>
          <t>Z</t>
        </is>
      </c>
      <c r="D134" s="2" t="inlineStr">
        <is>
          <t>TVA 1</t>
        </is>
      </c>
      <c r="E134" s="6">
        <f>SUMIFS('Z1_CplteAnneeMois'!$M$2:$M$493,'Z1_CplteAnneeMois'!$O$2:$O$493,B134,'Z1_CplteAnneeMois'!$F$2:$F$493,C134,'Z1_CplteAnneeMois'!$K$2:$K$493,D134)</f>
        <v/>
      </c>
    </row>
    <row r="135">
      <c r="A135" s="5" t="n">
        <v>2024</v>
      </c>
      <c r="B135" s="6" t="inlineStr">
        <is>
          <t>2024-07</t>
        </is>
      </c>
      <c r="C135" s="2" t="inlineStr">
        <is>
          <t>ZZ1</t>
        </is>
      </c>
      <c r="D135" s="2" t="inlineStr">
        <is>
          <t>CA BRUT</t>
        </is>
      </c>
      <c r="E135" s="6">
        <f>SUMIFS('Z1_CplteAnneeMois'!$M$2:$M$493,'Z1_CplteAnneeMois'!$O$2:$O$493,B135,'Z1_CplteAnneeMois'!$F$2:$F$493,C135,'Z1_CplteAnneeMois'!$K$2:$K$493,D135)</f>
        <v/>
      </c>
    </row>
    <row r="136">
      <c r="A136" s="5" t="n">
        <v>2024</v>
      </c>
      <c r="B136" s="6" t="inlineStr">
        <is>
          <t>2024-07</t>
        </is>
      </c>
      <c r="C136" s="2" t="inlineStr">
        <is>
          <t>ZZ1</t>
        </is>
      </c>
      <c r="D136" s="2" t="inlineStr">
        <is>
          <t>CA NET</t>
        </is>
      </c>
      <c r="E136" s="6">
        <f>SUMIFS('Z1_CplteAnneeMois'!$M$2:$M$493,'Z1_CplteAnneeMois'!$O$2:$O$493,B136,'Z1_CplteAnneeMois'!$F$2:$F$493,C136,'Z1_CplteAnneeMois'!$K$2:$K$493,D136)</f>
        <v/>
      </c>
    </row>
    <row r="137">
      <c r="A137" s="5" t="n">
        <v>2024</v>
      </c>
      <c r="B137" s="6" t="inlineStr">
        <is>
          <t>2024-07</t>
        </is>
      </c>
      <c r="C137" s="2" t="inlineStr">
        <is>
          <t>ZZ1</t>
        </is>
      </c>
      <c r="D137" s="2" t="inlineStr">
        <is>
          <t>CB.TIROIR</t>
        </is>
      </c>
      <c r="E137" s="6">
        <f>SUMIFS('Z1_CplteAnneeMois'!$M$2:$M$493,'Z1_CplteAnneeMois'!$O$2:$O$493,B137,'Z1_CplteAnneeMois'!$F$2:$F$493,C137,'Z1_CplteAnneeMois'!$K$2:$K$493,D137)</f>
        <v/>
      </c>
    </row>
    <row r="138">
      <c r="A138" s="5" t="n">
        <v>2024</v>
      </c>
      <c r="B138" s="6" t="inlineStr">
        <is>
          <t>2024-07</t>
        </is>
      </c>
      <c r="C138" s="2" t="inlineStr">
        <is>
          <t>ZZ1</t>
        </is>
      </c>
      <c r="D138" s="2" t="inlineStr">
        <is>
          <t>CHQ.TIROIR</t>
        </is>
      </c>
      <c r="E138" s="6">
        <f>SUMIFS('Z1_CplteAnneeMois'!$M$2:$M$493,'Z1_CplteAnneeMois'!$O$2:$O$493,B138,'Z1_CplteAnneeMois'!$F$2:$F$493,C138,'Z1_CplteAnneeMois'!$K$2:$K$493,D138)</f>
        <v/>
      </c>
    </row>
    <row r="139">
      <c r="A139" s="5" t="n">
        <v>2024</v>
      </c>
      <c r="B139" s="6" t="inlineStr">
        <is>
          <t>2024-07</t>
        </is>
      </c>
      <c r="C139" s="2" t="inlineStr">
        <is>
          <t>ZZ1</t>
        </is>
      </c>
      <c r="D139" s="2" t="inlineStr">
        <is>
          <t>ESP.TIROIR</t>
        </is>
      </c>
      <c r="E139" s="6">
        <f>SUMIFS('Z1_CplteAnneeMois'!$M$2:$M$493,'Z1_CplteAnneeMois'!$O$2:$O$493,B139,'Z1_CplteAnneeMois'!$F$2:$F$493,C139,'Z1_CplteAnneeMois'!$K$2:$K$493,D139)</f>
        <v/>
      </c>
    </row>
    <row r="140">
      <c r="A140" s="5" t="n">
        <v>2024</v>
      </c>
      <c r="B140" s="6" t="inlineStr">
        <is>
          <t>2024-07</t>
        </is>
      </c>
      <c r="C140" s="2" t="inlineStr">
        <is>
          <t>ZZ1</t>
        </is>
      </c>
      <c r="D140" s="2" t="inlineStr">
        <is>
          <t>HORS TAXE 1</t>
        </is>
      </c>
      <c r="E140" s="6">
        <f>SUMIFS('Z1_CplteAnneeMois'!$M$2:$M$493,'Z1_CplteAnneeMois'!$O$2:$O$493,B140,'Z1_CplteAnneeMois'!$F$2:$F$493,C140,'Z1_CplteAnneeMois'!$K$2:$K$493,D140)</f>
        <v/>
      </c>
    </row>
    <row r="141">
      <c r="A141" s="5" t="n">
        <v>2024</v>
      </c>
      <c r="B141" s="6" t="inlineStr">
        <is>
          <t>2024-07</t>
        </is>
      </c>
      <c r="C141" s="2" t="inlineStr">
        <is>
          <t>ZZ1</t>
        </is>
      </c>
      <c r="D141" s="2" t="inlineStr">
        <is>
          <t>TVA 1</t>
        </is>
      </c>
      <c r="E141" s="6">
        <f>SUMIFS('Z1_CplteAnneeMois'!$M$2:$M$493,'Z1_CplteAnneeMois'!$O$2:$O$493,B141,'Z1_CplteAnneeMois'!$F$2:$F$493,C141,'Z1_CplteAnneeMois'!$K$2:$K$493,D141)</f>
        <v/>
      </c>
    </row>
    <row r="142">
      <c r="A142" s="5" t="n">
        <v>2024</v>
      </c>
      <c r="B142" s="6" t="inlineStr">
        <is>
          <t>2024-07</t>
        </is>
      </c>
      <c r="C142" s="2" t="inlineStr">
        <is>
          <t>ZZ2</t>
        </is>
      </c>
      <c r="D142" s="2" t="inlineStr">
        <is>
          <t>CA BRUT</t>
        </is>
      </c>
      <c r="E142" s="6">
        <f>SUMIFS('Z1_CplteAnneeMois'!$M$2:$M$493,'Z1_CplteAnneeMois'!$O$2:$O$493,B142,'Z1_CplteAnneeMois'!$F$2:$F$493,C142,'Z1_CplteAnneeMois'!$K$2:$K$493,D142)</f>
        <v/>
      </c>
    </row>
    <row r="143">
      <c r="A143" s="5" t="n">
        <v>2024</v>
      </c>
      <c r="B143" s="6" t="inlineStr">
        <is>
          <t>2024-07</t>
        </is>
      </c>
      <c r="C143" s="2" t="inlineStr">
        <is>
          <t>ZZ2</t>
        </is>
      </c>
      <c r="D143" s="2" t="inlineStr">
        <is>
          <t>CA NET</t>
        </is>
      </c>
      <c r="E143" s="6">
        <f>SUMIFS('Z1_CplteAnneeMois'!$M$2:$M$493,'Z1_CplteAnneeMois'!$O$2:$O$493,B143,'Z1_CplteAnneeMois'!$F$2:$F$493,C143,'Z1_CplteAnneeMois'!$K$2:$K$493,D143)</f>
        <v/>
      </c>
    </row>
    <row r="144">
      <c r="A144" s="5" t="n">
        <v>2024</v>
      </c>
      <c r="B144" s="6" t="inlineStr">
        <is>
          <t>2024-07</t>
        </is>
      </c>
      <c r="C144" s="2" t="inlineStr">
        <is>
          <t>ZZ2</t>
        </is>
      </c>
      <c r="D144" s="2" t="inlineStr">
        <is>
          <t>CB.TIROIR</t>
        </is>
      </c>
      <c r="E144" s="6">
        <f>SUMIFS('Z1_CplteAnneeMois'!$M$2:$M$493,'Z1_CplteAnneeMois'!$O$2:$O$493,B144,'Z1_CplteAnneeMois'!$F$2:$F$493,C144,'Z1_CplteAnneeMois'!$K$2:$K$493,D144)</f>
        <v/>
      </c>
    </row>
    <row r="145">
      <c r="A145" s="5" t="n">
        <v>2024</v>
      </c>
      <c r="B145" s="6" t="inlineStr">
        <is>
          <t>2024-07</t>
        </is>
      </c>
      <c r="C145" s="2" t="inlineStr">
        <is>
          <t>ZZ2</t>
        </is>
      </c>
      <c r="D145" s="2" t="inlineStr">
        <is>
          <t>CHQ.TIROIR</t>
        </is>
      </c>
      <c r="E145" s="6">
        <f>SUMIFS('Z1_CplteAnneeMois'!$M$2:$M$493,'Z1_CplteAnneeMois'!$O$2:$O$493,B145,'Z1_CplteAnneeMois'!$F$2:$F$493,C145,'Z1_CplteAnneeMois'!$K$2:$K$493,D145)</f>
        <v/>
      </c>
    </row>
    <row r="146">
      <c r="A146" s="5" t="n">
        <v>2024</v>
      </c>
      <c r="B146" s="6" t="inlineStr">
        <is>
          <t>2024-07</t>
        </is>
      </c>
      <c r="C146" s="2" t="inlineStr">
        <is>
          <t>ZZ2</t>
        </is>
      </c>
      <c r="D146" s="2" t="inlineStr">
        <is>
          <t>ESP.TIROIR</t>
        </is>
      </c>
      <c r="E146" s="6">
        <f>SUMIFS('Z1_CplteAnneeMois'!$M$2:$M$493,'Z1_CplteAnneeMois'!$O$2:$O$493,B146,'Z1_CplteAnneeMois'!$F$2:$F$493,C146,'Z1_CplteAnneeMois'!$K$2:$K$493,D146)</f>
        <v/>
      </c>
    </row>
    <row r="147">
      <c r="A147" s="5" t="n">
        <v>2024</v>
      </c>
      <c r="B147" s="6" t="inlineStr">
        <is>
          <t>2024-07</t>
        </is>
      </c>
      <c r="C147" s="2" t="inlineStr">
        <is>
          <t>ZZ2</t>
        </is>
      </c>
      <c r="D147" s="2" t="inlineStr">
        <is>
          <t>HORS TAXE 1</t>
        </is>
      </c>
      <c r="E147" s="6">
        <f>SUMIFS('Z1_CplteAnneeMois'!$M$2:$M$493,'Z1_CplteAnneeMois'!$O$2:$O$493,B147,'Z1_CplteAnneeMois'!$F$2:$F$493,C147,'Z1_CplteAnneeMois'!$K$2:$K$493,D147)</f>
        <v/>
      </c>
    </row>
    <row r="148">
      <c r="A148" s="5" t="n">
        <v>2024</v>
      </c>
      <c r="B148" s="6" t="inlineStr">
        <is>
          <t>2024-07</t>
        </is>
      </c>
      <c r="C148" s="2" t="inlineStr">
        <is>
          <t>ZZ2</t>
        </is>
      </c>
      <c r="D148" s="2" t="inlineStr">
        <is>
          <t>TVA 1</t>
        </is>
      </c>
      <c r="E148" s="6">
        <f>SUMIFS('Z1_CplteAnneeMois'!$M$2:$M$493,'Z1_CplteAnneeMois'!$O$2:$O$493,B148,'Z1_CplteAnneeMois'!$F$2:$F$493,C148,'Z1_CplteAnneeMois'!$K$2:$K$493,D148)</f>
        <v/>
      </c>
    </row>
    <row r="149">
      <c r="A149" s="5" t="n">
        <v>2024</v>
      </c>
      <c r="B149" s="6" t="inlineStr">
        <is>
          <t>2024-08</t>
        </is>
      </c>
      <c r="C149" s="2" t="inlineStr">
        <is>
          <t>Z</t>
        </is>
      </c>
      <c r="D149" s="2" t="inlineStr">
        <is>
          <t>CA BRUT</t>
        </is>
      </c>
      <c r="E149" s="6">
        <f>SUMIFS('Z1_CplteAnneeMois'!$M$2:$M$493,'Z1_CplteAnneeMois'!$O$2:$O$493,B149,'Z1_CplteAnneeMois'!$F$2:$F$493,C149,'Z1_CplteAnneeMois'!$K$2:$K$493,D149)</f>
        <v/>
      </c>
    </row>
    <row r="150">
      <c r="A150" s="5" t="n">
        <v>2024</v>
      </c>
      <c r="B150" s="6" t="inlineStr">
        <is>
          <t>2024-08</t>
        </is>
      </c>
      <c r="C150" s="2" t="inlineStr">
        <is>
          <t>Z</t>
        </is>
      </c>
      <c r="D150" s="2" t="inlineStr">
        <is>
          <t>CA NET</t>
        </is>
      </c>
      <c r="E150" s="6">
        <f>SUMIFS('Z1_CplteAnneeMois'!$M$2:$M$493,'Z1_CplteAnneeMois'!$O$2:$O$493,B150,'Z1_CplteAnneeMois'!$F$2:$F$493,C150,'Z1_CplteAnneeMois'!$K$2:$K$493,D150)</f>
        <v/>
      </c>
    </row>
    <row r="151">
      <c r="A151" s="5" t="n">
        <v>2024</v>
      </c>
      <c r="B151" s="6" t="inlineStr">
        <is>
          <t>2024-08</t>
        </is>
      </c>
      <c r="C151" s="2" t="inlineStr">
        <is>
          <t>Z</t>
        </is>
      </c>
      <c r="D151" s="2" t="inlineStr">
        <is>
          <t>CB.TIROIR</t>
        </is>
      </c>
      <c r="E151" s="6">
        <f>SUMIFS('Z1_CplteAnneeMois'!$M$2:$M$493,'Z1_CplteAnneeMois'!$O$2:$O$493,B151,'Z1_CplteAnneeMois'!$F$2:$F$493,C151,'Z1_CplteAnneeMois'!$K$2:$K$493,D151)</f>
        <v/>
      </c>
    </row>
    <row r="152">
      <c r="A152" s="5" t="n">
        <v>2024</v>
      </c>
      <c r="B152" s="6" t="inlineStr">
        <is>
          <t>2024-08</t>
        </is>
      </c>
      <c r="C152" s="2" t="inlineStr">
        <is>
          <t>Z</t>
        </is>
      </c>
      <c r="D152" s="2" t="inlineStr">
        <is>
          <t>CHQ.TIROIR</t>
        </is>
      </c>
      <c r="E152" s="6">
        <f>SUMIFS('Z1_CplteAnneeMois'!$M$2:$M$493,'Z1_CplteAnneeMois'!$O$2:$O$493,B152,'Z1_CplteAnneeMois'!$F$2:$F$493,C152,'Z1_CplteAnneeMois'!$K$2:$K$493,D152)</f>
        <v/>
      </c>
    </row>
    <row r="153">
      <c r="A153" s="5" t="n">
        <v>2024</v>
      </c>
      <c r="B153" s="6" t="inlineStr">
        <is>
          <t>2024-08</t>
        </is>
      </c>
      <c r="C153" s="2" t="inlineStr">
        <is>
          <t>Z</t>
        </is>
      </c>
      <c r="D153" s="2" t="inlineStr">
        <is>
          <t>ESP.TIROIR</t>
        </is>
      </c>
      <c r="E153" s="6">
        <f>SUMIFS('Z1_CplteAnneeMois'!$M$2:$M$493,'Z1_CplteAnneeMois'!$O$2:$O$493,B153,'Z1_CplteAnneeMois'!$F$2:$F$493,C153,'Z1_CplteAnneeMois'!$K$2:$K$493,D153)</f>
        <v/>
      </c>
    </row>
    <row r="154">
      <c r="A154" s="5" t="n">
        <v>2024</v>
      </c>
      <c r="B154" s="6" t="inlineStr">
        <is>
          <t>2024-08</t>
        </is>
      </c>
      <c r="C154" s="2" t="inlineStr">
        <is>
          <t>Z</t>
        </is>
      </c>
      <c r="D154" s="2" t="inlineStr">
        <is>
          <t>HORS TAXE 1</t>
        </is>
      </c>
      <c r="E154" s="6">
        <f>SUMIFS('Z1_CplteAnneeMois'!$M$2:$M$493,'Z1_CplteAnneeMois'!$O$2:$O$493,B154,'Z1_CplteAnneeMois'!$F$2:$F$493,C154,'Z1_CplteAnneeMois'!$K$2:$K$493,D154)</f>
        <v/>
      </c>
    </row>
    <row r="155">
      <c r="A155" s="5" t="n">
        <v>2024</v>
      </c>
      <c r="B155" s="6" t="inlineStr">
        <is>
          <t>2024-08</t>
        </is>
      </c>
      <c r="C155" s="2" t="inlineStr">
        <is>
          <t>Z</t>
        </is>
      </c>
      <c r="D155" s="2" t="inlineStr">
        <is>
          <t>TVA 1</t>
        </is>
      </c>
      <c r="E155" s="6">
        <f>SUMIFS('Z1_CplteAnneeMois'!$M$2:$M$493,'Z1_CplteAnneeMois'!$O$2:$O$493,B155,'Z1_CplteAnneeMois'!$F$2:$F$493,C155,'Z1_CplteAnneeMois'!$K$2:$K$493,D155)</f>
        <v/>
      </c>
    </row>
    <row r="156">
      <c r="A156" s="5" t="n">
        <v>2024</v>
      </c>
      <c r="B156" s="6" t="inlineStr">
        <is>
          <t>2024-08</t>
        </is>
      </c>
      <c r="C156" s="2" t="inlineStr">
        <is>
          <t>ZZ1</t>
        </is>
      </c>
      <c r="D156" s="2" t="inlineStr">
        <is>
          <t>CA BRUT</t>
        </is>
      </c>
      <c r="E156" s="6">
        <f>SUMIFS('Z1_CplteAnneeMois'!$M$2:$M$493,'Z1_CplteAnneeMois'!$O$2:$O$493,B156,'Z1_CplteAnneeMois'!$F$2:$F$493,C156,'Z1_CplteAnneeMois'!$K$2:$K$493,D156)</f>
        <v/>
      </c>
    </row>
    <row r="157">
      <c r="A157" s="5" t="n">
        <v>2024</v>
      </c>
      <c r="B157" s="6" t="inlineStr">
        <is>
          <t>2024-08</t>
        </is>
      </c>
      <c r="C157" s="2" t="inlineStr">
        <is>
          <t>ZZ1</t>
        </is>
      </c>
      <c r="D157" s="2" t="inlineStr">
        <is>
          <t>CA NET</t>
        </is>
      </c>
      <c r="E157" s="6">
        <f>SUMIFS('Z1_CplteAnneeMois'!$M$2:$M$493,'Z1_CplteAnneeMois'!$O$2:$O$493,B157,'Z1_CplteAnneeMois'!$F$2:$F$493,C157,'Z1_CplteAnneeMois'!$K$2:$K$493,D157)</f>
        <v/>
      </c>
    </row>
    <row r="158">
      <c r="A158" s="5" t="n">
        <v>2024</v>
      </c>
      <c r="B158" s="6" t="inlineStr">
        <is>
          <t>2024-08</t>
        </is>
      </c>
      <c r="C158" s="2" t="inlineStr">
        <is>
          <t>ZZ1</t>
        </is>
      </c>
      <c r="D158" s="2" t="inlineStr">
        <is>
          <t>CB.TIROIR</t>
        </is>
      </c>
      <c r="E158" s="6">
        <f>SUMIFS('Z1_CplteAnneeMois'!$M$2:$M$493,'Z1_CplteAnneeMois'!$O$2:$O$493,B158,'Z1_CplteAnneeMois'!$F$2:$F$493,C158,'Z1_CplteAnneeMois'!$K$2:$K$493,D158)</f>
        <v/>
      </c>
    </row>
    <row r="159">
      <c r="A159" s="5" t="n">
        <v>2024</v>
      </c>
      <c r="B159" s="6" t="inlineStr">
        <is>
          <t>2024-08</t>
        </is>
      </c>
      <c r="C159" s="2" t="inlineStr">
        <is>
          <t>ZZ1</t>
        </is>
      </c>
      <c r="D159" s="2" t="inlineStr">
        <is>
          <t>CHQ.TIROIR</t>
        </is>
      </c>
      <c r="E159" s="6">
        <f>SUMIFS('Z1_CplteAnneeMois'!$M$2:$M$493,'Z1_CplteAnneeMois'!$O$2:$O$493,B159,'Z1_CplteAnneeMois'!$F$2:$F$493,C159,'Z1_CplteAnneeMois'!$K$2:$K$493,D159)</f>
        <v/>
      </c>
    </row>
    <row r="160">
      <c r="A160" s="5" t="n">
        <v>2024</v>
      </c>
      <c r="B160" s="6" t="inlineStr">
        <is>
          <t>2024-08</t>
        </is>
      </c>
      <c r="C160" s="2" t="inlineStr">
        <is>
          <t>ZZ1</t>
        </is>
      </c>
      <c r="D160" s="2" t="inlineStr">
        <is>
          <t>ESP.TIROIR</t>
        </is>
      </c>
      <c r="E160" s="6">
        <f>SUMIFS('Z1_CplteAnneeMois'!$M$2:$M$493,'Z1_CplteAnneeMois'!$O$2:$O$493,B160,'Z1_CplteAnneeMois'!$F$2:$F$493,C160,'Z1_CplteAnneeMois'!$K$2:$K$493,D160)</f>
        <v/>
      </c>
    </row>
    <row r="161">
      <c r="A161" s="5" t="n">
        <v>2024</v>
      </c>
      <c r="B161" s="6" t="inlineStr">
        <is>
          <t>2024-08</t>
        </is>
      </c>
      <c r="C161" s="2" t="inlineStr">
        <is>
          <t>ZZ1</t>
        </is>
      </c>
      <c r="D161" s="2" t="inlineStr">
        <is>
          <t>HORS TAXE 1</t>
        </is>
      </c>
      <c r="E161" s="6">
        <f>SUMIFS('Z1_CplteAnneeMois'!$M$2:$M$493,'Z1_CplteAnneeMois'!$O$2:$O$493,B161,'Z1_CplteAnneeMois'!$F$2:$F$493,C161,'Z1_CplteAnneeMois'!$K$2:$K$493,D161)</f>
        <v/>
      </c>
    </row>
    <row r="162">
      <c r="A162" s="5" t="n">
        <v>2024</v>
      </c>
      <c r="B162" s="6" t="inlineStr">
        <is>
          <t>2024-08</t>
        </is>
      </c>
      <c r="C162" s="2" t="inlineStr">
        <is>
          <t>ZZ1</t>
        </is>
      </c>
      <c r="D162" s="2" t="inlineStr">
        <is>
          <t>TVA 1</t>
        </is>
      </c>
      <c r="E162" s="6">
        <f>SUMIFS('Z1_CplteAnneeMois'!$M$2:$M$493,'Z1_CplteAnneeMois'!$O$2:$O$493,B162,'Z1_CplteAnneeMois'!$F$2:$F$493,C162,'Z1_CplteAnneeMois'!$K$2:$K$493,D162)</f>
        <v/>
      </c>
    </row>
    <row r="163">
      <c r="A163" s="5" t="n">
        <v>2024</v>
      </c>
      <c r="B163" s="6" t="inlineStr">
        <is>
          <t>2024-08</t>
        </is>
      </c>
      <c r="C163" s="2" t="inlineStr">
        <is>
          <t>ZZ2</t>
        </is>
      </c>
      <c r="D163" s="2" t="inlineStr">
        <is>
          <t>CA BRUT</t>
        </is>
      </c>
      <c r="E163" s="6">
        <f>SUMIFS('Z1_CplteAnneeMois'!$M$2:$M$493,'Z1_CplteAnneeMois'!$O$2:$O$493,B163,'Z1_CplteAnneeMois'!$F$2:$F$493,C163,'Z1_CplteAnneeMois'!$K$2:$K$493,D163)</f>
        <v/>
      </c>
    </row>
    <row r="164">
      <c r="A164" s="5" t="n">
        <v>2024</v>
      </c>
      <c r="B164" s="6" t="inlineStr">
        <is>
          <t>2024-08</t>
        </is>
      </c>
      <c r="C164" s="2" t="inlineStr">
        <is>
          <t>ZZ2</t>
        </is>
      </c>
      <c r="D164" s="2" t="inlineStr">
        <is>
          <t>CA NET</t>
        </is>
      </c>
      <c r="E164" s="6">
        <f>SUMIFS('Z1_CplteAnneeMois'!$M$2:$M$493,'Z1_CplteAnneeMois'!$O$2:$O$493,B164,'Z1_CplteAnneeMois'!$F$2:$F$493,C164,'Z1_CplteAnneeMois'!$K$2:$K$493,D164)</f>
        <v/>
      </c>
    </row>
    <row r="165">
      <c r="A165" s="5" t="n">
        <v>2024</v>
      </c>
      <c r="B165" s="6" t="inlineStr">
        <is>
          <t>2024-08</t>
        </is>
      </c>
      <c r="C165" s="2" t="inlineStr">
        <is>
          <t>ZZ2</t>
        </is>
      </c>
      <c r="D165" s="2" t="inlineStr">
        <is>
          <t>CB.TIROIR</t>
        </is>
      </c>
      <c r="E165" s="6">
        <f>SUMIFS('Z1_CplteAnneeMois'!$M$2:$M$493,'Z1_CplteAnneeMois'!$O$2:$O$493,B165,'Z1_CplteAnneeMois'!$F$2:$F$493,C165,'Z1_CplteAnneeMois'!$K$2:$K$493,D165)</f>
        <v/>
      </c>
    </row>
    <row r="166">
      <c r="A166" s="5" t="n">
        <v>2024</v>
      </c>
      <c r="B166" s="6" t="inlineStr">
        <is>
          <t>2024-08</t>
        </is>
      </c>
      <c r="C166" s="2" t="inlineStr">
        <is>
          <t>ZZ2</t>
        </is>
      </c>
      <c r="D166" s="2" t="inlineStr">
        <is>
          <t>CHQ.TIROIR</t>
        </is>
      </c>
      <c r="E166" s="6">
        <f>SUMIFS('Z1_CplteAnneeMois'!$M$2:$M$493,'Z1_CplteAnneeMois'!$O$2:$O$493,B166,'Z1_CplteAnneeMois'!$F$2:$F$493,C166,'Z1_CplteAnneeMois'!$K$2:$K$493,D166)</f>
        <v/>
      </c>
    </row>
    <row r="167">
      <c r="A167" s="5" t="n">
        <v>2024</v>
      </c>
      <c r="B167" s="6" t="inlineStr">
        <is>
          <t>2024-08</t>
        </is>
      </c>
      <c r="C167" s="2" t="inlineStr">
        <is>
          <t>ZZ2</t>
        </is>
      </c>
      <c r="D167" s="2" t="inlineStr">
        <is>
          <t>ESP.TIROIR</t>
        </is>
      </c>
      <c r="E167" s="6">
        <f>SUMIFS('Z1_CplteAnneeMois'!$M$2:$M$493,'Z1_CplteAnneeMois'!$O$2:$O$493,B167,'Z1_CplteAnneeMois'!$F$2:$F$493,C167,'Z1_CplteAnneeMois'!$K$2:$K$493,D167)</f>
        <v/>
      </c>
    </row>
    <row r="168">
      <c r="A168" s="5" t="n">
        <v>2024</v>
      </c>
      <c r="B168" s="6" t="inlineStr">
        <is>
          <t>2024-08</t>
        </is>
      </c>
      <c r="C168" s="2" t="inlineStr">
        <is>
          <t>ZZ2</t>
        </is>
      </c>
      <c r="D168" s="2" t="inlineStr">
        <is>
          <t>HORS TAXE 1</t>
        </is>
      </c>
      <c r="E168" s="6">
        <f>SUMIFS('Z1_CplteAnneeMois'!$M$2:$M$493,'Z1_CplteAnneeMois'!$O$2:$O$493,B168,'Z1_CplteAnneeMois'!$F$2:$F$493,C168,'Z1_CplteAnneeMois'!$K$2:$K$493,D168)</f>
        <v/>
      </c>
    </row>
    <row r="169">
      <c r="A169" s="5" t="n">
        <v>2024</v>
      </c>
      <c r="B169" s="6" t="inlineStr">
        <is>
          <t>2024-08</t>
        </is>
      </c>
      <c r="C169" s="2" t="inlineStr">
        <is>
          <t>ZZ2</t>
        </is>
      </c>
      <c r="D169" s="2" t="inlineStr">
        <is>
          <t>TVA 1</t>
        </is>
      </c>
      <c r="E169" s="6">
        <f>SUMIFS('Z1_CplteAnneeMois'!$M$2:$M$493,'Z1_CplteAnneeMois'!$O$2:$O$493,B169,'Z1_CplteAnneeMois'!$F$2:$F$493,C169,'Z1_CplteAnneeMois'!$K$2:$K$493,D169)</f>
        <v/>
      </c>
    </row>
    <row r="170">
      <c r="A170" s="5" t="n">
        <v>2024</v>
      </c>
      <c r="B170" s="6" t="inlineStr">
        <is>
          <t>2024-09</t>
        </is>
      </c>
      <c r="C170" s="2" t="inlineStr">
        <is>
          <t>Z</t>
        </is>
      </c>
      <c r="D170" s="2" t="inlineStr">
        <is>
          <t>CA BRUT</t>
        </is>
      </c>
      <c r="E170" s="6">
        <f>SUMIFS('Z1_CplteAnneeMois'!$M$2:$M$493,'Z1_CplteAnneeMois'!$O$2:$O$493,B170,'Z1_CplteAnneeMois'!$F$2:$F$493,C170,'Z1_CplteAnneeMois'!$K$2:$K$493,D170)</f>
        <v/>
      </c>
    </row>
    <row r="171">
      <c r="A171" s="5" t="n">
        <v>2024</v>
      </c>
      <c r="B171" s="6" t="inlineStr">
        <is>
          <t>2024-09</t>
        </is>
      </c>
      <c r="C171" s="2" t="inlineStr">
        <is>
          <t>Z</t>
        </is>
      </c>
      <c r="D171" s="2" t="inlineStr">
        <is>
          <t>CA NET</t>
        </is>
      </c>
      <c r="E171" s="6">
        <f>SUMIFS('Z1_CplteAnneeMois'!$M$2:$M$493,'Z1_CplteAnneeMois'!$O$2:$O$493,B171,'Z1_CplteAnneeMois'!$F$2:$F$493,C171,'Z1_CplteAnneeMois'!$K$2:$K$493,D171)</f>
        <v/>
      </c>
    </row>
    <row r="172">
      <c r="A172" s="5" t="n">
        <v>2024</v>
      </c>
      <c r="B172" s="6" t="inlineStr">
        <is>
          <t>2024-09</t>
        </is>
      </c>
      <c r="C172" s="2" t="inlineStr">
        <is>
          <t>Z</t>
        </is>
      </c>
      <c r="D172" s="2" t="inlineStr">
        <is>
          <t>CB.TIROIR</t>
        </is>
      </c>
      <c r="E172" s="6">
        <f>SUMIFS('Z1_CplteAnneeMois'!$M$2:$M$493,'Z1_CplteAnneeMois'!$O$2:$O$493,B172,'Z1_CplteAnneeMois'!$F$2:$F$493,C172,'Z1_CplteAnneeMois'!$K$2:$K$493,D172)</f>
        <v/>
      </c>
    </row>
    <row r="173">
      <c r="A173" s="5" t="n">
        <v>2024</v>
      </c>
      <c r="B173" s="6" t="inlineStr">
        <is>
          <t>2024-09</t>
        </is>
      </c>
      <c r="C173" s="2" t="inlineStr">
        <is>
          <t>Z</t>
        </is>
      </c>
      <c r="D173" s="2" t="inlineStr">
        <is>
          <t>CHQ.TIROIR</t>
        </is>
      </c>
      <c r="E173" s="6">
        <f>SUMIFS('Z1_CplteAnneeMois'!$M$2:$M$493,'Z1_CplteAnneeMois'!$O$2:$O$493,B173,'Z1_CplteAnneeMois'!$F$2:$F$493,C173,'Z1_CplteAnneeMois'!$K$2:$K$493,D173)</f>
        <v/>
      </c>
    </row>
    <row r="174">
      <c r="A174" s="5" t="n">
        <v>2024</v>
      </c>
      <c r="B174" s="6" t="inlineStr">
        <is>
          <t>2024-09</t>
        </is>
      </c>
      <c r="C174" s="2" t="inlineStr">
        <is>
          <t>Z</t>
        </is>
      </c>
      <c r="D174" s="2" t="inlineStr">
        <is>
          <t>ESP.TIROIR</t>
        </is>
      </c>
      <c r="E174" s="6">
        <f>SUMIFS('Z1_CplteAnneeMois'!$M$2:$M$493,'Z1_CplteAnneeMois'!$O$2:$O$493,B174,'Z1_CplteAnneeMois'!$F$2:$F$493,C174,'Z1_CplteAnneeMois'!$K$2:$K$493,D174)</f>
        <v/>
      </c>
    </row>
    <row r="175">
      <c r="A175" s="5" t="n">
        <v>2024</v>
      </c>
      <c r="B175" s="6" t="inlineStr">
        <is>
          <t>2024-09</t>
        </is>
      </c>
      <c r="C175" s="2" t="inlineStr">
        <is>
          <t>Z</t>
        </is>
      </c>
      <c r="D175" s="2" t="inlineStr">
        <is>
          <t>HORS TAXE 1</t>
        </is>
      </c>
      <c r="E175" s="6">
        <f>SUMIFS('Z1_CplteAnneeMois'!$M$2:$M$493,'Z1_CplteAnneeMois'!$O$2:$O$493,B175,'Z1_CplteAnneeMois'!$F$2:$F$493,C175,'Z1_CplteAnneeMois'!$K$2:$K$493,D175)</f>
        <v/>
      </c>
    </row>
    <row r="176">
      <c r="A176" s="5" t="n">
        <v>2024</v>
      </c>
      <c r="B176" s="6" t="inlineStr">
        <is>
          <t>2024-09</t>
        </is>
      </c>
      <c r="C176" s="2" t="inlineStr">
        <is>
          <t>Z</t>
        </is>
      </c>
      <c r="D176" s="2" t="inlineStr">
        <is>
          <t>TVA 1</t>
        </is>
      </c>
      <c r="E176" s="6">
        <f>SUMIFS('Z1_CplteAnneeMois'!$M$2:$M$493,'Z1_CplteAnneeMois'!$O$2:$O$493,B176,'Z1_CplteAnneeMois'!$F$2:$F$493,C176,'Z1_CplteAnneeMois'!$K$2:$K$493,D176)</f>
        <v/>
      </c>
    </row>
    <row r="177">
      <c r="A177" s="5" t="n">
        <v>2024</v>
      </c>
      <c r="B177" s="6" t="inlineStr">
        <is>
          <t>2024-09</t>
        </is>
      </c>
      <c r="C177" s="2" t="inlineStr">
        <is>
          <t>ZZ1</t>
        </is>
      </c>
      <c r="D177" s="2" t="inlineStr">
        <is>
          <t>CA BRUT</t>
        </is>
      </c>
      <c r="E177" s="6">
        <f>SUMIFS('Z1_CplteAnneeMois'!$M$2:$M$493,'Z1_CplteAnneeMois'!$O$2:$O$493,B177,'Z1_CplteAnneeMois'!$F$2:$F$493,C177,'Z1_CplteAnneeMois'!$K$2:$K$493,D177)</f>
        <v/>
      </c>
    </row>
    <row r="178">
      <c r="A178" s="5" t="n">
        <v>2024</v>
      </c>
      <c r="B178" s="6" t="inlineStr">
        <is>
          <t>2024-09</t>
        </is>
      </c>
      <c r="C178" s="2" t="inlineStr">
        <is>
          <t>ZZ1</t>
        </is>
      </c>
      <c r="D178" s="2" t="inlineStr">
        <is>
          <t>CA NET</t>
        </is>
      </c>
      <c r="E178" s="6">
        <f>SUMIFS('Z1_CplteAnneeMois'!$M$2:$M$493,'Z1_CplteAnneeMois'!$O$2:$O$493,B178,'Z1_CplteAnneeMois'!$F$2:$F$493,C178,'Z1_CplteAnneeMois'!$K$2:$K$493,D178)</f>
        <v/>
      </c>
    </row>
    <row r="179">
      <c r="A179" s="5" t="n">
        <v>2024</v>
      </c>
      <c r="B179" s="6" t="inlineStr">
        <is>
          <t>2024-09</t>
        </is>
      </c>
      <c r="C179" s="2" t="inlineStr">
        <is>
          <t>ZZ1</t>
        </is>
      </c>
      <c r="D179" s="2" t="inlineStr">
        <is>
          <t>CB.TIROIR</t>
        </is>
      </c>
      <c r="E179" s="6">
        <f>SUMIFS('Z1_CplteAnneeMois'!$M$2:$M$493,'Z1_CplteAnneeMois'!$O$2:$O$493,B179,'Z1_CplteAnneeMois'!$F$2:$F$493,C179,'Z1_CplteAnneeMois'!$K$2:$K$493,D179)</f>
        <v/>
      </c>
    </row>
    <row r="180">
      <c r="A180" s="5" t="n">
        <v>2024</v>
      </c>
      <c r="B180" s="6" t="inlineStr">
        <is>
          <t>2024-09</t>
        </is>
      </c>
      <c r="C180" s="2" t="inlineStr">
        <is>
          <t>ZZ1</t>
        </is>
      </c>
      <c r="D180" s="2" t="inlineStr">
        <is>
          <t>CHQ.TIROIR</t>
        </is>
      </c>
      <c r="E180" s="6">
        <f>SUMIFS('Z1_CplteAnneeMois'!$M$2:$M$493,'Z1_CplteAnneeMois'!$O$2:$O$493,B180,'Z1_CplteAnneeMois'!$F$2:$F$493,C180,'Z1_CplteAnneeMois'!$K$2:$K$493,D180)</f>
        <v/>
      </c>
    </row>
    <row r="181">
      <c r="A181" s="5" t="n">
        <v>2024</v>
      </c>
      <c r="B181" s="6" t="inlineStr">
        <is>
          <t>2024-09</t>
        </is>
      </c>
      <c r="C181" s="2" t="inlineStr">
        <is>
          <t>ZZ1</t>
        </is>
      </c>
      <c r="D181" s="2" t="inlineStr">
        <is>
          <t>ESP.TIROIR</t>
        </is>
      </c>
      <c r="E181" s="6">
        <f>SUMIFS('Z1_CplteAnneeMois'!$M$2:$M$493,'Z1_CplteAnneeMois'!$O$2:$O$493,B181,'Z1_CplteAnneeMois'!$F$2:$F$493,C181,'Z1_CplteAnneeMois'!$K$2:$K$493,D181)</f>
        <v/>
      </c>
    </row>
    <row r="182">
      <c r="A182" s="5" t="n">
        <v>2024</v>
      </c>
      <c r="B182" s="6" t="inlineStr">
        <is>
          <t>2024-09</t>
        </is>
      </c>
      <c r="C182" s="2" t="inlineStr">
        <is>
          <t>ZZ1</t>
        </is>
      </c>
      <c r="D182" s="2" t="inlineStr">
        <is>
          <t>HORS TAXE 1</t>
        </is>
      </c>
      <c r="E182" s="6">
        <f>SUMIFS('Z1_CplteAnneeMois'!$M$2:$M$493,'Z1_CplteAnneeMois'!$O$2:$O$493,B182,'Z1_CplteAnneeMois'!$F$2:$F$493,C182,'Z1_CplteAnneeMois'!$K$2:$K$493,D182)</f>
        <v/>
      </c>
    </row>
    <row r="183">
      <c r="A183" s="5" t="n">
        <v>2024</v>
      </c>
      <c r="B183" s="6" t="inlineStr">
        <is>
          <t>2024-09</t>
        </is>
      </c>
      <c r="C183" s="2" t="inlineStr">
        <is>
          <t>ZZ1</t>
        </is>
      </c>
      <c r="D183" s="2" t="inlineStr">
        <is>
          <t>TVA 1</t>
        </is>
      </c>
      <c r="E183" s="6">
        <f>SUMIFS('Z1_CplteAnneeMois'!$M$2:$M$493,'Z1_CplteAnneeMois'!$O$2:$O$493,B183,'Z1_CplteAnneeMois'!$F$2:$F$493,C183,'Z1_CplteAnneeMois'!$K$2:$K$493,D183)</f>
        <v/>
      </c>
    </row>
    <row r="184">
      <c r="A184" s="5" t="n">
        <v>2024</v>
      </c>
      <c r="B184" s="6" t="inlineStr">
        <is>
          <t>2024-09</t>
        </is>
      </c>
      <c r="C184" s="2" t="inlineStr">
        <is>
          <t>ZZ2</t>
        </is>
      </c>
      <c r="D184" s="2" t="inlineStr">
        <is>
          <t>CA BRUT</t>
        </is>
      </c>
      <c r="E184" s="6">
        <f>SUMIFS('Z1_CplteAnneeMois'!$M$2:$M$493,'Z1_CplteAnneeMois'!$O$2:$O$493,B184,'Z1_CplteAnneeMois'!$F$2:$F$493,C184,'Z1_CplteAnneeMois'!$K$2:$K$493,D184)</f>
        <v/>
      </c>
    </row>
    <row r="185">
      <c r="A185" s="5" t="n">
        <v>2024</v>
      </c>
      <c r="B185" s="6" t="inlineStr">
        <is>
          <t>2024-09</t>
        </is>
      </c>
      <c r="C185" s="2" t="inlineStr">
        <is>
          <t>ZZ2</t>
        </is>
      </c>
      <c r="D185" s="2" t="inlineStr">
        <is>
          <t>CA NET</t>
        </is>
      </c>
      <c r="E185" s="6">
        <f>SUMIFS('Z1_CplteAnneeMois'!$M$2:$M$493,'Z1_CplteAnneeMois'!$O$2:$O$493,B185,'Z1_CplteAnneeMois'!$F$2:$F$493,C185,'Z1_CplteAnneeMois'!$K$2:$K$493,D185)</f>
        <v/>
      </c>
    </row>
    <row r="186">
      <c r="A186" s="5" t="n">
        <v>2024</v>
      </c>
      <c r="B186" s="6" t="inlineStr">
        <is>
          <t>2024-09</t>
        </is>
      </c>
      <c r="C186" s="2" t="inlineStr">
        <is>
          <t>ZZ2</t>
        </is>
      </c>
      <c r="D186" s="2" t="inlineStr">
        <is>
          <t>CB.TIROIR</t>
        </is>
      </c>
      <c r="E186" s="6">
        <f>SUMIFS('Z1_CplteAnneeMois'!$M$2:$M$493,'Z1_CplteAnneeMois'!$O$2:$O$493,B186,'Z1_CplteAnneeMois'!$F$2:$F$493,C186,'Z1_CplteAnneeMois'!$K$2:$K$493,D186)</f>
        <v/>
      </c>
    </row>
    <row r="187">
      <c r="A187" s="5" t="n">
        <v>2024</v>
      </c>
      <c r="B187" s="6" t="inlineStr">
        <is>
          <t>2024-09</t>
        </is>
      </c>
      <c r="C187" s="2" t="inlineStr">
        <is>
          <t>ZZ2</t>
        </is>
      </c>
      <c r="D187" s="2" t="inlineStr">
        <is>
          <t>CHQ.TIROIR</t>
        </is>
      </c>
      <c r="E187" s="6">
        <f>SUMIFS('Z1_CplteAnneeMois'!$M$2:$M$493,'Z1_CplteAnneeMois'!$O$2:$O$493,B187,'Z1_CplteAnneeMois'!$F$2:$F$493,C187,'Z1_CplteAnneeMois'!$K$2:$K$493,D187)</f>
        <v/>
      </c>
    </row>
    <row r="188">
      <c r="A188" s="5" t="n">
        <v>2024</v>
      </c>
      <c r="B188" s="6" t="inlineStr">
        <is>
          <t>2024-09</t>
        </is>
      </c>
      <c r="C188" s="2" t="inlineStr">
        <is>
          <t>ZZ2</t>
        </is>
      </c>
      <c r="D188" s="2" t="inlineStr">
        <is>
          <t>ESP.TIROIR</t>
        </is>
      </c>
      <c r="E188" s="6">
        <f>SUMIFS('Z1_CplteAnneeMois'!$M$2:$M$493,'Z1_CplteAnneeMois'!$O$2:$O$493,B188,'Z1_CplteAnneeMois'!$F$2:$F$493,C188,'Z1_CplteAnneeMois'!$K$2:$K$493,D188)</f>
        <v/>
      </c>
    </row>
    <row r="189">
      <c r="A189" s="5" t="n">
        <v>2024</v>
      </c>
      <c r="B189" s="6" t="inlineStr">
        <is>
          <t>2024-09</t>
        </is>
      </c>
      <c r="C189" s="2" t="inlineStr">
        <is>
          <t>ZZ2</t>
        </is>
      </c>
      <c r="D189" s="2" t="inlineStr">
        <is>
          <t>HORS TAXE 1</t>
        </is>
      </c>
      <c r="E189" s="6">
        <f>SUMIFS('Z1_CplteAnneeMois'!$M$2:$M$493,'Z1_CplteAnneeMois'!$O$2:$O$493,B189,'Z1_CplteAnneeMois'!$F$2:$F$493,C189,'Z1_CplteAnneeMois'!$K$2:$K$493,D189)</f>
        <v/>
      </c>
    </row>
    <row r="190">
      <c r="A190" s="5" t="n">
        <v>2024</v>
      </c>
      <c r="B190" s="6" t="inlineStr">
        <is>
          <t>2024-09</t>
        </is>
      </c>
      <c r="C190" s="2" t="inlineStr">
        <is>
          <t>ZZ2</t>
        </is>
      </c>
      <c r="D190" s="2" t="inlineStr">
        <is>
          <t>TVA 1</t>
        </is>
      </c>
      <c r="E190" s="6">
        <f>SUMIFS('Z1_CplteAnneeMois'!$M$2:$M$493,'Z1_CplteAnneeMois'!$O$2:$O$493,B190,'Z1_CplteAnneeMois'!$F$2:$F$493,C190,'Z1_CplteAnneeMois'!$K$2:$K$493,D190)</f>
        <v/>
      </c>
    </row>
    <row r="191">
      <c r="A191" s="5" t="n">
        <v>2024</v>
      </c>
      <c r="B191" s="6" t="inlineStr">
        <is>
          <t>2024-10</t>
        </is>
      </c>
      <c r="C191" s="2" t="inlineStr">
        <is>
          <t>Z</t>
        </is>
      </c>
      <c r="D191" s="2" t="inlineStr">
        <is>
          <t>CA BRUT</t>
        </is>
      </c>
      <c r="E191" s="6">
        <f>SUMIFS('Z1_CplteAnneeMois'!$M$2:$M$493,'Z1_CplteAnneeMois'!$O$2:$O$493,B191,'Z1_CplteAnneeMois'!$F$2:$F$493,C191,'Z1_CplteAnneeMois'!$K$2:$K$493,D191)</f>
        <v/>
      </c>
    </row>
    <row r="192">
      <c r="A192" s="5" t="n">
        <v>2024</v>
      </c>
      <c r="B192" s="6" t="inlineStr">
        <is>
          <t>2024-10</t>
        </is>
      </c>
      <c r="C192" s="2" t="inlineStr">
        <is>
          <t>Z</t>
        </is>
      </c>
      <c r="D192" s="2" t="inlineStr">
        <is>
          <t>CA NET</t>
        </is>
      </c>
      <c r="E192" s="6">
        <f>SUMIFS('Z1_CplteAnneeMois'!$M$2:$M$493,'Z1_CplteAnneeMois'!$O$2:$O$493,B192,'Z1_CplteAnneeMois'!$F$2:$F$493,C192,'Z1_CplteAnneeMois'!$K$2:$K$493,D192)</f>
        <v/>
      </c>
    </row>
    <row r="193">
      <c r="A193" s="5" t="n">
        <v>2024</v>
      </c>
      <c r="B193" s="6" t="inlineStr">
        <is>
          <t>2024-10</t>
        </is>
      </c>
      <c r="C193" s="2" t="inlineStr">
        <is>
          <t>Z</t>
        </is>
      </c>
      <c r="D193" s="2" t="inlineStr">
        <is>
          <t>CB.TIROIR</t>
        </is>
      </c>
      <c r="E193" s="6">
        <f>SUMIFS('Z1_CplteAnneeMois'!$M$2:$M$493,'Z1_CplteAnneeMois'!$O$2:$O$493,B193,'Z1_CplteAnneeMois'!$F$2:$F$493,C193,'Z1_CplteAnneeMois'!$K$2:$K$493,D193)</f>
        <v/>
      </c>
    </row>
    <row r="194">
      <c r="A194" s="5" t="n">
        <v>2024</v>
      </c>
      <c r="B194" s="6" t="inlineStr">
        <is>
          <t>2024-10</t>
        </is>
      </c>
      <c r="C194" s="2" t="inlineStr">
        <is>
          <t>Z</t>
        </is>
      </c>
      <c r="D194" s="2" t="inlineStr">
        <is>
          <t>CHQ.TIROIR</t>
        </is>
      </c>
      <c r="E194" s="6">
        <f>SUMIFS('Z1_CplteAnneeMois'!$M$2:$M$493,'Z1_CplteAnneeMois'!$O$2:$O$493,B194,'Z1_CplteAnneeMois'!$F$2:$F$493,C194,'Z1_CplteAnneeMois'!$K$2:$K$493,D194)</f>
        <v/>
      </c>
    </row>
    <row r="195">
      <c r="A195" s="5" t="n">
        <v>2024</v>
      </c>
      <c r="B195" s="6" t="inlineStr">
        <is>
          <t>2024-10</t>
        </is>
      </c>
      <c r="C195" s="2" t="inlineStr">
        <is>
          <t>Z</t>
        </is>
      </c>
      <c r="D195" s="2" t="inlineStr">
        <is>
          <t>ESP.TIROIR</t>
        </is>
      </c>
      <c r="E195" s="6">
        <f>SUMIFS('Z1_CplteAnneeMois'!$M$2:$M$493,'Z1_CplteAnneeMois'!$O$2:$O$493,B195,'Z1_CplteAnneeMois'!$F$2:$F$493,C195,'Z1_CplteAnneeMois'!$K$2:$K$493,D195)</f>
        <v/>
      </c>
    </row>
    <row r="196">
      <c r="A196" s="5" t="n">
        <v>2024</v>
      </c>
      <c r="B196" s="6" t="inlineStr">
        <is>
          <t>2024-10</t>
        </is>
      </c>
      <c r="C196" s="2" t="inlineStr">
        <is>
          <t>Z</t>
        </is>
      </c>
      <c r="D196" s="2" t="inlineStr">
        <is>
          <t>HORS TAXE 1</t>
        </is>
      </c>
      <c r="E196" s="6">
        <f>SUMIFS('Z1_CplteAnneeMois'!$M$2:$M$493,'Z1_CplteAnneeMois'!$O$2:$O$493,B196,'Z1_CplteAnneeMois'!$F$2:$F$493,C196,'Z1_CplteAnneeMois'!$K$2:$K$493,D196)</f>
        <v/>
      </c>
    </row>
    <row r="197">
      <c r="A197" s="5" t="n">
        <v>2024</v>
      </c>
      <c r="B197" s="6" t="inlineStr">
        <is>
          <t>2024-10</t>
        </is>
      </c>
      <c r="C197" s="2" t="inlineStr">
        <is>
          <t>Z</t>
        </is>
      </c>
      <c r="D197" s="2" t="inlineStr">
        <is>
          <t>TVA 1</t>
        </is>
      </c>
      <c r="E197" s="6">
        <f>SUMIFS('Z1_CplteAnneeMois'!$M$2:$M$493,'Z1_CplteAnneeMois'!$O$2:$O$493,B197,'Z1_CplteAnneeMois'!$F$2:$F$493,C197,'Z1_CplteAnneeMois'!$K$2:$K$493,D197)</f>
        <v/>
      </c>
    </row>
    <row r="198">
      <c r="A198" s="5" t="n">
        <v>2024</v>
      </c>
      <c r="B198" s="6" t="inlineStr">
        <is>
          <t>2024-10</t>
        </is>
      </c>
      <c r="C198" s="2" t="inlineStr">
        <is>
          <t>ZZ1</t>
        </is>
      </c>
      <c r="D198" s="2" t="inlineStr">
        <is>
          <t>CA BRUT</t>
        </is>
      </c>
      <c r="E198" s="6">
        <f>SUMIFS('Z1_CplteAnneeMois'!$M$2:$M$493,'Z1_CplteAnneeMois'!$O$2:$O$493,B198,'Z1_CplteAnneeMois'!$F$2:$F$493,C198,'Z1_CplteAnneeMois'!$K$2:$K$493,D198)</f>
        <v/>
      </c>
    </row>
    <row r="199">
      <c r="A199" s="5" t="n">
        <v>2024</v>
      </c>
      <c r="B199" s="6" t="inlineStr">
        <is>
          <t>2024-10</t>
        </is>
      </c>
      <c r="C199" s="2" t="inlineStr">
        <is>
          <t>ZZ1</t>
        </is>
      </c>
      <c r="D199" s="2" t="inlineStr">
        <is>
          <t>CA NET</t>
        </is>
      </c>
      <c r="E199" s="6">
        <f>SUMIFS('Z1_CplteAnneeMois'!$M$2:$M$493,'Z1_CplteAnneeMois'!$O$2:$O$493,B199,'Z1_CplteAnneeMois'!$F$2:$F$493,C199,'Z1_CplteAnneeMois'!$K$2:$K$493,D199)</f>
        <v/>
      </c>
    </row>
    <row r="200">
      <c r="A200" s="5" t="n">
        <v>2024</v>
      </c>
      <c r="B200" s="6" t="inlineStr">
        <is>
          <t>2024-10</t>
        </is>
      </c>
      <c r="C200" s="2" t="inlineStr">
        <is>
          <t>ZZ1</t>
        </is>
      </c>
      <c r="D200" s="2" t="inlineStr">
        <is>
          <t>CB.TIROIR</t>
        </is>
      </c>
      <c r="E200" s="6">
        <f>SUMIFS('Z1_CplteAnneeMois'!$M$2:$M$493,'Z1_CplteAnneeMois'!$O$2:$O$493,B200,'Z1_CplteAnneeMois'!$F$2:$F$493,C200,'Z1_CplteAnneeMois'!$K$2:$K$493,D200)</f>
        <v/>
      </c>
    </row>
    <row r="201">
      <c r="A201" s="5" t="n">
        <v>2024</v>
      </c>
      <c r="B201" s="6" t="inlineStr">
        <is>
          <t>2024-10</t>
        </is>
      </c>
      <c r="C201" s="2" t="inlineStr">
        <is>
          <t>ZZ1</t>
        </is>
      </c>
      <c r="D201" s="2" t="inlineStr">
        <is>
          <t>CHQ.TIROIR</t>
        </is>
      </c>
      <c r="E201" s="6">
        <f>SUMIFS('Z1_CplteAnneeMois'!$M$2:$M$493,'Z1_CplteAnneeMois'!$O$2:$O$493,B201,'Z1_CplteAnneeMois'!$F$2:$F$493,C201,'Z1_CplteAnneeMois'!$K$2:$K$493,D201)</f>
        <v/>
      </c>
    </row>
    <row r="202">
      <c r="A202" s="5" t="n">
        <v>2024</v>
      </c>
      <c r="B202" s="6" t="inlineStr">
        <is>
          <t>2024-10</t>
        </is>
      </c>
      <c r="C202" s="2" t="inlineStr">
        <is>
          <t>ZZ1</t>
        </is>
      </c>
      <c r="D202" s="2" t="inlineStr">
        <is>
          <t>ESP.TIROIR</t>
        </is>
      </c>
      <c r="E202" s="6">
        <f>SUMIFS('Z1_CplteAnneeMois'!$M$2:$M$493,'Z1_CplteAnneeMois'!$O$2:$O$493,B202,'Z1_CplteAnneeMois'!$F$2:$F$493,C202,'Z1_CplteAnneeMois'!$K$2:$K$493,D202)</f>
        <v/>
      </c>
    </row>
    <row r="203">
      <c r="A203" s="5" t="n">
        <v>2024</v>
      </c>
      <c r="B203" s="6" t="inlineStr">
        <is>
          <t>2024-10</t>
        </is>
      </c>
      <c r="C203" s="2" t="inlineStr">
        <is>
          <t>ZZ1</t>
        </is>
      </c>
      <c r="D203" s="2" t="inlineStr">
        <is>
          <t>HORS TAXE 1</t>
        </is>
      </c>
      <c r="E203" s="6">
        <f>SUMIFS('Z1_CplteAnneeMois'!$M$2:$M$493,'Z1_CplteAnneeMois'!$O$2:$O$493,B203,'Z1_CplteAnneeMois'!$F$2:$F$493,C203,'Z1_CplteAnneeMois'!$K$2:$K$493,D203)</f>
        <v/>
      </c>
    </row>
    <row r="204">
      <c r="A204" s="5" t="n">
        <v>2024</v>
      </c>
      <c r="B204" s="6" t="inlineStr">
        <is>
          <t>2024-10</t>
        </is>
      </c>
      <c r="C204" s="2" t="inlineStr">
        <is>
          <t>ZZ1</t>
        </is>
      </c>
      <c r="D204" s="2" t="inlineStr">
        <is>
          <t>TVA 1</t>
        </is>
      </c>
      <c r="E204" s="6">
        <f>SUMIFS('Z1_CplteAnneeMois'!$M$2:$M$493,'Z1_CplteAnneeMois'!$O$2:$O$493,B204,'Z1_CplteAnneeMois'!$F$2:$F$493,C204,'Z1_CplteAnneeMois'!$K$2:$K$493,D204)</f>
        <v/>
      </c>
    </row>
    <row r="205">
      <c r="A205" s="5" t="n">
        <v>2024</v>
      </c>
      <c r="B205" s="6" t="inlineStr">
        <is>
          <t>2024-10</t>
        </is>
      </c>
      <c r="C205" s="2" t="inlineStr">
        <is>
          <t>ZZ2</t>
        </is>
      </c>
      <c r="D205" s="2" t="inlineStr">
        <is>
          <t>CA BRUT</t>
        </is>
      </c>
      <c r="E205" s="6">
        <f>SUMIFS('Z1_CplteAnneeMois'!$M$2:$M$493,'Z1_CplteAnneeMois'!$O$2:$O$493,B205,'Z1_CplteAnneeMois'!$F$2:$F$493,C205,'Z1_CplteAnneeMois'!$K$2:$K$493,D205)</f>
        <v/>
      </c>
    </row>
    <row r="206">
      <c r="A206" s="5" t="n">
        <v>2024</v>
      </c>
      <c r="B206" s="6" t="inlineStr">
        <is>
          <t>2024-10</t>
        </is>
      </c>
      <c r="C206" s="2" t="inlineStr">
        <is>
          <t>ZZ2</t>
        </is>
      </c>
      <c r="D206" s="2" t="inlineStr">
        <is>
          <t>CA NET</t>
        </is>
      </c>
      <c r="E206" s="6">
        <f>SUMIFS('Z1_CplteAnneeMois'!$M$2:$M$493,'Z1_CplteAnneeMois'!$O$2:$O$493,B206,'Z1_CplteAnneeMois'!$F$2:$F$493,C206,'Z1_CplteAnneeMois'!$K$2:$K$493,D206)</f>
        <v/>
      </c>
    </row>
    <row r="207">
      <c r="A207" s="5" t="n">
        <v>2024</v>
      </c>
      <c r="B207" s="6" t="inlineStr">
        <is>
          <t>2024-10</t>
        </is>
      </c>
      <c r="C207" s="2" t="inlineStr">
        <is>
          <t>ZZ2</t>
        </is>
      </c>
      <c r="D207" s="2" t="inlineStr">
        <is>
          <t>CB.TIROIR</t>
        </is>
      </c>
      <c r="E207" s="6">
        <f>SUMIFS('Z1_CplteAnneeMois'!$M$2:$M$493,'Z1_CplteAnneeMois'!$O$2:$O$493,B207,'Z1_CplteAnneeMois'!$F$2:$F$493,C207,'Z1_CplteAnneeMois'!$K$2:$K$493,D207)</f>
        <v/>
      </c>
    </row>
    <row r="208">
      <c r="A208" s="5" t="n">
        <v>2024</v>
      </c>
      <c r="B208" s="6" t="inlineStr">
        <is>
          <t>2024-10</t>
        </is>
      </c>
      <c r="C208" s="2" t="inlineStr">
        <is>
          <t>ZZ2</t>
        </is>
      </c>
      <c r="D208" s="2" t="inlineStr">
        <is>
          <t>CHQ.TIROIR</t>
        </is>
      </c>
      <c r="E208" s="6">
        <f>SUMIFS('Z1_CplteAnneeMois'!$M$2:$M$493,'Z1_CplteAnneeMois'!$O$2:$O$493,B208,'Z1_CplteAnneeMois'!$F$2:$F$493,C208,'Z1_CplteAnneeMois'!$K$2:$K$493,D208)</f>
        <v/>
      </c>
    </row>
    <row r="209">
      <c r="A209" s="5" t="n">
        <v>2024</v>
      </c>
      <c r="B209" s="6" t="inlineStr">
        <is>
          <t>2024-10</t>
        </is>
      </c>
      <c r="C209" s="2" t="inlineStr">
        <is>
          <t>ZZ2</t>
        </is>
      </c>
      <c r="D209" s="2" t="inlineStr">
        <is>
          <t>ESP.TIROIR</t>
        </is>
      </c>
      <c r="E209" s="6">
        <f>SUMIFS('Z1_CplteAnneeMois'!$M$2:$M$493,'Z1_CplteAnneeMois'!$O$2:$O$493,B209,'Z1_CplteAnneeMois'!$F$2:$F$493,C209,'Z1_CplteAnneeMois'!$K$2:$K$493,D209)</f>
        <v/>
      </c>
    </row>
    <row r="210">
      <c r="A210" s="5" t="n">
        <v>2024</v>
      </c>
      <c r="B210" s="6" t="inlineStr">
        <is>
          <t>2024-10</t>
        </is>
      </c>
      <c r="C210" s="2" t="inlineStr">
        <is>
          <t>ZZ2</t>
        </is>
      </c>
      <c r="D210" s="2" t="inlineStr">
        <is>
          <t>HORS TAXE 1</t>
        </is>
      </c>
      <c r="E210" s="6">
        <f>SUMIFS('Z1_CplteAnneeMois'!$M$2:$M$493,'Z1_CplteAnneeMois'!$O$2:$O$493,B210,'Z1_CplteAnneeMois'!$F$2:$F$493,C210,'Z1_CplteAnneeMois'!$K$2:$K$493,D210)</f>
        <v/>
      </c>
    </row>
    <row r="211">
      <c r="A211" s="5" t="n">
        <v>2024</v>
      </c>
      <c r="B211" s="6" t="inlineStr">
        <is>
          <t>2024-10</t>
        </is>
      </c>
      <c r="C211" s="2" t="inlineStr">
        <is>
          <t>ZZ2</t>
        </is>
      </c>
      <c r="D211" s="2" t="inlineStr">
        <is>
          <t>TVA 1</t>
        </is>
      </c>
      <c r="E211" s="6">
        <f>SUMIFS('Z1_CplteAnneeMois'!$M$2:$M$493,'Z1_CplteAnneeMois'!$O$2:$O$493,B211,'Z1_CplteAnneeMois'!$F$2:$F$493,C211,'Z1_CplteAnneeMois'!$K$2:$K$493,D211)</f>
        <v/>
      </c>
    </row>
    <row r="212">
      <c r="A212" s="5" t="n">
        <v>2024</v>
      </c>
      <c r="B212" s="6" t="inlineStr">
        <is>
          <t>2024-11</t>
        </is>
      </c>
      <c r="C212" s="2" t="inlineStr">
        <is>
          <t>Z</t>
        </is>
      </c>
      <c r="D212" s="2" t="inlineStr">
        <is>
          <t>CA BRUT</t>
        </is>
      </c>
      <c r="E212" s="6">
        <f>SUMIFS('Z1_CplteAnneeMois'!$M$2:$M$493,'Z1_CplteAnneeMois'!$O$2:$O$493,B212,'Z1_CplteAnneeMois'!$F$2:$F$493,C212,'Z1_CplteAnneeMois'!$K$2:$K$493,D212)</f>
        <v/>
      </c>
    </row>
    <row r="213">
      <c r="A213" s="5" t="n">
        <v>2024</v>
      </c>
      <c r="B213" s="6" t="inlineStr">
        <is>
          <t>2024-11</t>
        </is>
      </c>
      <c r="C213" s="2" t="inlineStr">
        <is>
          <t>Z</t>
        </is>
      </c>
      <c r="D213" s="2" t="inlineStr">
        <is>
          <t>CA NET</t>
        </is>
      </c>
      <c r="E213" s="6">
        <f>SUMIFS('Z1_CplteAnneeMois'!$M$2:$M$493,'Z1_CplteAnneeMois'!$O$2:$O$493,B213,'Z1_CplteAnneeMois'!$F$2:$F$493,C213,'Z1_CplteAnneeMois'!$K$2:$K$493,D213)</f>
        <v/>
      </c>
    </row>
    <row r="214">
      <c r="A214" s="5" t="n">
        <v>2024</v>
      </c>
      <c r="B214" s="6" t="inlineStr">
        <is>
          <t>2024-11</t>
        </is>
      </c>
      <c r="C214" s="2" t="inlineStr">
        <is>
          <t>Z</t>
        </is>
      </c>
      <c r="D214" s="2" t="inlineStr">
        <is>
          <t>CB.TIROIR</t>
        </is>
      </c>
      <c r="E214" s="6">
        <f>SUMIFS('Z1_CplteAnneeMois'!$M$2:$M$493,'Z1_CplteAnneeMois'!$O$2:$O$493,B214,'Z1_CplteAnneeMois'!$F$2:$F$493,C214,'Z1_CplteAnneeMois'!$K$2:$K$493,D214)</f>
        <v/>
      </c>
    </row>
    <row r="215">
      <c r="A215" s="5" t="n">
        <v>2024</v>
      </c>
      <c r="B215" s="6" t="inlineStr">
        <is>
          <t>2024-11</t>
        </is>
      </c>
      <c r="C215" s="2" t="inlineStr">
        <is>
          <t>Z</t>
        </is>
      </c>
      <c r="D215" s="2" t="inlineStr">
        <is>
          <t>CHQ.TIROIR</t>
        </is>
      </c>
      <c r="E215" s="6">
        <f>SUMIFS('Z1_CplteAnneeMois'!$M$2:$M$493,'Z1_CplteAnneeMois'!$O$2:$O$493,B215,'Z1_CplteAnneeMois'!$F$2:$F$493,C215,'Z1_CplteAnneeMois'!$K$2:$K$493,D215)</f>
        <v/>
      </c>
    </row>
    <row r="216">
      <c r="A216" s="5" t="n">
        <v>2024</v>
      </c>
      <c r="B216" s="6" t="inlineStr">
        <is>
          <t>2024-11</t>
        </is>
      </c>
      <c r="C216" s="2" t="inlineStr">
        <is>
          <t>Z</t>
        </is>
      </c>
      <c r="D216" s="2" t="inlineStr">
        <is>
          <t>ESP.TIROIR</t>
        </is>
      </c>
      <c r="E216" s="6">
        <f>SUMIFS('Z1_CplteAnneeMois'!$M$2:$M$493,'Z1_CplteAnneeMois'!$O$2:$O$493,B216,'Z1_CplteAnneeMois'!$F$2:$F$493,C216,'Z1_CplteAnneeMois'!$K$2:$K$493,D216)</f>
        <v/>
      </c>
    </row>
    <row r="217">
      <c r="A217" s="5" t="n">
        <v>2024</v>
      </c>
      <c r="B217" s="6" t="inlineStr">
        <is>
          <t>2024-11</t>
        </is>
      </c>
      <c r="C217" s="2" t="inlineStr">
        <is>
          <t>Z</t>
        </is>
      </c>
      <c r="D217" s="2" t="inlineStr">
        <is>
          <t>HORS TAXE 1</t>
        </is>
      </c>
      <c r="E217" s="6">
        <f>SUMIFS('Z1_CplteAnneeMois'!$M$2:$M$493,'Z1_CplteAnneeMois'!$O$2:$O$493,B217,'Z1_CplteAnneeMois'!$F$2:$F$493,C217,'Z1_CplteAnneeMois'!$K$2:$K$493,D217)</f>
        <v/>
      </c>
    </row>
    <row r="218">
      <c r="A218" s="5" t="n">
        <v>2024</v>
      </c>
      <c r="B218" s="6" t="inlineStr">
        <is>
          <t>2024-11</t>
        </is>
      </c>
      <c r="C218" s="2" t="inlineStr">
        <is>
          <t>Z</t>
        </is>
      </c>
      <c r="D218" s="2" t="inlineStr">
        <is>
          <t>TVA 1</t>
        </is>
      </c>
      <c r="E218" s="6">
        <f>SUMIFS('Z1_CplteAnneeMois'!$M$2:$M$493,'Z1_CplteAnneeMois'!$O$2:$O$493,B218,'Z1_CplteAnneeMois'!$F$2:$F$493,C218,'Z1_CplteAnneeMois'!$K$2:$K$493,D218)</f>
        <v/>
      </c>
    </row>
    <row r="219">
      <c r="A219" s="5" t="n">
        <v>2024</v>
      </c>
      <c r="B219" s="6" t="inlineStr">
        <is>
          <t>2024-11</t>
        </is>
      </c>
      <c r="C219" s="2" t="inlineStr">
        <is>
          <t>ZZ1</t>
        </is>
      </c>
      <c r="D219" s="2" t="inlineStr">
        <is>
          <t>CA BRUT</t>
        </is>
      </c>
      <c r="E219" s="6">
        <f>SUMIFS('Z1_CplteAnneeMois'!$M$2:$M$493,'Z1_CplteAnneeMois'!$O$2:$O$493,B219,'Z1_CplteAnneeMois'!$F$2:$F$493,C219,'Z1_CplteAnneeMois'!$K$2:$K$493,D219)</f>
        <v/>
      </c>
    </row>
    <row r="220">
      <c r="A220" s="5" t="n">
        <v>2024</v>
      </c>
      <c r="B220" s="6" t="inlineStr">
        <is>
          <t>2024-11</t>
        </is>
      </c>
      <c r="C220" s="2" t="inlineStr">
        <is>
          <t>ZZ1</t>
        </is>
      </c>
      <c r="D220" s="2" t="inlineStr">
        <is>
          <t>CA NET</t>
        </is>
      </c>
      <c r="E220" s="6">
        <f>SUMIFS('Z1_CplteAnneeMois'!$M$2:$M$493,'Z1_CplteAnneeMois'!$O$2:$O$493,B220,'Z1_CplteAnneeMois'!$F$2:$F$493,C220,'Z1_CplteAnneeMois'!$K$2:$K$493,D220)</f>
        <v/>
      </c>
    </row>
    <row r="221">
      <c r="A221" s="5" t="n">
        <v>2024</v>
      </c>
      <c r="B221" s="6" t="inlineStr">
        <is>
          <t>2024-11</t>
        </is>
      </c>
      <c r="C221" s="2" t="inlineStr">
        <is>
          <t>ZZ1</t>
        </is>
      </c>
      <c r="D221" s="2" t="inlineStr">
        <is>
          <t>CB.TIROIR</t>
        </is>
      </c>
      <c r="E221" s="6">
        <f>SUMIFS('Z1_CplteAnneeMois'!$M$2:$M$493,'Z1_CplteAnneeMois'!$O$2:$O$493,B221,'Z1_CplteAnneeMois'!$F$2:$F$493,C221,'Z1_CplteAnneeMois'!$K$2:$K$493,D221)</f>
        <v/>
      </c>
    </row>
    <row r="222">
      <c r="A222" s="5" t="n">
        <v>2024</v>
      </c>
      <c r="B222" s="6" t="inlineStr">
        <is>
          <t>2024-11</t>
        </is>
      </c>
      <c r="C222" s="2" t="inlineStr">
        <is>
          <t>ZZ1</t>
        </is>
      </c>
      <c r="D222" s="2" t="inlineStr">
        <is>
          <t>CHQ.TIROIR</t>
        </is>
      </c>
      <c r="E222" s="6">
        <f>SUMIFS('Z1_CplteAnneeMois'!$M$2:$M$493,'Z1_CplteAnneeMois'!$O$2:$O$493,B222,'Z1_CplteAnneeMois'!$F$2:$F$493,C222,'Z1_CplteAnneeMois'!$K$2:$K$493,D222)</f>
        <v/>
      </c>
    </row>
    <row r="223">
      <c r="A223" s="5" t="n">
        <v>2024</v>
      </c>
      <c r="B223" s="6" t="inlineStr">
        <is>
          <t>2024-11</t>
        </is>
      </c>
      <c r="C223" s="2" t="inlineStr">
        <is>
          <t>ZZ1</t>
        </is>
      </c>
      <c r="D223" s="2" t="inlineStr">
        <is>
          <t>ESP.TIROIR</t>
        </is>
      </c>
      <c r="E223" s="6">
        <f>SUMIFS('Z1_CplteAnneeMois'!$M$2:$M$493,'Z1_CplteAnneeMois'!$O$2:$O$493,B223,'Z1_CplteAnneeMois'!$F$2:$F$493,C223,'Z1_CplteAnneeMois'!$K$2:$K$493,D223)</f>
        <v/>
      </c>
    </row>
    <row r="224">
      <c r="A224" s="5" t="n">
        <v>2024</v>
      </c>
      <c r="B224" s="6" t="inlineStr">
        <is>
          <t>2024-11</t>
        </is>
      </c>
      <c r="C224" s="2" t="inlineStr">
        <is>
          <t>ZZ1</t>
        </is>
      </c>
      <c r="D224" s="2" t="inlineStr">
        <is>
          <t>HORS TAXE 1</t>
        </is>
      </c>
      <c r="E224" s="6">
        <f>SUMIFS('Z1_CplteAnneeMois'!$M$2:$M$493,'Z1_CplteAnneeMois'!$O$2:$O$493,B224,'Z1_CplteAnneeMois'!$F$2:$F$493,C224,'Z1_CplteAnneeMois'!$K$2:$K$493,D224)</f>
        <v/>
      </c>
    </row>
    <row r="225">
      <c r="A225" s="5" t="n">
        <v>2024</v>
      </c>
      <c r="B225" s="6" t="inlineStr">
        <is>
          <t>2024-11</t>
        </is>
      </c>
      <c r="C225" s="2" t="inlineStr">
        <is>
          <t>ZZ1</t>
        </is>
      </c>
      <c r="D225" s="2" t="inlineStr">
        <is>
          <t>TVA 1</t>
        </is>
      </c>
      <c r="E225" s="6">
        <f>SUMIFS('Z1_CplteAnneeMois'!$M$2:$M$493,'Z1_CplteAnneeMois'!$O$2:$O$493,B225,'Z1_CplteAnneeMois'!$F$2:$F$493,C225,'Z1_CplteAnneeMois'!$K$2:$K$493,D225)</f>
        <v/>
      </c>
    </row>
    <row r="226">
      <c r="A226" s="5" t="n">
        <v>2024</v>
      </c>
      <c r="B226" s="6" t="inlineStr">
        <is>
          <t>2024-11</t>
        </is>
      </c>
      <c r="C226" s="2" t="inlineStr">
        <is>
          <t>ZZ2</t>
        </is>
      </c>
      <c r="D226" s="2" t="inlineStr">
        <is>
          <t>CA BRUT</t>
        </is>
      </c>
      <c r="E226" s="6">
        <f>SUMIFS('Z1_CplteAnneeMois'!$M$2:$M$493,'Z1_CplteAnneeMois'!$O$2:$O$493,B226,'Z1_CplteAnneeMois'!$F$2:$F$493,C226,'Z1_CplteAnneeMois'!$K$2:$K$493,D226)</f>
        <v/>
      </c>
    </row>
    <row r="227">
      <c r="A227" s="5" t="n">
        <v>2024</v>
      </c>
      <c r="B227" s="6" t="inlineStr">
        <is>
          <t>2024-11</t>
        </is>
      </c>
      <c r="C227" s="2" t="inlineStr">
        <is>
          <t>ZZ2</t>
        </is>
      </c>
      <c r="D227" s="2" t="inlineStr">
        <is>
          <t>CA NET</t>
        </is>
      </c>
      <c r="E227" s="6">
        <f>SUMIFS('Z1_CplteAnneeMois'!$M$2:$M$493,'Z1_CplteAnneeMois'!$O$2:$O$493,B227,'Z1_CplteAnneeMois'!$F$2:$F$493,C227,'Z1_CplteAnneeMois'!$K$2:$K$493,D227)</f>
        <v/>
      </c>
    </row>
    <row r="228">
      <c r="A228" s="5" t="n">
        <v>2024</v>
      </c>
      <c r="B228" s="6" t="inlineStr">
        <is>
          <t>2024-11</t>
        </is>
      </c>
      <c r="C228" s="2" t="inlineStr">
        <is>
          <t>ZZ2</t>
        </is>
      </c>
      <c r="D228" s="2" t="inlineStr">
        <is>
          <t>CB.TIROIR</t>
        </is>
      </c>
      <c r="E228" s="6">
        <f>SUMIFS('Z1_CplteAnneeMois'!$M$2:$M$493,'Z1_CplteAnneeMois'!$O$2:$O$493,B228,'Z1_CplteAnneeMois'!$F$2:$F$493,C228,'Z1_CplteAnneeMois'!$K$2:$K$493,D228)</f>
        <v/>
      </c>
    </row>
    <row r="229">
      <c r="A229" s="5" t="n">
        <v>2024</v>
      </c>
      <c r="B229" s="6" t="inlineStr">
        <is>
          <t>2024-11</t>
        </is>
      </c>
      <c r="C229" s="2" t="inlineStr">
        <is>
          <t>ZZ2</t>
        </is>
      </c>
      <c r="D229" s="2" t="inlineStr">
        <is>
          <t>CHQ.TIROIR</t>
        </is>
      </c>
      <c r="E229" s="6">
        <f>SUMIFS('Z1_CplteAnneeMois'!$M$2:$M$493,'Z1_CplteAnneeMois'!$O$2:$O$493,B229,'Z1_CplteAnneeMois'!$F$2:$F$493,C229,'Z1_CplteAnneeMois'!$K$2:$K$493,D229)</f>
        <v/>
      </c>
    </row>
    <row r="230">
      <c r="A230" s="5" t="n">
        <v>2024</v>
      </c>
      <c r="B230" s="6" t="inlineStr">
        <is>
          <t>2024-11</t>
        </is>
      </c>
      <c r="C230" s="2" t="inlineStr">
        <is>
          <t>ZZ2</t>
        </is>
      </c>
      <c r="D230" s="2" t="inlineStr">
        <is>
          <t>ESP.TIROIR</t>
        </is>
      </c>
      <c r="E230" s="6">
        <f>SUMIFS('Z1_CplteAnneeMois'!$M$2:$M$493,'Z1_CplteAnneeMois'!$O$2:$O$493,B230,'Z1_CplteAnneeMois'!$F$2:$F$493,C230,'Z1_CplteAnneeMois'!$K$2:$K$493,D230)</f>
        <v/>
      </c>
    </row>
    <row r="231">
      <c r="A231" s="5" t="n">
        <v>2024</v>
      </c>
      <c r="B231" s="6" t="inlineStr">
        <is>
          <t>2024-11</t>
        </is>
      </c>
      <c r="C231" s="2" t="inlineStr">
        <is>
          <t>ZZ2</t>
        </is>
      </c>
      <c r="D231" s="2" t="inlineStr">
        <is>
          <t>HORS TAXE 1</t>
        </is>
      </c>
      <c r="E231" s="6">
        <f>SUMIFS('Z1_CplteAnneeMois'!$M$2:$M$493,'Z1_CplteAnneeMois'!$O$2:$O$493,B231,'Z1_CplteAnneeMois'!$F$2:$F$493,C231,'Z1_CplteAnneeMois'!$K$2:$K$493,D231)</f>
        <v/>
      </c>
    </row>
    <row r="232">
      <c r="A232" s="5" t="n">
        <v>2024</v>
      </c>
      <c r="B232" s="6" t="inlineStr">
        <is>
          <t>2024-11</t>
        </is>
      </c>
      <c r="C232" s="2" t="inlineStr">
        <is>
          <t>ZZ2</t>
        </is>
      </c>
      <c r="D232" s="2" t="inlineStr">
        <is>
          <t>TVA 1</t>
        </is>
      </c>
      <c r="E232" s="6">
        <f>SUMIFS('Z1_CplteAnneeMois'!$M$2:$M$493,'Z1_CplteAnneeMois'!$O$2:$O$493,B232,'Z1_CplteAnneeMois'!$F$2:$F$493,C232,'Z1_CplteAnneeMois'!$K$2:$K$493,D232)</f>
        <v/>
      </c>
    </row>
    <row r="233">
      <c r="A233" s="5" t="n">
        <v>2024</v>
      </c>
      <c r="B233" s="6" t="inlineStr">
        <is>
          <t>2024-12</t>
        </is>
      </c>
      <c r="C233" s="2" t="inlineStr">
        <is>
          <t>Z</t>
        </is>
      </c>
      <c r="D233" s="2" t="inlineStr">
        <is>
          <t>CA BRUT</t>
        </is>
      </c>
      <c r="E233" s="6">
        <f>SUMIFS('Z1_CplteAnneeMois'!$M$2:$M$493,'Z1_CplteAnneeMois'!$O$2:$O$493,B233,'Z1_CplteAnneeMois'!$F$2:$F$493,C233,'Z1_CplteAnneeMois'!$K$2:$K$493,D233)</f>
        <v/>
      </c>
    </row>
    <row r="234">
      <c r="A234" s="5" t="n">
        <v>2024</v>
      </c>
      <c r="B234" s="6" t="inlineStr">
        <is>
          <t>2024-12</t>
        </is>
      </c>
      <c r="C234" s="2" t="inlineStr">
        <is>
          <t>Z</t>
        </is>
      </c>
      <c r="D234" s="2" t="inlineStr">
        <is>
          <t>CA NET</t>
        </is>
      </c>
      <c r="E234" s="6">
        <f>SUMIFS('Z1_CplteAnneeMois'!$M$2:$M$493,'Z1_CplteAnneeMois'!$O$2:$O$493,B234,'Z1_CplteAnneeMois'!$F$2:$F$493,C234,'Z1_CplteAnneeMois'!$K$2:$K$493,D234)</f>
        <v/>
      </c>
    </row>
    <row r="235">
      <c r="A235" s="5" t="n">
        <v>2024</v>
      </c>
      <c r="B235" s="6" t="inlineStr">
        <is>
          <t>2024-12</t>
        </is>
      </c>
      <c r="C235" s="2" t="inlineStr">
        <is>
          <t>Z</t>
        </is>
      </c>
      <c r="D235" s="2" t="inlineStr">
        <is>
          <t>CB.TIROIR</t>
        </is>
      </c>
      <c r="E235" s="6">
        <f>SUMIFS('Z1_CplteAnneeMois'!$M$2:$M$493,'Z1_CplteAnneeMois'!$O$2:$O$493,B235,'Z1_CplteAnneeMois'!$F$2:$F$493,C235,'Z1_CplteAnneeMois'!$K$2:$K$493,D235)</f>
        <v/>
      </c>
    </row>
    <row r="236">
      <c r="A236" s="5" t="n">
        <v>2024</v>
      </c>
      <c r="B236" s="6" t="inlineStr">
        <is>
          <t>2024-12</t>
        </is>
      </c>
      <c r="C236" s="2" t="inlineStr">
        <is>
          <t>Z</t>
        </is>
      </c>
      <c r="D236" s="2" t="inlineStr">
        <is>
          <t>CHQ.TIROIR</t>
        </is>
      </c>
      <c r="E236" s="6">
        <f>SUMIFS('Z1_CplteAnneeMois'!$M$2:$M$493,'Z1_CplteAnneeMois'!$O$2:$O$493,B236,'Z1_CplteAnneeMois'!$F$2:$F$493,C236,'Z1_CplteAnneeMois'!$K$2:$K$493,D236)</f>
        <v/>
      </c>
    </row>
    <row r="237">
      <c r="A237" s="5" t="n">
        <v>2024</v>
      </c>
      <c r="B237" s="6" t="inlineStr">
        <is>
          <t>2024-12</t>
        </is>
      </c>
      <c r="C237" s="2" t="inlineStr">
        <is>
          <t>Z</t>
        </is>
      </c>
      <c r="D237" s="2" t="inlineStr">
        <is>
          <t>ESP.TIROIR</t>
        </is>
      </c>
      <c r="E237" s="6">
        <f>SUMIFS('Z1_CplteAnneeMois'!$M$2:$M$493,'Z1_CplteAnneeMois'!$O$2:$O$493,B237,'Z1_CplteAnneeMois'!$F$2:$F$493,C237,'Z1_CplteAnneeMois'!$K$2:$K$493,D237)</f>
        <v/>
      </c>
    </row>
    <row r="238">
      <c r="A238" s="5" t="n">
        <v>2024</v>
      </c>
      <c r="B238" s="6" t="inlineStr">
        <is>
          <t>2024-12</t>
        </is>
      </c>
      <c r="C238" s="2" t="inlineStr">
        <is>
          <t>Z</t>
        </is>
      </c>
      <c r="D238" s="2" t="inlineStr">
        <is>
          <t>HORS TAXE 1</t>
        </is>
      </c>
      <c r="E238" s="6">
        <f>SUMIFS('Z1_CplteAnneeMois'!$M$2:$M$493,'Z1_CplteAnneeMois'!$O$2:$O$493,B238,'Z1_CplteAnneeMois'!$F$2:$F$493,C238,'Z1_CplteAnneeMois'!$K$2:$K$493,D238)</f>
        <v/>
      </c>
    </row>
    <row r="239">
      <c r="A239" s="5" t="n">
        <v>2024</v>
      </c>
      <c r="B239" s="6" t="inlineStr">
        <is>
          <t>2024-12</t>
        </is>
      </c>
      <c r="C239" s="2" t="inlineStr">
        <is>
          <t>Z</t>
        </is>
      </c>
      <c r="D239" s="2" t="inlineStr">
        <is>
          <t>TVA 1</t>
        </is>
      </c>
      <c r="E239" s="6">
        <f>SUMIFS('Z1_CplteAnneeMois'!$M$2:$M$493,'Z1_CplteAnneeMois'!$O$2:$O$493,B239,'Z1_CplteAnneeMois'!$F$2:$F$493,C239,'Z1_CplteAnneeMois'!$K$2:$K$493,D239)</f>
        <v/>
      </c>
    </row>
    <row r="240">
      <c r="A240" s="5" t="n">
        <v>2024</v>
      </c>
      <c r="B240" s="6" t="inlineStr">
        <is>
          <t>2024-12</t>
        </is>
      </c>
      <c r="C240" s="2" t="inlineStr">
        <is>
          <t>ZZ1</t>
        </is>
      </c>
      <c r="D240" s="2" t="inlineStr">
        <is>
          <t>CA BRUT</t>
        </is>
      </c>
      <c r="E240" s="6">
        <f>SUMIFS('Z1_CplteAnneeMois'!$M$2:$M$493,'Z1_CplteAnneeMois'!$O$2:$O$493,B240,'Z1_CplteAnneeMois'!$F$2:$F$493,C240,'Z1_CplteAnneeMois'!$K$2:$K$493,D240)</f>
        <v/>
      </c>
    </row>
    <row r="241">
      <c r="A241" s="5" t="n">
        <v>2024</v>
      </c>
      <c r="B241" s="6" t="inlineStr">
        <is>
          <t>2024-12</t>
        </is>
      </c>
      <c r="C241" s="2" t="inlineStr">
        <is>
          <t>ZZ1</t>
        </is>
      </c>
      <c r="D241" s="2" t="inlineStr">
        <is>
          <t>CA NET</t>
        </is>
      </c>
      <c r="E241" s="6">
        <f>SUMIFS('Z1_CplteAnneeMois'!$M$2:$M$493,'Z1_CplteAnneeMois'!$O$2:$O$493,B241,'Z1_CplteAnneeMois'!$F$2:$F$493,C241,'Z1_CplteAnneeMois'!$K$2:$K$493,D241)</f>
        <v/>
      </c>
    </row>
    <row r="242">
      <c r="A242" s="5" t="n">
        <v>2024</v>
      </c>
      <c r="B242" s="6" t="inlineStr">
        <is>
          <t>2024-12</t>
        </is>
      </c>
      <c r="C242" s="2" t="inlineStr">
        <is>
          <t>ZZ1</t>
        </is>
      </c>
      <c r="D242" s="2" t="inlineStr">
        <is>
          <t>CB.TIROIR</t>
        </is>
      </c>
      <c r="E242" s="6">
        <f>SUMIFS('Z1_CplteAnneeMois'!$M$2:$M$493,'Z1_CplteAnneeMois'!$O$2:$O$493,B242,'Z1_CplteAnneeMois'!$F$2:$F$493,C242,'Z1_CplteAnneeMois'!$K$2:$K$493,D242)</f>
        <v/>
      </c>
    </row>
    <row r="243">
      <c r="A243" s="5" t="n">
        <v>2024</v>
      </c>
      <c r="B243" s="6" t="inlineStr">
        <is>
          <t>2024-12</t>
        </is>
      </c>
      <c r="C243" s="2" t="inlineStr">
        <is>
          <t>ZZ1</t>
        </is>
      </c>
      <c r="D243" s="2" t="inlineStr">
        <is>
          <t>CHQ.TIROIR</t>
        </is>
      </c>
      <c r="E243" s="6">
        <f>SUMIFS('Z1_CplteAnneeMois'!$M$2:$M$493,'Z1_CplteAnneeMois'!$O$2:$O$493,B243,'Z1_CplteAnneeMois'!$F$2:$F$493,C243,'Z1_CplteAnneeMois'!$K$2:$K$493,D243)</f>
        <v/>
      </c>
    </row>
    <row r="244">
      <c r="A244" s="5" t="n">
        <v>2024</v>
      </c>
      <c r="B244" s="6" t="inlineStr">
        <is>
          <t>2024-12</t>
        </is>
      </c>
      <c r="C244" s="2" t="inlineStr">
        <is>
          <t>ZZ1</t>
        </is>
      </c>
      <c r="D244" s="2" t="inlineStr">
        <is>
          <t>ESP.TIROIR</t>
        </is>
      </c>
      <c r="E244" s="6">
        <f>SUMIFS('Z1_CplteAnneeMois'!$M$2:$M$493,'Z1_CplteAnneeMois'!$O$2:$O$493,B244,'Z1_CplteAnneeMois'!$F$2:$F$493,C244,'Z1_CplteAnneeMois'!$K$2:$K$493,D244)</f>
        <v/>
      </c>
    </row>
    <row r="245">
      <c r="A245" s="5" t="n">
        <v>2024</v>
      </c>
      <c r="B245" s="6" t="inlineStr">
        <is>
          <t>2024-12</t>
        </is>
      </c>
      <c r="C245" s="2" t="inlineStr">
        <is>
          <t>ZZ1</t>
        </is>
      </c>
      <c r="D245" s="2" t="inlineStr">
        <is>
          <t>HORS TAXE 1</t>
        </is>
      </c>
      <c r="E245" s="6">
        <f>SUMIFS('Z1_CplteAnneeMois'!$M$2:$M$493,'Z1_CplteAnneeMois'!$O$2:$O$493,B245,'Z1_CplteAnneeMois'!$F$2:$F$493,C245,'Z1_CplteAnneeMois'!$K$2:$K$493,D245)</f>
        <v/>
      </c>
    </row>
    <row r="246">
      <c r="A246" s="5" t="n">
        <v>2024</v>
      </c>
      <c r="B246" s="6" t="inlineStr">
        <is>
          <t>2024-12</t>
        </is>
      </c>
      <c r="C246" s="2" t="inlineStr">
        <is>
          <t>ZZ1</t>
        </is>
      </c>
      <c r="D246" s="2" t="inlineStr">
        <is>
          <t>TVA 1</t>
        </is>
      </c>
      <c r="E246" s="6">
        <f>SUMIFS('Z1_CplteAnneeMois'!$M$2:$M$493,'Z1_CplteAnneeMois'!$O$2:$O$493,B246,'Z1_CplteAnneeMois'!$F$2:$F$493,C246,'Z1_CplteAnneeMois'!$K$2:$K$493,D246)</f>
        <v/>
      </c>
    </row>
    <row r="247">
      <c r="A247" s="5" t="n">
        <v>2024</v>
      </c>
      <c r="B247" s="6" t="inlineStr">
        <is>
          <t>2024-12</t>
        </is>
      </c>
      <c r="C247" s="2" t="inlineStr">
        <is>
          <t>ZZ2</t>
        </is>
      </c>
      <c r="D247" s="2" t="inlineStr">
        <is>
          <t>CA BRUT</t>
        </is>
      </c>
      <c r="E247" s="6">
        <f>SUMIFS('Z1_CplteAnneeMois'!$M$2:$M$493,'Z1_CplteAnneeMois'!$O$2:$O$493,B247,'Z1_CplteAnneeMois'!$F$2:$F$493,C247,'Z1_CplteAnneeMois'!$K$2:$K$493,D247)</f>
        <v/>
      </c>
    </row>
    <row r="248">
      <c r="A248" s="5" t="n">
        <v>2024</v>
      </c>
      <c r="B248" s="6" t="inlineStr">
        <is>
          <t>2024-12</t>
        </is>
      </c>
      <c r="C248" s="2" t="inlineStr">
        <is>
          <t>ZZ2</t>
        </is>
      </c>
      <c r="D248" s="2" t="inlineStr">
        <is>
          <t>CA NET</t>
        </is>
      </c>
      <c r="E248" s="6">
        <f>SUMIFS('Z1_CplteAnneeMois'!$M$2:$M$493,'Z1_CplteAnneeMois'!$O$2:$O$493,B248,'Z1_CplteAnneeMois'!$F$2:$F$493,C248,'Z1_CplteAnneeMois'!$K$2:$K$493,D248)</f>
        <v/>
      </c>
    </row>
    <row r="249">
      <c r="A249" s="5" t="n">
        <v>2024</v>
      </c>
      <c r="B249" s="6" t="inlineStr">
        <is>
          <t>2024-12</t>
        </is>
      </c>
      <c r="C249" s="2" t="inlineStr">
        <is>
          <t>ZZ2</t>
        </is>
      </c>
      <c r="D249" s="2" t="inlineStr">
        <is>
          <t>CB.TIROIR</t>
        </is>
      </c>
      <c r="E249" s="6">
        <f>SUMIFS('Z1_CplteAnneeMois'!$M$2:$M$493,'Z1_CplteAnneeMois'!$O$2:$O$493,B249,'Z1_CplteAnneeMois'!$F$2:$F$493,C249,'Z1_CplteAnneeMois'!$K$2:$K$493,D249)</f>
        <v/>
      </c>
    </row>
    <row r="250">
      <c r="A250" s="5" t="n">
        <v>2024</v>
      </c>
      <c r="B250" s="6" t="inlineStr">
        <is>
          <t>2024-12</t>
        </is>
      </c>
      <c r="C250" s="2" t="inlineStr">
        <is>
          <t>ZZ2</t>
        </is>
      </c>
      <c r="D250" s="2" t="inlineStr">
        <is>
          <t>CHQ.TIROIR</t>
        </is>
      </c>
      <c r="E250" s="6">
        <f>SUMIFS('Z1_CplteAnneeMois'!$M$2:$M$493,'Z1_CplteAnneeMois'!$O$2:$O$493,B250,'Z1_CplteAnneeMois'!$F$2:$F$493,C250,'Z1_CplteAnneeMois'!$K$2:$K$493,D250)</f>
        <v/>
      </c>
    </row>
    <row r="251">
      <c r="A251" s="5" t="n">
        <v>2024</v>
      </c>
      <c r="B251" s="6" t="inlineStr">
        <is>
          <t>2024-12</t>
        </is>
      </c>
      <c r="C251" s="2" t="inlineStr">
        <is>
          <t>ZZ2</t>
        </is>
      </c>
      <c r="D251" s="2" t="inlineStr">
        <is>
          <t>ESP.TIROIR</t>
        </is>
      </c>
      <c r="E251" s="6">
        <f>SUMIFS('Z1_CplteAnneeMois'!$M$2:$M$493,'Z1_CplteAnneeMois'!$O$2:$O$493,B251,'Z1_CplteAnneeMois'!$F$2:$F$493,C251,'Z1_CplteAnneeMois'!$K$2:$K$493,D251)</f>
        <v/>
      </c>
    </row>
    <row r="252">
      <c r="A252" s="5" t="n">
        <v>2024</v>
      </c>
      <c r="B252" s="6" t="inlineStr">
        <is>
          <t>2024-12</t>
        </is>
      </c>
      <c r="C252" s="2" t="inlineStr">
        <is>
          <t>ZZ2</t>
        </is>
      </c>
      <c r="D252" s="2" t="inlineStr">
        <is>
          <t>HORS TAXE 1</t>
        </is>
      </c>
      <c r="E252" s="6">
        <f>SUMIFS('Z1_CplteAnneeMois'!$M$2:$M$493,'Z1_CplteAnneeMois'!$O$2:$O$493,B252,'Z1_CplteAnneeMois'!$F$2:$F$493,C252,'Z1_CplteAnneeMois'!$K$2:$K$493,D252)</f>
        <v/>
      </c>
    </row>
    <row r="253">
      <c r="A253" s="5" t="n">
        <v>2024</v>
      </c>
      <c r="B253" s="6" t="inlineStr">
        <is>
          <t>2024-12</t>
        </is>
      </c>
      <c r="C253" s="2" t="inlineStr">
        <is>
          <t>ZZ2</t>
        </is>
      </c>
      <c r="D253" s="2" t="inlineStr">
        <is>
          <t>TVA 1</t>
        </is>
      </c>
      <c r="E253" s="6">
        <f>SUMIFS('Z1_CplteAnneeMois'!$M$2:$M$493,'Z1_CplteAnneeMois'!$O$2:$O$493,B253,'Z1_CplteAnneeMois'!$F$2:$F$493,C253,'Z1_CplteAnneeMois'!$K$2:$K$493,D253)</f>
        <v/>
      </c>
    </row>
  </sheetData>
  <autoFilter ref="A1:E2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2024</v>
      </c>
      <c r="B2" s="6" t="inlineStr">
        <is>
          <t>2024-01</t>
        </is>
      </c>
      <c r="C2" s="6">
        <f>SUMIFS('TD_Z1_TotalMontant'!$E$2:$E$253,'TD_Z1_TotalMontant'!$B$2:$B$253,B2,'TD_Z1_TotalMontant'!$C$2:$C$253,"ZZ1",'TD_Z1_TotalMontant'!$D$2:$D$253,"CA BRUT")</f>
        <v/>
      </c>
      <c r="D2" s="6">
        <f>SUMIFS('TD_Z1_TotalMontant'!$E$2:$E$253,'TD_Z1_TotalMontant'!$B$2:$B$253,B2,'TD_Z1_TotalMontant'!$C$2:$C$253,"ZZ1",'TD_Z1_TotalMontant'!$D$2:$D$253,"CA NET")</f>
        <v/>
      </c>
      <c r="E2" s="6">
        <f>SUMIFS('TD_Z1_TotalMontant'!$E$2:$E$253,'TD_Z1_TotalMontant'!$B$2:$B$253,B2,'TD_Z1_TotalMontant'!$C$2:$C$253,"ZZ1",'TD_Z1_TotalMontant'!$D$2:$D$253,"CB.TIROIR")</f>
        <v/>
      </c>
      <c r="F2" s="6">
        <f>SUMIFS('TD_Z1_TotalMontant'!$E$2:$E$253,'TD_Z1_TotalMontant'!$B$2:$B$253,B2,'TD_Z1_TotalMontant'!$C$2:$C$253,"ZZ1",'TD_Z1_TotalMontant'!$D$2:$D$253,"CHQ.TIROIR")</f>
        <v/>
      </c>
      <c r="G2" s="6">
        <f>SUMIFS('TD_Z1_TotalMontant'!$E$2:$E$253,'TD_Z1_TotalMontant'!$B$2:$B$253,B2,'TD_Z1_TotalMontant'!$C$2:$C$253,"ZZ1",'TD_Z1_TotalMontant'!$D$2:$D$253,"ESP.TIROIR")</f>
        <v/>
      </c>
      <c r="H2" s="6">
        <f>SUMIFS('TD_Z1_TotalMontant'!$E$2:$E$253,'TD_Z1_TotalMontant'!$B$2:$B$253,B2,'TD_Z1_TotalMontant'!$C$2:$C$253,"ZZ1",'TD_Z1_TotalMontant'!$D$2:$D$253,"HORS TAXE 1")</f>
        <v/>
      </c>
      <c r="I2" s="6">
        <f>SUMIFS('TD_Z1_TotalMontant'!$E$2:$E$253,'TD_Z1_TotalMontant'!$B$2:$B$253,B2,'TD_Z1_TotalMontant'!$C$2:$C$253,"ZZ1",'TD_Z1_TotalMontant'!$D$2:$D$253,"TVA 1")</f>
        <v/>
      </c>
    </row>
    <row r="3">
      <c r="A3" s="5" t="n">
        <v>2024</v>
      </c>
      <c r="B3" s="6" t="inlineStr">
        <is>
          <t>2024-02</t>
        </is>
      </c>
      <c r="C3" s="6">
        <f>SUMIFS('TD_Z1_TotalMontant'!$E$2:$E$253,'TD_Z1_TotalMontant'!$B$2:$B$253,B3,'TD_Z1_TotalMontant'!$C$2:$C$253,"ZZ1",'TD_Z1_TotalMontant'!$D$2:$D$253,"CA BRUT")</f>
        <v/>
      </c>
      <c r="D3" s="6">
        <f>SUMIFS('TD_Z1_TotalMontant'!$E$2:$E$253,'TD_Z1_TotalMontant'!$B$2:$B$253,B3,'TD_Z1_TotalMontant'!$C$2:$C$253,"ZZ1",'TD_Z1_TotalMontant'!$D$2:$D$253,"CA NET")</f>
        <v/>
      </c>
      <c r="E3" s="6">
        <f>SUMIFS('TD_Z1_TotalMontant'!$E$2:$E$253,'TD_Z1_TotalMontant'!$B$2:$B$253,B3,'TD_Z1_TotalMontant'!$C$2:$C$253,"ZZ1",'TD_Z1_TotalMontant'!$D$2:$D$253,"CB.TIROIR")</f>
        <v/>
      </c>
      <c r="F3" s="6">
        <f>SUMIFS('TD_Z1_TotalMontant'!$E$2:$E$253,'TD_Z1_TotalMontant'!$B$2:$B$253,B3,'TD_Z1_TotalMontant'!$C$2:$C$253,"ZZ1",'TD_Z1_TotalMontant'!$D$2:$D$253,"CHQ.TIROIR")</f>
        <v/>
      </c>
      <c r="G3" s="6">
        <f>SUMIFS('TD_Z1_TotalMontant'!$E$2:$E$253,'TD_Z1_TotalMontant'!$B$2:$B$253,B3,'TD_Z1_TotalMontant'!$C$2:$C$253,"ZZ1",'TD_Z1_TotalMontant'!$D$2:$D$253,"ESP.TIROIR")</f>
        <v/>
      </c>
      <c r="H3" s="6">
        <f>SUMIFS('TD_Z1_TotalMontant'!$E$2:$E$253,'TD_Z1_TotalMontant'!$B$2:$B$253,B3,'TD_Z1_TotalMontant'!$C$2:$C$253,"ZZ1",'TD_Z1_TotalMontant'!$D$2:$D$253,"HORS TAXE 1")</f>
        <v/>
      </c>
      <c r="I3" s="6">
        <f>SUMIFS('TD_Z1_TotalMontant'!$E$2:$E$253,'TD_Z1_TotalMontant'!$B$2:$B$253,B3,'TD_Z1_TotalMontant'!$C$2:$C$253,"ZZ1",'TD_Z1_TotalMontant'!$D$2:$D$253,"TVA 1")</f>
        <v/>
      </c>
    </row>
    <row r="4">
      <c r="A4" s="5" t="n">
        <v>2024</v>
      </c>
      <c r="B4" s="6" t="inlineStr">
        <is>
          <t>2024-03</t>
        </is>
      </c>
      <c r="C4" s="6">
        <f>SUMIFS('TD_Z1_TotalMontant'!$E$2:$E$253,'TD_Z1_TotalMontant'!$B$2:$B$253,B4,'TD_Z1_TotalMontant'!$C$2:$C$253,"ZZ1",'TD_Z1_TotalMontant'!$D$2:$D$253,"CA BRUT")</f>
        <v/>
      </c>
      <c r="D4" s="6">
        <f>SUMIFS('TD_Z1_TotalMontant'!$E$2:$E$253,'TD_Z1_TotalMontant'!$B$2:$B$253,B4,'TD_Z1_TotalMontant'!$C$2:$C$253,"ZZ1",'TD_Z1_TotalMontant'!$D$2:$D$253,"CA NET")</f>
        <v/>
      </c>
      <c r="E4" s="6">
        <f>SUMIFS('TD_Z1_TotalMontant'!$E$2:$E$253,'TD_Z1_TotalMontant'!$B$2:$B$253,B4,'TD_Z1_TotalMontant'!$C$2:$C$253,"ZZ1",'TD_Z1_TotalMontant'!$D$2:$D$253,"CB.TIROIR")</f>
        <v/>
      </c>
      <c r="F4" s="6">
        <f>SUMIFS('TD_Z1_TotalMontant'!$E$2:$E$253,'TD_Z1_TotalMontant'!$B$2:$B$253,B4,'TD_Z1_TotalMontant'!$C$2:$C$253,"ZZ1",'TD_Z1_TotalMontant'!$D$2:$D$253,"CHQ.TIROIR")</f>
        <v/>
      </c>
      <c r="G4" s="6">
        <f>SUMIFS('TD_Z1_TotalMontant'!$E$2:$E$253,'TD_Z1_TotalMontant'!$B$2:$B$253,B4,'TD_Z1_TotalMontant'!$C$2:$C$253,"ZZ1",'TD_Z1_TotalMontant'!$D$2:$D$253,"ESP.TIROIR")</f>
        <v/>
      </c>
      <c r="H4" s="6">
        <f>SUMIFS('TD_Z1_TotalMontant'!$E$2:$E$253,'TD_Z1_TotalMontant'!$B$2:$B$253,B4,'TD_Z1_TotalMontant'!$C$2:$C$253,"ZZ1",'TD_Z1_TotalMontant'!$D$2:$D$253,"HORS TAXE 1")</f>
        <v/>
      </c>
      <c r="I4" s="6">
        <f>SUMIFS('TD_Z1_TotalMontant'!$E$2:$E$253,'TD_Z1_TotalMontant'!$B$2:$B$253,B4,'TD_Z1_TotalMontant'!$C$2:$C$253,"ZZ1",'TD_Z1_TotalMontant'!$D$2:$D$253,"TVA 1")</f>
        <v/>
      </c>
    </row>
    <row r="5">
      <c r="A5" s="5" t="n">
        <v>2024</v>
      </c>
      <c r="B5" s="6" t="inlineStr">
        <is>
          <t>2024-04</t>
        </is>
      </c>
      <c r="C5" s="6">
        <f>SUMIFS('TD_Z1_TotalMontant'!$E$2:$E$253,'TD_Z1_TotalMontant'!$B$2:$B$253,B5,'TD_Z1_TotalMontant'!$C$2:$C$253,"ZZ1",'TD_Z1_TotalMontant'!$D$2:$D$253,"CA BRUT")</f>
        <v/>
      </c>
      <c r="D5" s="6">
        <f>SUMIFS('TD_Z1_TotalMontant'!$E$2:$E$253,'TD_Z1_TotalMontant'!$B$2:$B$253,B5,'TD_Z1_TotalMontant'!$C$2:$C$253,"ZZ1",'TD_Z1_TotalMontant'!$D$2:$D$253,"CA NET")</f>
        <v/>
      </c>
      <c r="E5" s="6">
        <f>SUMIFS('TD_Z1_TotalMontant'!$E$2:$E$253,'TD_Z1_TotalMontant'!$B$2:$B$253,B5,'TD_Z1_TotalMontant'!$C$2:$C$253,"ZZ1",'TD_Z1_TotalMontant'!$D$2:$D$253,"CB.TIROIR")</f>
        <v/>
      </c>
      <c r="F5" s="6">
        <f>SUMIFS('TD_Z1_TotalMontant'!$E$2:$E$253,'TD_Z1_TotalMontant'!$B$2:$B$253,B5,'TD_Z1_TotalMontant'!$C$2:$C$253,"ZZ1",'TD_Z1_TotalMontant'!$D$2:$D$253,"CHQ.TIROIR")</f>
        <v/>
      </c>
      <c r="G5" s="6">
        <f>SUMIFS('TD_Z1_TotalMontant'!$E$2:$E$253,'TD_Z1_TotalMontant'!$B$2:$B$253,B5,'TD_Z1_TotalMontant'!$C$2:$C$253,"ZZ1",'TD_Z1_TotalMontant'!$D$2:$D$253,"ESP.TIROIR")</f>
        <v/>
      </c>
      <c r="H5" s="6">
        <f>SUMIFS('TD_Z1_TotalMontant'!$E$2:$E$253,'TD_Z1_TotalMontant'!$B$2:$B$253,B5,'TD_Z1_TotalMontant'!$C$2:$C$253,"ZZ1",'TD_Z1_TotalMontant'!$D$2:$D$253,"HORS TAXE 1")</f>
        <v/>
      </c>
      <c r="I5" s="6">
        <f>SUMIFS('TD_Z1_TotalMontant'!$E$2:$E$253,'TD_Z1_TotalMontant'!$B$2:$B$253,B5,'TD_Z1_TotalMontant'!$C$2:$C$253,"ZZ1",'TD_Z1_TotalMontant'!$D$2:$D$253,"TVA 1")</f>
        <v/>
      </c>
    </row>
    <row r="6">
      <c r="A6" s="5" t="n">
        <v>2024</v>
      </c>
      <c r="B6" s="6" t="inlineStr">
        <is>
          <t>2024-05</t>
        </is>
      </c>
      <c r="C6" s="6">
        <f>SUMIFS('TD_Z1_TotalMontant'!$E$2:$E$253,'TD_Z1_TotalMontant'!$B$2:$B$253,B6,'TD_Z1_TotalMontant'!$C$2:$C$253,"ZZ1",'TD_Z1_TotalMontant'!$D$2:$D$253,"CA BRUT")</f>
        <v/>
      </c>
      <c r="D6" s="6">
        <f>SUMIFS('TD_Z1_TotalMontant'!$E$2:$E$253,'TD_Z1_TotalMontant'!$B$2:$B$253,B6,'TD_Z1_TotalMontant'!$C$2:$C$253,"ZZ1",'TD_Z1_TotalMontant'!$D$2:$D$253,"CA NET")</f>
        <v/>
      </c>
      <c r="E6" s="6">
        <f>SUMIFS('TD_Z1_TotalMontant'!$E$2:$E$253,'TD_Z1_TotalMontant'!$B$2:$B$253,B6,'TD_Z1_TotalMontant'!$C$2:$C$253,"ZZ1",'TD_Z1_TotalMontant'!$D$2:$D$253,"CB.TIROIR")</f>
        <v/>
      </c>
      <c r="F6" s="6">
        <f>SUMIFS('TD_Z1_TotalMontant'!$E$2:$E$253,'TD_Z1_TotalMontant'!$B$2:$B$253,B6,'TD_Z1_TotalMontant'!$C$2:$C$253,"ZZ1",'TD_Z1_TotalMontant'!$D$2:$D$253,"CHQ.TIROIR")</f>
        <v/>
      </c>
      <c r="G6" s="6">
        <f>SUMIFS('TD_Z1_TotalMontant'!$E$2:$E$253,'TD_Z1_TotalMontant'!$B$2:$B$253,B6,'TD_Z1_TotalMontant'!$C$2:$C$253,"ZZ1",'TD_Z1_TotalMontant'!$D$2:$D$253,"ESP.TIROIR")</f>
        <v/>
      </c>
      <c r="H6" s="6">
        <f>SUMIFS('TD_Z1_TotalMontant'!$E$2:$E$253,'TD_Z1_TotalMontant'!$B$2:$B$253,B6,'TD_Z1_TotalMontant'!$C$2:$C$253,"ZZ1",'TD_Z1_TotalMontant'!$D$2:$D$253,"HORS TAXE 1")</f>
        <v/>
      </c>
      <c r="I6" s="6">
        <f>SUMIFS('TD_Z1_TotalMontant'!$E$2:$E$253,'TD_Z1_TotalMontant'!$B$2:$B$253,B6,'TD_Z1_TotalMontant'!$C$2:$C$253,"ZZ1",'TD_Z1_TotalMontant'!$D$2:$D$253,"TVA 1")</f>
        <v/>
      </c>
    </row>
    <row r="7">
      <c r="A7" s="5" t="n">
        <v>2024</v>
      </c>
      <c r="B7" s="6" t="inlineStr">
        <is>
          <t>2024-06</t>
        </is>
      </c>
      <c r="C7" s="6">
        <f>SUMIFS('TD_Z1_TotalMontant'!$E$2:$E$253,'TD_Z1_TotalMontant'!$B$2:$B$253,B7,'TD_Z1_TotalMontant'!$C$2:$C$253,"ZZ1",'TD_Z1_TotalMontant'!$D$2:$D$253,"CA BRUT")</f>
        <v/>
      </c>
      <c r="D7" s="6">
        <f>SUMIFS('TD_Z1_TotalMontant'!$E$2:$E$253,'TD_Z1_TotalMontant'!$B$2:$B$253,B7,'TD_Z1_TotalMontant'!$C$2:$C$253,"ZZ1",'TD_Z1_TotalMontant'!$D$2:$D$253,"CA NET")</f>
        <v/>
      </c>
      <c r="E7" s="6">
        <f>SUMIFS('TD_Z1_TotalMontant'!$E$2:$E$253,'TD_Z1_TotalMontant'!$B$2:$B$253,B7,'TD_Z1_TotalMontant'!$C$2:$C$253,"ZZ1",'TD_Z1_TotalMontant'!$D$2:$D$253,"CB.TIROIR")</f>
        <v/>
      </c>
      <c r="F7" s="6">
        <f>SUMIFS('TD_Z1_TotalMontant'!$E$2:$E$253,'TD_Z1_TotalMontant'!$B$2:$B$253,B7,'TD_Z1_TotalMontant'!$C$2:$C$253,"ZZ1",'TD_Z1_TotalMontant'!$D$2:$D$253,"CHQ.TIROIR")</f>
        <v/>
      </c>
      <c r="G7" s="6">
        <f>SUMIFS('TD_Z1_TotalMontant'!$E$2:$E$253,'TD_Z1_TotalMontant'!$B$2:$B$253,B7,'TD_Z1_TotalMontant'!$C$2:$C$253,"ZZ1",'TD_Z1_TotalMontant'!$D$2:$D$253,"ESP.TIROIR")</f>
        <v/>
      </c>
      <c r="H7" s="6">
        <f>SUMIFS('TD_Z1_TotalMontant'!$E$2:$E$253,'TD_Z1_TotalMontant'!$B$2:$B$253,B7,'TD_Z1_TotalMontant'!$C$2:$C$253,"ZZ1",'TD_Z1_TotalMontant'!$D$2:$D$253,"HORS TAXE 1")</f>
        <v/>
      </c>
      <c r="I7" s="6">
        <f>SUMIFS('TD_Z1_TotalMontant'!$E$2:$E$253,'TD_Z1_TotalMontant'!$B$2:$B$253,B7,'TD_Z1_TotalMontant'!$C$2:$C$253,"ZZ1",'TD_Z1_TotalMontant'!$D$2:$D$253,"TVA 1")</f>
        <v/>
      </c>
    </row>
    <row r="8">
      <c r="A8" s="5" t="n">
        <v>2024</v>
      </c>
      <c r="B8" s="6" t="inlineStr">
        <is>
          <t>2024-07</t>
        </is>
      </c>
      <c r="C8" s="6">
        <f>SUMIFS('TD_Z1_TotalMontant'!$E$2:$E$253,'TD_Z1_TotalMontant'!$B$2:$B$253,B8,'TD_Z1_TotalMontant'!$C$2:$C$253,"ZZ1",'TD_Z1_TotalMontant'!$D$2:$D$253,"CA BRUT")</f>
        <v/>
      </c>
      <c r="D8" s="6">
        <f>SUMIFS('TD_Z1_TotalMontant'!$E$2:$E$253,'TD_Z1_TotalMontant'!$B$2:$B$253,B8,'TD_Z1_TotalMontant'!$C$2:$C$253,"ZZ1",'TD_Z1_TotalMontant'!$D$2:$D$253,"CA NET")</f>
        <v/>
      </c>
      <c r="E8" s="6">
        <f>SUMIFS('TD_Z1_TotalMontant'!$E$2:$E$253,'TD_Z1_TotalMontant'!$B$2:$B$253,B8,'TD_Z1_TotalMontant'!$C$2:$C$253,"ZZ1",'TD_Z1_TotalMontant'!$D$2:$D$253,"CB.TIROIR")</f>
        <v/>
      </c>
      <c r="F8" s="6">
        <f>SUMIFS('TD_Z1_TotalMontant'!$E$2:$E$253,'TD_Z1_TotalMontant'!$B$2:$B$253,B8,'TD_Z1_TotalMontant'!$C$2:$C$253,"ZZ1",'TD_Z1_TotalMontant'!$D$2:$D$253,"CHQ.TIROIR")</f>
        <v/>
      </c>
      <c r="G8" s="6">
        <f>SUMIFS('TD_Z1_TotalMontant'!$E$2:$E$253,'TD_Z1_TotalMontant'!$B$2:$B$253,B8,'TD_Z1_TotalMontant'!$C$2:$C$253,"ZZ1",'TD_Z1_TotalMontant'!$D$2:$D$253,"ESP.TIROIR")</f>
        <v/>
      </c>
      <c r="H8" s="6">
        <f>SUMIFS('TD_Z1_TotalMontant'!$E$2:$E$253,'TD_Z1_TotalMontant'!$B$2:$B$253,B8,'TD_Z1_TotalMontant'!$C$2:$C$253,"ZZ1",'TD_Z1_TotalMontant'!$D$2:$D$253,"HORS TAXE 1")</f>
        <v/>
      </c>
      <c r="I8" s="6">
        <f>SUMIFS('TD_Z1_TotalMontant'!$E$2:$E$253,'TD_Z1_TotalMontant'!$B$2:$B$253,B8,'TD_Z1_TotalMontant'!$C$2:$C$253,"ZZ1",'TD_Z1_TotalMontant'!$D$2:$D$253,"TVA 1")</f>
        <v/>
      </c>
    </row>
    <row r="9">
      <c r="A9" s="5" t="n">
        <v>2024</v>
      </c>
      <c r="B9" s="6" t="inlineStr">
        <is>
          <t>2024-08</t>
        </is>
      </c>
      <c r="C9" s="6">
        <f>SUMIFS('TD_Z1_TotalMontant'!$E$2:$E$253,'TD_Z1_TotalMontant'!$B$2:$B$253,B9,'TD_Z1_TotalMontant'!$C$2:$C$253,"ZZ1",'TD_Z1_TotalMontant'!$D$2:$D$253,"CA BRUT")</f>
        <v/>
      </c>
      <c r="D9" s="6">
        <f>SUMIFS('TD_Z1_TotalMontant'!$E$2:$E$253,'TD_Z1_TotalMontant'!$B$2:$B$253,B9,'TD_Z1_TotalMontant'!$C$2:$C$253,"ZZ1",'TD_Z1_TotalMontant'!$D$2:$D$253,"CA NET")</f>
        <v/>
      </c>
      <c r="E9" s="6">
        <f>SUMIFS('TD_Z1_TotalMontant'!$E$2:$E$253,'TD_Z1_TotalMontant'!$B$2:$B$253,B9,'TD_Z1_TotalMontant'!$C$2:$C$253,"ZZ1",'TD_Z1_TotalMontant'!$D$2:$D$253,"CB.TIROIR")</f>
        <v/>
      </c>
      <c r="F9" s="6">
        <f>SUMIFS('TD_Z1_TotalMontant'!$E$2:$E$253,'TD_Z1_TotalMontant'!$B$2:$B$253,B9,'TD_Z1_TotalMontant'!$C$2:$C$253,"ZZ1",'TD_Z1_TotalMontant'!$D$2:$D$253,"CHQ.TIROIR")</f>
        <v/>
      </c>
      <c r="G9" s="6">
        <f>SUMIFS('TD_Z1_TotalMontant'!$E$2:$E$253,'TD_Z1_TotalMontant'!$B$2:$B$253,B9,'TD_Z1_TotalMontant'!$C$2:$C$253,"ZZ1",'TD_Z1_TotalMontant'!$D$2:$D$253,"ESP.TIROIR")</f>
        <v/>
      </c>
      <c r="H9" s="6">
        <f>SUMIFS('TD_Z1_TotalMontant'!$E$2:$E$253,'TD_Z1_TotalMontant'!$B$2:$B$253,B9,'TD_Z1_TotalMontant'!$C$2:$C$253,"ZZ1",'TD_Z1_TotalMontant'!$D$2:$D$253,"HORS TAXE 1")</f>
        <v/>
      </c>
      <c r="I9" s="6">
        <f>SUMIFS('TD_Z1_TotalMontant'!$E$2:$E$253,'TD_Z1_TotalMontant'!$B$2:$B$253,B9,'TD_Z1_TotalMontant'!$C$2:$C$253,"ZZ1",'TD_Z1_TotalMontant'!$D$2:$D$253,"TVA 1")</f>
        <v/>
      </c>
    </row>
    <row r="10">
      <c r="A10" s="5" t="n">
        <v>2024</v>
      </c>
      <c r="B10" s="6" t="inlineStr">
        <is>
          <t>2024-09</t>
        </is>
      </c>
      <c r="C10" s="6">
        <f>SUMIFS('TD_Z1_TotalMontant'!$E$2:$E$253,'TD_Z1_TotalMontant'!$B$2:$B$253,B10,'TD_Z1_TotalMontant'!$C$2:$C$253,"ZZ1",'TD_Z1_TotalMontant'!$D$2:$D$253,"CA BRUT")</f>
        <v/>
      </c>
      <c r="D10" s="6">
        <f>SUMIFS('TD_Z1_TotalMontant'!$E$2:$E$253,'TD_Z1_TotalMontant'!$B$2:$B$253,B10,'TD_Z1_TotalMontant'!$C$2:$C$253,"ZZ1",'TD_Z1_TotalMontant'!$D$2:$D$253,"CA NET")</f>
        <v/>
      </c>
      <c r="E10" s="6">
        <f>SUMIFS('TD_Z1_TotalMontant'!$E$2:$E$253,'TD_Z1_TotalMontant'!$B$2:$B$253,B10,'TD_Z1_TotalMontant'!$C$2:$C$253,"ZZ1",'TD_Z1_TotalMontant'!$D$2:$D$253,"CB.TIROIR")</f>
        <v/>
      </c>
      <c r="F10" s="6">
        <f>SUMIFS('TD_Z1_TotalMontant'!$E$2:$E$253,'TD_Z1_TotalMontant'!$B$2:$B$253,B10,'TD_Z1_TotalMontant'!$C$2:$C$253,"ZZ1",'TD_Z1_TotalMontant'!$D$2:$D$253,"CHQ.TIROIR")</f>
        <v/>
      </c>
      <c r="G10" s="6">
        <f>SUMIFS('TD_Z1_TotalMontant'!$E$2:$E$253,'TD_Z1_TotalMontant'!$B$2:$B$253,B10,'TD_Z1_TotalMontant'!$C$2:$C$253,"ZZ1",'TD_Z1_TotalMontant'!$D$2:$D$253,"ESP.TIROIR")</f>
        <v/>
      </c>
      <c r="H10" s="6">
        <f>SUMIFS('TD_Z1_TotalMontant'!$E$2:$E$253,'TD_Z1_TotalMontant'!$B$2:$B$253,B10,'TD_Z1_TotalMontant'!$C$2:$C$253,"ZZ1",'TD_Z1_TotalMontant'!$D$2:$D$253,"HORS TAXE 1")</f>
        <v/>
      </c>
      <c r="I10" s="6">
        <f>SUMIFS('TD_Z1_TotalMontant'!$E$2:$E$253,'TD_Z1_TotalMontant'!$B$2:$B$253,B10,'TD_Z1_TotalMontant'!$C$2:$C$253,"ZZ1",'TD_Z1_TotalMontant'!$D$2:$D$253,"TVA 1")</f>
        <v/>
      </c>
    </row>
    <row r="11">
      <c r="A11" s="5" t="n">
        <v>2024</v>
      </c>
      <c r="B11" s="6" t="inlineStr">
        <is>
          <t>2024-10</t>
        </is>
      </c>
      <c r="C11" s="6">
        <f>SUMIFS('TD_Z1_TotalMontant'!$E$2:$E$253,'TD_Z1_TotalMontant'!$B$2:$B$253,B11,'TD_Z1_TotalMontant'!$C$2:$C$253,"ZZ1",'TD_Z1_TotalMontant'!$D$2:$D$253,"CA BRUT")</f>
        <v/>
      </c>
      <c r="D11" s="6">
        <f>SUMIFS('TD_Z1_TotalMontant'!$E$2:$E$253,'TD_Z1_TotalMontant'!$B$2:$B$253,B11,'TD_Z1_TotalMontant'!$C$2:$C$253,"ZZ1",'TD_Z1_TotalMontant'!$D$2:$D$253,"CA NET")</f>
        <v/>
      </c>
      <c r="E11" s="6">
        <f>SUMIFS('TD_Z1_TotalMontant'!$E$2:$E$253,'TD_Z1_TotalMontant'!$B$2:$B$253,B11,'TD_Z1_TotalMontant'!$C$2:$C$253,"ZZ1",'TD_Z1_TotalMontant'!$D$2:$D$253,"CB.TIROIR")</f>
        <v/>
      </c>
      <c r="F11" s="6">
        <f>SUMIFS('TD_Z1_TotalMontant'!$E$2:$E$253,'TD_Z1_TotalMontant'!$B$2:$B$253,B11,'TD_Z1_TotalMontant'!$C$2:$C$253,"ZZ1",'TD_Z1_TotalMontant'!$D$2:$D$253,"CHQ.TIROIR")</f>
        <v/>
      </c>
      <c r="G11" s="6">
        <f>SUMIFS('TD_Z1_TotalMontant'!$E$2:$E$253,'TD_Z1_TotalMontant'!$B$2:$B$253,B11,'TD_Z1_TotalMontant'!$C$2:$C$253,"ZZ1",'TD_Z1_TotalMontant'!$D$2:$D$253,"ESP.TIROIR")</f>
        <v/>
      </c>
      <c r="H11" s="6">
        <f>SUMIFS('TD_Z1_TotalMontant'!$E$2:$E$253,'TD_Z1_TotalMontant'!$B$2:$B$253,B11,'TD_Z1_TotalMontant'!$C$2:$C$253,"ZZ1",'TD_Z1_TotalMontant'!$D$2:$D$253,"HORS TAXE 1")</f>
        <v/>
      </c>
      <c r="I11" s="6">
        <f>SUMIFS('TD_Z1_TotalMontant'!$E$2:$E$253,'TD_Z1_TotalMontant'!$B$2:$B$253,B11,'TD_Z1_TotalMontant'!$C$2:$C$253,"ZZ1",'TD_Z1_TotalMontant'!$D$2:$D$253,"TVA 1")</f>
        <v/>
      </c>
    </row>
    <row r="12">
      <c r="A12" s="5" t="n">
        <v>2024</v>
      </c>
      <c r="B12" s="6" t="inlineStr">
        <is>
          <t>2024-11</t>
        </is>
      </c>
      <c r="C12" s="6">
        <f>SUMIFS('TD_Z1_TotalMontant'!$E$2:$E$253,'TD_Z1_TotalMontant'!$B$2:$B$253,B12,'TD_Z1_TotalMontant'!$C$2:$C$253,"ZZ1",'TD_Z1_TotalMontant'!$D$2:$D$253,"CA BRUT")</f>
        <v/>
      </c>
      <c r="D12" s="6">
        <f>SUMIFS('TD_Z1_TotalMontant'!$E$2:$E$253,'TD_Z1_TotalMontant'!$B$2:$B$253,B12,'TD_Z1_TotalMontant'!$C$2:$C$253,"ZZ1",'TD_Z1_TotalMontant'!$D$2:$D$253,"CA NET")</f>
        <v/>
      </c>
      <c r="E12" s="6">
        <f>SUMIFS('TD_Z1_TotalMontant'!$E$2:$E$253,'TD_Z1_TotalMontant'!$B$2:$B$253,B12,'TD_Z1_TotalMontant'!$C$2:$C$253,"ZZ1",'TD_Z1_TotalMontant'!$D$2:$D$253,"CB.TIROIR")</f>
        <v/>
      </c>
      <c r="F12" s="6">
        <f>SUMIFS('TD_Z1_TotalMontant'!$E$2:$E$253,'TD_Z1_TotalMontant'!$B$2:$B$253,B12,'TD_Z1_TotalMontant'!$C$2:$C$253,"ZZ1",'TD_Z1_TotalMontant'!$D$2:$D$253,"CHQ.TIROIR")</f>
        <v/>
      </c>
      <c r="G12" s="6">
        <f>SUMIFS('TD_Z1_TotalMontant'!$E$2:$E$253,'TD_Z1_TotalMontant'!$B$2:$B$253,B12,'TD_Z1_TotalMontant'!$C$2:$C$253,"ZZ1",'TD_Z1_TotalMontant'!$D$2:$D$253,"ESP.TIROIR")</f>
        <v/>
      </c>
      <c r="H12" s="6">
        <f>SUMIFS('TD_Z1_TotalMontant'!$E$2:$E$253,'TD_Z1_TotalMontant'!$B$2:$B$253,B12,'TD_Z1_TotalMontant'!$C$2:$C$253,"ZZ1",'TD_Z1_TotalMontant'!$D$2:$D$253,"HORS TAXE 1")</f>
        <v/>
      </c>
      <c r="I12" s="6">
        <f>SUMIFS('TD_Z1_TotalMontant'!$E$2:$E$253,'TD_Z1_TotalMontant'!$B$2:$B$253,B12,'TD_Z1_TotalMontant'!$C$2:$C$253,"ZZ1",'TD_Z1_TotalMontant'!$D$2:$D$253,"TVA 1")</f>
        <v/>
      </c>
    </row>
    <row r="13">
      <c r="A13" s="5" t="n">
        <v>2024</v>
      </c>
      <c r="B13" s="6" t="inlineStr">
        <is>
          <t>2024-12</t>
        </is>
      </c>
      <c r="C13" s="6">
        <f>SUMIFS('TD_Z1_TotalMontant'!$E$2:$E$253,'TD_Z1_TotalMontant'!$B$2:$B$253,B13,'TD_Z1_TotalMontant'!$C$2:$C$253,"ZZ1",'TD_Z1_TotalMontant'!$D$2:$D$253,"CA BRUT")</f>
        <v/>
      </c>
      <c r="D13" s="6">
        <f>SUMIFS('TD_Z1_TotalMontant'!$E$2:$E$253,'TD_Z1_TotalMontant'!$B$2:$B$253,B13,'TD_Z1_TotalMontant'!$C$2:$C$253,"ZZ1",'TD_Z1_TotalMontant'!$D$2:$D$253,"CA NET")</f>
        <v/>
      </c>
      <c r="E13" s="6">
        <f>SUMIFS('TD_Z1_TotalMontant'!$E$2:$E$253,'TD_Z1_TotalMontant'!$B$2:$B$253,B13,'TD_Z1_TotalMontant'!$C$2:$C$253,"ZZ1",'TD_Z1_TotalMontant'!$D$2:$D$253,"CB.TIROIR")</f>
        <v/>
      </c>
      <c r="F13" s="6">
        <f>SUMIFS('TD_Z1_TotalMontant'!$E$2:$E$253,'TD_Z1_TotalMontant'!$B$2:$B$253,B13,'TD_Z1_TotalMontant'!$C$2:$C$253,"ZZ1",'TD_Z1_TotalMontant'!$D$2:$D$253,"CHQ.TIROIR")</f>
        <v/>
      </c>
      <c r="G13" s="6">
        <f>SUMIFS('TD_Z1_TotalMontant'!$E$2:$E$253,'TD_Z1_TotalMontant'!$B$2:$B$253,B13,'TD_Z1_TotalMontant'!$C$2:$C$253,"ZZ1",'TD_Z1_TotalMontant'!$D$2:$D$253,"ESP.TIROIR")</f>
        <v/>
      </c>
      <c r="H13" s="6">
        <f>SUMIFS('TD_Z1_TotalMontant'!$E$2:$E$253,'TD_Z1_TotalMontant'!$B$2:$B$253,B13,'TD_Z1_TotalMontant'!$C$2:$C$253,"ZZ1",'TD_Z1_TotalMontant'!$D$2:$D$253,"HORS TAXE 1")</f>
        <v/>
      </c>
      <c r="I13" s="6">
        <f>SUMIFS('TD_Z1_TotalMontant'!$E$2:$E$253,'TD_Z1_TotalMontant'!$B$2:$B$253,B13,'TD_Z1_TotalMontant'!$C$2:$C$253,"ZZ1",'TD_Z1_TotalMontant'!$D$2:$D$253,"TVA 1")</f>
        <v/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2024</v>
      </c>
      <c r="B2" s="6" t="inlineStr">
        <is>
          <t>2024-01</t>
        </is>
      </c>
      <c r="C2" s="6">
        <f>SUMIFS('TD_Z1_TotalMontant'!$E$2:$E$253,'TD_Z1_TotalMontant'!$B$2:$B$253,B2,'TD_Z1_TotalMontant'!$C$2:$C$253,"ZZ2",'TD_Z1_TotalMontant'!$D$2:$D$253,"CA BRUT")</f>
        <v/>
      </c>
      <c r="D2" s="6">
        <f>SUMIFS('TD_Z1_TotalMontant'!$E$2:$E$253,'TD_Z1_TotalMontant'!$B$2:$B$253,B2,'TD_Z1_TotalMontant'!$C$2:$C$253,"ZZ2",'TD_Z1_TotalMontant'!$D$2:$D$253,"CA NET")</f>
        <v/>
      </c>
      <c r="E2" s="6">
        <f>SUMIFS('TD_Z1_TotalMontant'!$E$2:$E$253,'TD_Z1_TotalMontant'!$B$2:$B$253,B2,'TD_Z1_TotalMontant'!$C$2:$C$253,"ZZ2",'TD_Z1_TotalMontant'!$D$2:$D$253,"CB.TIROIR")</f>
        <v/>
      </c>
      <c r="F2" s="6">
        <f>SUMIFS('TD_Z1_TotalMontant'!$E$2:$E$253,'TD_Z1_TotalMontant'!$B$2:$B$253,B2,'TD_Z1_TotalMontant'!$C$2:$C$253,"ZZ2",'TD_Z1_TotalMontant'!$D$2:$D$253,"CHQ.TIROIR")</f>
        <v/>
      </c>
      <c r="G2" s="6">
        <f>SUMIFS('TD_Z1_TotalMontant'!$E$2:$E$253,'TD_Z1_TotalMontant'!$B$2:$B$253,B2,'TD_Z1_TotalMontant'!$C$2:$C$253,"ZZ2",'TD_Z1_TotalMontant'!$D$2:$D$253,"ESP.TIROIR")</f>
        <v/>
      </c>
      <c r="H2" s="6">
        <f>SUMIFS('TD_Z1_TotalMontant'!$E$2:$E$253,'TD_Z1_TotalMontant'!$B$2:$B$253,B2,'TD_Z1_TotalMontant'!$C$2:$C$253,"ZZ2",'TD_Z1_TotalMontant'!$D$2:$D$253,"HORS TAXE 1")</f>
        <v/>
      </c>
      <c r="I2" s="6">
        <f>SUMIFS('TD_Z1_TotalMontant'!$E$2:$E$253,'TD_Z1_TotalMontant'!$B$2:$B$253,B2,'TD_Z1_TotalMontant'!$C$2:$C$253,"ZZ2",'TD_Z1_TotalMontant'!$D$2:$D$253,"TVA 1")</f>
        <v/>
      </c>
    </row>
    <row r="3">
      <c r="A3" s="5" t="n">
        <v>2024</v>
      </c>
      <c r="B3" s="6" t="inlineStr">
        <is>
          <t>2024-02</t>
        </is>
      </c>
      <c r="C3" s="6">
        <f>SUMIFS('TD_Z1_TotalMontant'!$E$2:$E$253,'TD_Z1_TotalMontant'!$B$2:$B$253,B3,'TD_Z1_TotalMontant'!$C$2:$C$253,"ZZ2",'TD_Z1_TotalMontant'!$D$2:$D$253,"CA BRUT")</f>
        <v/>
      </c>
      <c r="D3" s="6">
        <f>SUMIFS('TD_Z1_TotalMontant'!$E$2:$E$253,'TD_Z1_TotalMontant'!$B$2:$B$253,B3,'TD_Z1_TotalMontant'!$C$2:$C$253,"ZZ2",'TD_Z1_TotalMontant'!$D$2:$D$253,"CA NET")</f>
        <v/>
      </c>
      <c r="E3" s="6">
        <f>SUMIFS('TD_Z1_TotalMontant'!$E$2:$E$253,'TD_Z1_TotalMontant'!$B$2:$B$253,B3,'TD_Z1_TotalMontant'!$C$2:$C$253,"ZZ2",'TD_Z1_TotalMontant'!$D$2:$D$253,"CB.TIROIR")</f>
        <v/>
      </c>
      <c r="F3" s="6">
        <f>SUMIFS('TD_Z1_TotalMontant'!$E$2:$E$253,'TD_Z1_TotalMontant'!$B$2:$B$253,B3,'TD_Z1_TotalMontant'!$C$2:$C$253,"ZZ2",'TD_Z1_TotalMontant'!$D$2:$D$253,"CHQ.TIROIR")</f>
        <v/>
      </c>
      <c r="G3" s="6">
        <f>SUMIFS('TD_Z1_TotalMontant'!$E$2:$E$253,'TD_Z1_TotalMontant'!$B$2:$B$253,B3,'TD_Z1_TotalMontant'!$C$2:$C$253,"ZZ2",'TD_Z1_TotalMontant'!$D$2:$D$253,"ESP.TIROIR")</f>
        <v/>
      </c>
      <c r="H3" s="6">
        <f>SUMIFS('TD_Z1_TotalMontant'!$E$2:$E$253,'TD_Z1_TotalMontant'!$B$2:$B$253,B3,'TD_Z1_TotalMontant'!$C$2:$C$253,"ZZ2",'TD_Z1_TotalMontant'!$D$2:$D$253,"HORS TAXE 1")</f>
        <v/>
      </c>
      <c r="I3" s="6">
        <f>SUMIFS('TD_Z1_TotalMontant'!$E$2:$E$253,'TD_Z1_TotalMontant'!$B$2:$B$253,B3,'TD_Z1_TotalMontant'!$C$2:$C$253,"ZZ2",'TD_Z1_TotalMontant'!$D$2:$D$253,"TVA 1")</f>
        <v/>
      </c>
    </row>
    <row r="4">
      <c r="A4" s="5" t="n">
        <v>2024</v>
      </c>
      <c r="B4" s="6" t="inlineStr">
        <is>
          <t>2024-03</t>
        </is>
      </c>
      <c r="C4" s="6">
        <f>SUMIFS('TD_Z1_TotalMontant'!$E$2:$E$253,'TD_Z1_TotalMontant'!$B$2:$B$253,B4,'TD_Z1_TotalMontant'!$C$2:$C$253,"ZZ2",'TD_Z1_TotalMontant'!$D$2:$D$253,"CA BRUT")</f>
        <v/>
      </c>
      <c r="D4" s="6">
        <f>SUMIFS('TD_Z1_TotalMontant'!$E$2:$E$253,'TD_Z1_TotalMontant'!$B$2:$B$253,B4,'TD_Z1_TotalMontant'!$C$2:$C$253,"ZZ2",'TD_Z1_TotalMontant'!$D$2:$D$253,"CA NET")</f>
        <v/>
      </c>
      <c r="E4" s="6">
        <f>SUMIFS('TD_Z1_TotalMontant'!$E$2:$E$253,'TD_Z1_TotalMontant'!$B$2:$B$253,B4,'TD_Z1_TotalMontant'!$C$2:$C$253,"ZZ2",'TD_Z1_TotalMontant'!$D$2:$D$253,"CB.TIROIR")</f>
        <v/>
      </c>
      <c r="F4" s="6">
        <f>SUMIFS('TD_Z1_TotalMontant'!$E$2:$E$253,'TD_Z1_TotalMontant'!$B$2:$B$253,B4,'TD_Z1_TotalMontant'!$C$2:$C$253,"ZZ2",'TD_Z1_TotalMontant'!$D$2:$D$253,"CHQ.TIROIR")</f>
        <v/>
      </c>
      <c r="G4" s="6">
        <f>SUMIFS('TD_Z1_TotalMontant'!$E$2:$E$253,'TD_Z1_TotalMontant'!$B$2:$B$253,B4,'TD_Z1_TotalMontant'!$C$2:$C$253,"ZZ2",'TD_Z1_TotalMontant'!$D$2:$D$253,"ESP.TIROIR")</f>
        <v/>
      </c>
      <c r="H4" s="6">
        <f>SUMIFS('TD_Z1_TotalMontant'!$E$2:$E$253,'TD_Z1_TotalMontant'!$B$2:$B$253,B4,'TD_Z1_TotalMontant'!$C$2:$C$253,"ZZ2",'TD_Z1_TotalMontant'!$D$2:$D$253,"HORS TAXE 1")</f>
        <v/>
      </c>
      <c r="I4" s="6">
        <f>SUMIFS('TD_Z1_TotalMontant'!$E$2:$E$253,'TD_Z1_TotalMontant'!$B$2:$B$253,B4,'TD_Z1_TotalMontant'!$C$2:$C$253,"ZZ2",'TD_Z1_TotalMontant'!$D$2:$D$253,"TVA 1")</f>
        <v/>
      </c>
    </row>
    <row r="5">
      <c r="A5" s="5" t="n">
        <v>2024</v>
      </c>
      <c r="B5" s="6" t="inlineStr">
        <is>
          <t>2024-04</t>
        </is>
      </c>
      <c r="C5" s="6">
        <f>SUMIFS('TD_Z1_TotalMontant'!$E$2:$E$253,'TD_Z1_TotalMontant'!$B$2:$B$253,B5,'TD_Z1_TotalMontant'!$C$2:$C$253,"ZZ2",'TD_Z1_TotalMontant'!$D$2:$D$253,"CA BRUT")</f>
        <v/>
      </c>
      <c r="D5" s="6">
        <f>SUMIFS('TD_Z1_TotalMontant'!$E$2:$E$253,'TD_Z1_TotalMontant'!$B$2:$B$253,B5,'TD_Z1_TotalMontant'!$C$2:$C$253,"ZZ2",'TD_Z1_TotalMontant'!$D$2:$D$253,"CA NET")</f>
        <v/>
      </c>
      <c r="E5" s="6">
        <f>SUMIFS('TD_Z1_TotalMontant'!$E$2:$E$253,'TD_Z1_TotalMontant'!$B$2:$B$253,B5,'TD_Z1_TotalMontant'!$C$2:$C$253,"ZZ2",'TD_Z1_TotalMontant'!$D$2:$D$253,"CB.TIROIR")</f>
        <v/>
      </c>
      <c r="F5" s="6">
        <f>SUMIFS('TD_Z1_TotalMontant'!$E$2:$E$253,'TD_Z1_TotalMontant'!$B$2:$B$253,B5,'TD_Z1_TotalMontant'!$C$2:$C$253,"ZZ2",'TD_Z1_TotalMontant'!$D$2:$D$253,"CHQ.TIROIR")</f>
        <v/>
      </c>
      <c r="G5" s="6">
        <f>SUMIFS('TD_Z1_TotalMontant'!$E$2:$E$253,'TD_Z1_TotalMontant'!$B$2:$B$253,B5,'TD_Z1_TotalMontant'!$C$2:$C$253,"ZZ2",'TD_Z1_TotalMontant'!$D$2:$D$253,"ESP.TIROIR")</f>
        <v/>
      </c>
      <c r="H5" s="6">
        <f>SUMIFS('TD_Z1_TotalMontant'!$E$2:$E$253,'TD_Z1_TotalMontant'!$B$2:$B$253,B5,'TD_Z1_TotalMontant'!$C$2:$C$253,"ZZ2",'TD_Z1_TotalMontant'!$D$2:$D$253,"HORS TAXE 1")</f>
        <v/>
      </c>
      <c r="I5" s="6">
        <f>SUMIFS('TD_Z1_TotalMontant'!$E$2:$E$253,'TD_Z1_TotalMontant'!$B$2:$B$253,B5,'TD_Z1_TotalMontant'!$C$2:$C$253,"ZZ2",'TD_Z1_TotalMontant'!$D$2:$D$253,"TVA 1")</f>
        <v/>
      </c>
    </row>
    <row r="6">
      <c r="A6" s="5" t="n">
        <v>2024</v>
      </c>
      <c r="B6" s="6" t="inlineStr">
        <is>
          <t>2024-05</t>
        </is>
      </c>
      <c r="C6" s="6">
        <f>SUMIFS('TD_Z1_TotalMontant'!$E$2:$E$253,'TD_Z1_TotalMontant'!$B$2:$B$253,B6,'TD_Z1_TotalMontant'!$C$2:$C$253,"ZZ2",'TD_Z1_TotalMontant'!$D$2:$D$253,"CA BRUT")</f>
        <v/>
      </c>
      <c r="D6" s="6">
        <f>SUMIFS('TD_Z1_TotalMontant'!$E$2:$E$253,'TD_Z1_TotalMontant'!$B$2:$B$253,B6,'TD_Z1_TotalMontant'!$C$2:$C$253,"ZZ2",'TD_Z1_TotalMontant'!$D$2:$D$253,"CA NET")</f>
        <v/>
      </c>
      <c r="E6" s="6">
        <f>SUMIFS('TD_Z1_TotalMontant'!$E$2:$E$253,'TD_Z1_TotalMontant'!$B$2:$B$253,B6,'TD_Z1_TotalMontant'!$C$2:$C$253,"ZZ2",'TD_Z1_TotalMontant'!$D$2:$D$253,"CB.TIROIR")</f>
        <v/>
      </c>
      <c r="F6" s="6">
        <f>SUMIFS('TD_Z1_TotalMontant'!$E$2:$E$253,'TD_Z1_TotalMontant'!$B$2:$B$253,B6,'TD_Z1_TotalMontant'!$C$2:$C$253,"ZZ2",'TD_Z1_TotalMontant'!$D$2:$D$253,"CHQ.TIROIR")</f>
        <v/>
      </c>
      <c r="G6" s="6">
        <f>SUMIFS('TD_Z1_TotalMontant'!$E$2:$E$253,'TD_Z1_TotalMontant'!$B$2:$B$253,B6,'TD_Z1_TotalMontant'!$C$2:$C$253,"ZZ2",'TD_Z1_TotalMontant'!$D$2:$D$253,"ESP.TIROIR")</f>
        <v/>
      </c>
      <c r="H6" s="6">
        <f>SUMIFS('TD_Z1_TotalMontant'!$E$2:$E$253,'TD_Z1_TotalMontant'!$B$2:$B$253,B6,'TD_Z1_TotalMontant'!$C$2:$C$253,"ZZ2",'TD_Z1_TotalMontant'!$D$2:$D$253,"HORS TAXE 1")</f>
        <v/>
      </c>
      <c r="I6" s="6">
        <f>SUMIFS('TD_Z1_TotalMontant'!$E$2:$E$253,'TD_Z1_TotalMontant'!$B$2:$B$253,B6,'TD_Z1_TotalMontant'!$C$2:$C$253,"ZZ2",'TD_Z1_TotalMontant'!$D$2:$D$253,"TVA 1")</f>
        <v/>
      </c>
    </row>
    <row r="7">
      <c r="A7" s="5" t="n">
        <v>2024</v>
      </c>
      <c r="B7" s="6" t="inlineStr">
        <is>
          <t>2024-06</t>
        </is>
      </c>
      <c r="C7" s="6">
        <f>SUMIFS('TD_Z1_TotalMontant'!$E$2:$E$253,'TD_Z1_TotalMontant'!$B$2:$B$253,B7,'TD_Z1_TotalMontant'!$C$2:$C$253,"ZZ2",'TD_Z1_TotalMontant'!$D$2:$D$253,"CA BRUT")</f>
        <v/>
      </c>
      <c r="D7" s="6">
        <f>SUMIFS('TD_Z1_TotalMontant'!$E$2:$E$253,'TD_Z1_TotalMontant'!$B$2:$B$253,B7,'TD_Z1_TotalMontant'!$C$2:$C$253,"ZZ2",'TD_Z1_TotalMontant'!$D$2:$D$253,"CA NET")</f>
        <v/>
      </c>
      <c r="E7" s="6">
        <f>SUMIFS('TD_Z1_TotalMontant'!$E$2:$E$253,'TD_Z1_TotalMontant'!$B$2:$B$253,B7,'TD_Z1_TotalMontant'!$C$2:$C$253,"ZZ2",'TD_Z1_TotalMontant'!$D$2:$D$253,"CB.TIROIR")</f>
        <v/>
      </c>
      <c r="F7" s="6">
        <f>SUMIFS('TD_Z1_TotalMontant'!$E$2:$E$253,'TD_Z1_TotalMontant'!$B$2:$B$253,B7,'TD_Z1_TotalMontant'!$C$2:$C$253,"ZZ2",'TD_Z1_TotalMontant'!$D$2:$D$253,"CHQ.TIROIR")</f>
        <v/>
      </c>
      <c r="G7" s="6">
        <f>SUMIFS('TD_Z1_TotalMontant'!$E$2:$E$253,'TD_Z1_TotalMontant'!$B$2:$B$253,B7,'TD_Z1_TotalMontant'!$C$2:$C$253,"ZZ2",'TD_Z1_TotalMontant'!$D$2:$D$253,"ESP.TIROIR")</f>
        <v/>
      </c>
      <c r="H7" s="6">
        <f>SUMIFS('TD_Z1_TotalMontant'!$E$2:$E$253,'TD_Z1_TotalMontant'!$B$2:$B$253,B7,'TD_Z1_TotalMontant'!$C$2:$C$253,"ZZ2",'TD_Z1_TotalMontant'!$D$2:$D$253,"HORS TAXE 1")</f>
        <v/>
      </c>
      <c r="I7" s="6">
        <f>SUMIFS('TD_Z1_TotalMontant'!$E$2:$E$253,'TD_Z1_TotalMontant'!$B$2:$B$253,B7,'TD_Z1_TotalMontant'!$C$2:$C$253,"ZZ2",'TD_Z1_TotalMontant'!$D$2:$D$253,"TVA 1")</f>
        <v/>
      </c>
    </row>
    <row r="8">
      <c r="A8" s="5" t="n">
        <v>2024</v>
      </c>
      <c r="B8" s="6" t="inlineStr">
        <is>
          <t>2024-07</t>
        </is>
      </c>
      <c r="C8" s="6">
        <f>SUMIFS('TD_Z1_TotalMontant'!$E$2:$E$253,'TD_Z1_TotalMontant'!$B$2:$B$253,B8,'TD_Z1_TotalMontant'!$C$2:$C$253,"ZZ2",'TD_Z1_TotalMontant'!$D$2:$D$253,"CA BRUT")</f>
        <v/>
      </c>
      <c r="D8" s="6">
        <f>SUMIFS('TD_Z1_TotalMontant'!$E$2:$E$253,'TD_Z1_TotalMontant'!$B$2:$B$253,B8,'TD_Z1_TotalMontant'!$C$2:$C$253,"ZZ2",'TD_Z1_TotalMontant'!$D$2:$D$253,"CA NET")</f>
        <v/>
      </c>
      <c r="E8" s="6">
        <f>SUMIFS('TD_Z1_TotalMontant'!$E$2:$E$253,'TD_Z1_TotalMontant'!$B$2:$B$253,B8,'TD_Z1_TotalMontant'!$C$2:$C$253,"ZZ2",'TD_Z1_TotalMontant'!$D$2:$D$253,"CB.TIROIR")</f>
        <v/>
      </c>
      <c r="F8" s="6">
        <f>SUMIFS('TD_Z1_TotalMontant'!$E$2:$E$253,'TD_Z1_TotalMontant'!$B$2:$B$253,B8,'TD_Z1_TotalMontant'!$C$2:$C$253,"ZZ2",'TD_Z1_TotalMontant'!$D$2:$D$253,"CHQ.TIROIR")</f>
        <v/>
      </c>
      <c r="G8" s="6">
        <f>SUMIFS('TD_Z1_TotalMontant'!$E$2:$E$253,'TD_Z1_TotalMontant'!$B$2:$B$253,B8,'TD_Z1_TotalMontant'!$C$2:$C$253,"ZZ2",'TD_Z1_TotalMontant'!$D$2:$D$253,"ESP.TIROIR")</f>
        <v/>
      </c>
      <c r="H8" s="6">
        <f>SUMIFS('TD_Z1_TotalMontant'!$E$2:$E$253,'TD_Z1_TotalMontant'!$B$2:$B$253,B8,'TD_Z1_TotalMontant'!$C$2:$C$253,"ZZ2",'TD_Z1_TotalMontant'!$D$2:$D$253,"HORS TAXE 1")</f>
        <v/>
      </c>
      <c r="I8" s="6">
        <f>SUMIFS('TD_Z1_TotalMontant'!$E$2:$E$253,'TD_Z1_TotalMontant'!$B$2:$B$253,B8,'TD_Z1_TotalMontant'!$C$2:$C$253,"ZZ2",'TD_Z1_TotalMontant'!$D$2:$D$253,"TVA 1")</f>
        <v/>
      </c>
    </row>
    <row r="9">
      <c r="A9" s="5" t="n">
        <v>2024</v>
      </c>
      <c r="B9" s="6" t="inlineStr">
        <is>
          <t>2024-08</t>
        </is>
      </c>
      <c r="C9" s="6">
        <f>SUMIFS('TD_Z1_TotalMontant'!$E$2:$E$253,'TD_Z1_TotalMontant'!$B$2:$B$253,B9,'TD_Z1_TotalMontant'!$C$2:$C$253,"ZZ2",'TD_Z1_TotalMontant'!$D$2:$D$253,"CA BRUT")</f>
        <v/>
      </c>
      <c r="D9" s="6">
        <f>SUMIFS('TD_Z1_TotalMontant'!$E$2:$E$253,'TD_Z1_TotalMontant'!$B$2:$B$253,B9,'TD_Z1_TotalMontant'!$C$2:$C$253,"ZZ2",'TD_Z1_TotalMontant'!$D$2:$D$253,"CA NET")</f>
        <v/>
      </c>
      <c r="E9" s="6">
        <f>SUMIFS('TD_Z1_TotalMontant'!$E$2:$E$253,'TD_Z1_TotalMontant'!$B$2:$B$253,B9,'TD_Z1_TotalMontant'!$C$2:$C$253,"ZZ2",'TD_Z1_TotalMontant'!$D$2:$D$253,"CB.TIROIR")</f>
        <v/>
      </c>
      <c r="F9" s="6">
        <f>SUMIFS('TD_Z1_TotalMontant'!$E$2:$E$253,'TD_Z1_TotalMontant'!$B$2:$B$253,B9,'TD_Z1_TotalMontant'!$C$2:$C$253,"ZZ2",'TD_Z1_TotalMontant'!$D$2:$D$253,"CHQ.TIROIR")</f>
        <v/>
      </c>
      <c r="G9" s="6">
        <f>SUMIFS('TD_Z1_TotalMontant'!$E$2:$E$253,'TD_Z1_TotalMontant'!$B$2:$B$253,B9,'TD_Z1_TotalMontant'!$C$2:$C$253,"ZZ2",'TD_Z1_TotalMontant'!$D$2:$D$253,"ESP.TIROIR")</f>
        <v/>
      </c>
      <c r="H9" s="6">
        <f>SUMIFS('TD_Z1_TotalMontant'!$E$2:$E$253,'TD_Z1_TotalMontant'!$B$2:$B$253,B9,'TD_Z1_TotalMontant'!$C$2:$C$253,"ZZ2",'TD_Z1_TotalMontant'!$D$2:$D$253,"HORS TAXE 1")</f>
        <v/>
      </c>
      <c r="I9" s="6">
        <f>SUMIFS('TD_Z1_TotalMontant'!$E$2:$E$253,'TD_Z1_TotalMontant'!$B$2:$B$253,B9,'TD_Z1_TotalMontant'!$C$2:$C$253,"ZZ2",'TD_Z1_TotalMontant'!$D$2:$D$253,"TVA 1")</f>
        <v/>
      </c>
    </row>
    <row r="10">
      <c r="A10" s="5" t="n">
        <v>2024</v>
      </c>
      <c r="B10" s="6" t="inlineStr">
        <is>
          <t>2024-09</t>
        </is>
      </c>
      <c r="C10" s="6">
        <f>SUMIFS('TD_Z1_TotalMontant'!$E$2:$E$253,'TD_Z1_TotalMontant'!$B$2:$B$253,B10,'TD_Z1_TotalMontant'!$C$2:$C$253,"ZZ2",'TD_Z1_TotalMontant'!$D$2:$D$253,"CA BRUT")</f>
        <v/>
      </c>
      <c r="D10" s="6">
        <f>SUMIFS('TD_Z1_TotalMontant'!$E$2:$E$253,'TD_Z1_TotalMontant'!$B$2:$B$253,B10,'TD_Z1_TotalMontant'!$C$2:$C$253,"ZZ2",'TD_Z1_TotalMontant'!$D$2:$D$253,"CA NET")</f>
        <v/>
      </c>
      <c r="E10" s="6">
        <f>SUMIFS('TD_Z1_TotalMontant'!$E$2:$E$253,'TD_Z1_TotalMontant'!$B$2:$B$253,B10,'TD_Z1_TotalMontant'!$C$2:$C$253,"ZZ2",'TD_Z1_TotalMontant'!$D$2:$D$253,"CB.TIROIR")</f>
        <v/>
      </c>
      <c r="F10" s="6">
        <f>SUMIFS('TD_Z1_TotalMontant'!$E$2:$E$253,'TD_Z1_TotalMontant'!$B$2:$B$253,B10,'TD_Z1_TotalMontant'!$C$2:$C$253,"ZZ2",'TD_Z1_TotalMontant'!$D$2:$D$253,"CHQ.TIROIR")</f>
        <v/>
      </c>
      <c r="G10" s="6">
        <f>SUMIFS('TD_Z1_TotalMontant'!$E$2:$E$253,'TD_Z1_TotalMontant'!$B$2:$B$253,B10,'TD_Z1_TotalMontant'!$C$2:$C$253,"ZZ2",'TD_Z1_TotalMontant'!$D$2:$D$253,"ESP.TIROIR")</f>
        <v/>
      </c>
      <c r="H10" s="6">
        <f>SUMIFS('TD_Z1_TotalMontant'!$E$2:$E$253,'TD_Z1_TotalMontant'!$B$2:$B$253,B10,'TD_Z1_TotalMontant'!$C$2:$C$253,"ZZ2",'TD_Z1_TotalMontant'!$D$2:$D$253,"HORS TAXE 1")</f>
        <v/>
      </c>
      <c r="I10" s="6">
        <f>SUMIFS('TD_Z1_TotalMontant'!$E$2:$E$253,'TD_Z1_TotalMontant'!$B$2:$B$253,B10,'TD_Z1_TotalMontant'!$C$2:$C$253,"ZZ2",'TD_Z1_TotalMontant'!$D$2:$D$253,"TVA 1")</f>
        <v/>
      </c>
    </row>
    <row r="11">
      <c r="A11" s="5" t="n">
        <v>2024</v>
      </c>
      <c r="B11" s="6" t="inlineStr">
        <is>
          <t>2024-10</t>
        </is>
      </c>
      <c r="C11" s="6">
        <f>SUMIFS('TD_Z1_TotalMontant'!$E$2:$E$253,'TD_Z1_TotalMontant'!$B$2:$B$253,B11,'TD_Z1_TotalMontant'!$C$2:$C$253,"ZZ2",'TD_Z1_TotalMontant'!$D$2:$D$253,"CA BRUT")</f>
        <v/>
      </c>
      <c r="D11" s="6">
        <f>SUMIFS('TD_Z1_TotalMontant'!$E$2:$E$253,'TD_Z1_TotalMontant'!$B$2:$B$253,B11,'TD_Z1_TotalMontant'!$C$2:$C$253,"ZZ2",'TD_Z1_TotalMontant'!$D$2:$D$253,"CA NET")</f>
        <v/>
      </c>
      <c r="E11" s="6">
        <f>SUMIFS('TD_Z1_TotalMontant'!$E$2:$E$253,'TD_Z1_TotalMontant'!$B$2:$B$253,B11,'TD_Z1_TotalMontant'!$C$2:$C$253,"ZZ2",'TD_Z1_TotalMontant'!$D$2:$D$253,"CB.TIROIR")</f>
        <v/>
      </c>
      <c r="F11" s="6">
        <f>SUMIFS('TD_Z1_TotalMontant'!$E$2:$E$253,'TD_Z1_TotalMontant'!$B$2:$B$253,B11,'TD_Z1_TotalMontant'!$C$2:$C$253,"ZZ2",'TD_Z1_TotalMontant'!$D$2:$D$253,"CHQ.TIROIR")</f>
        <v/>
      </c>
      <c r="G11" s="6">
        <f>SUMIFS('TD_Z1_TotalMontant'!$E$2:$E$253,'TD_Z1_TotalMontant'!$B$2:$B$253,B11,'TD_Z1_TotalMontant'!$C$2:$C$253,"ZZ2",'TD_Z1_TotalMontant'!$D$2:$D$253,"ESP.TIROIR")</f>
        <v/>
      </c>
      <c r="H11" s="6">
        <f>SUMIFS('TD_Z1_TotalMontant'!$E$2:$E$253,'TD_Z1_TotalMontant'!$B$2:$B$253,B11,'TD_Z1_TotalMontant'!$C$2:$C$253,"ZZ2",'TD_Z1_TotalMontant'!$D$2:$D$253,"HORS TAXE 1")</f>
        <v/>
      </c>
      <c r="I11" s="6">
        <f>SUMIFS('TD_Z1_TotalMontant'!$E$2:$E$253,'TD_Z1_TotalMontant'!$B$2:$B$253,B11,'TD_Z1_TotalMontant'!$C$2:$C$253,"ZZ2",'TD_Z1_TotalMontant'!$D$2:$D$253,"TVA 1")</f>
        <v/>
      </c>
    </row>
    <row r="12">
      <c r="A12" s="5" t="n">
        <v>2024</v>
      </c>
      <c r="B12" s="6" t="inlineStr">
        <is>
          <t>2024-11</t>
        </is>
      </c>
      <c r="C12" s="6">
        <f>SUMIFS('TD_Z1_TotalMontant'!$E$2:$E$253,'TD_Z1_TotalMontant'!$B$2:$B$253,B12,'TD_Z1_TotalMontant'!$C$2:$C$253,"ZZ2",'TD_Z1_TotalMontant'!$D$2:$D$253,"CA BRUT")</f>
        <v/>
      </c>
      <c r="D12" s="6">
        <f>SUMIFS('TD_Z1_TotalMontant'!$E$2:$E$253,'TD_Z1_TotalMontant'!$B$2:$B$253,B12,'TD_Z1_TotalMontant'!$C$2:$C$253,"ZZ2",'TD_Z1_TotalMontant'!$D$2:$D$253,"CA NET")</f>
        <v/>
      </c>
      <c r="E12" s="6">
        <f>SUMIFS('TD_Z1_TotalMontant'!$E$2:$E$253,'TD_Z1_TotalMontant'!$B$2:$B$253,B12,'TD_Z1_TotalMontant'!$C$2:$C$253,"ZZ2",'TD_Z1_TotalMontant'!$D$2:$D$253,"CB.TIROIR")</f>
        <v/>
      </c>
      <c r="F12" s="6">
        <f>SUMIFS('TD_Z1_TotalMontant'!$E$2:$E$253,'TD_Z1_TotalMontant'!$B$2:$B$253,B12,'TD_Z1_TotalMontant'!$C$2:$C$253,"ZZ2",'TD_Z1_TotalMontant'!$D$2:$D$253,"CHQ.TIROIR")</f>
        <v/>
      </c>
      <c r="G12" s="6">
        <f>SUMIFS('TD_Z1_TotalMontant'!$E$2:$E$253,'TD_Z1_TotalMontant'!$B$2:$B$253,B12,'TD_Z1_TotalMontant'!$C$2:$C$253,"ZZ2",'TD_Z1_TotalMontant'!$D$2:$D$253,"ESP.TIROIR")</f>
        <v/>
      </c>
      <c r="H12" s="6">
        <f>SUMIFS('TD_Z1_TotalMontant'!$E$2:$E$253,'TD_Z1_TotalMontant'!$B$2:$B$253,B12,'TD_Z1_TotalMontant'!$C$2:$C$253,"ZZ2",'TD_Z1_TotalMontant'!$D$2:$D$253,"HORS TAXE 1")</f>
        <v/>
      </c>
      <c r="I12" s="6">
        <f>SUMIFS('TD_Z1_TotalMontant'!$E$2:$E$253,'TD_Z1_TotalMontant'!$B$2:$B$253,B12,'TD_Z1_TotalMontant'!$C$2:$C$253,"ZZ2",'TD_Z1_TotalMontant'!$D$2:$D$253,"TVA 1")</f>
        <v/>
      </c>
    </row>
    <row r="13">
      <c r="A13" s="5" t="n">
        <v>2024</v>
      </c>
      <c r="B13" s="6" t="inlineStr">
        <is>
          <t>2024-12</t>
        </is>
      </c>
      <c r="C13" s="6">
        <f>SUMIFS('TD_Z1_TotalMontant'!$E$2:$E$253,'TD_Z1_TotalMontant'!$B$2:$B$253,B13,'TD_Z1_TotalMontant'!$C$2:$C$253,"ZZ2",'TD_Z1_TotalMontant'!$D$2:$D$253,"CA BRUT")</f>
        <v/>
      </c>
      <c r="D13" s="6">
        <f>SUMIFS('TD_Z1_TotalMontant'!$E$2:$E$253,'TD_Z1_TotalMontant'!$B$2:$B$253,B13,'TD_Z1_TotalMontant'!$C$2:$C$253,"ZZ2",'TD_Z1_TotalMontant'!$D$2:$D$253,"CA NET")</f>
        <v/>
      </c>
      <c r="E13" s="6">
        <f>SUMIFS('TD_Z1_TotalMontant'!$E$2:$E$253,'TD_Z1_TotalMontant'!$B$2:$B$253,B13,'TD_Z1_TotalMontant'!$C$2:$C$253,"ZZ2",'TD_Z1_TotalMontant'!$D$2:$D$253,"CB.TIROIR")</f>
        <v/>
      </c>
      <c r="F13" s="6">
        <f>SUMIFS('TD_Z1_TotalMontant'!$E$2:$E$253,'TD_Z1_TotalMontant'!$B$2:$B$253,B13,'TD_Z1_TotalMontant'!$C$2:$C$253,"ZZ2",'TD_Z1_TotalMontant'!$D$2:$D$253,"CHQ.TIROIR")</f>
        <v/>
      </c>
      <c r="G13" s="6">
        <f>SUMIFS('TD_Z1_TotalMontant'!$E$2:$E$253,'TD_Z1_TotalMontant'!$B$2:$B$253,B13,'TD_Z1_TotalMontant'!$C$2:$C$253,"ZZ2",'TD_Z1_TotalMontant'!$D$2:$D$253,"ESP.TIROIR")</f>
        <v/>
      </c>
      <c r="H13" s="6">
        <f>SUMIFS('TD_Z1_TotalMontant'!$E$2:$E$253,'TD_Z1_TotalMontant'!$B$2:$B$253,B13,'TD_Z1_TotalMontant'!$C$2:$C$253,"ZZ2",'TD_Z1_TotalMontant'!$D$2:$D$253,"HORS TAXE 1")</f>
        <v/>
      </c>
      <c r="I13" s="6">
        <f>SUMIFS('TD_Z1_TotalMontant'!$E$2:$E$253,'TD_Z1_TotalMontant'!$B$2:$B$253,B13,'TD_Z1_TotalMontant'!$C$2:$C$253,"ZZ2",'TD_Z1_TotalMontant'!$D$2:$D$253,"TVA 1")</f>
        <v/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2024</v>
      </c>
      <c r="B2" s="6" t="inlineStr">
        <is>
          <t>2024-01</t>
        </is>
      </c>
      <c r="C2" s="6">
        <f>SUMIFS('TD_Z1_TotalMontant'!$E$2:$E$253,'TD_Z1_TotalMontant'!$B$2:$B$253,B2,'TD_Z1_TotalMontant'!$C$2:$C$253,"Z",'TD_Z1_TotalMontant'!$D$2:$D$253,"CA BRUT")</f>
        <v/>
      </c>
      <c r="D2" s="6">
        <f>SUMIFS('TD_Z1_TotalMontant'!$E$2:$E$253,'TD_Z1_TotalMontant'!$B$2:$B$253,B2,'TD_Z1_TotalMontant'!$C$2:$C$253,"Z",'TD_Z1_TotalMontant'!$D$2:$D$253,"CA NET")</f>
        <v/>
      </c>
      <c r="E2" s="6">
        <f>SUMIFS('TD_Z1_TotalMontant'!$E$2:$E$253,'TD_Z1_TotalMontant'!$B$2:$B$253,B2,'TD_Z1_TotalMontant'!$C$2:$C$253,"Z",'TD_Z1_TotalMontant'!$D$2:$D$253,"CB.TIROIR")</f>
        <v/>
      </c>
      <c r="F2" s="6">
        <f>SUMIFS('TD_Z1_TotalMontant'!$E$2:$E$253,'TD_Z1_TotalMontant'!$B$2:$B$253,B2,'TD_Z1_TotalMontant'!$C$2:$C$253,"Z",'TD_Z1_TotalMontant'!$D$2:$D$253,"CHQ.TIROIR")</f>
        <v/>
      </c>
      <c r="G2" s="6">
        <f>SUMIFS('TD_Z1_TotalMontant'!$E$2:$E$253,'TD_Z1_TotalMontant'!$B$2:$B$253,B2,'TD_Z1_TotalMontant'!$C$2:$C$253,"Z",'TD_Z1_TotalMontant'!$D$2:$D$253,"ESP.TIROIR")</f>
        <v/>
      </c>
      <c r="H2" s="6">
        <f>SUMIFS('TD_Z1_TotalMontant'!$E$2:$E$253,'TD_Z1_TotalMontant'!$B$2:$B$253,B2,'TD_Z1_TotalMontant'!$C$2:$C$253,"Z",'TD_Z1_TotalMontant'!$D$2:$D$253,"HORS TAXE 1")</f>
        <v/>
      </c>
      <c r="I2" s="6">
        <f>SUMIFS('TD_Z1_TotalMontant'!$E$2:$E$253,'TD_Z1_TotalMontant'!$B$2:$B$253,B2,'TD_Z1_TotalMontant'!$C$2:$C$253,"Z",'TD_Z1_TotalMontant'!$D$2:$D$253,"TVA 1")</f>
        <v/>
      </c>
    </row>
    <row r="3">
      <c r="A3" s="5" t="n">
        <v>2024</v>
      </c>
      <c r="B3" s="6" t="inlineStr">
        <is>
          <t>2024-02</t>
        </is>
      </c>
      <c r="C3" s="6">
        <f>SUMIFS('TD_Z1_TotalMontant'!$E$2:$E$253,'TD_Z1_TotalMontant'!$B$2:$B$253,B3,'TD_Z1_TotalMontant'!$C$2:$C$253,"Z",'TD_Z1_TotalMontant'!$D$2:$D$253,"CA BRUT")</f>
        <v/>
      </c>
      <c r="D3" s="6">
        <f>SUMIFS('TD_Z1_TotalMontant'!$E$2:$E$253,'TD_Z1_TotalMontant'!$B$2:$B$253,B3,'TD_Z1_TotalMontant'!$C$2:$C$253,"Z",'TD_Z1_TotalMontant'!$D$2:$D$253,"CA NET")</f>
        <v/>
      </c>
      <c r="E3" s="6">
        <f>SUMIFS('TD_Z1_TotalMontant'!$E$2:$E$253,'TD_Z1_TotalMontant'!$B$2:$B$253,B3,'TD_Z1_TotalMontant'!$C$2:$C$253,"Z",'TD_Z1_TotalMontant'!$D$2:$D$253,"CB.TIROIR")</f>
        <v/>
      </c>
      <c r="F3" s="6">
        <f>SUMIFS('TD_Z1_TotalMontant'!$E$2:$E$253,'TD_Z1_TotalMontant'!$B$2:$B$253,B3,'TD_Z1_TotalMontant'!$C$2:$C$253,"Z",'TD_Z1_TotalMontant'!$D$2:$D$253,"CHQ.TIROIR")</f>
        <v/>
      </c>
      <c r="G3" s="6">
        <f>SUMIFS('TD_Z1_TotalMontant'!$E$2:$E$253,'TD_Z1_TotalMontant'!$B$2:$B$253,B3,'TD_Z1_TotalMontant'!$C$2:$C$253,"Z",'TD_Z1_TotalMontant'!$D$2:$D$253,"ESP.TIROIR")</f>
        <v/>
      </c>
      <c r="H3" s="6">
        <f>SUMIFS('TD_Z1_TotalMontant'!$E$2:$E$253,'TD_Z1_TotalMontant'!$B$2:$B$253,B3,'TD_Z1_TotalMontant'!$C$2:$C$253,"Z",'TD_Z1_TotalMontant'!$D$2:$D$253,"HORS TAXE 1")</f>
        <v/>
      </c>
      <c r="I3" s="6">
        <f>SUMIFS('TD_Z1_TotalMontant'!$E$2:$E$253,'TD_Z1_TotalMontant'!$B$2:$B$253,B3,'TD_Z1_TotalMontant'!$C$2:$C$253,"Z",'TD_Z1_TotalMontant'!$D$2:$D$253,"TVA 1")</f>
        <v/>
      </c>
    </row>
    <row r="4">
      <c r="A4" s="5" t="n">
        <v>2024</v>
      </c>
      <c r="B4" s="6" t="inlineStr">
        <is>
          <t>2024-03</t>
        </is>
      </c>
      <c r="C4" s="6">
        <f>SUMIFS('TD_Z1_TotalMontant'!$E$2:$E$253,'TD_Z1_TotalMontant'!$B$2:$B$253,B4,'TD_Z1_TotalMontant'!$C$2:$C$253,"Z",'TD_Z1_TotalMontant'!$D$2:$D$253,"CA BRUT")</f>
        <v/>
      </c>
      <c r="D4" s="6">
        <f>SUMIFS('TD_Z1_TotalMontant'!$E$2:$E$253,'TD_Z1_TotalMontant'!$B$2:$B$253,B4,'TD_Z1_TotalMontant'!$C$2:$C$253,"Z",'TD_Z1_TotalMontant'!$D$2:$D$253,"CA NET")</f>
        <v/>
      </c>
      <c r="E4" s="6">
        <f>SUMIFS('TD_Z1_TotalMontant'!$E$2:$E$253,'TD_Z1_TotalMontant'!$B$2:$B$253,B4,'TD_Z1_TotalMontant'!$C$2:$C$253,"Z",'TD_Z1_TotalMontant'!$D$2:$D$253,"CB.TIROIR")</f>
        <v/>
      </c>
      <c r="F4" s="6">
        <f>SUMIFS('TD_Z1_TotalMontant'!$E$2:$E$253,'TD_Z1_TotalMontant'!$B$2:$B$253,B4,'TD_Z1_TotalMontant'!$C$2:$C$253,"Z",'TD_Z1_TotalMontant'!$D$2:$D$253,"CHQ.TIROIR")</f>
        <v/>
      </c>
      <c r="G4" s="6">
        <f>SUMIFS('TD_Z1_TotalMontant'!$E$2:$E$253,'TD_Z1_TotalMontant'!$B$2:$B$253,B4,'TD_Z1_TotalMontant'!$C$2:$C$253,"Z",'TD_Z1_TotalMontant'!$D$2:$D$253,"ESP.TIROIR")</f>
        <v/>
      </c>
      <c r="H4" s="6">
        <f>SUMIFS('TD_Z1_TotalMontant'!$E$2:$E$253,'TD_Z1_TotalMontant'!$B$2:$B$253,B4,'TD_Z1_TotalMontant'!$C$2:$C$253,"Z",'TD_Z1_TotalMontant'!$D$2:$D$253,"HORS TAXE 1")</f>
        <v/>
      </c>
      <c r="I4" s="6">
        <f>SUMIFS('TD_Z1_TotalMontant'!$E$2:$E$253,'TD_Z1_TotalMontant'!$B$2:$B$253,B4,'TD_Z1_TotalMontant'!$C$2:$C$253,"Z",'TD_Z1_TotalMontant'!$D$2:$D$253,"TVA 1")</f>
        <v/>
      </c>
    </row>
    <row r="5">
      <c r="A5" s="5" t="n">
        <v>2024</v>
      </c>
      <c r="B5" s="6" t="inlineStr">
        <is>
          <t>2024-04</t>
        </is>
      </c>
      <c r="C5" s="6">
        <f>SUMIFS('TD_Z1_TotalMontant'!$E$2:$E$253,'TD_Z1_TotalMontant'!$B$2:$B$253,B5,'TD_Z1_TotalMontant'!$C$2:$C$253,"Z",'TD_Z1_TotalMontant'!$D$2:$D$253,"CA BRUT")</f>
        <v/>
      </c>
      <c r="D5" s="6">
        <f>SUMIFS('TD_Z1_TotalMontant'!$E$2:$E$253,'TD_Z1_TotalMontant'!$B$2:$B$253,B5,'TD_Z1_TotalMontant'!$C$2:$C$253,"Z",'TD_Z1_TotalMontant'!$D$2:$D$253,"CA NET")</f>
        <v/>
      </c>
      <c r="E5" s="6">
        <f>SUMIFS('TD_Z1_TotalMontant'!$E$2:$E$253,'TD_Z1_TotalMontant'!$B$2:$B$253,B5,'TD_Z1_TotalMontant'!$C$2:$C$253,"Z",'TD_Z1_TotalMontant'!$D$2:$D$253,"CB.TIROIR")</f>
        <v/>
      </c>
      <c r="F5" s="6">
        <f>SUMIFS('TD_Z1_TotalMontant'!$E$2:$E$253,'TD_Z1_TotalMontant'!$B$2:$B$253,B5,'TD_Z1_TotalMontant'!$C$2:$C$253,"Z",'TD_Z1_TotalMontant'!$D$2:$D$253,"CHQ.TIROIR")</f>
        <v/>
      </c>
      <c r="G5" s="6">
        <f>SUMIFS('TD_Z1_TotalMontant'!$E$2:$E$253,'TD_Z1_TotalMontant'!$B$2:$B$253,B5,'TD_Z1_TotalMontant'!$C$2:$C$253,"Z",'TD_Z1_TotalMontant'!$D$2:$D$253,"ESP.TIROIR")</f>
        <v/>
      </c>
      <c r="H5" s="6">
        <f>SUMIFS('TD_Z1_TotalMontant'!$E$2:$E$253,'TD_Z1_TotalMontant'!$B$2:$B$253,B5,'TD_Z1_TotalMontant'!$C$2:$C$253,"Z",'TD_Z1_TotalMontant'!$D$2:$D$253,"HORS TAXE 1")</f>
        <v/>
      </c>
      <c r="I5" s="6">
        <f>SUMIFS('TD_Z1_TotalMontant'!$E$2:$E$253,'TD_Z1_TotalMontant'!$B$2:$B$253,B5,'TD_Z1_TotalMontant'!$C$2:$C$253,"Z",'TD_Z1_TotalMontant'!$D$2:$D$253,"TVA 1")</f>
        <v/>
      </c>
    </row>
    <row r="6">
      <c r="A6" s="5" t="n">
        <v>2024</v>
      </c>
      <c r="B6" s="6" t="inlineStr">
        <is>
          <t>2024-05</t>
        </is>
      </c>
      <c r="C6" s="6">
        <f>SUMIFS('TD_Z1_TotalMontant'!$E$2:$E$253,'TD_Z1_TotalMontant'!$B$2:$B$253,B6,'TD_Z1_TotalMontant'!$C$2:$C$253,"Z",'TD_Z1_TotalMontant'!$D$2:$D$253,"CA BRUT")</f>
        <v/>
      </c>
      <c r="D6" s="6">
        <f>SUMIFS('TD_Z1_TotalMontant'!$E$2:$E$253,'TD_Z1_TotalMontant'!$B$2:$B$253,B6,'TD_Z1_TotalMontant'!$C$2:$C$253,"Z",'TD_Z1_TotalMontant'!$D$2:$D$253,"CA NET")</f>
        <v/>
      </c>
      <c r="E6" s="6">
        <f>SUMIFS('TD_Z1_TotalMontant'!$E$2:$E$253,'TD_Z1_TotalMontant'!$B$2:$B$253,B6,'TD_Z1_TotalMontant'!$C$2:$C$253,"Z",'TD_Z1_TotalMontant'!$D$2:$D$253,"CB.TIROIR")</f>
        <v/>
      </c>
      <c r="F6" s="6">
        <f>SUMIFS('TD_Z1_TotalMontant'!$E$2:$E$253,'TD_Z1_TotalMontant'!$B$2:$B$253,B6,'TD_Z1_TotalMontant'!$C$2:$C$253,"Z",'TD_Z1_TotalMontant'!$D$2:$D$253,"CHQ.TIROIR")</f>
        <v/>
      </c>
      <c r="G6" s="6">
        <f>SUMIFS('TD_Z1_TotalMontant'!$E$2:$E$253,'TD_Z1_TotalMontant'!$B$2:$B$253,B6,'TD_Z1_TotalMontant'!$C$2:$C$253,"Z",'TD_Z1_TotalMontant'!$D$2:$D$253,"ESP.TIROIR")</f>
        <v/>
      </c>
      <c r="H6" s="6">
        <f>SUMIFS('TD_Z1_TotalMontant'!$E$2:$E$253,'TD_Z1_TotalMontant'!$B$2:$B$253,B6,'TD_Z1_TotalMontant'!$C$2:$C$253,"Z",'TD_Z1_TotalMontant'!$D$2:$D$253,"HORS TAXE 1")</f>
        <v/>
      </c>
      <c r="I6" s="6">
        <f>SUMIFS('TD_Z1_TotalMontant'!$E$2:$E$253,'TD_Z1_TotalMontant'!$B$2:$B$253,B6,'TD_Z1_TotalMontant'!$C$2:$C$253,"Z",'TD_Z1_TotalMontant'!$D$2:$D$253,"TVA 1")</f>
        <v/>
      </c>
    </row>
    <row r="7">
      <c r="A7" s="5" t="n">
        <v>2024</v>
      </c>
      <c r="B7" s="6" t="inlineStr">
        <is>
          <t>2024-06</t>
        </is>
      </c>
      <c r="C7" s="6">
        <f>SUMIFS('TD_Z1_TotalMontant'!$E$2:$E$253,'TD_Z1_TotalMontant'!$B$2:$B$253,B7,'TD_Z1_TotalMontant'!$C$2:$C$253,"Z",'TD_Z1_TotalMontant'!$D$2:$D$253,"CA BRUT")</f>
        <v/>
      </c>
      <c r="D7" s="6">
        <f>SUMIFS('TD_Z1_TotalMontant'!$E$2:$E$253,'TD_Z1_TotalMontant'!$B$2:$B$253,B7,'TD_Z1_TotalMontant'!$C$2:$C$253,"Z",'TD_Z1_TotalMontant'!$D$2:$D$253,"CA NET")</f>
        <v/>
      </c>
      <c r="E7" s="6">
        <f>SUMIFS('TD_Z1_TotalMontant'!$E$2:$E$253,'TD_Z1_TotalMontant'!$B$2:$B$253,B7,'TD_Z1_TotalMontant'!$C$2:$C$253,"Z",'TD_Z1_TotalMontant'!$D$2:$D$253,"CB.TIROIR")</f>
        <v/>
      </c>
      <c r="F7" s="6">
        <f>SUMIFS('TD_Z1_TotalMontant'!$E$2:$E$253,'TD_Z1_TotalMontant'!$B$2:$B$253,B7,'TD_Z1_TotalMontant'!$C$2:$C$253,"Z",'TD_Z1_TotalMontant'!$D$2:$D$253,"CHQ.TIROIR")</f>
        <v/>
      </c>
      <c r="G7" s="6">
        <f>SUMIFS('TD_Z1_TotalMontant'!$E$2:$E$253,'TD_Z1_TotalMontant'!$B$2:$B$253,B7,'TD_Z1_TotalMontant'!$C$2:$C$253,"Z",'TD_Z1_TotalMontant'!$D$2:$D$253,"ESP.TIROIR")</f>
        <v/>
      </c>
      <c r="H7" s="6">
        <f>SUMIFS('TD_Z1_TotalMontant'!$E$2:$E$253,'TD_Z1_TotalMontant'!$B$2:$B$253,B7,'TD_Z1_TotalMontant'!$C$2:$C$253,"Z",'TD_Z1_TotalMontant'!$D$2:$D$253,"HORS TAXE 1")</f>
        <v/>
      </c>
      <c r="I7" s="6">
        <f>SUMIFS('TD_Z1_TotalMontant'!$E$2:$E$253,'TD_Z1_TotalMontant'!$B$2:$B$253,B7,'TD_Z1_TotalMontant'!$C$2:$C$253,"Z",'TD_Z1_TotalMontant'!$D$2:$D$253,"TVA 1")</f>
        <v/>
      </c>
    </row>
    <row r="8">
      <c r="A8" s="5" t="n">
        <v>2024</v>
      </c>
      <c r="B8" s="6" t="inlineStr">
        <is>
          <t>2024-07</t>
        </is>
      </c>
      <c r="C8" s="6">
        <f>SUMIFS('TD_Z1_TotalMontant'!$E$2:$E$253,'TD_Z1_TotalMontant'!$B$2:$B$253,B8,'TD_Z1_TotalMontant'!$C$2:$C$253,"Z",'TD_Z1_TotalMontant'!$D$2:$D$253,"CA BRUT")</f>
        <v/>
      </c>
      <c r="D8" s="6">
        <f>SUMIFS('TD_Z1_TotalMontant'!$E$2:$E$253,'TD_Z1_TotalMontant'!$B$2:$B$253,B8,'TD_Z1_TotalMontant'!$C$2:$C$253,"Z",'TD_Z1_TotalMontant'!$D$2:$D$253,"CA NET")</f>
        <v/>
      </c>
      <c r="E8" s="6">
        <f>SUMIFS('TD_Z1_TotalMontant'!$E$2:$E$253,'TD_Z1_TotalMontant'!$B$2:$B$253,B8,'TD_Z1_TotalMontant'!$C$2:$C$253,"Z",'TD_Z1_TotalMontant'!$D$2:$D$253,"CB.TIROIR")</f>
        <v/>
      </c>
      <c r="F8" s="6">
        <f>SUMIFS('TD_Z1_TotalMontant'!$E$2:$E$253,'TD_Z1_TotalMontant'!$B$2:$B$253,B8,'TD_Z1_TotalMontant'!$C$2:$C$253,"Z",'TD_Z1_TotalMontant'!$D$2:$D$253,"CHQ.TIROIR")</f>
        <v/>
      </c>
      <c r="G8" s="6">
        <f>SUMIFS('TD_Z1_TotalMontant'!$E$2:$E$253,'TD_Z1_TotalMontant'!$B$2:$B$253,B8,'TD_Z1_TotalMontant'!$C$2:$C$253,"Z",'TD_Z1_TotalMontant'!$D$2:$D$253,"ESP.TIROIR")</f>
        <v/>
      </c>
      <c r="H8" s="6">
        <f>SUMIFS('TD_Z1_TotalMontant'!$E$2:$E$253,'TD_Z1_TotalMontant'!$B$2:$B$253,B8,'TD_Z1_TotalMontant'!$C$2:$C$253,"Z",'TD_Z1_TotalMontant'!$D$2:$D$253,"HORS TAXE 1")</f>
        <v/>
      </c>
      <c r="I8" s="6">
        <f>SUMIFS('TD_Z1_TotalMontant'!$E$2:$E$253,'TD_Z1_TotalMontant'!$B$2:$B$253,B8,'TD_Z1_TotalMontant'!$C$2:$C$253,"Z",'TD_Z1_TotalMontant'!$D$2:$D$253,"TVA 1")</f>
        <v/>
      </c>
    </row>
    <row r="9">
      <c r="A9" s="5" t="n">
        <v>2024</v>
      </c>
      <c r="B9" s="6" t="inlineStr">
        <is>
          <t>2024-08</t>
        </is>
      </c>
      <c r="C9" s="6">
        <f>SUMIFS('TD_Z1_TotalMontant'!$E$2:$E$253,'TD_Z1_TotalMontant'!$B$2:$B$253,B9,'TD_Z1_TotalMontant'!$C$2:$C$253,"Z",'TD_Z1_TotalMontant'!$D$2:$D$253,"CA BRUT")</f>
        <v/>
      </c>
      <c r="D9" s="6">
        <f>SUMIFS('TD_Z1_TotalMontant'!$E$2:$E$253,'TD_Z1_TotalMontant'!$B$2:$B$253,B9,'TD_Z1_TotalMontant'!$C$2:$C$253,"Z",'TD_Z1_TotalMontant'!$D$2:$D$253,"CA NET")</f>
        <v/>
      </c>
      <c r="E9" s="6">
        <f>SUMIFS('TD_Z1_TotalMontant'!$E$2:$E$253,'TD_Z1_TotalMontant'!$B$2:$B$253,B9,'TD_Z1_TotalMontant'!$C$2:$C$253,"Z",'TD_Z1_TotalMontant'!$D$2:$D$253,"CB.TIROIR")</f>
        <v/>
      </c>
      <c r="F9" s="6">
        <f>SUMIFS('TD_Z1_TotalMontant'!$E$2:$E$253,'TD_Z1_TotalMontant'!$B$2:$B$253,B9,'TD_Z1_TotalMontant'!$C$2:$C$253,"Z",'TD_Z1_TotalMontant'!$D$2:$D$253,"CHQ.TIROIR")</f>
        <v/>
      </c>
      <c r="G9" s="6">
        <f>SUMIFS('TD_Z1_TotalMontant'!$E$2:$E$253,'TD_Z1_TotalMontant'!$B$2:$B$253,B9,'TD_Z1_TotalMontant'!$C$2:$C$253,"Z",'TD_Z1_TotalMontant'!$D$2:$D$253,"ESP.TIROIR")</f>
        <v/>
      </c>
      <c r="H9" s="6">
        <f>SUMIFS('TD_Z1_TotalMontant'!$E$2:$E$253,'TD_Z1_TotalMontant'!$B$2:$B$253,B9,'TD_Z1_TotalMontant'!$C$2:$C$253,"Z",'TD_Z1_TotalMontant'!$D$2:$D$253,"HORS TAXE 1")</f>
        <v/>
      </c>
      <c r="I9" s="6">
        <f>SUMIFS('TD_Z1_TotalMontant'!$E$2:$E$253,'TD_Z1_TotalMontant'!$B$2:$B$253,B9,'TD_Z1_TotalMontant'!$C$2:$C$253,"Z",'TD_Z1_TotalMontant'!$D$2:$D$253,"TVA 1")</f>
        <v/>
      </c>
    </row>
    <row r="10">
      <c r="A10" s="5" t="n">
        <v>2024</v>
      </c>
      <c r="B10" s="6" t="inlineStr">
        <is>
          <t>2024-09</t>
        </is>
      </c>
      <c r="C10" s="6">
        <f>SUMIFS('TD_Z1_TotalMontant'!$E$2:$E$253,'TD_Z1_TotalMontant'!$B$2:$B$253,B10,'TD_Z1_TotalMontant'!$C$2:$C$253,"Z",'TD_Z1_TotalMontant'!$D$2:$D$253,"CA BRUT")</f>
        <v/>
      </c>
      <c r="D10" s="6">
        <f>SUMIFS('TD_Z1_TotalMontant'!$E$2:$E$253,'TD_Z1_TotalMontant'!$B$2:$B$253,B10,'TD_Z1_TotalMontant'!$C$2:$C$253,"Z",'TD_Z1_TotalMontant'!$D$2:$D$253,"CA NET")</f>
        <v/>
      </c>
      <c r="E10" s="6">
        <f>SUMIFS('TD_Z1_TotalMontant'!$E$2:$E$253,'TD_Z1_TotalMontant'!$B$2:$B$253,B10,'TD_Z1_TotalMontant'!$C$2:$C$253,"Z",'TD_Z1_TotalMontant'!$D$2:$D$253,"CB.TIROIR")</f>
        <v/>
      </c>
      <c r="F10" s="6">
        <f>SUMIFS('TD_Z1_TotalMontant'!$E$2:$E$253,'TD_Z1_TotalMontant'!$B$2:$B$253,B10,'TD_Z1_TotalMontant'!$C$2:$C$253,"Z",'TD_Z1_TotalMontant'!$D$2:$D$253,"CHQ.TIROIR")</f>
        <v/>
      </c>
      <c r="G10" s="6">
        <f>SUMIFS('TD_Z1_TotalMontant'!$E$2:$E$253,'TD_Z1_TotalMontant'!$B$2:$B$253,B10,'TD_Z1_TotalMontant'!$C$2:$C$253,"Z",'TD_Z1_TotalMontant'!$D$2:$D$253,"ESP.TIROIR")</f>
        <v/>
      </c>
      <c r="H10" s="6">
        <f>SUMIFS('TD_Z1_TotalMontant'!$E$2:$E$253,'TD_Z1_TotalMontant'!$B$2:$B$253,B10,'TD_Z1_TotalMontant'!$C$2:$C$253,"Z",'TD_Z1_TotalMontant'!$D$2:$D$253,"HORS TAXE 1")</f>
        <v/>
      </c>
      <c r="I10" s="6">
        <f>SUMIFS('TD_Z1_TotalMontant'!$E$2:$E$253,'TD_Z1_TotalMontant'!$B$2:$B$253,B10,'TD_Z1_TotalMontant'!$C$2:$C$253,"Z",'TD_Z1_TotalMontant'!$D$2:$D$253,"TVA 1")</f>
        <v/>
      </c>
    </row>
    <row r="11">
      <c r="A11" s="5" t="n">
        <v>2024</v>
      </c>
      <c r="B11" s="6" t="inlineStr">
        <is>
          <t>2024-10</t>
        </is>
      </c>
      <c r="C11" s="6">
        <f>SUMIFS('TD_Z1_TotalMontant'!$E$2:$E$253,'TD_Z1_TotalMontant'!$B$2:$B$253,B11,'TD_Z1_TotalMontant'!$C$2:$C$253,"Z",'TD_Z1_TotalMontant'!$D$2:$D$253,"CA BRUT")</f>
        <v/>
      </c>
      <c r="D11" s="6">
        <f>SUMIFS('TD_Z1_TotalMontant'!$E$2:$E$253,'TD_Z1_TotalMontant'!$B$2:$B$253,B11,'TD_Z1_TotalMontant'!$C$2:$C$253,"Z",'TD_Z1_TotalMontant'!$D$2:$D$253,"CA NET")</f>
        <v/>
      </c>
      <c r="E11" s="6">
        <f>SUMIFS('TD_Z1_TotalMontant'!$E$2:$E$253,'TD_Z1_TotalMontant'!$B$2:$B$253,B11,'TD_Z1_TotalMontant'!$C$2:$C$253,"Z",'TD_Z1_TotalMontant'!$D$2:$D$253,"CB.TIROIR")</f>
        <v/>
      </c>
      <c r="F11" s="6">
        <f>SUMIFS('TD_Z1_TotalMontant'!$E$2:$E$253,'TD_Z1_TotalMontant'!$B$2:$B$253,B11,'TD_Z1_TotalMontant'!$C$2:$C$253,"Z",'TD_Z1_TotalMontant'!$D$2:$D$253,"CHQ.TIROIR")</f>
        <v/>
      </c>
      <c r="G11" s="6">
        <f>SUMIFS('TD_Z1_TotalMontant'!$E$2:$E$253,'TD_Z1_TotalMontant'!$B$2:$B$253,B11,'TD_Z1_TotalMontant'!$C$2:$C$253,"Z",'TD_Z1_TotalMontant'!$D$2:$D$253,"ESP.TIROIR")</f>
        <v/>
      </c>
      <c r="H11" s="6">
        <f>SUMIFS('TD_Z1_TotalMontant'!$E$2:$E$253,'TD_Z1_TotalMontant'!$B$2:$B$253,B11,'TD_Z1_TotalMontant'!$C$2:$C$253,"Z",'TD_Z1_TotalMontant'!$D$2:$D$253,"HORS TAXE 1")</f>
        <v/>
      </c>
      <c r="I11" s="6">
        <f>SUMIFS('TD_Z1_TotalMontant'!$E$2:$E$253,'TD_Z1_TotalMontant'!$B$2:$B$253,B11,'TD_Z1_TotalMontant'!$C$2:$C$253,"Z",'TD_Z1_TotalMontant'!$D$2:$D$253,"TVA 1")</f>
        <v/>
      </c>
    </row>
    <row r="12">
      <c r="A12" s="5" t="n">
        <v>2024</v>
      </c>
      <c r="B12" s="6" t="inlineStr">
        <is>
          <t>2024-11</t>
        </is>
      </c>
      <c r="C12" s="6">
        <f>SUMIFS('TD_Z1_TotalMontant'!$E$2:$E$253,'TD_Z1_TotalMontant'!$B$2:$B$253,B12,'TD_Z1_TotalMontant'!$C$2:$C$253,"Z",'TD_Z1_TotalMontant'!$D$2:$D$253,"CA BRUT")</f>
        <v/>
      </c>
      <c r="D12" s="6">
        <f>SUMIFS('TD_Z1_TotalMontant'!$E$2:$E$253,'TD_Z1_TotalMontant'!$B$2:$B$253,B12,'TD_Z1_TotalMontant'!$C$2:$C$253,"Z",'TD_Z1_TotalMontant'!$D$2:$D$253,"CA NET")</f>
        <v/>
      </c>
      <c r="E12" s="6">
        <f>SUMIFS('TD_Z1_TotalMontant'!$E$2:$E$253,'TD_Z1_TotalMontant'!$B$2:$B$253,B12,'TD_Z1_TotalMontant'!$C$2:$C$253,"Z",'TD_Z1_TotalMontant'!$D$2:$D$253,"CB.TIROIR")</f>
        <v/>
      </c>
      <c r="F12" s="6">
        <f>SUMIFS('TD_Z1_TotalMontant'!$E$2:$E$253,'TD_Z1_TotalMontant'!$B$2:$B$253,B12,'TD_Z1_TotalMontant'!$C$2:$C$253,"Z",'TD_Z1_TotalMontant'!$D$2:$D$253,"CHQ.TIROIR")</f>
        <v/>
      </c>
      <c r="G12" s="6">
        <f>SUMIFS('TD_Z1_TotalMontant'!$E$2:$E$253,'TD_Z1_TotalMontant'!$B$2:$B$253,B12,'TD_Z1_TotalMontant'!$C$2:$C$253,"Z",'TD_Z1_TotalMontant'!$D$2:$D$253,"ESP.TIROIR")</f>
        <v/>
      </c>
      <c r="H12" s="6">
        <f>SUMIFS('TD_Z1_TotalMontant'!$E$2:$E$253,'TD_Z1_TotalMontant'!$B$2:$B$253,B12,'TD_Z1_TotalMontant'!$C$2:$C$253,"Z",'TD_Z1_TotalMontant'!$D$2:$D$253,"HORS TAXE 1")</f>
        <v/>
      </c>
      <c r="I12" s="6">
        <f>SUMIFS('TD_Z1_TotalMontant'!$E$2:$E$253,'TD_Z1_TotalMontant'!$B$2:$B$253,B12,'TD_Z1_TotalMontant'!$C$2:$C$253,"Z",'TD_Z1_TotalMontant'!$D$2:$D$253,"TVA 1")</f>
        <v/>
      </c>
    </row>
    <row r="13">
      <c r="A13" s="5" t="n">
        <v>2024</v>
      </c>
      <c r="B13" s="6" t="inlineStr">
        <is>
          <t>2024-12</t>
        </is>
      </c>
      <c r="C13" s="6">
        <f>SUMIFS('TD_Z1_TotalMontant'!$E$2:$E$253,'TD_Z1_TotalMontant'!$B$2:$B$253,B13,'TD_Z1_TotalMontant'!$C$2:$C$253,"Z",'TD_Z1_TotalMontant'!$D$2:$D$253,"CA BRUT")</f>
        <v/>
      </c>
      <c r="D13" s="6">
        <f>SUMIFS('TD_Z1_TotalMontant'!$E$2:$E$253,'TD_Z1_TotalMontant'!$B$2:$B$253,B13,'TD_Z1_TotalMontant'!$C$2:$C$253,"Z",'TD_Z1_TotalMontant'!$D$2:$D$253,"CA NET")</f>
        <v/>
      </c>
      <c r="E13" s="6">
        <f>SUMIFS('TD_Z1_TotalMontant'!$E$2:$E$253,'TD_Z1_TotalMontant'!$B$2:$B$253,B13,'TD_Z1_TotalMontant'!$C$2:$C$253,"Z",'TD_Z1_TotalMontant'!$D$2:$D$253,"CB.TIROIR")</f>
        <v/>
      </c>
      <c r="F13" s="6">
        <f>SUMIFS('TD_Z1_TotalMontant'!$E$2:$E$253,'TD_Z1_TotalMontant'!$B$2:$B$253,B13,'TD_Z1_TotalMontant'!$C$2:$C$253,"Z",'TD_Z1_TotalMontant'!$D$2:$D$253,"CHQ.TIROIR")</f>
        <v/>
      </c>
      <c r="G13" s="6">
        <f>SUMIFS('TD_Z1_TotalMontant'!$E$2:$E$253,'TD_Z1_TotalMontant'!$B$2:$B$253,B13,'TD_Z1_TotalMontant'!$C$2:$C$253,"Z",'TD_Z1_TotalMontant'!$D$2:$D$253,"ESP.TIROIR")</f>
        <v/>
      </c>
      <c r="H13" s="6">
        <f>SUMIFS('TD_Z1_TotalMontant'!$E$2:$E$253,'TD_Z1_TotalMontant'!$B$2:$B$253,B13,'TD_Z1_TotalMontant'!$C$2:$C$253,"Z",'TD_Z1_TotalMontant'!$D$2:$D$253,"HORS TAXE 1")</f>
        <v/>
      </c>
      <c r="I13" s="6">
        <f>SUMIFS('TD_Z1_TotalMontant'!$E$2:$E$253,'TD_Z1_TotalMontant'!$B$2:$B$253,B13,'TD_Z1_TotalMontant'!$C$2:$C$253,"Z",'TD_Z1_TotalMontant'!$D$2:$D$253,"TVA 1")</f>
        <v/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CA_TTC_Z1</t>
        </is>
      </c>
      <c r="D1" s="1" t="inlineStr">
        <is>
          <t>CA_TTC_EJ</t>
        </is>
      </c>
      <c r="E1" s="1" t="inlineStr">
        <is>
          <t>AJ_ECART_CA_TTC</t>
        </is>
      </c>
      <c r="F1" s="1" t="inlineStr">
        <is>
          <t>HORS_TAXE_1_Z1</t>
        </is>
      </c>
      <c r="G1" s="1" t="inlineStr">
        <is>
          <t>HORS_TAXE_1_EJ</t>
        </is>
      </c>
      <c r="H1" s="1" t="inlineStr">
        <is>
          <t>AJ_ECART_HORS_TAXE_1</t>
        </is>
      </c>
      <c r="I1" s="1" t="inlineStr">
        <is>
          <t>TVA1_Z1</t>
        </is>
      </c>
      <c r="J1" s="1" t="inlineStr">
        <is>
          <t>TVA1_EJ</t>
        </is>
      </c>
      <c r="K1" s="1" t="inlineStr">
        <is>
          <t>AJ_ECART_TVA1</t>
        </is>
      </c>
    </row>
    <row r="2">
      <c r="A2" s="5" t="n">
        <v>2024</v>
      </c>
      <c r="B2" s="6" t="inlineStr">
        <is>
          <t>2024-01</t>
        </is>
      </c>
      <c r="C2" s="2">
        <f>'Z1_Total_ModeZ'!C2</f>
        <v/>
      </c>
      <c r="D2" s="2" t="n">
        <v>26282.65</v>
      </c>
      <c r="E2" s="6">
        <f>C2-D2</f>
        <v/>
      </c>
      <c r="F2" s="2">
        <f>'Z1_Total_ModeZ'!H2</f>
        <v/>
      </c>
      <c r="G2" s="2" t="n">
        <v>21902.19</v>
      </c>
      <c r="H2" s="6">
        <f>F2-G2</f>
        <v/>
      </c>
      <c r="I2" s="2">
        <f>'Z1_Total_ModeZ'!I2</f>
        <v/>
      </c>
      <c r="J2" s="2" t="n">
        <v>4380.46</v>
      </c>
      <c r="K2" s="6">
        <f>I2-J2</f>
        <v/>
      </c>
    </row>
    <row r="3">
      <c r="A3" s="5" t="n">
        <v>2024</v>
      </c>
      <c r="B3" s="6" t="inlineStr">
        <is>
          <t>2024-02</t>
        </is>
      </c>
      <c r="C3" s="2">
        <f>'Z1_Total_ModeZ'!C3</f>
        <v/>
      </c>
      <c r="D3" s="2" t="n">
        <v>30494.5</v>
      </c>
      <c r="E3" s="6">
        <f>C3-D3</f>
        <v/>
      </c>
      <c r="F3" s="2">
        <f>'Z1_Total_ModeZ'!H3</f>
        <v/>
      </c>
      <c r="G3" s="2" t="n">
        <v>25412.08</v>
      </c>
      <c r="H3" s="6">
        <f>F3-G3</f>
        <v/>
      </c>
      <c r="I3" s="2">
        <f>'Z1_Total_ModeZ'!I3</f>
        <v/>
      </c>
      <c r="J3" s="2" t="n">
        <v>5082.42</v>
      </c>
      <c r="K3" s="6">
        <f>I3-J3</f>
        <v/>
      </c>
    </row>
    <row r="4">
      <c r="A4" s="5" t="n">
        <v>2024</v>
      </c>
      <c r="B4" s="6" t="inlineStr">
        <is>
          <t>2024-03</t>
        </is>
      </c>
      <c r="C4" s="2">
        <f>'Z1_Total_ModeZ'!C4</f>
        <v/>
      </c>
      <c r="D4" s="2" t="n">
        <v>18249.4</v>
      </c>
      <c r="E4" s="6">
        <f>C4-D4</f>
        <v/>
      </c>
      <c r="F4" s="2">
        <f>'Z1_Total_ModeZ'!H4</f>
        <v/>
      </c>
      <c r="G4" s="2" t="n">
        <v>15207.84</v>
      </c>
      <c r="H4" s="6">
        <f>F4-G4</f>
        <v/>
      </c>
      <c r="I4" s="2">
        <f>'Z1_Total_ModeZ'!I4</f>
        <v/>
      </c>
      <c r="J4" s="2" t="n">
        <v>3041.56</v>
      </c>
      <c r="K4" s="6">
        <f>I4-J4</f>
        <v/>
      </c>
    </row>
    <row r="5">
      <c r="A5" s="5" t="n">
        <v>2024</v>
      </c>
      <c r="B5" s="6" t="inlineStr">
        <is>
          <t>2024-04</t>
        </is>
      </c>
      <c r="C5" s="2">
        <f>'Z1_Total_ModeZ'!C5</f>
        <v/>
      </c>
      <c r="D5" s="2" t="n">
        <v>22694.98</v>
      </c>
      <c r="E5" s="6">
        <f>C5-D5</f>
        <v/>
      </c>
      <c r="F5" s="2">
        <f>'Z1_Total_ModeZ'!H5</f>
        <v/>
      </c>
      <c r="G5" s="2" t="n">
        <v>18912.44</v>
      </c>
      <c r="H5" s="6">
        <f>F5-G5</f>
        <v/>
      </c>
      <c r="I5" s="2">
        <f>'Z1_Total_ModeZ'!I5</f>
        <v/>
      </c>
      <c r="J5" s="2" t="n">
        <v>3782.54</v>
      </c>
      <c r="K5" s="6">
        <f>I5-J5</f>
        <v/>
      </c>
    </row>
    <row r="6">
      <c r="A6" s="5" t="n">
        <v>2024</v>
      </c>
      <c r="B6" s="6" t="inlineStr">
        <is>
          <t>2024-05</t>
        </is>
      </c>
      <c r="C6" s="2">
        <f>'Z1_Total_ModeZ'!C6</f>
        <v/>
      </c>
      <c r="D6" s="2" t="n">
        <v>16898</v>
      </c>
      <c r="E6" s="6">
        <f>C6-D6</f>
        <v/>
      </c>
      <c r="F6" s="2">
        <f>'Z1_Total_ModeZ'!H6</f>
        <v/>
      </c>
      <c r="G6" s="2" t="n">
        <v>14081.67</v>
      </c>
      <c r="H6" s="6">
        <f>F6-G6</f>
        <v/>
      </c>
      <c r="I6" s="2">
        <f>'Z1_Total_ModeZ'!I6</f>
        <v/>
      </c>
      <c r="J6" s="2" t="n">
        <v>2816.33</v>
      </c>
      <c r="K6" s="6">
        <f>I6-J6</f>
        <v/>
      </c>
    </row>
    <row r="7">
      <c r="A7" s="5" t="n">
        <v>2024</v>
      </c>
      <c r="B7" s="6" t="inlineStr">
        <is>
          <t>2024-06</t>
        </is>
      </c>
      <c r="C7" s="2">
        <f>'Z1_Total_ModeZ'!C7</f>
        <v/>
      </c>
      <c r="D7" s="2" t="n">
        <v>33127.6</v>
      </c>
      <c r="E7" s="6">
        <f>C7-D7</f>
        <v/>
      </c>
      <c r="F7" s="2">
        <f>'Z1_Total_ModeZ'!H7</f>
        <v/>
      </c>
      <c r="G7" s="2" t="n">
        <v>27606.34</v>
      </c>
      <c r="H7" s="6">
        <f>F7-G7</f>
        <v/>
      </c>
      <c r="I7" s="2">
        <f>'Z1_Total_ModeZ'!I7</f>
        <v/>
      </c>
      <c r="J7" s="2" t="n">
        <v>5521.26</v>
      </c>
      <c r="K7" s="6">
        <f>I7-J7</f>
        <v/>
      </c>
    </row>
    <row r="8">
      <c r="A8" s="5" t="n">
        <v>2024</v>
      </c>
      <c r="B8" s="6" t="inlineStr">
        <is>
          <t>2024-07</t>
        </is>
      </c>
      <c r="C8" s="2">
        <f>'Z1_Total_ModeZ'!C8</f>
        <v/>
      </c>
      <c r="D8" s="2" t="n">
        <v>43074</v>
      </c>
      <c r="E8" s="6">
        <f>C8-D8</f>
        <v/>
      </c>
      <c r="F8" s="2">
        <f>'Z1_Total_ModeZ'!H8</f>
        <v/>
      </c>
      <c r="G8" s="2" t="n">
        <v>35895.02</v>
      </c>
      <c r="H8" s="6">
        <f>F8-G8</f>
        <v/>
      </c>
      <c r="I8" s="2">
        <f>'Z1_Total_ModeZ'!I8</f>
        <v/>
      </c>
      <c r="J8" s="2" t="n">
        <v>7178.98</v>
      </c>
      <c r="K8" s="6">
        <f>I8-J8</f>
        <v/>
      </c>
    </row>
    <row r="9">
      <c r="A9" s="5" t="n">
        <v>2024</v>
      </c>
      <c r="B9" s="6" t="inlineStr">
        <is>
          <t>2024-08</t>
        </is>
      </c>
      <c r="C9" s="2">
        <f>'Z1_Total_ModeZ'!C9</f>
        <v/>
      </c>
      <c r="D9" s="2" t="n">
        <v>38707.5</v>
      </c>
      <c r="E9" s="6">
        <f>C9-D9</f>
        <v/>
      </c>
      <c r="F9" s="2">
        <f>'Z1_Total_ModeZ'!H9</f>
        <v/>
      </c>
      <c r="G9" s="2" t="n">
        <v>32256.27</v>
      </c>
      <c r="H9" s="6">
        <f>F9-G9</f>
        <v/>
      </c>
      <c r="I9" s="2">
        <f>'Z1_Total_ModeZ'!I9</f>
        <v/>
      </c>
      <c r="J9" s="2" t="n">
        <v>6451.23</v>
      </c>
      <c r="K9" s="6">
        <f>I9-J9</f>
        <v/>
      </c>
    </row>
    <row r="10">
      <c r="A10" s="5" t="n">
        <v>2024</v>
      </c>
      <c r="B10" s="6" t="inlineStr">
        <is>
          <t>2024-09</t>
        </is>
      </c>
      <c r="C10" s="2">
        <f>'Z1_Total_ModeZ'!C10</f>
        <v/>
      </c>
      <c r="D10" s="2" t="n">
        <v>19983.9</v>
      </c>
      <c r="E10" s="6">
        <f>C10-D10</f>
        <v/>
      </c>
      <c r="F10" s="2">
        <f>'Z1_Total_ModeZ'!H10</f>
        <v/>
      </c>
      <c r="G10" s="2" t="n">
        <v>16653.23</v>
      </c>
      <c r="H10" s="6">
        <f>F10-G10</f>
        <v/>
      </c>
      <c r="I10" s="2">
        <f>'Z1_Total_ModeZ'!I10</f>
        <v/>
      </c>
      <c r="J10" s="2" t="n">
        <v>3330.67</v>
      </c>
      <c r="K10" s="6">
        <f>I10-J10</f>
        <v/>
      </c>
    </row>
    <row r="11">
      <c r="A11" s="5" t="n">
        <v>2024</v>
      </c>
      <c r="B11" s="6" t="inlineStr">
        <is>
          <t>2024-10</t>
        </is>
      </c>
      <c r="C11" s="2">
        <f>'Z1_Total_ModeZ'!C11</f>
        <v/>
      </c>
      <c r="D11" s="2" t="n">
        <v>37337.6</v>
      </c>
      <c r="E11" s="6">
        <f>C11-D11</f>
        <v/>
      </c>
      <c r="F11" s="2">
        <f>'Z1_Total_ModeZ'!H11</f>
        <v/>
      </c>
      <c r="G11" s="2" t="n">
        <v>31114.67</v>
      </c>
      <c r="H11" s="6">
        <f>F11-G11</f>
        <v/>
      </c>
      <c r="I11" s="2">
        <f>'Z1_Total_ModeZ'!I11</f>
        <v/>
      </c>
      <c r="J11" s="2" t="n">
        <v>6222.93</v>
      </c>
      <c r="K11" s="6">
        <f>I11-J11</f>
        <v/>
      </c>
    </row>
    <row r="12">
      <c r="A12" s="5" t="n">
        <v>2024</v>
      </c>
      <c r="B12" s="6" t="inlineStr">
        <is>
          <t>2024-11</t>
        </is>
      </c>
      <c r="C12" s="2">
        <f>'Z1_Total_ModeZ'!C12</f>
        <v/>
      </c>
      <c r="D12" s="2" t="n">
        <v>5001.9</v>
      </c>
      <c r="E12" s="6">
        <f>C12-D12</f>
        <v/>
      </c>
      <c r="F12" s="2">
        <f>'Z1_Total_ModeZ'!H12</f>
        <v/>
      </c>
      <c r="G12" s="2" t="n">
        <v>4168.26</v>
      </c>
      <c r="H12" s="6">
        <f>F12-G12</f>
        <v/>
      </c>
      <c r="I12" s="2">
        <f>'Z1_Total_ModeZ'!I12</f>
        <v/>
      </c>
      <c r="J12" s="2" t="n">
        <v>833.64</v>
      </c>
      <c r="K12" s="6">
        <f>I12-J12</f>
        <v/>
      </c>
    </row>
    <row r="13">
      <c r="A13" s="5" t="n">
        <v>2024</v>
      </c>
      <c r="B13" s="6" t="inlineStr">
        <is>
          <t>2024-12</t>
        </is>
      </c>
      <c r="C13" s="2">
        <f>'Z1_Total_ModeZ'!C13</f>
        <v/>
      </c>
      <c r="D13" s="2" t="n">
        <v>10927.6</v>
      </c>
      <c r="E13" s="6">
        <f>C13-D13</f>
        <v/>
      </c>
      <c r="F13" s="2">
        <f>'Z1_Total_ModeZ'!H13</f>
        <v/>
      </c>
      <c r="G13" s="2" t="n">
        <v>9106.33</v>
      </c>
      <c r="H13" s="6">
        <f>F13-G13</f>
        <v/>
      </c>
      <c r="I13" s="2">
        <f>'Z1_Total_ModeZ'!I13</f>
        <v/>
      </c>
      <c r="J13" s="2" t="n">
        <v>1821.27</v>
      </c>
      <c r="K13" s="6">
        <f>I13-J13</f>
        <v/>
      </c>
    </row>
  </sheetData>
  <autoFilter ref="A1:K13"/>
  <conditionalFormatting sqref="E2:E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1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2026-08-15T11:39:32Z</dcterms:created>
  <dcterms:modified xsi:type="dcterms:W3CDTF">2026-08-15T11:39:32Z</dcterms:modified>
</cp:coreProperties>
</file>
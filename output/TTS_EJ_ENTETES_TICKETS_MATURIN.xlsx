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TES_MATURIN_0" sheetId="1" state="visible" r:id="rId1"/>
    <sheet name="Entetes_TriNumInterne" sheetId="2" state="visible" r:id="rId2"/>
    <sheet name="Entetes_CtrlCoherence" sheetId="3" state="visible" r:id="rId3"/>
    <sheet name="Entetes_sequentialite" sheetId="4" state="visible" r:id="rId4"/>
    <sheet name="TD_OccurenceNumInterne" sheetId="5" state="visible" r:id="rId5"/>
    <sheet name="DoublonNumInterne" sheetId="6" state="visible" r:id="rId6"/>
    <sheet name="TD_OccurenceNumTicket" sheetId="7" state="visible" r:id="rId7"/>
    <sheet name="DoublonNumTicket" sheetId="8" state="visible" r:id="rId8"/>
    <sheet name="Entetes_CplteAnneeMois" sheetId="9" state="visible" r:id="rId9"/>
    <sheet name="TD_TotalEnctTTC" sheetId="10" state="visible" r:id="rId10"/>
    <sheet name="enct_mensuels_MATURIN" sheetId="11" state="visible" r:id="rId11"/>
    <sheet name="TD_TotalHtTvaTtc" sheetId="12" state="visible" r:id="rId12"/>
    <sheet name="recettes_mensuelles_MATURIN" sheetId="13" state="visible" r:id="rId13"/>
  </sheets>
  <definedNames>
    <definedName name="_xlnm._FilterDatabase" localSheetId="0" hidden="1">'ENTETES_MATURIN_0'!$A$1:$R$723</definedName>
    <definedName name="_xlnm._FilterDatabase" localSheetId="1" hidden="1">'Entetes_TriNumInterne'!$A$1:$R$723</definedName>
    <definedName name="_xlnm._FilterDatabase" localSheetId="2" hidden="1">'Entetes_CtrlCoherence'!$A$1:$X$723</definedName>
    <definedName name="_xlnm._FilterDatabase" localSheetId="3" hidden="1">'Entetes_sequentialite'!$A$1:$H$723</definedName>
    <definedName name="_xlnm._FilterDatabase" localSheetId="4" hidden="1">'TD_OccurenceNumInterne'!$A$1:$B$723</definedName>
    <definedName name="_xlnm._FilterDatabase" localSheetId="5" hidden="1">'DoublonNumInterne'!$A$1:$B$2</definedName>
    <definedName name="_xlnm._FilterDatabase" localSheetId="6" hidden="1">'TD_OccurenceNumTicket'!$A$1:$B$723</definedName>
    <definedName name="_xlnm._FilterDatabase" localSheetId="7" hidden="1">'DoublonNumTicket'!$A$1:$B$2</definedName>
    <definedName name="_xlnm._FilterDatabase" localSheetId="8" hidden="1">'Entetes_CplteAnneeMois'!$A$1:$V$723</definedName>
    <definedName name="_xlnm._FilterDatabase" localSheetId="9" hidden="1">'TD_TotalEnctTTC'!$A$1:$F$33</definedName>
    <definedName name="_xlnm._FilterDatabase" localSheetId="10" hidden="1">'enct_mensuels_MATURIN'!$A$1:$F$33</definedName>
    <definedName name="_xlnm._FilterDatabase" localSheetId="11" hidden="1">'TD_TotalHtTvaTtc'!$A$1:$E$33</definedName>
    <definedName name="_xlnm._FilterDatabase" localSheetId="12" hidden="1">'recettes_mensuelles_MATURIN'!$A$1:$E$33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Entetes0" displayName="Entetes0" ref="A1:R723" headerRowCount="1">
  <autoFilter ref="A1:R723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ntetesTri" displayName="EntetesTri" ref="A1:R723" headerRowCount="1">
  <autoFilter ref="A1:R723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tetesCtrl" displayName="EntetesCtrl" ref="A1:X723" headerRowCount="1">
  <autoFilter ref="A1:X723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VA1_CALCULE"/>
    <tableColumn id="20" name="AJ_ECART_TVA1"/>
    <tableColumn id="21" name="AJ_TTC_CALCULE"/>
    <tableColumn id="22" name="AJ_ECART_TTC"/>
    <tableColumn id="23" name="AJ_SOLDE_DU"/>
    <tableColumn id="24" name="AJ_SOLDE_TOUS_MD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etesSeq" displayName="EntetesSeq" ref="A1:H723" headerRowCount="1">
  <autoFilter ref="A1:H723"/>
  <tableColumns count="8">
    <tableColumn id="1" name="nomfichier"/>
    <tableColumn id="2" name="E_NUM_INTERNE"/>
    <tableColumn id="3" name="E_NUM_TICKET"/>
    <tableColumn id="4" name="E_DATE_TICKET"/>
    <tableColumn id="5" name="E_HEURE_TICKET"/>
    <tableColumn id="6" name="AJ_TROU_NUM_TICKET"/>
    <tableColumn id="7" name="AJ_TROU_NUM_INTERNE"/>
    <tableColumn id="8" name="OBSERV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ccInt" displayName="OccInt" ref="A1:B723" headerRowCount="1">
  <autoFilter ref="A1:B723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upInt" displayName="DupInt" ref="A1:B2" headerRowCount="1">
  <autoFilter ref="A1:B2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icket" displayName="OccTicket" ref="A1:B723" headerRowCount="1">
  <autoFilter ref="A1:B723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upTicket" displayName="DupTicket" ref="A1:B2" headerRowCount="1">
  <autoFilter ref="A1:B2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ntetesCplte" displayName="EntetesCplte" ref="A1:V723" headerRowCount="1">
  <autoFilter ref="A1:V723"/>
  <tableColumns count="22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OTAL_HT"/>
    <tableColumn id="20" name="AJ_TOTAL_TVA_20"/>
    <tableColumn id="21" name="AJ_ANNEE"/>
    <tableColumn id="22" name="AJ_MOI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ncMensuelTD" displayName="EncMensuelTD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ncMensuelCopie" displayName="EncMensuelCopie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cMensuelTD" displayName="RecMensuelTD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cMensuelCopie" displayName="RecMensuelCopie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</row>
  </sheetData>
  <autoFilter ref="A1:R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</row>
  </sheetData>
  <autoFilter ref="A1:R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AJ_TVA1_CALCULE</t>
        </is>
      </c>
      <c r="T1" s="1" t="inlineStr">
        <is>
          <t>AJ_ECART_TVA1</t>
        </is>
      </c>
      <c r="U1" s="1" t="inlineStr">
        <is>
          <t>AJ_TTC_CALCULE</t>
        </is>
      </c>
      <c r="V1" s="1" t="inlineStr">
        <is>
          <t>AJ_ECART_TTC</t>
        </is>
      </c>
      <c r="W1" s="1" t="inlineStr">
        <is>
          <t>AJ_SOLDE_DU</t>
        </is>
      </c>
      <c r="X1" s="1" t="inlineStr">
        <is>
          <t>AJ_SOLDE_TOUS_MDP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>
        <f>F2*20%</f>
        <v/>
      </c>
      <c r="T2" s="5">
        <f>J2-S2</f>
        <v/>
      </c>
      <c r="U2" s="5">
        <f>F2+J2</f>
        <v/>
      </c>
      <c r="V2" s="5">
        <f>O2-U2</f>
        <v/>
      </c>
      <c r="W2" s="5">
        <f>O2-(P2+R2)</f>
        <v/>
      </c>
      <c r="X2" s="5">
        <f>O2-(P2+Q2+R2)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  <c r="S3" s="5">
        <f>F3*20%</f>
        <v/>
      </c>
      <c r="T3" s="5">
        <f>J3-S3</f>
        <v/>
      </c>
      <c r="U3" s="5">
        <f>F3+J3</f>
        <v/>
      </c>
      <c r="V3" s="5">
        <f>O3-U3</f>
        <v/>
      </c>
      <c r="W3" s="5">
        <f>O3-(P3+R3)</f>
        <v/>
      </c>
      <c r="X3" s="5">
        <f>O3-(P3+Q3+R3)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  <c r="S4" s="5">
        <f>F4*20%</f>
        <v/>
      </c>
      <c r="T4" s="5">
        <f>J4-S4</f>
        <v/>
      </c>
      <c r="U4" s="5">
        <f>F4+J4</f>
        <v/>
      </c>
      <c r="V4" s="5">
        <f>O4-U4</f>
        <v/>
      </c>
      <c r="W4" s="5">
        <f>O4-(P4+R4)</f>
        <v/>
      </c>
      <c r="X4" s="5">
        <f>O4-(P4+Q4+R4)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  <c r="S5" s="5">
        <f>F5*20%</f>
        <v/>
      </c>
      <c r="T5" s="5">
        <f>J5-S5</f>
        <v/>
      </c>
      <c r="U5" s="5">
        <f>F5+J5</f>
        <v/>
      </c>
      <c r="V5" s="5">
        <f>O5-U5</f>
        <v/>
      </c>
      <c r="W5" s="5">
        <f>O5-(P5+R5)</f>
        <v/>
      </c>
      <c r="X5" s="5">
        <f>O5-(P5+Q5+R5)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  <c r="S6" s="5">
        <f>F6*20%</f>
        <v/>
      </c>
      <c r="T6" s="5">
        <f>J6-S6</f>
        <v/>
      </c>
      <c r="U6" s="5">
        <f>F6+J6</f>
        <v/>
      </c>
      <c r="V6" s="5">
        <f>O6-U6</f>
        <v/>
      </c>
      <c r="W6" s="5">
        <f>O6-(P6+R6)</f>
        <v/>
      </c>
      <c r="X6" s="5">
        <f>O6-(P6+Q6+R6)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  <c r="S7" s="5">
        <f>F7*20%</f>
        <v/>
      </c>
      <c r="T7" s="5">
        <f>J7-S7</f>
        <v/>
      </c>
      <c r="U7" s="5">
        <f>F7+J7</f>
        <v/>
      </c>
      <c r="V7" s="5">
        <f>O7-U7</f>
        <v/>
      </c>
      <c r="W7" s="5">
        <f>O7-(P7+R7)</f>
        <v/>
      </c>
      <c r="X7" s="5">
        <f>O7-(P7+Q7+R7)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  <c r="S8" s="5">
        <f>F8*20%</f>
        <v/>
      </c>
      <c r="T8" s="5">
        <f>J8-S8</f>
        <v/>
      </c>
      <c r="U8" s="5">
        <f>F8+J8</f>
        <v/>
      </c>
      <c r="V8" s="5">
        <f>O8-U8</f>
        <v/>
      </c>
      <c r="W8" s="5">
        <f>O8-(P8+R8)</f>
        <v/>
      </c>
      <c r="X8" s="5">
        <f>O8-(P8+Q8+R8)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  <c r="S9" s="5">
        <f>F9*20%</f>
        <v/>
      </c>
      <c r="T9" s="5">
        <f>J9-S9</f>
        <v/>
      </c>
      <c r="U9" s="5">
        <f>F9+J9</f>
        <v/>
      </c>
      <c r="V9" s="5">
        <f>O9-U9</f>
        <v/>
      </c>
      <c r="W9" s="5">
        <f>O9-(P9+R9)</f>
        <v/>
      </c>
      <c r="X9" s="5">
        <f>O9-(P9+Q9+R9)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  <c r="S10" s="5">
        <f>F10*20%</f>
        <v/>
      </c>
      <c r="T10" s="5">
        <f>J10-S10</f>
        <v/>
      </c>
      <c r="U10" s="5">
        <f>F10+J10</f>
        <v/>
      </c>
      <c r="V10" s="5">
        <f>O10-U10</f>
        <v/>
      </c>
      <c r="W10" s="5">
        <f>O10-(P10+R10)</f>
        <v/>
      </c>
      <c r="X10" s="5">
        <f>O10-(P10+Q10+R10)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  <c r="S11" s="5">
        <f>F11*20%</f>
        <v/>
      </c>
      <c r="T11" s="5">
        <f>J11-S11</f>
        <v/>
      </c>
      <c r="U11" s="5">
        <f>F11+J11</f>
        <v/>
      </c>
      <c r="V11" s="5">
        <f>O11-U11</f>
        <v/>
      </c>
      <c r="W11" s="5">
        <f>O11-(P11+R11)</f>
        <v/>
      </c>
      <c r="X11" s="5">
        <f>O11-(P11+Q11+R11)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  <c r="S12" s="5">
        <f>F12*20%</f>
        <v/>
      </c>
      <c r="T12" s="5">
        <f>J12-S12</f>
        <v/>
      </c>
      <c r="U12" s="5">
        <f>F12+J12</f>
        <v/>
      </c>
      <c r="V12" s="5">
        <f>O12-U12</f>
        <v/>
      </c>
      <c r="W12" s="5">
        <f>O12-(P12+R12)</f>
        <v/>
      </c>
      <c r="X12" s="5">
        <f>O12-(P12+Q12+R12)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  <c r="S13" s="5">
        <f>F13*20%</f>
        <v/>
      </c>
      <c r="T13" s="5">
        <f>J13-S13</f>
        <v/>
      </c>
      <c r="U13" s="5">
        <f>F13+J13</f>
        <v/>
      </c>
      <c r="V13" s="5">
        <f>O13-U13</f>
        <v/>
      </c>
      <c r="W13" s="5">
        <f>O13-(P13+R13)</f>
        <v/>
      </c>
      <c r="X13" s="5">
        <f>O13-(P13+Q13+R13)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  <c r="S14" s="5">
        <f>F14*20%</f>
        <v/>
      </c>
      <c r="T14" s="5">
        <f>J14-S14</f>
        <v/>
      </c>
      <c r="U14" s="5">
        <f>F14+J14</f>
        <v/>
      </c>
      <c r="V14" s="5">
        <f>O14-U14</f>
        <v/>
      </c>
      <c r="W14" s="5">
        <f>O14-(P14+R14)</f>
        <v/>
      </c>
      <c r="X14" s="5">
        <f>O14-(P14+Q14+R14)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  <c r="S15" s="5">
        <f>F15*20%</f>
        <v/>
      </c>
      <c r="T15" s="5">
        <f>J15-S15</f>
        <v/>
      </c>
      <c r="U15" s="5">
        <f>F15+J15</f>
        <v/>
      </c>
      <c r="V15" s="5">
        <f>O15-U15</f>
        <v/>
      </c>
      <c r="W15" s="5">
        <f>O15-(P15+R15)</f>
        <v/>
      </c>
      <c r="X15" s="5">
        <f>O15-(P15+Q15+R15)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  <c r="S16" s="5">
        <f>F16*20%</f>
        <v/>
      </c>
      <c r="T16" s="5">
        <f>J16-S16</f>
        <v/>
      </c>
      <c r="U16" s="5">
        <f>F16+J16</f>
        <v/>
      </c>
      <c r="V16" s="5">
        <f>O16-U16</f>
        <v/>
      </c>
      <c r="W16" s="5">
        <f>O16-(P16+R16)</f>
        <v/>
      </c>
      <c r="X16" s="5">
        <f>O16-(P16+Q16+R16)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  <c r="S17" s="5">
        <f>F17*20%</f>
        <v/>
      </c>
      <c r="T17" s="5">
        <f>J17-S17</f>
        <v/>
      </c>
      <c r="U17" s="5">
        <f>F17+J17</f>
        <v/>
      </c>
      <c r="V17" s="5">
        <f>O17-U17</f>
        <v/>
      </c>
      <c r="W17" s="5">
        <f>O17-(P17+R17)</f>
        <v/>
      </c>
      <c r="X17" s="5">
        <f>O17-(P17+Q17+R17)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  <c r="S18" s="5">
        <f>F18*20%</f>
        <v/>
      </c>
      <c r="T18" s="5">
        <f>J18-S18</f>
        <v/>
      </c>
      <c r="U18" s="5">
        <f>F18+J18</f>
        <v/>
      </c>
      <c r="V18" s="5">
        <f>O18-U18</f>
        <v/>
      </c>
      <c r="W18" s="5">
        <f>O18-(P18+R18)</f>
        <v/>
      </c>
      <c r="X18" s="5">
        <f>O18-(P18+Q18+R18)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  <c r="S19" s="5">
        <f>F19*20%</f>
        <v/>
      </c>
      <c r="T19" s="5">
        <f>J19-S19</f>
        <v/>
      </c>
      <c r="U19" s="5">
        <f>F19+J19</f>
        <v/>
      </c>
      <c r="V19" s="5">
        <f>O19-U19</f>
        <v/>
      </c>
      <c r="W19" s="5">
        <f>O19-(P19+R19)</f>
        <v/>
      </c>
      <c r="X19" s="5">
        <f>O19-(P19+Q19+R19)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  <c r="S20" s="5">
        <f>F20*20%</f>
        <v/>
      </c>
      <c r="T20" s="5">
        <f>J20-S20</f>
        <v/>
      </c>
      <c r="U20" s="5">
        <f>F20+J20</f>
        <v/>
      </c>
      <c r="V20" s="5">
        <f>O20-U20</f>
        <v/>
      </c>
      <c r="W20" s="5">
        <f>O20-(P20+R20)</f>
        <v/>
      </c>
      <c r="X20" s="5">
        <f>O20-(P20+Q20+R20)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>
        <f>F21*20%</f>
        <v/>
      </c>
      <c r="T21" s="5">
        <f>J21-S21</f>
        <v/>
      </c>
      <c r="U21" s="5">
        <f>F21+J21</f>
        <v/>
      </c>
      <c r="V21" s="5">
        <f>O21-U21</f>
        <v/>
      </c>
      <c r="W21" s="5">
        <f>O21-(P21+R21)</f>
        <v/>
      </c>
      <c r="X21" s="5">
        <f>O21-(P21+Q21+R21)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  <c r="S22" s="5">
        <f>F22*20%</f>
        <v/>
      </c>
      <c r="T22" s="5">
        <f>J22-S22</f>
        <v/>
      </c>
      <c r="U22" s="5">
        <f>F22+J22</f>
        <v/>
      </c>
      <c r="V22" s="5">
        <f>O22-U22</f>
        <v/>
      </c>
      <c r="W22" s="5">
        <f>O22-(P22+R22)</f>
        <v/>
      </c>
      <c r="X22" s="5">
        <f>O22-(P22+Q22+R22)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  <c r="S23" s="5">
        <f>F23*20%</f>
        <v/>
      </c>
      <c r="T23" s="5">
        <f>J23-S23</f>
        <v/>
      </c>
      <c r="U23" s="5">
        <f>F23+J23</f>
        <v/>
      </c>
      <c r="V23" s="5">
        <f>O23-U23</f>
        <v/>
      </c>
      <c r="W23" s="5">
        <f>O23-(P23+R23)</f>
        <v/>
      </c>
      <c r="X23" s="5">
        <f>O23-(P23+Q23+R23)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  <c r="S24" s="5">
        <f>F24*20%</f>
        <v/>
      </c>
      <c r="T24" s="5">
        <f>J24-S24</f>
        <v/>
      </c>
      <c r="U24" s="5">
        <f>F24+J24</f>
        <v/>
      </c>
      <c r="V24" s="5">
        <f>O24-U24</f>
        <v/>
      </c>
      <c r="W24" s="5">
        <f>O24-(P24+R24)</f>
        <v/>
      </c>
      <c r="X24" s="5">
        <f>O24-(P24+Q24+R24)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  <c r="S25" s="5">
        <f>F25*20%</f>
        <v/>
      </c>
      <c r="T25" s="5">
        <f>J25-S25</f>
        <v/>
      </c>
      <c r="U25" s="5">
        <f>F25+J25</f>
        <v/>
      </c>
      <c r="V25" s="5">
        <f>O25-U25</f>
        <v/>
      </c>
      <c r="W25" s="5">
        <f>O25-(P25+R25)</f>
        <v/>
      </c>
      <c r="X25" s="5">
        <f>O25-(P25+Q25+R25)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  <c r="S26" s="5">
        <f>F26*20%</f>
        <v/>
      </c>
      <c r="T26" s="5">
        <f>J26-S26</f>
        <v/>
      </c>
      <c r="U26" s="5">
        <f>F26+J26</f>
        <v/>
      </c>
      <c r="V26" s="5">
        <f>O26-U26</f>
        <v/>
      </c>
      <c r="W26" s="5">
        <f>O26-(P26+R26)</f>
        <v/>
      </c>
      <c r="X26" s="5">
        <f>O26-(P26+Q26+R26)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  <c r="S27" s="5">
        <f>F27*20%</f>
        <v/>
      </c>
      <c r="T27" s="5">
        <f>J27-S27</f>
        <v/>
      </c>
      <c r="U27" s="5">
        <f>F27+J27</f>
        <v/>
      </c>
      <c r="V27" s="5">
        <f>O27-U27</f>
        <v/>
      </c>
      <c r="W27" s="5">
        <f>O27-(P27+R27)</f>
        <v/>
      </c>
      <c r="X27" s="5">
        <f>O27-(P27+Q27+R27)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  <c r="S28" s="5">
        <f>F28*20%</f>
        <v/>
      </c>
      <c r="T28" s="5">
        <f>J28-S28</f>
        <v/>
      </c>
      <c r="U28" s="5">
        <f>F28+J28</f>
        <v/>
      </c>
      <c r="V28" s="5">
        <f>O28-U28</f>
        <v/>
      </c>
      <c r="W28" s="5">
        <f>O28-(P28+R28)</f>
        <v/>
      </c>
      <c r="X28" s="5">
        <f>O28-(P28+Q28+R28)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  <c r="S29" s="5">
        <f>F29*20%</f>
        <v/>
      </c>
      <c r="T29" s="5">
        <f>J29-S29</f>
        <v/>
      </c>
      <c r="U29" s="5">
        <f>F29+J29</f>
        <v/>
      </c>
      <c r="V29" s="5">
        <f>O29-U29</f>
        <v/>
      </c>
      <c r="W29" s="5">
        <f>O29-(P29+R29)</f>
        <v/>
      </c>
      <c r="X29" s="5">
        <f>O29-(P29+Q29+R29)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>
        <f>F30*20%</f>
        <v/>
      </c>
      <c r="T30" s="5">
        <f>J30-S30</f>
        <v/>
      </c>
      <c r="U30" s="5">
        <f>F30+J30</f>
        <v/>
      </c>
      <c r="V30" s="5">
        <f>O30-U30</f>
        <v/>
      </c>
      <c r="W30" s="5">
        <f>O30-(P30+R30)</f>
        <v/>
      </c>
      <c r="X30" s="5">
        <f>O30-(P30+Q30+R30)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>
        <f>F31*20%</f>
        <v/>
      </c>
      <c r="T31" s="5">
        <f>J31-S31</f>
        <v/>
      </c>
      <c r="U31" s="5">
        <f>F31+J31</f>
        <v/>
      </c>
      <c r="V31" s="5">
        <f>O31-U31</f>
        <v/>
      </c>
      <c r="W31" s="5">
        <f>O31-(P31+R31)</f>
        <v/>
      </c>
      <c r="X31" s="5">
        <f>O31-(P31+Q31+R31)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  <c r="S32" s="5">
        <f>F32*20%</f>
        <v/>
      </c>
      <c r="T32" s="5">
        <f>J32-S32</f>
        <v/>
      </c>
      <c r="U32" s="5">
        <f>F32+J32</f>
        <v/>
      </c>
      <c r="V32" s="5">
        <f>O32-U32</f>
        <v/>
      </c>
      <c r="W32" s="5">
        <f>O32-(P32+R32)</f>
        <v/>
      </c>
      <c r="X32" s="5">
        <f>O32-(P32+Q32+R32)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  <c r="S33" s="5">
        <f>F33*20%</f>
        <v/>
      </c>
      <c r="T33" s="5">
        <f>J33-S33</f>
        <v/>
      </c>
      <c r="U33" s="5">
        <f>F33+J33</f>
        <v/>
      </c>
      <c r="V33" s="5">
        <f>O33-U33</f>
        <v/>
      </c>
      <c r="W33" s="5">
        <f>O33-(P33+R33)</f>
        <v/>
      </c>
      <c r="X33" s="5">
        <f>O33-(P33+Q33+R33)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  <c r="S34" s="5">
        <f>F34*20%</f>
        <v/>
      </c>
      <c r="T34" s="5">
        <f>J34-S34</f>
        <v/>
      </c>
      <c r="U34" s="5">
        <f>F34+J34</f>
        <v/>
      </c>
      <c r="V34" s="5">
        <f>O34-U34</f>
        <v/>
      </c>
      <c r="W34" s="5">
        <f>O34-(P34+R34)</f>
        <v/>
      </c>
      <c r="X34" s="5">
        <f>O34-(P34+Q34+R34)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  <c r="S35" s="5">
        <f>F35*20%</f>
        <v/>
      </c>
      <c r="T35" s="5">
        <f>J35-S35</f>
        <v/>
      </c>
      <c r="U35" s="5">
        <f>F35+J35</f>
        <v/>
      </c>
      <c r="V35" s="5">
        <f>O35-U35</f>
        <v/>
      </c>
      <c r="W35" s="5">
        <f>O35-(P35+R35)</f>
        <v/>
      </c>
      <c r="X35" s="5">
        <f>O35-(P35+Q35+R35)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  <c r="S36" s="5">
        <f>F36*20%</f>
        <v/>
      </c>
      <c r="T36" s="5">
        <f>J36-S36</f>
        <v/>
      </c>
      <c r="U36" s="5">
        <f>F36+J36</f>
        <v/>
      </c>
      <c r="V36" s="5">
        <f>O36-U36</f>
        <v/>
      </c>
      <c r="W36" s="5">
        <f>O36-(P36+R36)</f>
        <v/>
      </c>
      <c r="X36" s="5">
        <f>O36-(P36+Q36+R36)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  <c r="S37" s="5">
        <f>F37*20%</f>
        <v/>
      </c>
      <c r="T37" s="5">
        <f>J37-S37</f>
        <v/>
      </c>
      <c r="U37" s="5">
        <f>F37+J37</f>
        <v/>
      </c>
      <c r="V37" s="5">
        <f>O37-U37</f>
        <v/>
      </c>
      <c r="W37" s="5">
        <f>O37-(P37+R37)</f>
        <v/>
      </c>
      <c r="X37" s="5">
        <f>O37-(P37+Q37+R37)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  <c r="S38" s="5">
        <f>F38*20%</f>
        <v/>
      </c>
      <c r="T38" s="5">
        <f>J38-S38</f>
        <v/>
      </c>
      <c r="U38" s="5">
        <f>F38+J38</f>
        <v/>
      </c>
      <c r="V38" s="5">
        <f>O38-U38</f>
        <v/>
      </c>
      <c r="W38" s="5">
        <f>O38-(P38+R38)</f>
        <v/>
      </c>
      <c r="X38" s="5">
        <f>O38-(P38+Q38+R38)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  <c r="S39" s="5">
        <f>F39*20%</f>
        <v/>
      </c>
      <c r="T39" s="5">
        <f>J39-S39</f>
        <v/>
      </c>
      <c r="U39" s="5">
        <f>F39+J39</f>
        <v/>
      </c>
      <c r="V39" s="5">
        <f>O39-U39</f>
        <v/>
      </c>
      <c r="W39" s="5">
        <f>O39-(P39+R39)</f>
        <v/>
      </c>
      <c r="X39" s="5">
        <f>O39-(P39+Q39+R39)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  <c r="S40" s="5">
        <f>F40*20%</f>
        <v/>
      </c>
      <c r="T40" s="5">
        <f>J40-S40</f>
        <v/>
      </c>
      <c r="U40" s="5">
        <f>F40+J40</f>
        <v/>
      </c>
      <c r="V40" s="5">
        <f>O40-U40</f>
        <v/>
      </c>
      <c r="W40" s="5">
        <f>O40-(P40+R40)</f>
        <v/>
      </c>
      <c r="X40" s="5">
        <f>O40-(P40+Q40+R40)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  <c r="S41" s="5">
        <f>F41*20%</f>
        <v/>
      </c>
      <c r="T41" s="5">
        <f>J41-S41</f>
        <v/>
      </c>
      <c r="U41" s="5">
        <f>F41+J41</f>
        <v/>
      </c>
      <c r="V41" s="5">
        <f>O41-U41</f>
        <v/>
      </c>
      <c r="W41" s="5">
        <f>O41-(P41+R41)</f>
        <v/>
      </c>
      <c r="X41" s="5">
        <f>O41-(P41+Q41+R41)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  <c r="S42" s="5">
        <f>F42*20%</f>
        <v/>
      </c>
      <c r="T42" s="5">
        <f>J42-S42</f>
        <v/>
      </c>
      <c r="U42" s="5">
        <f>F42+J42</f>
        <v/>
      </c>
      <c r="V42" s="5">
        <f>O42-U42</f>
        <v/>
      </c>
      <c r="W42" s="5">
        <f>O42-(P42+R42)</f>
        <v/>
      </c>
      <c r="X42" s="5">
        <f>O42-(P42+Q42+R42)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  <c r="S43" s="5">
        <f>F43*20%</f>
        <v/>
      </c>
      <c r="T43" s="5">
        <f>J43-S43</f>
        <v/>
      </c>
      <c r="U43" s="5">
        <f>F43+J43</f>
        <v/>
      </c>
      <c r="V43" s="5">
        <f>O43-U43</f>
        <v/>
      </c>
      <c r="W43" s="5">
        <f>O43-(P43+R43)</f>
        <v/>
      </c>
      <c r="X43" s="5">
        <f>O43-(P43+Q43+R43)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  <c r="S44" s="5">
        <f>F44*20%</f>
        <v/>
      </c>
      <c r="T44" s="5">
        <f>J44-S44</f>
        <v/>
      </c>
      <c r="U44" s="5">
        <f>F44+J44</f>
        <v/>
      </c>
      <c r="V44" s="5">
        <f>O44-U44</f>
        <v/>
      </c>
      <c r="W44" s="5">
        <f>O44-(P44+R44)</f>
        <v/>
      </c>
      <c r="X44" s="5">
        <f>O44-(P44+Q44+R44)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  <c r="S45" s="5">
        <f>F45*20%</f>
        <v/>
      </c>
      <c r="T45" s="5">
        <f>J45-S45</f>
        <v/>
      </c>
      <c r="U45" s="5">
        <f>F45+J45</f>
        <v/>
      </c>
      <c r="V45" s="5">
        <f>O45-U45</f>
        <v/>
      </c>
      <c r="W45" s="5">
        <f>O45-(P45+R45)</f>
        <v/>
      </c>
      <c r="X45" s="5">
        <f>O45-(P45+Q45+R45)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  <c r="S46" s="5">
        <f>F46*20%</f>
        <v/>
      </c>
      <c r="T46" s="5">
        <f>J46-S46</f>
        <v/>
      </c>
      <c r="U46" s="5">
        <f>F46+J46</f>
        <v/>
      </c>
      <c r="V46" s="5">
        <f>O46-U46</f>
        <v/>
      </c>
      <c r="W46" s="5">
        <f>O46-(P46+R46)</f>
        <v/>
      </c>
      <c r="X46" s="5">
        <f>O46-(P46+Q46+R46)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  <c r="S47" s="5">
        <f>F47*20%</f>
        <v/>
      </c>
      <c r="T47" s="5">
        <f>J47-S47</f>
        <v/>
      </c>
      <c r="U47" s="5">
        <f>F47+J47</f>
        <v/>
      </c>
      <c r="V47" s="5">
        <f>O47-U47</f>
        <v/>
      </c>
      <c r="W47" s="5">
        <f>O47-(P47+R47)</f>
        <v/>
      </c>
      <c r="X47" s="5">
        <f>O47-(P47+Q47+R47)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  <c r="S48" s="5">
        <f>F48*20%</f>
        <v/>
      </c>
      <c r="T48" s="5">
        <f>J48-S48</f>
        <v/>
      </c>
      <c r="U48" s="5">
        <f>F48+J48</f>
        <v/>
      </c>
      <c r="V48" s="5">
        <f>O48-U48</f>
        <v/>
      </c>
      <c r="W48" s="5">
        <f>O48-(P48+R48)</f>
        <v/>
      </c>
      <c r="X48" s="5">
        <f>O48-(P48+Q48+R48)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  <c r="S49" s="5">
        <f>F49*20%</f>
        <v/>
      </c>
      <c r="T49" s="5">
        <f>J49-S49</f>
        <v/>
      </c>
      <c r="U49" s="5">
        <f>F49+J49</f>
        <v/>
      </c>
      <c r="V49" s="5">
        <f>O49-U49</f>
        <v/>
      </c>
      <c r="W49" s="5">
        <f>O49-(P49+R49)</f>
        <v/>
      </c>
      <c r="X49" s="5">
        <f>O49-(P49+Q49+R49)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  <c r="S50" s="5">
        <f>F50*20%</f>
        <v/>
      </c>
      <c r="T50" s="5">
        <f>J50-S50</f>
        <v/>
      </c>
      <c r="U50" s="5">
        <f>F50+J50</f>
        <v/>
      </c>
      <c r="V50" s="5">
        <f>O50-U50</f>
        <v/>
      </c>
      <c r="W50" s="5">
        <f>O50-(P50+R50)</f>
        <v/>
      </c>
      <c r="X50" s="5">
        <f>O50-(P50+Q50+R50)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  <c r="S51" s="5">
        <f>F51*20%</f>
        <v/>
      </c>
      <c r="T51" s="5">
        <f>J51-S51</f>
        <v/>
      </c>
      <c r="U51" s="5">
        <f>F51+J51</f>
        <v/>
      </c>
      <c r="V51" s="5">
        <f>O51-U51</f>
        <v/>
      </c>
      <c r="W51" s="5">
        <f>O51-(P51+R51)</f>
        <v/>
      </c>
      <c r="X51" s="5">
        <f>O51-(P51+Q51+R51)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  <c r="S52" s="5">
        <f>F52*20%</f>
        <v/>
      </c>
      <c r="T52" s="5">
        <f>J52-S52</f>
        <v/>
      </c>
      <c r="U52" s="5">
        <f>F52+J52</f>
        <v/>
      </c>
      <c r="V52" s="5">
        <f>O52-U52</f>
        <v/>
      </c>
      <c r="W52" s="5">
        <f>O52-(P52+R52)</f>
        <v/>
      </c>
      <c r="X52" s="5">
        <f>O52-(P52+Q52+R52)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  <c r="S53" s="5">
        <f>F53*20%</f>
        <v/>
      </c>
      <c r="T53" s="5">
        <f>J53-S53</f>
        <v/>
      </c>
      <c r="U53" s="5">
        <f>F53+J53</f>
        <v/>
      </c>
      <c r="V53" s="5">
        <f>O53-U53</f>
        <v/>
      </c>
      <c r="W53" s="5">
        <f>O53-(P53+R53)</f>
        <v/>
      </c>
      <c r="X53" s="5">
        <f>O53-(P53+Q53+R53)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  <c r="S54" s="5">
        <f>F54*20%</f>
        <v/>
      </c>
      <c r="T54" s="5">
        <f>J54-S54</f>
        <v/>
      </c>
      <c r="U54" s="5">
        <f>F54+J54</f>
        <v/>
      </c>
      <c r="V54" s="5">
        <f>O54-U54</f>
        <v/>
      </c>
      <c r="W54" s="5">
        <f>O54-(P54+R54)</f>
        <v/>
      </c>
      <c r="X54" s="5">
        <f>O54-(P54+Q54+R54)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  <c r="S55" s="5">
        <f>F55*20%</f>
        <v/>
      </c>
      <c r="T55" s="5">
        <f>J55-S55</f>
        <v/>
      </c>
      <c r="U55" s="5">
        <f>F55+J55</f>
        <v/>
      </c>
      <c r="V55" s="5">
        <f>O55-U55</f>
        <v/>
      </c>
      <c r="W55" s="5">
        <f>O55-(P55+R55)</f>
        <v/>
      </c>
      <c r="X55" s="5">
        <f>O55-(P55+Q55+R55)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  <c r="S56" s="5">
        <f>F56*20%</f>
        <v/>
      </c>
      <c r="T56" s="5">
        <f>J56-S56</f>
        <v/>
      </c>
      <c r="U56" s="5">
        <f>F56+J56</f>
        <v/>
      </c>
      <c r="V56" s="5">
        <f>O56-U56</f>
        <v/>
      </c>
      <c r="W56" s="5">
        <f>O56-(P56+R56)</f>
        <v/>
      </c>
      <c r="X56" s="5">
        <f>O56-(P56+Q56+R56)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  <c r="S57" s="5">
        <f>F57*20%</f>
        <v/>
      </c>
      <c r="T57" s="5">
        <f>J57-S57</f>
        <v/>
      </c>
      <c r="U57" s="5">
        <f>F57+J57</f>
        <v/>
      </c>
      <c r="V57" s="5">
        <f>O57-U57</f>
        <v/>
      </c>
      <c r="W57" s="5">
        <f>O57-(P57+R57)</f>
        <v/>
      </c>
      <c r="X57" s="5">
        <f>O57-(P57+Q57+R57)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  <c r="S58" s="5">
        <f>F58*20%</f>
        <v/>
      </c>
      <c r="T58" s="5">
        <f>J58-S58</f>
        <v/>
      </c>
      <c r="U58" s="5">
        <f>F58+J58</f>
        <v/>
      </c>
      <c r="V58" s="5">
        <f>O58-U58</f>
        <v/>
      </c>
      <c r="W58" s="5">
        <f>O58-(P58+R58)</f>
        <v/>
      </c>
      <c r="X58" s="5">
        <f>O58-(P58+Q58+R58)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  <c r="S59" s="5">
        <f>F59*20%</f>
        <v/>
      </c>
      <c r="T59" s="5">
        <f>J59-S59</f>
        <v/>
      </c>
      <c r="U59" s="5">
        <f>F59+J59</f>
        <v/>
      </c>
      <c r="V59" s="5">
        <f>O59-U59</f>
        <v/>
      </c>
      <c r="W59" s="5">
        <f>O59-(P59+R59)</f>
        <v/>
      </c>
      <c r="X59" s="5">
        <f>O59-(P59+Q59+R59)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  <c r="S60" s="5">
        <f>F60*20%</f>
        <v/>
      </c>
      <c r="T60" s="5">
        <f>J60-S60</f>
        <v/>
      </c>
      <c r="U60" s="5">
        <f>F60+J60</f>
        <v/>
      </c>
      <c r="V60" s="5">
        <f>O60-U60</f>
        <v/>
      </c>
      <c r="W60" s="5">
        <f>O60-(P60+R60)</f>
        <v/>
      </c>
      <c r="X60" s="5">
        <f>O60-(P60+Q60+R60)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  <c r="S61" s="5">
        <f>F61*20%</f>
        <v/>
      </c>
      <c r="T61" s="5">
        <f>J61-S61</f>
        <v/>
      </c>
      <c r="U61" s="5">
        <f>F61+J61</f>
        <v/>
      </c>
      <c r="V61" s="5">
        <f>O61-U61</f>
        <v/>
      </c>
      <c r="W61" s="5">
        <f>O61-(P61+R61)</f>
        <v/>
      </c>
      <c r="X61" s="5">
        <f>O61-(P61+Q61+R61)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  <c r="S62" s="5">
        <f>F62*20%</f>
        <v/>
      </c>
      <c r="T62" s="5">
        <f>J62-S62</f>
        <v/>
      </c>
      <c r="U62" s="5">
        <f>F62+J62</f>
        <v/>
      </c>
      <c r="V62" s="5">
        <f>O62-U62</f>
        <v/>
      </c>
      <c r="W62" s="5">
        <f>O62-(P62+R62)</f>
        <v/>
      </c>
      <c r="X62" s="5">
        <f>O62-(P62+Q62+R62)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  <c r="S63" s="5">
        <f>F63*20%</f>
        <v/>
      </c>
      <c r="T63" s="5">
        <f>J63-S63</f>
        <v/>
      </c>
      <c r="U63" s="5">
        <f>F63+J63</f>
        <v/>
      </c>
      <c r="V63" s="5">
        <f>O63-U63</f>
        <v/>
      </c>
      <c r="W63" s="5">
        <f>O63-(P63+R63)</f>
        <v/>
      </c>
      <c r="X63" s="5">
        <f>O63-(P63+Q63+R63)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  <c r="S64" s="5">
        <f>F64*20%</f>
        <v/>
      </c>
      <c r="T64" s="5">
        <f>J64-S64</f>
        <v/>
      </c>
      <c r="U64" s="5">
        <f>F64+J64</f>
        <v/>
      </c>
      <c r="V64" s="5">
        <f>O64-U64</f>
        <v/>
      </c>
      <c r="W64" s="5">
        <f>O64-(P64+R64)</f>
        <v/>
      </c>
      <c r="X64" s="5">
        <f>O64-(P64+Q64+R64)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  <c r="S65" s="5">
        <f>F65*20%</f>
        <v/>
      </c>
      <c r="T65" s="5">
        <f>J65-S65</f>
        <v/>
      </c>
      <c r="U65" s="5">
        <f>F65+J65</f>
        <v/>
      </c>
      <c r="V65" s="5">
        <f>O65-U65</f>
        <v/>
      </c>
      <c r="W65" s="5">
        <f>O65-(P65+R65)</f>
        <v/>
      </c>
      <c r="X65" s="5">
        <f>O65-(P65+Q65+R65)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  <c r="S66" s="5">
        <f>F66*20%</f>
        <v/>
      </c>
      <c r="T66" s="5">
        <f>J66-S66</f>
        <v/>
      </c>
      <c r="U66" s="5">
        <f>F66+J66</f>
        <v/>
      </c>
      <c r="V66" s="5">
        <f>O66-U66</f>
        <v/>
      </c>
      <c r="W66" s="5">
        <f>O66-(P66+R66)</f>
        <v/>
      </c>
      <c r="X66" s="5">
        <f>O66-(P66+Q66+R66)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  <c r="S67" s="5">
        <f>F67*20%</f>
        <v/>
      </c>
      <c r="T67" s="5">
        <f>J67-S67</f>
        <v/>
      </c>
      <c r="U67" s="5">
        <f>F67+J67</f>
        <v/>
      </c>
      <c r="V67" s="5">
        <f>O67-U67</f>
        <v/>
      </c>
      <c r="W67" s="5">
        <f>O67-(P67+R67)</f>
        <v/>
      </c>
      <c r="X67" s="5">
        <f>O67-(P67+Q67+R67)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  <c r="S68" s="5">
        <f>F68*20%</f>
        <v/>
      </c>
      <c r="T68" s="5">
        <f>J68-S68</f>
        <v/>
      </c>
      <c r="U68" s="5">
        <f>F68+J68</f>
        <v/>
      </c>
      <c r="V68" s="5">
        <f>O68-U68</f>
        <v/>
      </c>
      <c r="W68" s="5">
        <f>O68-(P68+R68)</f>
        <v/>
      </c>
      <c r="X68" s="5">
        <f>O68-(P68+Q68+R68)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  <c r="S69" s="5">
        <f>F69*20%</f>
        <v/>
      </c>
      <c r="T69" s="5">
        <f>J69-S69</f>
        <v/>
      </c>
      <c r="U69" s="5">
        <f>F69+J69</f>
        <v/>
      </c>
      <c r="V69" s="5">
        <f>O69-U69</f>
        <v/>
      </c>
      <c r="W69" s="5">
        <f>O69-(P69+R69)</f>
        <v/>
      </c>
      <c r="X69" s="5">
        <f>O69-(P69+Q69+R69)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  <c r="S70" s="5">
        <f>F70*20%</f>
        <v/>
      </c>
      <c r="T70" s="5">
        <f>J70-S70</f>
        <v/>
      </c>
      <c r="U70" s="5">
        <f>F70+J70</f>
        <v/>
      </c>
      <c r="V70" s="5">
        <f>O70-U70</f>
        <v/>
      </c>
      <c r="W70" s="5">
        <f>O70-(P70+R70)</f>
        <v/>
      </c>
      <c r="X70" s="5">
        <f>O70-(P70+Q70+R70)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  <c r="S71" s="5">
        <f>F71*20%</f>
        <v/>
      </c>
      <c r="T71" s="5">
        <f>J71-S71</f>
        <v/>
      </c>
      <c r="U71" s="5">
        <f>F71+J71</f>
        <v/>
      </c>
      <c r="V71" s="5">
        <f>O71-U71</f>
        <v/>
      </c>
      <c r="W71" s="5">
        <f>O71-(P71+R71)</f>
        <v/>
      </c>
      <c r="X71" s="5">
        <f>O71-(P71+Q71+R71)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  <c r="S72" s="5">
        <f>F72*20%</f>
        <v/>
      </c>
      <c r="T72" s="5">
        <f>J72-S72</f>
        <v/>
      </c>
      <c r="U72" s="5">
        <f>F72+J72</f>
        <v/>
      </c>
      <c r="V72" s="5">
        <f>O72-U72</f>
        <v/>
      </c>
      <c r="W72" s="5">
        <f>O72-(P72+R72)</f>
        <v/>
      </c>
      <c r="X72" s="5">
        <f>O72-(P72+Q72+R72)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  <c r="S73" s="5">
        <f>F73*20%</f>
        <v/>
      </c>
      <c r="T73" s="5">
        <f>J73-S73</f>
        <v/>
      </c>
      <c r="U73" s="5">
        <f>F73+J73</f>
        <v/>
      </c>
      <c r="V73" s="5">
        <f>O73-U73</f>
        <v/>
      </c>
      <c r="W73" s="5">
        <f>O73-(P73+R73)</f>
        <v/>
      </c>
      <c r="X73" s="5">
        <f>O73-(P73+Q73+R73)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  <c r="S74" s="5">
        <f>F74*20%</f>
        <v/>
      </c>
      <c r="T74" s="5">
        <f>J74-S74</f>
        <v/>
      </c>
      <c r="U74" s="5">
        <f>F74+J74</f>
        <v/>
      </c>
      <c r="V74" s="5">
        <f>O74-U74</f>
        <v/>
      </c>
      <c r="W74" s="5">
        <f>O74-(P74+R74)</f>
        <v/>
      </c>
      <c r="X74" s="5">
        <f>O74-(P74+Q74+R74)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  <c r="S75" s="5">
        <f>F75*20%</f>
        <v/>
      </c>
      <c r="T75" s="5">
        <f>J75-S75</f>
        <v/>
      </c>
      <c r="U75" s="5">
        <f>F75+J75</f>
        <v/>
      </c>
      <c r="V75" s="5">
        <f>O75-U75</f>
        <v/>
      </c>
      <c r="W75" s="5">
        <f>O75-(P75+R75)</f>
        <v/>
      </c>
      <c r="X75" s="5">
        <f>O75-(P75+Q75+R75)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  <c r="S76" s="5">
        <f>F76*20%</f>
        <v/>
      </c>
      <c r="T76" s="5">
        <f>J76-S76</f>
        <v/>
      </c>
      <c r="U76" s="5">
        <f>F76+J76</f>
        <v/>
      </c>
      <c r="V76" s="5">
        <f>O76-U76</f>
        <v/>
      </c>
      <c r="W76" s="5">
        <f>O76-(P76+R76)</f>
        <v/>
      </c>
      <c r="X76" s="5">
        <f>O76-(P76+Q76+R76)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  <c r="S77" s="5">
        <f>F77*20%</f>
        <v/>
      </c>
      <c r="T77" s="5">
        <f>J77-S77</f>
        <v/>
      </c>
      <c r="U77" s="5">
        <f>F77+J77</f>
        <v/>
      </c>
      <c r="V77" s="5">
        <f>O77-U77</f>
        <v/>
      </c>
      <c r="W77" s="5">
        <f>O77-(P77+R77)</f>
        <v/>
      </c>
      <c r="X77" s="5">
        <f>O77-(P77+Q77+R77)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  <c r="S78" s="5">
        <f>F78*20%</f>
        <v/>
      </c>
      <c r="T78" s="5">
        <f>J78-S78</f>
        <v/>
      </c>
      <c r="U78" s="5">
        <f>F78+J78</f>
        <v/>
      </c>
      <c r="V78" s="5">
        <f>O78-U78</f>
        <v/>
      </c>
      <c r="W78" s="5">
        <f>O78-(P78+R78)</f>
        <v/>
      </c>
      <c r="X78" s="5">
        <f>O78-(P78+Q78+R78)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  <c r="S79" s="5">
        <f>F79*20%</f>
        <v/>
      </c>
      <c r="T79" s="5">
        <f>J79-S79</f>
        <v/>
      </c>
      <c r="U79" s="5">
        <f>F79+J79</f>
        <v/>
      </c>
      <c r="V79" s="5">
        <f>O79-U79</f>
        <v/>
      </c>
      <c r="W79" s="5">
        <f>O79-(P79+R79)</f>
        <v/>
      </c>
      <c r="X79" s="5">
        <f>O79-(P79+Q79+R79)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  <c r="S80" s="5">
        <f>F80*20%</f>
        <v/>
      </c>
      <c r="T80" s="5">
        <f>J80-S80</f>
        <v/>
      </c>
      <c r="U80" s="5">
        <f>F80+J80</f>
        <v/>
      </c>
      <c r="V80" s="5">
        <f>O80-U80</f>
        <v/>
      </c>
      <c r="W80" s="5">
        <f>O80-(P80+R80)</f>
        <v/>
      </c>
      <c r="X80" s="5">
        <f>O80-(P80+Q80+R80)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  <c r="S81" s="5">
        <f>F81*20%</f>
        <v/>
      </c>
      <c r="T81" s="5">
        <f>J81-S81</f>
        <v/>
      </c>
      <c r="U81" s="5">
        <f>F81+J81</f>
        <v/>
      </c>
      <c r="V81" s="5">
        <f>O81-U81</f>
        <v/>
      </c>
      <c r="W81" s="5">
        <f>O81-(P81+R81)</f>
        <v/>
      </c>
      <c r="X81" s="5">
        <f>O81-(P81+Q81+R81)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  <c r="S82" s="5">
        <f>F82*20%</f>
        <v/>
      </c>
      <c r="T82" s="5">
        <f>J82-S82</f>
        <v/>
      </c>
      <c r="U82" s="5">
        <f>F82+J82</f>
        <v/>
      </c>
      <c r="V82" s="5">
        <f>O82-U82</f>
        <v/>
      </c>
      <c r="W82" s="5">
        <f>O82-(P82+R82)</f>
        <v/>
      </c>
      <c r="X82" s="5">
        <f>O82-(P82+Q82+R82)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  <c r="S83" s="5">
        <f>F83*20%</f>
        <v/>
      </c>
      <c r="T83" s="5">
        <f>J83-S83</f>
        <v/>
      </c>
      <c r="U83" s="5">
        <f>F83+J83</f>
        <v/>
      </c>
      <c r="V83" s="5">
        <f>O83-U83</f>
        <v/>
      </c>
      <c r="W83" s="5">
        <f>O83-(P83+R83)</f>
        <v/>
      </c>
      <c r="X83" s="5">
        <f>O83-(P83+Q83+R83)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  <c r="S84" s="5">
        <f>F84*20%</f>
        <v/>
      </c>
      <c r="T84" s="5">
        <f>J84-S84</f>
        <v/>
      </c>
      <c r="U84" s="5">
        <f>F84+J84</f>
        <v/>
      </c>
      <c r="V84" s="5">
        <f>O84-U84</f>
        <v/>
      </c>
      <c r="W84" s="5">
        <f>O84-(P84+R84)</f>
        <v/>
      </c>
      <c r="X84" s="5">
        <f>O84-(P84+Q84+R84)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  <c r="S85" s="5">
        <f>F85*20%</f>
        <v/>
      </c>
      <c r="T85" s="5">
        <f>J85-S85</f>
        <v/>
      </c>
      <c r="U85" s="5">
        <f>F85+J85</f>
        <v/>
      </c>
      <c r="V85" s="5">
        <f>O85-U85</f>
        <v/>
      </c>
      <c r="W85" s="5">
        <f>O85-(P85+R85)</f>
        <v/>
      </c>
      <c r="X85" s="5">
        <f>O85-(P85+Q85+R85)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  <c r="S86" s="5">
        <f>F86*20%</f>
        <v/>
      </c>
      <c r="T86" s="5">
        <f>J86-S86</f>
        <v/>
      </c>
      <c r="U86" s="5">
        <f>F86+J86</f>
        <v/>
      </c>
      <c r="V86" s="5">
        <f>O86-U86</f>
        <v/>
      </c>
      <c r="W86" s="5">
        <f>O86-(P86+R86)</f>
        <v/>
      </c>
      <c r="X86" s="5">
        <f>O86-(P86+Q86+R86)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  <c r="S87" s="5">
        <f>F87*20%</f>
        <v/>
      </c>
      <c r="T87" s="5">
        <f>J87-S87</f>
        <v/>
      </c>
      <c r="U87" s="5">
        <f>F87+J87</f>
        <v/>
      </c>
      <c r="V87" s="5">
        <f>O87-U87</f>
        <v/>
      </c>
      <c r="W87" s="5">
        <f>O87-(P87+R87)</f>
        <v/>
      </c>
      <c r="X87" s="5">
        <f>O87-(P87+Q87+R87)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  <c r="S88" s="5">
        <f>F88*20%</f>
        <v/>
      </c>
      <c r="T88" s="5">
        <f>J88-S88</f>
        <v/>
      </c>
      <c r="U88" s="5">
        <f>F88+J88</f>
        <v/>
      </c>
      <c r="V88" s="5">
        <f>O88-U88</f>
        <v/>
      </c>
      <c r="W88" s="5">
        <f>O88-(P88+R88)</f>
        <v/>
      </c>
      <c r="X88" s="5">
        <f>O88-(P88+Q88+R88)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  <c r="S89" s="5">
        <f>F89*20%</f>
        <v/>
      </c>
      <c r="T89" s="5">
        <f>J89-S89</f>
        <v/>
      </c>
      <c r="U89" s="5">
        <f>F89+J89</f>
        <v/>
      </c>
      <c r="V89" s="5">
        <f>O89-U89</f>
        <v/>
      </c>
      <c r="W89" s="5">
        <f>O89-(P89+R89)</f>
        <v/>
      </c>
      <c r="X89" s="5">
        <f>O89-(P89+Q89+R89)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  <c r="S90" s="5">
        <f>F90*20%</f>
        <v/>
      </c>
      <c r="T90" s="5">
        <f>J90-S90</f>
        <v/>
      </c>
      <c r="U90" s="5">
        <f>F90+J90</f>
        <v/>
      </c>
      <c r="V90" s="5">
        <f>O90-U90</f>
        <v/>
      </c>
      <c r="W90" s="5">
        <f>O90-(P90+R90)</f>
        <v/>
      </c>
      <c r="X90" s="5">
        <f>O90-(P90+Q90+R90)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  <c r="S91" s="5">
        <f>F91*20%</f>
        <v/>
      </c>
      <c r="T91" s="5">
        <f>J91-S91</f>
        <v/>
      </c>
      <c r="U91" s="5">
        <f>F91+J91</f>
        <v/>
      </c>
      <c r="V91" s="5">
        <f>O91-U91</f>
        <v/>
      </c>
      <c r="W91" s="5">
        <f>O91-(P91+R91)</f>
        <v/>
      </c>
      <c r="X91" s="5">
        <f>O91-(P91+Q91+R91)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  <c r="S92" s="5">
        <f>F92*20%</f>
        <v/>
      </c>
      <c r="T92" s="5">
        <f>J92-S92</f>
        <v/>
      </c>
      <c r="U92" s="5">
        <f>F92+J92</f>
        <v/>
      </c>
      <c r="V92" s="5">
        <f>O92-U92</f>
        <v/>
      </c>
      <c r="W92" s="5">
        <f>O92-(P92+R92)</f>
        <v/>
      </c>
      <c r="X92" s="5">
        <f>O92-(P92+Q92+R92)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  <c r="S93" s="5">
        <f>F93*20%</f>
        <v/>
      </c>
      <c r="T93" s="5">
        <f>J93-S93</f>
        <v/>
      </c>
      <c r="U93" s="5">
        <f>F93+J93</f>
        <v/>
      </c>
      <c r="V93" s="5">
        <f>O93-U93</f>
        <v/>
      </c>
      <c r="W93" s="5">
        <f>O93-(P93+R93)</f>
        <v/>
      </c>
      <c r="X93" s="5">
        <f>O93-(P93+Q93+R93)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  <c r="S94" s="5">
        <f>F94*20%</f>
        <v/>
      </c>
      <c r="T94" s="5">
        <f>J94-S94</f>
        <v/>
      </c>
      <c r="U94" s="5">
        <f>F94+J94</f>
        <v/>
      </c>
      <c r="V94" s="5">
        <f>O94-U94</f>
        <v/>
      </c>
      <c r="W94" s="5">
        <f>O94-(P94+R94)</f>
        <v/>
      </c>
      <c r="X94" s="5">
        <f>O94-(P94+Q94+R94)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  <c r="S95" s="5">
        <f>F95*20%</f>
        <v/>
      </c>
      <c r="T95" s="5">
        <f>J95-S95</f>
        <v/>
      </c>
      <c r="U95" s="5">
        <f>F95+J95</f>
        <v/>
      </c>
      <c r="V95" s="5">
        <f>O95-U95</f>
        <v/>
      </c>
      <c r="W95" s="5">
        <f>O95-(P95+R95)</f>
        <v/>
      </c>
      <c r="X95" s="5">
        <f>O95-(P95+Q95+R95)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  <c r="S96" s="5">
        <f>F96*20%</f>
        <v/>
      </c>
      <c r="T96" s="5">
        <f>J96-S96</f>
        <v/>
      </c>
      <c r="U96" s="5">
        <f>F96+J96</f>
        <v/>
      </c>
      <c r="V96" s="5">
        <f>O96-U96</f>
        <v/>
      </c>
      <c r="W96" s="5">
        <f>O96-(P96+R96)</f>
        <v/>
      </c>
      <c r="X96" s="5">
        <f>O96-(P96+Q96+R96)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  <c r="S97" s="5">
        <f>F97*20%</f>
        <v/>
      </c>
      <c r="T97" s="5">
        <f>J97-S97</f>
        <v/>
      </c>
      <c r="U97" s="5">
        <f>F97+J97</f>
        <v/>
      </c>
      <c r="V97" s="5">
        <f>O97-U97</f>
        <v/>
      </c>
      <c r="W97" s="5">
        <f>O97-(P97+R97)</f>
        <v/>
      </c>
      <c r="X97" s="5">
        <f>O97-(P97+Q97+R97)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  <c r="S98" s="5">
        <f>F98*20%</f>
        <v/>
      </c>
      <c r="T98" s="5">
        <f>J98-S98</f>
        <v/>
      </c>
      <c r="U98" s="5">
        <f>F98+J98</f>
        <v/>
      </c>
      <c r="V98" s="5">
        <f>O98-U98</f>
        <v/>
      </c>
      <c r="W98" s="5">
        <f>O98-(P98+R98)</f>
        <v/>
      </c>
      <c r="X98" s="5">
        <f>O98-(P98+Q98+R98)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>
        <f>F99*20%</f>
        <v/>
      </c>
      <c r="T99" s="5">
        <f>J99-S99</f>
        <v/>
      </c>
      <c r="U99" s="5">
        <f>F99+J99</f>
        <v/>
      </c>
      <c r="V99" s="5">
        <f>O99-U99</f>
        <v/>
      </c>
      <c r="W99" s="5">
        <f>O99-(P99+R99)</f>
        <v/>
      </c>
      <c r="X99" s="5">
        <f>O99-(P99+Q99+R99)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  <c r="S100" s="5">
        <f>F100*20%</f>
        <v/>
      </c>
      <c r="T100" s="5">
        <f>J100-S100</f>
        <v/>
      </c>
      <c r="U100" s="5">
        <f>F100+J100</f>
        <v/>
      </c>
      <c r="V100" s="5">
        <f>O100-U100</f>
        <v/>
      </c>
      <c r="W100" s="5">
        <f>O100-(P100+R100)</f>
        <v/>
      </c>
      <c r="X100" s="5">
        <f>O100-(P100+Q100+R100)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  <c r="S101" s="5">
        <f>F101*20%</f>
        <v/>
      </c>
      <c r="T101" s="5">
        <f>J101-S101</f>
        <v/>
      </c>
      <c r="U101" s="5">
        <f>F101+J101</f>
        <v/>
      </c>
      <c r="V101" s="5">
        <f>O101-U101</f>
        <v/>
      </c>
      <c r="W101" s="5">
        <f>O101-(P101+R101)</f>
        <v/>
      </c>
      <c r="X101" s="5">
        <f>O101-(P101+Q101+R101)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  <c r="S102" s="5">
        <f>F102*20%</f>
        <v/>
      </c>
      <c r="T102" s="5">
        <f>J102-S102</f>
        <v/>
      </c>
      <c r="U102" s="5">
        <f>F102+J102</f>
        <v/>
      </c>
      <c r="V102" s="5">
        <f>O102-U102</f>
        <v/>
      </c>
      <c r="W102" s="5">
        <f>O102-(P102+R102)</f>
        <v/>
      </c>
      <c r="X102" s="5">
        <f>O102-(P102+Q102+R102)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  <c r="S103" s="5">
        <f>F103*20%</f>
        <v/>
      </c>
      <c r="T103" s="5">
        <f>J103-S103</f>
        <v/>
      </c>
      <c r="U103" s="5">
        <f>F103+J103</f>
        <v/>
      </c>
      <c r="V103" s="5">
        <f>O103-U103</f>
        <v/>
      </c>
      <c r="W103" s="5">
        <f>O103-(P103+R103)</f>
        <v/>
      </c>
      <c r="X103" s="5">
        <f>O103-(P103+Q103+R103)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  <c r="S104" s="5">
        <f>F104*20%</f>
        <v/>
      </c>
      <c r="T104" s="5">
        <f>J104-S104</f>
        <v/>
      </c>
      <c r="U104" s="5">
        <f>F104+J104</f>
        <v/>
      </c>
      <c r="V104" s="5">
        <f>O104-U104</f>
        <v/>
      </c>
      <c r="W104" s="5">
        <f>O104-(P104+R104)</f>
        <v/>
      </c>
      <c r="X104" s="5">
        <f>O104-(P104+Q104+R104)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>
        <f>F105*20%</f>
        <v/>
      </c>
      <c r="T105" s="5">
        <f>J105-S105</f>
        <v/>
      </c>
      <c r="U105" s="5">
        <f>F105+J105</f>
        <v/>
      </c>
      <c r="V105" s="5">
        <f>O105-U105</f>
        <v/>
      </c>
      <c r="W105" s="5">
        <f>O105-(P105+R105)</f>
        <v/>
      </c>
      <c r="X105" s="5">
        <f>O105-(P105+Q105+R105)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  <c r="S106" s="5">
        <f>F106*20%</f>
        <v/>
      </c>
      <c r="T106" s="5">
        <f>J106-S106</f>
        <v/>
      </c>
      <c r="U106" s="5">
        <f>F106+J106</f>
        <v/>
      </c>
      <c r="V106" s="5">
        <f>O106-U106</f>
        <v/>
      </c>
      <c r="W106" s="5">
        <f>O106-(P106+R106)</f>
        <v/>
      </c>
      <c r="X106" s="5">
        <f>O106-(P106+Q106+R106)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  <c r="S107" s="5">
        <f>F107*20%</f>
        <v/>
      </c>
      <c r="T107" s="5">
        <f>J107-S107</f>
        <v/>
      </c>
      <c r="U107" s="5">
        <f>F107+J107</f>
        <v/>
      </c>
      <c r="V107" s="5">
        <f>O107-U107</f>
        <v/>
      </c>
      <c r="W107" s="5">
        <f>O107-(P107+R107)</f>
        <v/>
      </c>
      <c r="X107" s="5">
        <f>O107-(P107+Q107+R107)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  <c r="S108" s="5">
        <f>F108*20%</f>
        <v/>
      </c>
      <c r="T108" s="5">
        <f>J108-S108</f>
        <v/>
      </c>
      <c r="U108" s="5">
        <f>F108+J108</f>
        <v/>
      </c>
      <c r="V108" s="5">
        <f>O108-U108</f>
        <v/>
      </c>
      <c r="W108" s="5">
        <f>O108-(P108+R108)</f>
        <v/>
      </c>
      <c r="X108" s="5">
        <f>O108-(P108+Q108+R108)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  <c r="S109" s="5">
        <f>F109*20%</f>
        <v/>
      </c>
      <c r="T109" s="5">
        <f>J109-S109</f>
        <v/>
      </c>
      <c r="U109" s="5">
        <f>F109+J109</f>
        <v/>
      </c>
      <c r="V109" s="5">
        <f>O109-U109</f>
        <v/>
      </c>
      <c r="W109" s="5">
        <f>O109-(P109+R109)</f>
        <v/>
      </c>
      <c r="X109" s="5">
        <f>O109-(P109+Q109+R109)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  <c r="S110" s="5">
        <f>F110*20%</f>
        <v/>
      </c>
      <c r="T110" s="5">
        <f>J110-S110</f>
        <v/>
      </c>
      <c r="U110" s="5">
        <f>F110+J110</f>
        <v/>
      </c>
      <c r="V110" s="5">
        <f>O110-U110</f>
        <v/>
      </c>
      <c r="W110" s="5">
        <f>O110-(P110+R110)</f>
        <v/>
      </c>
      <c r="X110" s="5">
        <f>O110-(P110+Q110+R110)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  <c r="S111" s="5">
        <f>F111*20%</f>
        <v/>
      </c>
      <c r="T111" s="5">
        <f>J111-S111</f>
        <v/>
      </c>
      <c r="U111" s="5">
        <f>F111+J111</f>
        <v/>
      </c>
      <c r="V111" s="5">
        <f>O111-U111</f>
        <v/>
      </c>
      <c r="W111" s="5">
        <f>O111-(P111+R111)</f>
        <v/>
      </c>
      <c r="X111" s="5">
        <f>O111-(P111+Q111+R111)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  <c r="S112" s="5">
        <f>F112*20%</f>
        <v/>
      </c>
      <c r="T112" s="5">
        <f>J112-S112</f>
        <v/>
      </c>
      <c r="U112" s="5">
        <f>F112+J112</f>
        <v/>
      </c>
      <c r="V112" s="5">
        <f>O112-U112</f>
        <v/>
      </c>
      <c r="W112" s="5">
        <f>O112-(P112+R112)</f>
        <v/>
      </c>
      <c r="X112" s="5">
        <f>O112-(P112+Q112+R112)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  <c r="S113" s="5">
        <f>F113*20%</f>
        <v/>
      </c>
      <c r="T113" s="5">
        <f>J113-S113</f>
        <v/>
      </c>
      <c r="U113" s="5">
        <f>F113+J113</f>
        <v/>
      </c>
      <c r="V113" s="5">
        <f>O113-U113</f>
        <v/>
      </c>
      <c r="W113" s="5">
        <f>O113-(P113+R113)</f>
        <v/>
      </c>
      <c r="X113" s="5">
        <f>O113-(P113+Q113+R113)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  <c r="S114" s="5">
        <f>F114*20%</f>
        <v/>
      </c>
      <c r="T114" s="5">
        <f>J114-S114</f>
        <v/>
      </c>
      <c r="U114" s="5">
        <f>F114+J114</f>
        <v/>
      </c>
      <c r="V114" s="5">
        <f>O114-U114</f>
        <v/>
      </c>
      <c r="W114" s="5">
        <f>O114-(P114+R114)</f>
        <v/>
      </c>
      <c r="X114" s="5">
        <f>O114-(P114+Q114+R114)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  <c r="S115" s="5">
        <f>F115*20%</f>
        <v/>
      </c>
      <c r="T115" s="5">
        <f>J115-S115</f>
        <v/>
      </c>
      <c r="U115" s="5">
        <f>F115+J115</f>
        <v/>
      </c>
      <c r="V115" s="5">
        <f>O115-U115</f>
        <v/>
      </c>
      <c r="W115" s="5">
        <f>O115-(P115+R115)</f>
        <v/>
      </c>
      <c r="X115" s="5">
        <f>O115-(P115+Q115+R115)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  <c r="S116" s="5">
        <f>F116*20%</f>
        <v/>
      </c>
      <c r="T116" s="5">
        <f>J116-S116</f>
        <v/>
      </c>
      <c r="U116" s="5">
        <f>F116+J116</f>
        <v/>
      </c>
      <c r="V116" s="5">
        <f>O116-U116</f>
        <v/>
      </c>
      <c r="W116" s="5">
        <f>O116-(P116+R116)</f>
        <v/>
      </c>
      <c r="X116" s="5">
        <f>O116-(P116+Q116+R116)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  <c r="S117" s="5">
        <f>F117*20%</f>
        <v/>
      </c>
      <c r="T117" s="5">
        <f>J117-S117</f>
        <v/>
      </c>
      <c r="U117" s="5">
        <f>F117+J117</f>
        <v/>
      </c>
      <c r="V117" s="5">
        <f>O117-U117</f>
        <v/>
      </c>
      <c r="W117" s="5">
        <f>O117-(P117+R117)</f>
        <v/>
      </c>
      <c r="X117" s="5">
        <f>O117-(P117+Q117+R117)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  <c r="S118" s="5">
        <f>F118*20%</f>
        <v/>
      </c>
      <c r="T118" s="5">
        <f>J118-S118</f>
        <v/>
      </c>
      <c r="U118" s="5">
        <f>F118+J118</f>
        <v/>
      </c>
      <c r="V118" s="5">
        <f>O118-U118</f>
        <v/>
      </c>
      <c r="W118" s="5">
        <f>O118-(P118+R118)</f>
        <v/>
      </c>
      <c r="X118" s="5">
        <f>O118-(P118+Q118+R118)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  <c r="S119" s="5">
        <f>F119*20%</f>
        <v/>
      </c>
      <c r="T119" s="5">
        <f>J119-S119</f>
        <v/>
      </c>
      <c r="U119" s="5">
        <f>F119+J119</f>
        <v/>
      </c>
      <c r="V119" s="5">
        <f>O119-U119</f>
        <v/>
      </c>
      <c r="W119" s="5">
        <f>O119-(P119+R119)</f>
        <v/>
      </c>
      <c r="X119" s="5">
        <f>O119-(P119+Q119+R119)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  <c r="S120" s="5">
        <f>F120*20%</f>
        <v/>
      </c>
      <c r="T120" s="5">
        <f>J120-S120</f>
        <v/>
      </c>
      <c r="U120" s="5">
        <f>F120+J120</f>
        <v/>
      </c>
      <c r="V120" s="5">
        <f>O120-U120</f>
        <v/>
      </c>
      <c r="W120" s="5">
        <f>O120-(P120+R120)</f>
        <v/>
      </c>
      <c r="X120" s="5">
        <f>O120-(P120+Q120+R120)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  <c r="S121" s="5">
        <f>F121*20%</f>
        <v/>
      </c>
      <c r="T121" s="5">
        <f>J121-S121</f>
        <v/>
      </c>
      <c r="U121" s="5">
        <f>F121+J121</f>
        <v/>
      </c>
      <c r="V121" s="5">
        <f>O121-U121</f>
        <v/>
      </c>
      <c r="W121" s="5">
        <f>O121-(P121+R121)</f>
        <v/>
      </c>
      <c r="X121" s="5">
        <f>O121-(P121+Q121+R121)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  <c r="S122" s="5">
        <f>F122*20%</f>
        <v/>
      </c>
      <c r="T122" s="5">
        <f>J122-S122</f>
        <v/>
      </c>
      <c r="U122" s="5">
        <f>F122+J122</f>
        <v/>
      </c>
      <c r="V122" s="5">
        <f>O122-U122</f>
        <v/>
      </c>
      <c r="W122" s="5">
        <f>O122-(P122+R122)</f>
        <v/>
      </c>
      <c r="X122" s="5">
        <f>O122-(P122+Q122+R122)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  <c r="S123" s="5">
        <f>F123*20%</f>
        <v/>
      </c>
      <c r="T123" s="5">
        <f>J123-S123</f>
        <v/>
      </c>
      <c r="U123" s="5">
        <f>F123+J123</f>
        <v/>
      </c>
      <c r="V123" s="5">
        <f>O123-U123</f>
        <v/>
      </c>
      <c r="W123" s="5">
        <f>O123-(P123+R123)</f>
        <v/>
      </c>
      <c r="X123" s="5">
        <f>O123-(P123+Q123+R123)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  <c r="S124" s="5">
        <f>F124*20%</f>
        <v/>
      </c>
      <c r="T124" s="5">
        <f>J124-S124</f>
        <v/>
      </c>
      <c r="U124" s="5">
        <f>F124+J124</f>
        <v/>
      </c>
      <c r="V124" s="5">
        <f>O124-U124</f>
        <v/>
      </c>
      <c r="W124" s="5">
        <f>O124-(P124+R124)</f>
        <v/>
      </c>
      <c r="X124" s="5">
        <f>O124-(P124+Q124+R124)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  <c r="S125" s="5">
        <f>F125*20%</f>
        <v/>
      </c>
      <c r="T125" s="5">
        <f>J125-S125</f>
        <v/>
      </c>
      <c r="U125" s="5">
        <f>F125+J125</f>
        <v/>
      </c>
      <c r="V125" s="5">
        <f>O125-U125</f>
        <v/>
      </c>
      <c r="W125" s="5">
        <f>O125-(P125+R125)</f>
        <v/>
      </c>
      <c r="X125" s="5">
        <f>O125-(P125+Q125+R125)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  <c r="S126" s="5">
        <f>F126*20%</f>
        <v/>
      </c>
      <c r="T126" s="5">
        <f>J126-S126</f>
        <v/>
      </c>
      <c r="U126" s="5">
        <f>F126+J126</f>
        <v/>
      </c>
      <c r="V126" s="5">
        <f>O126-U126</f>
        <v/>
      </c>
      <c r="W126" s="5">
        <f>O126-(P126+R126)</f>
        <v/>
      </c>
      <c r="X126" s="5">
        <f>O126-(P126+Q126+R126)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  <c r="S127" s="5">
        <f>F127*20%</f>
        <v/>
      </c>
      <c r="T127" s="5">
        <f>J127-S127</f>
        <v/>
      </c>
      <c r="U127" s="5">
        <f>F127+J127</f>
        <v/>
      </c>
      <c r="V127" s="5">
        <f>O127-U127</f>
        <v/>
      </c>
      <c r="W127" s="5">
        <f>O127-(P127+R127)</f>
        <v/>
      </c>
      <c r="X127" s="5">
        <f>O127-(P127+Q127+R127)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  <c r="S128" s="5">
        <f>F128*20%</f>
        <v/>
      </c>
      <c r="T128" s="5">
        <f>J128-S128</f>
        <v/>
      </c>
      <c r="U128" s="5">
        <f>F128+J128</f>
        <v/>
      </c>
      <c r="V128" s="5">
        <f>O128-U128</f>
        <v/>
      </c>
      <c r="W128" s="5">
        <f>O128-(P128+R128)</f>
        <v/>
      </c>
      <c r="X128" s="5">
        <f>O128-(P128+Q128+R128)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  <c r="S129" s="5">
        <f>F129*20%</f>
        <v/>
      </c>
      <c r="T129" s="5">
        <f>J129-S129</f>
        <v/>
      </c>
      <c r="U129" s="5">
        <f>F129+J129</f>
        <v/>
      </c>
      <c r="V129" s="5">
        <f>O129-U129</f>
        <v/>
      </c>
      <c r="W129" s="5">
        <f>O129-(P129+R129)</f>
        <v/>
      </c>
      <c r="X129" s="5">
        <f>O129-(P129+Q129+R129)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  <c r="S130" s="5">
        <f>F130*20%</f>
        <v/>
      </c>
      <c r="T130" s="5">
        <f>J130-S130</f>
        <v/>
      </c>
      <c r="U130" s="5">
        <f>F130+J130</f>
        <v/>
      </c>
      <c r="V130" s="5">
        <f>O130-U130</f>
        <v/>
      </c>
      <c r="W130" s="5">
        <f>O130-(P130+R130)</f>
        <v/>
      </c>
      <c r="X130" s="5">
        <f>O130-(P130+Q130+R130)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  <c r="S131" s="5">
        <f>F131*20%</f>
        <v/>
      </c>
      <c r="T131" s="5">
        <f>J131-S131</f>
        <v/>
      </c>
      <c r="U131" s="5">
        <f>F131+J131</f>
        <v/>
      </c>
      <c r="V131" s="5">
        <f>O131-U131</f>
        <v/>
      </c>
      <c r="W131" s="5">
        <f>O131-(P131+R131)</f>
        <v/>
      </c>
      <c r="X131" s="5">
        <f>O131-(P131+Q131+R131)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  <c r="S132" s="5">
        <f>F132*20%</f>
        <v/>
      </c>
      <c r="T132" s="5">
        <f>J132-S132</f>
        <v/>
      </c>
      <c r="U132" s="5">
        <f>F132+J132</f>
        <v/>
      </c>
      <c r="V132" s="5">
        <f>O132-U132</f>
        <v/>
      </c>
      <c r="W132" s="5">
        <f>O132-(P132+R132)</f>
        <v/>
      </c>
      <c r="X132" s="5">
        <f>O132-(P132+Q132+R132)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  <c r="S133" s="5">
        <f>F133*20%</f>
        <v/>
      </c>
      <c r="T133" s="5">
        <f>J133-S133</f>
        <v/>
      </c>
      <c r="U133" s="5">
        <f>F133+J133</f>
        <v/>
      </c>
      <c r="V133" s="5">
        <f>O133-U133</f>
        <v/>
      </c>
      <c r="W133" s="5">
        <f>O133-(P133+R133)</f>
        <v/>
      </c>
      <c r="X133" s="5">
        <f>O133-(P133+Q133+R133)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  <c r="S134" s="5">
        <f>F134*20%</f>
        <v/>
      </c>
      <c r="T134" s="5">
        <f>J134-S134</f>
        <v/>
      </c>
      <c r="U134" s="5">
        <f>F134+J134</f>
        <v/>
      </c>
      <c r="V134" s="5">
        <f>O134-U134</f>
        <v/>
      </c>
      <c r="W134" s="5">
        <f>O134-(P134+R134)</f>
        <v/>
      </c>
      <c r="X134" s="5">
        <f>O134-(P134+Q134+R134)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  <c r="S135" s="5">
        <f>F135*20%</f>
        <v/>
      </c>
      <c r="T135" s="5">
        <f>J135-S135</f>
        <v/>
      </c>
      <c r="U135" s="5">
        <f>F135+J135</f>
        <v/>
      </c>
      <c r="V135" s="5">
        <f>O135-U135</f>
        <v/>
      </c>
      <c r="W135" s="5">
        <f>O135-(P135+R135)</f>
        <v/>
      </c>
      <c r="X135" s="5">
        <f>O135-(P135+Q135+R135)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  <c r="S136" s="5">
        <f>F136*20%</f>
        <v/>
      </c>
      <c r="T136" s="5">
        <f>J136-S136</f>
        <v/>
      </c>
      <c r="U136" s="5">
        <f>F136+J136</f>
        <v/>
      </c>
      <c r="V136" s="5">
        <f>O136-U136</f>
        <v/>
      </c>
      <c r="W136" s="5">
        <f>O136-(P136+R136)</f>
        <v/>
      </c>
      <c r="X136" s="5">
        <f>O136-(P136+Q136+R136)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  <c r="S137" s="5">
        <f>F137*20%</f>
        <v/>
      </c>
      <c r="T137" s="5">
        <f>J137-S137</f>
        <v/>
      </c>
      <c r="U137" s="5">
        <f>F137+J137</f>
        <v/>
      </c>
      <c r="V137" s="5">
        <f>O137-U137</f>
        <v/>
      </c>
      <c r="W137" s="5">
        <f>O137-(P137+R137)</f>
        <v/>
      </c>
      <c r="X137" s="5">
        <f>O137-(P137+Q137+R137)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  <c r="S138" s="5">
        <f>F138*20%</f>
        <v/>
      </c>
      <c r="T138" s="5">
        <f>J138-S138</f>
        <v/>
      </c>
      <c r="U138" s="5">
        <f>F138+J138</f>
        <v/>
      </c>
      <c r="V138" s="5">
        <f>O138-U138</f>
        <v/>
      </c>
      <c r="W138" s="5">
        <f>O138-(P138+R138)</f>
        <v/>
      </c>
      <c r="X138" s="5">
        <f>O138-(P138+Q138+R138)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  <c r="S139" s="5">
        <f>F139*20%</f>
        <v/>
      </c>
      <c r="T139" s="5">
        <f>J139-S139</f>
        <v/>
      </c>
      <c r="U139" s="5">
        <f>F139+J139</f>
        <v/>
      </c>
      <c r="V139" s="5">
        <f>O139-U139</f>
        <v/>
      </c>
      <c r="W139" s="5">
        <f>O139-(P139+R139)</f>
        <v/>
      </c>
      <c r="X139" s="5">
        <f>O139-(P139+Q139+R139)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  <c r="S140" s="5">
        <f>F140*20%</f>
        <v/>
      </c>
      <c r="T140" s="5">
        <f>J140-S140</f>
        <v/>
      </c>
      <c r="U140" s="5">
        <f>F140+J140</f>
        <v/>
      </c>
      <c r="V140" s="5">
        <f>O140-U140</f>
        <v/>
      </c>
      <c r="W140" s="5">
        <f>O140-(P140+R140)</f>
        <v/>
      </c>
      <c r="X140" s="5">
        <f>O140-(P140+Q140+R140)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  <c r="S141" s="5">
        <f>F141*20%</f>
        <v/>
      </c>
      <c r="T141" s="5">
        <f>J141-S141</f>
        <v/>
      </c>
      <c r="U141" s="5">
        <f>F141+J141</f>
        <v/>
      </c>
      <c r="V141" s="5">
        <f>O141-U141</f>
        <v/>
      </c>
      <c r="W141" s="5">
        <f>O141-(P141+R141)</f>
        <v/>
      </c>
      <c r="X141" s="5">
        <f>O141-(P141+Q141+R141)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>
        <f>F142*20%</f>
        <v/>
      </c>
      <c r="T142" s="5">
        <f>J142-S142</f>
        <v/>
      </c>
      <c r="U142" s="5">
        <f>F142+J142</f>
        <v/>
      </c>
      <c r="V142" s="5">
        <f>O142-U142</f>
        <v/>
      </c>
      <c r="W142" s="5">
        <f>O142-(P142+R142)</f>
        <v/>
      </c>
      <c r="X142" s="5">
        <f>O142-(P142+Q142+R142)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  <c r="S143" s="5">
        <f>F143*20%</f>
        <v/>
      </c>
      <c r="T143" s="5">
        <f>J143-S143</f>
        <v/>
      </c>
      <c r="U143" s="5">
        <f>F143+J143</f>
        <v/>
      </c>
      <c r="V143" s="5">
        <f>O143-U143</f>
        <v/>
      </c>
      <c r="W143" s="5">
        <f>O143-(P143+R143)</f>
        <v/>
      </c>
      <c r="X143" s="5">
        <f>O143-(P143+Q143+R143)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  <c r="S144" s="5">
        <f>F144*20%</f>
        <v/>
      </c>
      <c r="T144" s="5">
        <f>J144-S144</f>
        <v/>
      </c>
      <c r="U144" s="5">
        <f>F144+J144</f>
        <v/>
      </c>
      <c r="V144" s="5">
        <f>O144-U144</f>
        <v/>
      </c>
      <c r="W144" s="5">
        <f>O144-(P144+R144)</f>
        <v/>
      </c>
      <c r="X144" s="5">
        <f>O144-(P144+Q144+R144)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  <c r="S145" s="5">
        <f>F145*20%</f>
        <v/>
      </c>
      <c r="T145" s="5">
        <f>J145-S145</f>
        <v/>
      </c>
      <c r="U145" s="5">
        <f>F145+J145</f>
        <v/>
      </c>
      <c r="V145" s="5">
        <f>O145-U145</f>
        <v/>
      </c>
      <c r="W145" s="5">
        <f>O145-(P145+R145)</f>
        <v/>
      </c>
      <c r="X145" s="5">
        <f>O145-(P145+Q145+R145)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  <c r="S146" s="5">
        <f>F146*20%</f>
        <v/>
      </c>
      <c r="T146" s="5">
        <f>J146-S146</f>
        <v/>
      </c>
      <c r="U146" s="5">
        <f>F146+J146</f>
        <v/>
      </c>
      <c r="V146" s="5">
        <f>O146-U146</f>
        <v/>
      </c>
      <c r="W146" s="5">
        <f>O146-(P146+R146)</f>
        <v/>
      </c>
      <c r="X146" s="5">
        <f>O146-(P146+Q146+R146)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  <c r="S147" s="5">
        <f>F147*20%</f>
        <v/>
      </c>
      <c r="T147" s="5">
        <f>J147-S147</f>
        <v/>
      </c>
      <c r="U147" s="5">
        <f>F147+J147</f>
        <v/>
      </c>
      <c r="V147" s="5">
        <f>O147-U147</f>
        <v/>
      </c>
      <c r="W147" s="5">
        <f>O147-(P147+R147)</f>
        <v/>
      </c>
      <c r="X147" s="5">
        <f>O147-(P147+Q147+R147)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  <c r="S148" s="5">
        <f>F148*20%</f>
        <v/>
      </c>
      <c r="T148" s="5">
        <f>J148-S148</f>
        <v/>
      </c>
      <c r="U148" s="5">
        <f>F148+J148</f>
        <v/>
      </c>
      <c r="V148" s="5">
        <f>O148-U148</f>
        <v/>
      </c>
      <c r="W148" s="5">
        <f>O148-(P148+R148)</f>
        <v/>
      </c>
      <c r="X148" s="5">
        <f>O148-(P148+Q148+R148)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  <c r="S149" s="5">
        <f>F149*20%</f>
        <v/>
      </c>
      <c r="T149" s="5">
        <f>J149-S149</f>
        <v/>
      </c>
      <c r="U149" s="5">
        <f>F149+J149</f>
        <v/>
      </c>
      <c r="V149" s="5">
        <f>O149-U149</f>
        <v/>
      </c>
      <c r="W149" s="5">
        <f>O149-(P149+R149)</f>
        <v/>
      </c>
      <c r="X149" s="5">
        <f>O149-(P149+Q149+R149)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  <c r="S150" s="5">
        <f>F150*20%</f>
        <v/>
      </c>
      <c r="T150" s="5">
        <f>J150-S150</f>
        <v/>
      </c>
      <c r="U150" s="5">
        <f>F150+J150</f>
        <v/>
      </c>
      <c r="V150" s="5">
        <f>O150-U150</f>
        <v/>
      </c>
      <c r="W150" s="5">
        <f>O150-(P150+R150)</f>
        <v/>
      </c>
      <c r="X150" s="5">
        <f>O150-(P150+Q150+R150)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  <c r="S151" s="5">
        <f>F151*20%</f>
        <v/>
      </c>
      <c r="T151" s="5">
        <f>J151-S151</f>
        <v/>
      </c>
      <c r="U151" s="5">
        <f>F151+J151</f>
        <v/>
      </c>
      <c r="V151" s="5">
        <f>O151-U151</f>
        <v/>
      </c>
      <c r="W151" s="5">
        <f>O151-(P151+R151)</f>
        <v/>
      </c>
      <c r="X151" s="5">
        <f>O151-(P151+Q151+R151)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  <c r="S152" s="5">
        <f>F152*20%</f>
        <v/>
      </c>
      <c r="T152" s="5">
        <f>J152-S152</f>
        <v/>
      </c>
      <c r="U152" s="5">
        <f>F152+J152</f>
        <v/>
      </c>
      <c r="V152" s="5">
        <f>O152-U152</f>
        <v/>
      </c>
      <c r="W152" s="5">
        <f>O152-(P152+R152)</f>
        <v/>
      </c>
      <c r="X152" s="5">
        <f>O152-(P152+Q152+R152)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  <c r="S153" s="5">
        <f>F153*20%</f>
        <v/>
      </c>
      <c r="T153" s="5">
        <f>J153-S153</f>
        <v/>
      </c>
      <c r="U153" s="5">
        <f>F153+J153</f>
        <v/>
      </c>
      <c r="V153" s="5">
        <f>O153-U153</f>
        <v/>
      </c>
      <c r="W153" s="5">
        <f>O153-(P153+R153)</f>
        <v/>
      </c>
      <c r="X153" s="5">
        <f>O153-(P153+Q153+R153)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  <c r="S154" s="5">
        <f>F154*20%</f>
        <v/>
      </c>
      <c r="T154" s="5">
        <f>J154-S154</f>
        <v/>
      </c>
      <c r="U154" s="5">
        <f>F154+J154</f>
        <v/>
      </c>
      <c r="V154" s="5">
        <f>O154-U154</f>
        <v/>
      </c>
      <c r="W154" s="5">
        <f>O154-(P154+R154)</f>
        <v/>
      </c>
      <c r="X154" s="5">
        <f>O154-(P154+Q154+R154)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  <c r="S155" s="5">
        <f>F155*20%</f>
        <v/>
      </c>
      <c r="T155" s="5">
        <f>J155-S155</f>
        <v/>
      </c>
      <c r="U155" s="5">
        <f>F155+J155</f>
        <v/>
      </c>
      <c r="V155" s="5">
        <f>O155-U155</f>
        <v/>
      </c>
      <c r="W155" s="5">
        <f>O155-(P155+R155)</f>
        <v/>
      </c>
      <c r="X155" s="5">
        <f>O155-(P155+Q155+R155)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  <c r="S156" s="5">
        <f>F156*20%</f>
        <v/>
      </c>
      <c r="T156" s="5">
        <f>J156-S156</f>
        <v/>
      </c>
      <c r="U156" s="5">
        <f>F156+J156</f>
        <v/>
      </c>
      <c r="V156" s="5">
        <f>O156-U156</f>
        <v/>
      </c>
      <c r="W156" s="5">
        <f>O156-(P156+R156)</f>
        <v/>
      </c>
      <c r="X156" s="5">
        <f>O156-(P156+Q156+R156)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  <c r="S157" s="5">
        <f>F157*20%</f>
        <v/>
      </c>
      <c r="T157" s="5">
        <f>J157-S157</f>
        <v/>
      </c>
      <c r="U157" s="5">
        <f>F157+J157</f>
        <v/>
      </c>
      <c r="V157" s="5">
        <f>O157-U157</f>
        <v/>
      </c>
      <c r="W157" s="5">
        <f>O157-(P157+R157)</f>
        <v/>
      </c>
      <c r="X157" s="5">
        <f>O157-(P157+Q157+R157)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  <c r="S158" s="5">
        <f>F158*20%</f>
        <v/>
      </c>
      <c r="T158" s="5">
        <f>J158-S158</f>
        <v/>
      </c>
      <c r="U158" s="5">
        <f>F158+J158</f>
        <v/>
      </c>
      <c r="V158" s="5">
        <f>O158-U158</f>
        <v/>
      </c>
      <c r="W158" s="5">
        <f>O158-(P158+R158)</f>
        <v/>
      </c>
      <c r="X158" s="5">
        <f>O158-(P158+Q158+R158)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  <c r="S159" s="5">
        <f>F159*20%</f>
        <v/>
      </c>
      <c r="T159" s="5">
        <f>J159-S159</f>
        <v/>
      </c>
      <c r="U159" s="5">
        <f>F159+J159</f>
        <v/>
      </c>
      <c r="V159" s="5">
        <f>O159-U159</f>
        <v/>
      </c>
      <c r="W159" s="5">
        <f>O159-(P159+R159)</f>
        <v/>
      </c>
      <c r="X159" s="5">
        <f>O159-(P159+Q159+R159)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  <c r="S160" s="5">
        <f>F160*20%</f>
        <v/>
      </c>
      <c r="T160" s="5">
        <f>J160-S160</f>
        <v/>
      </c>
      <c r="U160" s="5">
        <f>F160+J160</f>
        <v/>
      </c>
      <c r="V160" s="5">
        <f>O160-U160</f>
        <v/>
      </c>
      <c r="W160" s="5">
        <f>O160-(P160+R160)</f>
        <v/>
      </c>
      <c r="X160" s="5">
        <f>O160-(P160+Q160+R160)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  <c r="S161" s="5">
        <f>F161*20%</f>
        <v/>
      </c>
      <c r="T161" s="5">
        <f>J161-S161</f>
        <v/>
      </c>
      <c r="U161" s="5">
        <f>F161+J161</f>
        <v/>
      </c>
      <c r="V161" s="5">
        <f>O161-U161</f>
        <v/>
      </c>
      <c r="W161" s="5">
        <f>O161-(P161+R161)</f>
        <v/>
      </c>
      <c r="X161" s="5">
        <f>O161-(P161+Q161+R161)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  <c r="S162" s="5">
        <f>F162*20%</f>
        <v/>
      </c>
      <c r="T162" s="5">
        <f>J162-S162</f>
        <v/>
      </c>
      <c r="U162" s="5">
        <f>F162+J162</f>
        <v/>
      </c>
      <c r="V162" s="5">
        <f>O162-U162</f>
        <v/>
      </c>
      <c r="W162" s="5">
        <f>O162-(P162+R162)</f>
        <v/>
      </c>
      <c r="X162" s="5">
        <f>O162-(P162+Q162+R162)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  <c r="S163" s="5">
        <f>F163*20%</f>
        <v/>
      </c>
      <c r="T163" s="5">
        <f>J163-S163</f>
        <v/>
      </c>
      <c r="U163" s="5">
        <f>F163+J163</f>
        <v/>
      </c>
      <c r="V163" s="5">
        <f>O163-U163</f>
        <v/>
      </c>
      <c r="W163" s="5">
        <f>O163-(P163+R163)</f>
        <v/>
      </c>
      <c r="X163" s="5">
        <f>O163-(P163+Q163+R163)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  <c r="S164" s="5">
        <f>F164*20%</f>
        <v/>
      </c>
      <c r="T164" s="5">
        <f>J164-S164</f>
        <v/>
      </c>
      <c r="U164" s="5">
        <f>F164+J164</f>
        <v/>
      </c>
      <c r="V164" s="5">
        <f>O164-U164</f>
        <v/>
      </c>
      <c r="W164" s="5">
        <f>O164-(P164+R164)</f>
        <v/>
      </c>
      <c r="X164" s="5">
        <f>O164-(P164+Q164+R164)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  <c r="S165" s="5">
        <f>F165*20%</f>
        <v/>
      </c>
      <c r="T165" s="5">
        <f>J165-S165</f>
        <v/>
      </c>
      <c r="U165" s="5">
        <f>F165+J165</f>
        <v/>
      </c>
      <c r="V165" s="5">
        <f>O165-U165</f>
        <v/>
      </c>
      <c r="W165" s="5">
        <f>O165-(P165+R165)</f>
        <v/>
      </c>
      <c r="X165" s="5">
        <f>O165-(P165+Q165+R165)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  <c r="S166" s="5">
        <f>F166*20%</f>
        <v/>
      </c>
      <c r="T166" s="5">
        <f>J166-S166</f>
        <v/>
      </c>
      <c r="U166" s="5">
        <f>F166+J166</f>
        <v/>
      </c>
      <c r="V166" s="5">
        <f>O166-U166</f>
        <v/>
      </c>
      <c r="W166" s="5">
        <f>O166-(P166+R166)</f>
        <v/>
      </c>
      <c r="X166" s="5">
        <f>O166-(P166+Q166+R166)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  <c r="S167" s="5">
        <f>F167*20%</f>
        <v/>
      </c>
      <c r="T167" s="5">
        <f>J167-S167</f>
        <v/>
      </c>
      <c r="U167" s="5">
        <f>F167+J167</f>
        <v/>
      </c>
      <c r="V167" s="5">
        <f>O167-U167</f>
        <v/>
      </c>
      <c r="W167" s="5">
        <f>O167-(P167+R167)</f>
        <v/>
      </c>
      <c r="X167" s="5">
        <f>O167-(P167+Q167+R167)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  <c r="S168" s="5">
        <f>F168*20%</f>
        <v/>
      </c>
      <c r="T168" s="5">
        <f>J168-S168</f>
        <v/>
      </c>
      <c r="U168" s="5">
        <f>F168+J168</f>
        <v/>
      </c>
      <c r="V168" s="5">
        <f>O168-U168</f>
        <v/>
      </c>
      <c r="W168" s="5">
        <f>O168-(P168+R168)</f>
        <v/>
      </c>
      <c r="X168" s="5">
        <f>O168-(P168+Q168+R168)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  <c r="S169" s="5">
        <f>F169*20%</f>
        <v/>
      </c>
      <c r="T169" s="5">
        <f>J169-S169</f>
        <v/>
      </c>
      <c r="U169" s="5">
        <f>F169+J169</f>
        <v/>
      </c>
      <c r="V169" s="5">
        <f>O169-U169</f>
        <v/>
      </c>
      <c r="W169" s="5">
        <f>O169-(P169+R169)</f>
        <v/>
      </c>
      <c r="X169" s="5">
        <f>O169-(P169+Q169+R169)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  <c r="S170" s="5">
        <f>F170*20%</f>
        <v/>
      </c>
      <c r="T170" s="5">
        <f>J170-S170</f>
        <v/>
      </c>
      <c r="U170" s="5">
        <f>F170+J170</f>
        <v/>
      </c>
      <c r="V170" s="5">
        <f>O170-U170</f>
        <v/>
      </c>
      <c r="W170" s="5">
        <f>O170-(P170+R170)</f>
        <v/>
      </c>
      <c r="X170" s="5">
        <f>O170-(P170+Q170+R170)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  <c r="S171" s="5">
        <f>F171*20%</f>
        <v/>
      </c>
      <c r="T171" s="5">
        <f>J171-S171</f>
        <v/>
      </c>
      <c r="U171" s="5">
        <f>F171+J171</f>
        <v/>
      </c>
      <c r="V171" s="5">
        <f>O171-U171</f>
        <v/>
      </c>
      <c r="W171" s="5">
        <f>O171-(P171+R171)</f>
        <v/>
      </c>
      <c r="X171" s="5">
        <f>O171-(P171+Q171+R171)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  <c r="S172" s="5">
        <f>F172*20%</f>
        <v/>
      </c>
      <c r="T172" s="5">
        <f>J172-S172</f>
        <v/>
      </c>
      <c r="U172" s="5">
        <f>F172+J172</f>
        <v/>
      </c>
      <c r="V172" s="5">
        <f>O172-U172</f>
        <v/>
      </c>
      <c r="W172" s="5">
        <f>O172-(P172+R172)</f>
        <v/>
      </c>
      <c r="X172" s="5">
        <f>O172-(P172+Q172+R172)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  <c r="S173" s="5">
        <f>F173*20%</f>
        <v/>
      </c>
      <c r="T173" s="5">
        <f>J173-S173</f>
        <v/>
      </c>
      <c r="U173" s="5">
        <f>F173+J173</f>
        <v/>
      </c>
      <c r="V173" s="5">
        <f>O173-U173</f>
        <v/>
      </c>
      <c r="W173" s="5">
        <f>O173-(P173+R173)</f>
        <v/>
      </c>
      <c r="X173" s="5">
        <f>O173-(P173+Q173+R173)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  <c r="S174" s="5">
        <f>F174*20%</f>
        <v/>
      </c>
      <c r="T174" s="5">
        <f>J174-S174</f>
        <v/>
      </c>
      <c r="U174" s="5">
        <f>F174+J174</f>
        <v/>
      </c>
      <c r="V174" s="5">
        <f>O174-U174</f>
        <v/>
      </c>
      <c r="W174" s="5">
        <f>O174-(P174+R174)</f>
        <v/>
      </c>
      <c r="X174" s="5">
        <f>O174-(P174+Q174+R174)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  <c r="S175" s="5">
        <f>F175*20%</f>
        <v/>
      </c>
      <c r="T175" s="5">
        <f>J175-S175</f>
        <v/>
      </c>
      <c r="U175" s="5">
        <f>F175+J175</f>
        <v/>
      </c>
      <c r="V175" s="5">
        <f>O175-U175</f>
        <v/>
      </c>
      <c r="W175" s="5">
        <f>O175-(P175+R175)</f>
        <v/>
      </c>
      <c r="X175" s="5">
        <f>O175-(P175+Q175+R175)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  <c r="S176" s="5">
        <f>F176*20%</f>
        <v/>
      </c>
      <c r="T176" s="5">
        <f>J176-S176</f>
        <v/>
      </c>
      <c r="U176" s="5">
        <f>F176+J176</f>
        <v/>
      </c>
      <c r="V176" s="5">
        <f>O176-U176</f>
        <v/>
      </c>
      <c r="W176" s="5">
        <f>O176-(P176+R176)</f>
        <v/>
      </c>
      <c r="X176" s="5">
        <f>O176-(P176+Q176+R176)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  <c r="S177" s="5">
        <f>F177*20%</f>
        <v/>
      </c>
      <c r="T177" s="5">
        <f>J177-S177</f>
        <v/>
      </c>
      <c r="U177" s="5">
        <f>F177+J177</f>
        <v/>
      </c>
      <c r="V177" s="5">
        <f>O177-U177</f>
        <v/>
      </c>
      <c r="W177" s="5">
        <f>O177-(P177+R177)</f>
        <v/>
      </c>
      <c r="X177" s="5">
        <f>O177-(P177+Q177+R177)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  <c r="S178" s="5">
        <f>F178*20%</f>
        <v/>
      </c>
      <c r="T178" s="5">
        <f>J178-S178</f>
        <v/>
      </c>
      <c r="U178" s="5">
        <f>F178+J178</f>
        <v/>
      </c>
      <c r="V178" s="5">
        <f>O178-U178</f>
        <v/>
      </c>
      <c r="W178" s="5">
        <f>O178-(P178+R178)</f>
        <v/>
      </c>
      <c r="X178" s="5">
        <f>O178-(P178+Q178+R178)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  <c r="S179" s="5">
        <f>F179*20%</f>
        <v/>
      </c>
      <c r="T179" s="5">
        <f>J179-S179</f>
        <v/>
      </c>
      <c r="U179" s="5">
        <f>F179+J179</f>
        <v/>
      </c>
      <c r="V179" s="5">
        <f>O179-U179</f>
        <v/>
      </c>
      <c r="W179" s="5">
        <f>O179-(P179+R179)</f>
        <v/>
      </c>
      <c r="X179" s="5">
        <f>O179-(P179+Q179+R179)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  <c r="S180" s="5">
        <f>F180*20%</f>
        <v/>
      </c>
      <c r="T180" s="5">
        <f>J180-S180</f>
        <v/>
      </c>
      <c r="U180" s="5">
        <f>F180+J180</f>
        <v/>
      </c>
      <c r="V180" s="5">
        <f>O180-U180</f>
        <v/>
      </c>
      <c r="W180" s="5">
        <f>O180-(P180+R180)</f>
        <v/>
      </c>
      <c r="X180" s="5">
        <f>O180-(P180+Q180+R180)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  <c r="S181" s="5">
        <f>F181*20%</f>
        <v/>
      </c>
      <c r="T181" s="5">
        <f>J181-S181</f>
        <v/>
      </c>
      <c r="U181" s="5">
        <f>F181+J181</f>
        <v/>
      </c>
      <c r="V181" s="5">
        <f>O181-U181</f>
        <v/>
      </c>
      <c r="W181" s="5">
        <f>O181-(P181+R181)</f>
        <v/>
      </c>
      <c r="X181" s="5">
        <f>O181-(P181+Q181+R181)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  <c r="S182" s="5">
        <f>F182*20%</f>
        <v/>
      </c>
      <c r="T182" s="5">
        <f>J182-S182</f>
        <v/>
      </c>
      <c r="U182" s="5">
        <f>F182+J182</f>
        <v/>
      </c>
      <c r="V182" s="5">
        <f>O182-U182</f>
        <v/>
      </c>
      <c r="W182" s="5">
        <f>O182-(P182+R182)</f>
        <v/>
      </c>
      <c r="X182" s="5">
        <f>O182-(P182+Q182+R182)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  <c r="S183" s="5">
        <f>F183*20%</f>
        <v/>
      </c>
      <c r="T183" s="5">
        <f>J183-S183</f>
        <v/>
      </c>
      <c r="U183" s="5">
        <f>F183+J183</f>
        <v/>
      </c>
      <c r="V183" s="5">
        <f>O183-U183</f>
        <v/>
      </c>
      <c r="W183" s="5">
        <f>O183-(P183+R183)</f>
        <v/>
      </c>
      <c r="X183" s="5">
        <f>O183-(P183+Q183+R183)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  <c r="S184" s="5">
        <f>F184*20%</f>
        <v/>
      </c>
      <c r="T184" s="5">
        <f>J184-S184</f>
        <v/>
      </c>
      <c r="U184" s="5">
        <f>F184+J184</f>
        <v/>
      </c>
      <c r="V184" s="5">
        <f>O184-U184</f>
        <v/>
      </c>
      <c r="W184" s="5">
        <f>O184-(P184+R184)</f>
        <v/>
      </c>
      <c r="X184" s="5">
        <f>O184-(P184+Q184+R184)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  <c r="S185" s="5">
        <f>F185*20%</f>
        <v/>
      </c>
      <c r="T185" s="5">
        <f>J185-S185</f>
        <v/>
      </c>
      <c r="U185" s="5">
        <f>F185+J185</f>
        <v/>
      </c>
      <c r="V185" s="5">
        <f>O185-U185</f>
        <v/>
      </c>
      <c r="W185" s="5">
        <f>O185-(P185+R185)</f>
        <v/>
      </c>
      <c r="X185" s="5">
        <f>O185-(P185+Q185+R185)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  <c r="S186" s="5">
        <f>F186*20%</f>
        <v/>
      </c>
      <c r="T186" s="5">
        <f>J186-S186</f>
        <v/>
      </c>
      <c r="U186" s="5">
        <f>F186+J186</f>
        <v/>
      </c>
      <c r="V186" s="5">
        <f>O186-U186</f>
        <v/>
      </c>
      <c r="W186" s="5">
        <f>O186-(P186+R186)</f>
        <v/>
      </c>
      <c r="X186" s="5">
        <f>O186-(P186+Q186+R186)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  <c r="S187" s="5">
        <f>F187*20%</f>
        <v/>
      </c>
      <c r="T187" s="5">
        <f>J187-S187</f>
        <v/>
      </c>
      <c r="U187" s="5">
        <f>F187+J187</f>
        <v/>
      </c>
      <c r="V187" s="5">
        <f>O187-U187</f>
        <v/>
      </c>
      <c r="W187" s="5">
        <f>O187-(P187+R187)</f>
        <v/>
      </c>
      <c r="X187" s="5">
        <f>O187-(P187+Q187+R187)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  <c r="S188" s="5">
        <f>F188*20%</f>
        <v/>
      </c>
      <c r="T188" s="5">
        <f>J188-S188</f>
        <v/>
      </c>
      <c r="U188" s="5">
        <f>F188+J188</f>
        <v/>
      </c>
      <c r="V188" s="5">
        <f>O188-U188</f>
        <v/>
      </c>
      <c r="W188" s="5">
        <f>O188-(P188+R188)</f>
        <v/>
      </c>
      <c r="X188" s="5">
        <f>O188-(P188+Q188+R188)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  <c r="S189" s="5">
        <f>F189*20%</f>
        <v/>
      </c>
      <c r="T189" s="5">
        <f>J189-S189</f>
        <v/>
      </c>
      <c r="U189" s="5">
        <f>F189+J189</f>
        <v/>
      </c>
      <c r="V189" s="5">
        <f>O189-U189</f>
        <v/>
      </c>
      <c r="W189" s="5">
        <f>O189-(P189+R189)</f>
        <v/>
      </c>
      <c r="X189" s="5">
        <f>O189-(P189+Q189+R189)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  <c r="S190" s="5">
        <f>F190*20%</f>
        <v/>
      </c>
      <c r="T190" s="5">
        <f>J190-S190</f>
        <v/>
      </c>
      <c r="U190" s="5">
        <f>F190+J190</f>
        <v/>
      </c>
      <c r="V190" s="5">
        <f>O190-U190</f>
        <v/>
      </c>
      <c r="W190" s="5">
        <f>O190-(P190+R190)</f>
        <v/>
      </c>
      <c r="X190" s="5">
        <f>O190-(P190+Q190+R190)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  <c r="S191" s="5">
        <f>F191*20%</f>
        <v/>
      </c>
      <c r="T191" s="5">
        <f>J191-S191</f>
        <v/>
      </c>
      <c r="U191" s="5">
        <f>F191+J191</f>
        <v/>
      </c>
      <c r="V191" s="5">
        <f>O191-U191</f>
        <v/>
      </c>
      <c r="W191" s="5">
        <f>O191-(P191+R191)</f>
        <v/>
      </c>
      <c r="X191" s="5">
        <f>O191-(P191+Q191+R191)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  <c r="S192" s="5">
        <f>F192*20%</f>
        <v/>
      </c>
      <c r="T192" s="5">
        <f>J192-S192</f>
        <v/>
      </c>
      <c r="U192" s="5">
        <f>F192+J192</f>
        <v/>
      </c>
      <c r="V192" s="5">
        <f>O192-U192</f>
        <v/>
      </c>
      <c r="W192" s="5">
        <f>O192-(P192+R192)</f>
        <v/>
      </c>
      <c r="X192" s="5">
        <f>O192-(P192+Q192+R192)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  <c r="S193" s="5">
        <f>F193*20%</f>
        <v/>
      </c>
      <c r="T193" s="5">
        <f>J193-S193</f>
        <v/>
      </c>
      <c r="U193" s="5">
        <f>F193+J193</f>
        <v/>
      </c>
      <c r="V193" s="5">
        <f>O193-U193</f>
        <v/>
      </c>
      <c r="W193" s="5">
        <f>O193-(P193+R193)</f>
        <v/>
      </c>
      <c r="X193" s="5">
        <f>O193-(P193+Q193+R193)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  <c r="S194" s="5">
        <f>F194*20%</f>
        <v/>
      </c>
      <c r="T194" s="5">
        <f>J194-S194</f>
        <v/>
      </c>
      <c r="U194" s="5">
        <f>F194+J194</f>
        <v/>
      </c>
      <c r="V194" s="5">
        <f>O194-U194</f>
        <v/>
      </c>
      <c r="W194" s="5">
        <f>O194-(P194+R194)</f>
        <v/>
      </c>
      <c r="X194" s="5">
        <f>O194-(P194+Q194+R194)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  <c r="S195" s="5">
        <f>F195*20%</f>
        <v/>
      </c>
      <c r="T195" s="5">
        <f>J195-S195</f>
        <v/>
      </c>
      <c r="U195" s="5">
        <f>F195+J195</f>
        <v/>
      </c>
      <c r="V195" s="5">
        <f>O195-U195</f>
        <v/>
      </c>
      <c r="W195" s="5">
        <f>O195-(P195+R195)</f>
        <v/>
      </c>
      <c r="X195" s="5">
        <f>O195-(P195+Q195+R195)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  <c r="S196" s="5">
        <f>F196*20%</f>
        <v/>
      </c>
      <c r="T196" s="5">
        <f>J196-S196</f>
        <v/>
      </c>
      <c r="U196" s="5">
        <f>F196+J196</f>
        <v/>
      </c>
      <c r="V196" s="5">
        <f>O196-U196</f>
        <v/>
      </c>
      <c r="W196" s="5">
        <f>O196-(P196+R196)</f>
        <v/>
      </c>
      <c r="X196" s="5">
        <f>O196-(P196+Q196+R196)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  <c r="S197" s="5">
        <f>F197*20%</f>
        <v/>
      </c>
      <c r="T197" s="5">
        <f>J197-S197</f>
        <v/>
      </c>
      <c r="U197" s="5">
        <f>F197+J197</f>
        <v/>
      </c>
      <c r="V197" s="5">
        <f>O197-U197</f>
        <v/>
      </c>
      <c r="W197" s="5">
        <f>O197-(P197+R197)</f>
        <v/>
      </c>
      <c r="X197" s="5">
        <f>O197-(P197+Q197+R197)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  <c r="S198" s="5">
        <f>F198*20%</f>
        <v/>
      </c>
      <c r="T198" s="5">
        <f>J198-S198</f>
        <v/>
      </c>
      <c r="U198" s="5">
        <f>F198+J198</f>
        <v/>
      </c>
      <c r="V198" s="5">
        <f>O198-U198</f>
        <v/>
      </c>
      <c r="W198" s="5">
        <f>O198-(P198+R198)</f>
        <v/>
      </c>
      <c r="X198" s="5">
        <f>O198-(P198+Q198+R198)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  <c r="S199" s="5">
        <f>F199*20%</f>
        <v/>
      </c>
      <c r="T199" s="5">
        <f>J199-S199</f>
        <v/>
      </c>
      <c r="U199" s="5">
        <f>F199+J199</f>
        <v/>
      </c>
      <c r="V199" s="5">
        <f>O199-U199</f>
        <v/>
      </c>
      <c r="W199" s="5">
        <f>O199-(P199+R199)</f>
        <v/>
      </c>
      <c r="X199" s="5">
        <f>O199-(P199+Q199+R199)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  <c r="S200" s="5">
        <f>F200*20%</f>
        <v/>
      </c>
      <c r="T200" s="5">
        <f>J200-S200</f>
        <v/>
      </c>
      <c r="U200" s="5">
        <f>F200+J200</f>
        <v/>
      </c>
      <c r="V200" s="5">
        <f>O200-U200</f>
        <v/>
      </c>
      <c r="W200" s="5">
        <f>O200-(P200+R200)</f>
        <v/>
      </c>
      <c r="X200" s="5">
        <f>O200-(P200+Q200+R200)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  <c r="S201" s="5">
        <f>F201*20%</f>
        <v/>
      </c>
      <c r="T201" s="5">
        <f>J201-S201</f>
        <v/>
      </c>
      <c r="U201" s="5">
        <f>F201+J201</f>
        <v/>
      </c>
      <c r="V201" s="5">
        <f>O201-U201</f>
        <v/>
      </c>
      <c r="W201" s="5">
        <f>O201-(P201+R201)</f>
        <v/>
      </c>
      <c r="X201" s="5">
        <f>O201-(P201+Q201+R201)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  <c r="S202" s="5">
        <f>F202*20%</f>
        <v/>
      </c>
      <c r="T202" s="5">
        <f>J202-S202</f>
        <v/>
      </c>
      <c r="U202" s="5">
        <f>F202+J202</f>
        <v/>
      </c>
      <c r="V202" s="5">
        <f>O202-U202</f>
        <v/>
      </c>
      <c r="W202" s="5">
        <f>O202-(P202+R202)</f>
        <v/>
      </c>
      <c r="X202" s="5">
        <f>O202-(P202+Q202+R202)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  <c r="S203" s="5">
        <f>F203*20%</f>
        <v/>
      </c>
      <c r="T203" s="5">
        <f>J203-S203</f>
        <v/>
      </c>
      <c r="U203" s="5">
        <f>F203+J203</f>
        <v/>
      </c>
      <c r="V203" s="5">
        <f>O203-U203</f>
        <v/>
      </c>
      <c r="W203" s="5">
        <f>O203-(P203+R203)</f>
        <v/>
      </c>
      <c r="X203" s="5">
        <f>O203-(P203+Q203+R203)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  <c r="S204" s="5">
        <f>F204*20%</f>
        <v/>
      </c>
      <c r="T204" s="5">
        <f>J204-S204</f>
        <v/>
      </c>
      <c r="U204" s="5">
        <f>F204+J204</f>
        <v/>
      </c>
      <c r="V204" s="5">
        <f>O204-U204</f>
        <v/>
      </c>
      <c r="W204" s="5">
        <f>O204-(P204+R204)</f>
        <v/>
      </c>
      <c r="X204" s="5">
        <f>O204-(P204+Q204+R204)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  <c r="S205" s="5">
        <f>F205*20%</f>
        <v/>
      </c>
      <c r="T205" s="5">
        <f>J205-S205</f>
        <v/>
      </c>
      <c r="U205" s="5">
        <f>F205+J205</f>
        <v/>
      </c>
      <c r="V205" s="5">
        <f>O205-U205</f>
        <v/>
      </c>
      <c r="W205" s="5">
        <f>O205-(P205+R205)</f>
        <v/>
      </c>
      <c r="X205" s="5">
        <f>O205-(P205+Q205+R205)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  <c r="S206" s="5">
        <f>F206*20%</f>
        <v/>
      </c>
      <c r="T206" s="5">
        <f>J206-S206</f>
        <v/>
      </c>
      <c r="U206" s="5">
        <f>F206+J206</f>
        <v/>
      </c>
      <c r="V206" s="5">
        <f>O206-U206</f>
        <v/>
      </c>
      <c r="W206" s="5">
        <f>O206-(P206+R206)</f>
        <v/>
      </c>
      <c r="X206" s="5">
        <f>O206-(P206+Q206+R206)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  <c r="S207" s="5">
        <f>F207*20%</f>
        <v/>
      </c>
      <c r="T207" s="5">
        <f>J207-S207</f>
        <v/>
      </c>
      <c r="U207" s="5">
        <f>F207+J207</f>
        <v/>
      </c>
      <c r="V207" s="5">
        <f>O207-U207</f>
        <v/>
      </c>
      <c r="W207" s="5">
        <f>O207-(P207+R207)</f>
        <v/>
      </c>
      <c r="X207" s="5">
        <f>O207-(P207+Q207+R207)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  <c r="S208" s="5">
        <f>F208*20%</f>
        <v/>
      </c>
      <c r="T208" s="5">
        <f>J208-S208</f>
        <v/>
      </c>
      <c r="U208" s="5">
        <f>F208+J208</f>
        <v/>
      </c>
      <c r="V208" s="5">
        <f>O208-U208</f>
        <v/>
      </c>
      <c r="W208" s="5">
        <f>O208-(P208+R208)</f>
        <v/>
      </c>
      <c r="X208" s="5">
        <f>O208-(P208+Q208+R208)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>
        <f>F209*20%</f>
        <v/>
      </c>
      <c r="T209" s="5">
        <f>J209-S209</f>
        <v/>
      </c>
      <c r="U209" s="5">
        <f>F209+J209</f>
        <v/>
      </c>
      <c r="V209" s="5">
        <f>O209-U209</f>
        <v/>
      </c>
      <c r="W209" s="5">
        <f>O209-(P209+R209)</f>
        <v/>
      </c>
      <c r="X209" s="5">
        <f>O209-(P209+Q209+R209)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  <c r="S210" s="5">
        <f>F210*20%</f>
        <v/>
      </c>
      <c r="T210" s="5">
        <f>J210-S210</f>
        <v/>
      </c>
      <c r="U210" s="5">
        <f>F210+J210</f>
        <v/>
      </c>
      <c r="V210" s="5">
        <f>O210-U210</f>
        <v/>
      </c>
      <c r="W210" s="5">
        <f>O210-(P210+R210)</f>
        <v/>
      </c>
      <c r="X210" s="5">
        <f>O210-(P210+Q210+R210)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F211*20%</f>
        <v/>
      </c>
      <c r="T211" s="5">
        <f>J211-S211</f>
        <v/>
      </c>
      <c r="U211" s="5">
        <f>F211+J211</f>
        <v/>
      </c>
      <c r="V211" s="5">
        <f>O211-U211</f>
        <v/>
      </c>
      <c r="W211" s="5">
        <f>O211-(P211+R211)</f>
        <v/>
      </c>
      <c r="X211" s="5">
        <f>O211-(P211+Q211+R211)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  <c r="S212" s="5">
        <f>F212*20%</f>
        <v/>
      </c>
      <c r="T212" s="5">
        <f>J212-S212</f>
        <v/>
      </c>
      <c r="U212" s="5">
        <f>F212+J212</f>
        <v/>
      </c>
      <c r="V212" s="5">
        <f>O212-U212</f>
        <v/>
      </c>
      <c r="W212" s="5">
        <f>O212-(P212+R212)</f>
        <v/>
      </c>
      <c r="X212" s="5">
        <f>O212-(P212+Q212+R212)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  <c r="S213" s="5">
        <f>F213*20%</f>
        <v/>
      </c>
      <c r="T213" s="5">
        <f>J213-S213</f>
        <v/>
      </c>
      <c r="U213" s="5">
        <f>F213+J213</f>
        <v/>
      </c>
      <c r="V213" s="5">
        <f>O213-U213</f>
        <v/>
      </c>
      <c r="W213" s="5">
        <f>O213-(P213+R213)</f>
        <v/>
      </c>
      <c r="X213" s="5">
        <f>O213-(P213+Q213+R213)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  <c r="S214" s="5">
        <f>F214*20%</f>
        <v/>
      </c>
      <c r="T214" s="5">
        <f>J214-S214</f>
        <v/>
      </c>
      <c r="U214" s="5">
        <f>F214+J214</f>
        <v/>
      </c>
      <c r="V214" s="5">
        <f>O214-U214</f>
        <v/>
      </c>
      <c r="W214" s="5">
        <f>O214-(P214+R214)</f>
        <v/>
      </c>
      <c r="X214" s="5">
        <f>O214-(P214+Q214+R214)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  <c r="S215" s="5">
        <f>F215*20%</f>
        <v/>
      </c>
      <c r="T215" s="5">
        <f>J215-S215</f>
        <v/>
      </c>
      <c r="U215" s="5">
        <f>F215+J215</f>
        <v/>
      </c>
      <c r="V215" s="5">
        <f>O215-U215</f>
        <v/>
      </c>
      <c r="W215" s="5">
        <f>O215-(P215+R215)</f>
        <v/>
      </c>
      <c r="X215" s="5">
        <f>O215-(P215+Q215+R215)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  <c r="S216" s="5">
        <f>F216*20%</f>
        <v/>
      </c>
      <c r="T216" s="5">
        <f>J216-S216</f>
        <v/>
      </c>
      <c r="U216" s="5">
        <f>F216+J216</f>
        <v/>
      </c>
      <c r="V216" s="5">
        <f>O216-U216</f>
        <v/>
      </c>
      <c r="W216" s="5">
        <f>O216-(P216+R216)</f>
        <v/>
      </c>
      <c r="X216" s="5">
        <f>O216-(P216+Q216+R216)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  <c r="S217" s="5">
        <f>F217*20%</f>
        <v/>
      </c>
      <c r="T217" s="5">
        <f>J217-S217</f>
        <v/>
      </c>
      <c r="U217" s="5">
        <f>F217+J217</f>
        <v/>
      </c>
      <c r="V217" s="5">
        <f>O217-U217</f>
        <v/>
      </c>
      <c r="W217" s="5">
        <f>O217-(P217+R217)</f>
        <v/>
      </c>
      <c r="X217" s="5">
        <f>O217-(P217+Q217+R217)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  <c r="S218" s="5">
        <f>F218*20%</f>
        <v/>
      </c>
      <c r="T218" s="5">
        <f>J218-S218</f>
        <v/>
      </c>
      <c r="U218" s="5">
        <f>F218+J218</f>
        <v/>
      </c>
      <c r="V218" s="5">
        <f>O218-U218</f>
        <v/>
      </c>
      <c r="W218" s="5">
        <f>O218-(P218+R218)</f>
        <v/>
      </c>
      <c r="X218" s="5">
        <f>O218-(P218+Q218+R218)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>
        <f>F219*20%</f>
        <v/>
      </c>
      <c r="T219" s="5">
        <f>J219-S219</f>
        <v/>
      </c>
      <c r="U219" s="5">
        <f>F219+J219</f>
        <v/>
      </c>
      <c r="V219" s="5">
        <f>O219-U219</f>
        <v/>
      </c>
      <c r="W219" s="5">
        <f>O219-(P219+R219)</f>
        <v/>
      </c>
      <c r="X219" s="5">
        <f>O219-(P219+Q219+R219)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  <c r="S220" s="5">
        <f>F220*20%</f>
        <v/>
      </c>
      <c r="T220" s="5">
        <f>J220-S220</f>
        <v/>
      </c>
      <c r="U220" s="5">
        <f>F220+J220</f>
        <v/>
      </c>
      <c r="V220" s="5">
        <f>O220-U220</f>
        <v/>
      </c>
      <c r="W220" s="5">
        <f>O220-(P220+R220)</f>
        <v/>
      </c>
      <c r="X220" s="5">
        <f>O220-(P220+Q220+R220)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  <c r="S221" s="5">
        <f>F221*20%</f>
        <v/>
      </c>
      <c r="T221" s="5">
        <f>J221-S221</f>
        <v/>
      </c>
      <c r="U221" s="5">
        <f>F221+J221</f>
        <v/>
      </c>
      <c r="V221" s="5">
        <f>O221-U221</f>
        <v/>
      </c>
      <c r="W221" s="5">
        <f>O221-(P221+R221)</f>
        <v/>
      </c>
      <c r="X221" s="5">
        <f>O221-(P221+Q221+R221)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  <c r="S222" s="5">
        <f>F222*20%</f>
        <v/>
      </c>
      <c r="T222" s="5">
        <f>J222-S222</f>
        <v/>
      </c>
      <c r="U222" s="5">
        <f>F222+J222</f>
        <v/>
      </c>
      <c r="V222" s="5">
        <f>O222-U222</f>
        <v/>
      </c>
      <c r="W222" s="5">
        <f>O222-(P222+R222)</f>
        <v/>
      </c>
      <c r="X222" s="5">
        <f>O222-(P222+Q222+R222)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  <c r="S223" s="5">
        <f>F223*20%</f>
        <v/>
      </c>
      <c r="T223" s="5">
        <f>J223-S223</f>
        <v/>
      </c>
      <c r="U223" s="5">
        <f>F223+J223</f>
        <v/>
      </c>
      <c r="V223" s="5">
        <f>O223-U223</f>
        <v/>
      </c>
      <c r="W223" s="5">
        <f>O223-(P223+R223)</f>
        <v/>
      </c>
      <c r="X223" s="5">
        <f>O223-(P223+Q223+R223)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  <c r="S224" s="5">
        <f>F224*20%</f>
        <v/>
      </c>
      <c r="T224" s="5">
        <f>J224-S224</f>
        <v/>
      </c>
      <c r="U224" s="5">
        <f>F224+J224</f>
        <v/>
      </c>
      <c r="V224" s="5">
        <f>O224-U224</f>
        <v/>
      </c>
      <c r="W224" s="5">
        <f>O224-(P224+R224)</f>
        <v/>
      </c>
      <c r="X224" s="5">
        <f>O224-(P224+Q224+R224)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  <c r="S225" s="5">
        <f>F225*20%</f>
        <v/>
      </c>
      <c r="T225" s="5">
        <f>J225-S225</f>
        <v/>
      </c>
      <c r="U225" s="5">
        <f>F225+J225</f>
        <v/>
      </c>
      <c r="V225" s="5">
        <f>O225-U225</f>
        <v/>
      </c>
      <c r="W225" s="5">
        <f>O225-(P225+R225)</f>
        <v/>
      </c>
      <c r="X225" s="5">
        <f>O225-(P225+Q225+R225)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  <c r="S226" s="5">
        <f>F226*20%</f>
        <v/>
      </c>
      <c r="T226" s="5">
        <f>J226-S226</f>
        <v/>
      </c>
      <c r="U226" s="5">
        <f>F226+J226</f>
        <v/>
      </c>
      <c r="V226" s="5">
        <f>O226-U226</f>
        <v/>
      </c>
      <c r="W226" s="5">
        <f>O226-(P226+R226)</f>
        <v/>
      </c>
      <c r="X226" s="5">
        <f>O226-(P226+Q226+R226)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  <c r="S227" s="5">
        <f>F227*20%</f>
        <v/>
      </c>
      <c r="T227" s="5">
        <f>J227-S227</f>
        <v/>
      </c>
      <c r="U227" s="5">
        <f>F227+J227</f>
        <v/>
      </c>
      <c r="V227" s="5">
        <f>O227-U227</f>
        <v/>
      </c>
      <c r="W227" s="5">
        <f>O227-(P227+R227)</f>
        <v/>
      </c>
      <c r="X227" s="5">
        <f>O227-(P227+Q227+R227)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  <c r="S228" s="5">
        <f>F228*20%</f>
        <v/>
      </c>
      <c r="T228" s="5">
        <f>J228-S228</f>
        <v/>
      </c>
      <c r="U228" s="5">
        <f>F228+J228</f>
        <v/>
      </c>
      <c r="V228" s="5">
        <f>O228-U228</f>
        <v/>
      </c>
      <c r="W228" s="5">
        <f>O228-(P228+R228)</f>
        <v/>
      </c>
      <c r="X228" s="5">
        <f>O228-(P228+Q228+R228)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  <c r="S229" s="5">
        <f>F229*20%</f>
        <v/>
      </c>
      <c r="T229" s="5">
        <f>J229-S229</f>
        <v/>
      </c>
      <c r="U229" s="5">
        <f>F229+J229</f>
        <v/>
      </c>
      <c r="V229" s="5">
        <f>O229-U229</f>
        <v/>
      </c>
      <c r="W229" s="5">
        <f>O229-(P229+R229)</f>
        <v/>
      </c>
      <c r="X229" s="5">
        <f>O229-(P229+Q229+R229)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>
        <f>F230*20%</f>
        <v/>
      </c>
      <c r="T230" s="5">
        <f>J230-S230</f>
        <v/>
      </c>
      <c r="U230" s="5">
        <f>F230+J230</f>
        <v/>
      </c>
      <c r="V230" s="5">
        <f>O230-U230</f>
        <v/>
      </c>
      <c r="W230" s="5">
        <f>O230-(P230+R230)</f>
        <v/>
      </c>
      <c r="X230" s="5">
        <f>O230-(P230+Q230+R230)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  <c r="S231" s="5">
        <f>F231*20%</f>
        <v/>
      </c>
      <c r="T231" s="5">
        <f>J231-S231</f>
        <v/>
      </c>
      <c r="U231" s="5">
        <f>F231+J231</f>
        <v/>
      </c>
      <c r="V231" s="5">
        <f>O231-U231</f>
        <v/>
      </c>
      <c r="W231" s="5">
        <f>O231-(P231+R231)</f>
        <v/>
      </c>
      <c r="X231" s="5">
        <f>O231-(P231+Q231+R231)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  <c r="S232" s="5">
        <f>F232*20%</f>
        <v/>
      </c>
      <c r="T232" s="5">
        <f>J232-S232</f>
        <v/>
      </c>
      <c r="U232" s="5">
        <f>F232+J232</f>
        <v/>
      </c>
      <c r="V232" s="5">
        <f>O232-U232</f>
        <v/>
      </c>
      <c r="W232" s="5">
        <f>O232-(P232+R232)</f>
        <v/>
      </c>
      <c r="X232" s="5">
        <f>O232-(P232+Q232+R232)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  <c r="S233" s="5">
        <f>F233*20%</f>
        <v/>
      </c>
      <c r="T233" s="5">
        <f>J233-S233</f>
        <v/>
      </c>
      <c r="U233" s="5">
        <f>F233+J233</f>
        <v/>
      </c>
      <c r="V233" s="5">
        <f>O233-U233</f>
        <v/>
      </c>
      <c r="W233" s="5">
        <f>O233-(P233+R233)</f>
        <v/>
      </c>
      <c r="X233" s="5">
        <f>O233-(P233+Q233+R233)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  <c r="S234" s="5">
        <f>F234*20%</f>
        <v/>
      </c>
      <c r="T234" s="5">
        <f>J234-S234</f>
        <v/>
      </c>
      <c r="U234" s="5">
        <f>F234+J234</f>
        <v/>
      </c>
      <c r="V234" s="5">
        <f>O234-U234</f>
        <v/>
      </c>
      <c r="W234" s="5">
        <f>O234-(P234+R234)</f>
        <v/>
      </c>
      <c r="X234" s="5">
        <f>O234-(P234+Q234+R234)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  <c r="S235" s="5">
        <f>F235*20%</f>
        <v/>
      </c>
      <c r="T235" s="5">
        <f>J235-S235</f>
        <v/>
      </c>
      <c r="U235" s="5">
        <f>F235+J235</f>
        <v/>
      </c>
      <c r="V235" s="5">
        <f>O235-U235</f>
        <v/>
      </c>
      <c r="W235" s="5">
        <f>O235-(P235+R235)</f>
        <v/>
      </c>
      <c r="X235" s="5">
        <f>O235-(P235+Q235+R235)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  <c r="S236" s="5">
        <f>F236*20%</f>
        <v/>
      </c>
      <c r="T236" s="5">
        <f>J236-S236</f>
        <v/>
      </c>
      <c r="U236" s="5">
        <f>F236+J236</f>
        <v/>
      </c>
      <c r="V236" s="5">
        <f>O236-U236</f>
        <v/>
      </c>
      <c r="W236" s="5">
        <f>O236-(P236+R236)</f>
        <v/>
      </c>
      <c r="X236" s="5">
        <f>O236-(P236+Q236+R236)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  <c r="S237" s="5">
        <f>F237*20%</f>
        <v/>
      </c>
      <c r="T237" s="5">
        <f>J237-S237</f>
        <v/>
      </c>
      <c r="U237" s="5">
        <f>F237+J237</f>
        <v/>
      </c>
      <c r="V237" s="5">
        <f>O237-U237</f>
        <v/>
      </c>
      <c r="W237" s="5">
        <f>O237-(P237+R237)</f>
        <v/>
      </c>
      <c r="X237" s="5">
        <f>O237-(P237+Q237+R237)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  <c r="S238" s="5">
        <f>F238*20%</f>
        <v/>
      </c>
      <c r="T238" s="5">
        <f>J238-S238</f>
        <v/>
      </c>
      <c r="U238" s="5">
        <f>F238+J238</f>
        <v/>
      </c>
      <c r="V238" s="5">
        <f>O238-U238</f>
        <v/>
      </c>
      <c r="W238" s="5">
        <f>O238-(P238+R238)</f>
        <v/>
      </c>
      <c r="X238" s="5">
        <f>O238-(P238+Q238+R238)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  <c r="S239" s="5">
        <f>F239*20%</f>
        <v/>
      </c>
      <c r="T239" s="5">
        <f>J239-S239</f>
        <v/>
      </c>
      <c r="U239" s="5">
        <f>F239+J239</f>
        <v/>
      </c>
      <c r="V239" s="5">
        <f>O239-U239</f>
        <v/>
      </c>
      <c r="W239" s="5">
        <f>O239-(P239+R239)</f>
        <v/>
      </c>
      <c r="X239" s="5">
        <f>O239-(P239+Q239+R239)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  <c r="S240" s="5">
        <f>F240*20%</f>
        <v/>
      </c>
      <c r="T240" s="5">
        <f>J240-S240</f>
        <v/>
      </c>
      <c r="U240" s="5">
        <f>F240+J240</f>
        <v/>
      </c>
      <c r="V240" s="5">
        <f>O240-U240</f>
        <v/>
      </c>
      <c r="W240" s="5">
        <f>O240-(P240+R240)</f>
        <v/>
      </c>
      <c r="X240" s="5">
        <f>O240-(P240+Q240+R240)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  <c r="S241" s="5">
        <f>F241*20%</f>
        <v/>
      </c>
      <c r="T241" s="5">
        <f>J241-S241</f>
        <v/>
      </c>
      <c r="U241" s="5">
        <f>F241+J241</f>
        <v/>
      </c>
      <c r="V241" s="5">
        <f>O241-U241</f>
        <v/>
      </c>
      <c r="W241" s="5">
        <f>O241-(P241+R241)</f>
        <v/>
      </c>
      <c r="X241" s="5">
        <f>O241-(P241+Q241+R241)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  <c r="S242" s="5">
        <f>F242*20%</f>
        <v/>
      </c>
      <c r="T242" s="5">
        <f>J242-S242</f>
        <v/>
      </c>
      <c r="U242" s="5">
        <f>F242+J242</f>
        <v/>
      </c>
      <c r="V242" s="5">
        <f>O242-U242</f>
        <v/>
      </c>
      <c r="W242" s="5">
        <f>O242-(P242+R242)</f>
        <v/>
      </c>
      <c r="X242" s="5">
        <f>O242-(P242+Q242+R242)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  <c r="S243" s="5">
        <f>F243*20%</f>
        <v/>
      </c>
      <c r="T243" s="5">
        <f>J243-S243</f>
        <v/>
      </c>
      <c r="U243" s="5">
        <f>F243+J243</f>
        <v/>
      </c>
      <c r="V243" s="5">
        <f>O243-U243</f>
        <v/>
      </c>
      <c r="W243" s="5">
        <f>O243-(P243+R243)</f>
        <v/>
      </c>
      <c r="X243" s="5">
        <f>O243-(P243+Q243+R243)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  <c r="S244" s="5">
        <f>F244*20%</f>
        <v/>
      </c>
      <c r="T244" s="5">
        <f>J244-S244</f>
        <v/>
      </c>
      <c r="U244" s="5">
        <f>F244+J244</f>
        <v/>
      </c>
      <c r="V244" s="5">
        <f>O244-U244</f>
        <v/>
      </c>
      <c r="W244" s="5">
        <f>O244-(P244+R244)</f>
        <v/>
      </c>
      <c r="X244" s="5">
        <f>O244-(P244+Q244+R244)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  <c r="S245" s="5">
        <f>F245*20%</f>
        <v/>
      </c>
      <c r="T245" s="5">
        <f>J245-S245</f>
        <v/>
      </c>
      <c r="U245" s="5">
        <f>F245+J245</f>
        <v/>
      </c>
      <c r="V245" s="5">
        <f>O245-U245</f>
        <v/>
      </c>
      <c r="W245" s="5">
        <f>O245-(P245+R245)</f>
        <v/>
      </c>
      <c r="X245" s="5">
        <f>O245-(P245+Q245+R245)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  <c r="S246" s="5">
        <f>F246*20%</f>
        <v/>
      </c>
      <c r="T246" s="5">
        <f>J246-S246</f>
        <v/>
      </c>
      <c r="U246" s="5">
        <f>F246+J246</f>
        <v/>
      </c>
      <c r="V246" s="5">
        <f>O246-U246</f>
        <v/>
      </c>
      <c r="W246" s="5">
        <f>O246-(P246+R246)</f>
        <v/>
      </c>
      <c r="X246" s="5">
        <f>O246-(P246+Q246+R246)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  <c r="S247" s="5">
        <f>F247*20%</f>
        <v/>
      </c>
      <c r="T247" s="5">
        <f>J247-S247</f>
        <v/>
      </c>
      <c r="U247" s="5">
        <f>F247+J247</f>
        <v/>
      </c>
      <c r="V247" s="5">
        <f>O247-U247</f>
        <v/>
      </c>
      <c r="W247" s="5">
        <f>O247-(P247+R247)</f>
        <v/>
      </c>
      <c r="X247" s="5">
        <f>O247-(P247+Q247+R247)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  <c r="S248" s="5">
        <f>F248*20%</f>
        <v/>
      </c>
      <c r="T248" s="5">
        <f>J248-S248</f>
        <v/>
      </c>
      <c r="U248" s="5">
        <f>F248+J248</f>
        <v/>
      </c>
      <c r="V248" s="5">
        <f>O248-U248</f>
        <v/>
      </c>
      <c r="W248" s="5">
        <f>O248-(P248+R248)</f>
        <v/>
      </c>
      <c r="X248" s="5">
        <f>O248-(P248+Q248+R248)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  <c r="S249" s="5">
        <f>F249*20%</f>
        <v/>
      </c>
      <c r="T249" s="5">
        <f>J249-S249</f>
        <v/>
      </c>
      <c r="U249" s="5">
        <f>F249+J249</f>
        <v/>
      </c>
      <c r="V249" s="5">
        <f>O249-U249</f>
        <v/>
      </c>
      <c r="W249" s="5">
        <f>O249-(P249+R249)</f>
        <v/>
      </c>
      <c r="X249" s="5">
        <f>O249-(P249+Q249+R249)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  <c r="S250" s="5">
        <f>F250*20%</f>
        <v/>
      </c>
      <c r="T250" s="5">
        <f>J250-S250</f>
        <v/>
      </c>
      <c r="U250" s="5">
        <f>F250+J250</f>
        <v/>
      </c>
      <c r="V250" s="5">
        <f>O250-U250</f>
        <v/>
      </c>
      <c r="W250" s="5">
        <f>O250-(P250+R250)</f>
        <v/>
      </c>
      <c r="X250" s="5">
        <f>O250-(P250+Q250+R250)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  <c r="S251" s="5">
        <f>F251*20%</f>
        <v/>
      </c>
      <c r="T251" s="5">
        <f>J251-S251</f>
        <v/>
      </c>
      <c r="U251" s="5">
        <f>F251+J251</f>
        <v/>
      </c>
      <c r="V251" s="5">
        <f>O251-U251</f>
        <v/>
      </c>
      <c r="W251" s="5">
        <f>O251-(P251+R251)</f>
        <v/>
      </c>
      <c r="X251" s="5">
        <f>O251-(P251+Q251+R251)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  <c r="S252" s="5">
        <f>F252*20%</f>
        <v/>
      </c>
      <c r="T252" s="5">
        <f>J252-S252</f>
        <v/>
      </c>
      <c r="U252" s="5">
        <f>F252+J252</f>
        <v/>
      </c>
      <c r="V252" s="5">
        <f>O252-U252</f>
        <v/>
      </c>
      <c r="W252" s="5">
        <f>O252-(P252+R252)</f>
        <v/>
      </c>
      <c r="X252" s="5">
        <f>O252-(P252+Q252+R252)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  <c r="S253" s="5">
        <f>F253*20%</f>
        <v/>
      </c>
      <c r="T253" s="5">
        <f>J253-S253</f>
        <v/>
      </c>
      <c r="U253" s="5">
        <f>F253+J253</f>
        <v/>
      </c>
      <c r="V253" s="5">
        <f>O253-U253</f>
        <v/>
      </c>
      <c r="W253" s="5">
        <f>O253-(P253+R253)</f>
        <v/>
      </c>
      <c r="X253" s="5">
        <f>O253-(P253+Q253+R253)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  <c r="S254" s="5">
        <f>F254*20%</f>
        <v/>
      </c>
      <c r="T254" s="5">
        <f>J254-S254</f>
        <v/>
      </c>
      <c r="U254" s="5">
        <f>F254+J254</f>
        <v/>
      </c>
      <c r="V254" s="5">
        <f>O254-U254</f>
        <v/>
      </c>
      <c r="W254" s="5">
        <f>O254-(P254+R254)</f>
        <v/>
      </c>
      <c r="X254" s="5">
        <f>O254-(P254+Q254+R254)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  <c r="S255" s="5">
        <f>F255*20%</f>
        <v/>
      </c>
      <c r="T255" s="5">
        <f>J255-S255</f>
        <v/>
      </c>
      <c r="U255" s="5">
        <f>F255+J255</f>
        <v/>
      </c>
      <c r="V255" s="5">
        <f>O255-U255</f>
        <v/>
      </c>
      <c r="W255" s="5">
        <f>O255-(P255+R255)</f>
        <v/>
      </c>
      <c r="X255" s="5">
        <f>O255-(P255+Q255+R255)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  <c r="S256" s="5">
        <f>F256*20%</f>
        <v/>
      </c>
      <c r="T256" s="5">
        <f>J256-S256</f>
        <v/>
      </c>
      <c r="U256" s="5">
        <f>F256+J256</f>
        <v/>
      </c>
      <c r="V256" s="5">
        <f>O256-U256</f>
        <v/>
      </c>
      <c r="W256" s="5">
        <f>O256-(P256+R256)</f>
        <v/>
      </c>
      <c r="X256" s="5">
        <f>O256-(P256+Q256+R256)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  <c r="S257" s="5">
        <f>F257*20%</f>
        <v/>
      </c>
      <c r="T257" s="5">
        <f>J257-S257</f>
        <v/>
      </c>
      <c r="U257" s="5">
        <f>F257+J257</f>
        <v/>
      </c>
      <c r="V257" s="5">
        <f>O257-U257</f>
        <v/>
      </c>
      <c r="W257" s="5">
        <f>O257-(P257+R257)</f>
        <v/>
      </c>
      <c r="X257" s="5">
        <f>O257-(P257+Q257+R257)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  <c r="S258" s="5">
        <f>F258*20%</f>
        <v/>
      </c>
      <c r="T258" s="5">
        <f>J258-S258</f>
        <v/>
      </c>
      <c r="U258" s="5">
        <f>F258+J258</f>
        <v/>
      </c>
      <c r="V258" s="5">
        <f>O258-U258</f>
        <v/>
      </c>
      <c r="W258" s="5">
        <f>O258-(P258+R258)</f>
        <v/>
      </c>
      <c r="X258" s="5">
        <f>O258-(P258+Q258+R258)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  <c r="S259" s="5">
        <f>F259*20%</f>
        <v/>
      </c>
      <c r="T259" s="5">
        <f>J259-S259</f>
        <v/>
      </c>
      <c r="U259" s="5">
        <f>F259+J259</f>
        <v/>
      </c>
      <c r="V259" s="5">
        <f>O259-U259</f>
        <v/>
      </c>
      <c r="W259" s="5">
        <f>O259-(P259+R259)</f>
        <v/>
      </c>
      <c r="X259" s="5">
        <f>O259-(P259+Q259+R259)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  <c r="S260" s="5">
        <f>F260*20%</f>
        <v/>
      </c>
      <c r="T260" s="5">
        <f>J260-S260</f>
        <v/>
      </c>
      <c r="U260" s="5">
        <f>F260+J260</f>
        <v/>
      </c>
      <c r="V260" s="5">
        <f>O260-U260</f>
        <v/>
      </c>
      <c r="W260" s="5">
        <f>O260-(P260+R260)</f>
        <v/>
      </c>
      <c r="X260" s="5">
        <f>O260-(P260+Q260+R260)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>
        <f>F261*20%</f>
        <v/>
      </c>
      <c r="T261" s="5">
        <f>J261-S261</f>
        <v/>
      </c>
      <c r="U261" s="5">
        <f>F261+J261</f>
        <v/>
      </c>
      <c r="V261" s="5">
        <f>O261-U261</f>
        <v/>
      </c>
      <c r="W261" s="5">
        <f>O261-(P261+R261)</f>
        <v/>
      </c>
      <c r="X261" s="5">
        <f>O261-(P261+Q261+R261)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  <c r="S262" s="5">
        <f>F262*20%</f>
        <v/>
      </c>
      <c r="T262" s="5">
        <f>J262-S262</f>
        <v/>
      </c>
      <c r="U262" s="5">
        <f>F262+J262</f>
        <v/>
      </c>
      <c r="V262" s="5">
        <f>O262-U262</f>
        <v/>
      </c>
      <c r="W262" s="5">
        <f>O262-(P262+R262)</f>
        <v/>
      </c>
      <c r="X262" s="5">
        <f>O262-(P262+Q262+R262)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  <c r="S263" s="5">
        <f>F263*20%</f>
        <v/>
      </c>
      <c r="T263" s="5">
        <f>J263-S263</f>
        <v/>
      </c>
      <c r="U263" s="5">
        <f>F263+J263</f>
        <v/>
      </c>
      <c r="V263" s="5">
        <f>O263-U263</f>
        <v/>
      </c>
      <c r="W263" s="5">
        <f>O263-(P263+R263)</f>
        <v/>
      </c>
      <c r="X263" s="5">
        <f>O263-(P263+Q263+R263)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  <c r="S264" s="5">
        <f>F264*20%</f>
        <v/>
      </c>
      <c r="T264" s="5">
        <f>J264-S264</f>
        <v/>
      </c>
      <c r="U264" s="5">
        <f>F264+J264</f>
        <v/>
      </c>
      <c r="V264" s="5">
        <f>O264-U264</f>
        <v/>
      </c>
      <c r="W264" s="5">
        <f>O264-(P264+R264)</f>
        <v/>
      </c>
      <c r="X264" s="5">
        <f>O264-(P264+Q264+R264)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  <c r="S265" s="5">
        <f>F265*20%</f>
        <v/>
      </c>
      <c r="T265" s="5">
        <f>J265-S265</f>
        <v/>
      </c>
      <c r="U265" s="5">
        <f>F265+J265</f>
        <v/>
      </c>
      <c r="V265" s="5">
        <f>O265-U265</f>
        <v/>
      </c>
      <c r="W265" s="5">
        <f>O265-(P265+R265)</f>
        <v/>
      </c>
      <c r="X265" s="5">
        <f>O265-(P265+Q265+R265)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  <c r="S266" s="5">
        <f>F266*20%</f>
        <v/>
      </c>
      <c r="T266" s="5">
        <f>J266-S266</f>
        <v/>
      </c>
      <c r="U266" s="5">
        <f>F266+J266</f>
        <v/>
      </c>
      <c r="V266" s="5">
        <f>O266-U266</f>
        <v/>
      </c>
      <c r="W266" s="5">
        <f>O266-(P266+R266)</f>
        <v/>
      </c>
      <c r="X266" s="5">
        <f>O266-(P266+Q266+R266)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  <c r="S267" s="5">
        <f>F267*20%</f>
        <v/>
      </c>
      <c r="T267" s="5">
        <f>J267-S267</f>
        <v/>
      </c>
      <c r="U267" s="5">
        <f>F267+J267</f>
        <v/>
      </c>
      <c r="V267" s="5">
        <f>O267-U267</f>
        <v/>
      </c>
      <c r="W267" s="5">
        <f>O267-(P267+R267)</f>
        <v/>
      </c>
      <c r="X267" s="5">
        <f>O267-(P267+Q267+R267)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  <c r="S268" s="5">
        <f>F268*20%</f>
        <v/>
      </c>
      <c r="T268" s="5">
        <f>J268-S268</f>
        <v/>
      </c>
      <c r="U268" s="5">
        <f>F268+J268</f>
        <v/>
      </c>
      <c r="V268" s="5">
        <f>O268-U268</f>
        <v/>
      </c>
      <c r="W268" s="5">
        <f>O268-(P268+R268)</f>
        <v/>
      </c>
      <c r="X268" s="5">
        <f>O268-(P268+Q268+R268)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  <c r="S269" s="5">
        <f>F269*20%</f>
        <v/>
      </c>
      <c r="T269" s="5">
        <f>J269-S269</f>
        <v/>
      </c>
      <c r="U269" s="5">
        <f>F269+J269</f>
        <v/>
      </c>
      <c r="V269" s="5">
        <f>O269-U269</f>
        <v/>
      </c>
      <c r="W269" s="5">
        <f>O269-(P269+R269)</f>
        <v/>
      </c>
      <c r="X269" s="5">
        <f>O269-(P269+Q269+R269)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  <c r="S270" s="5">
        <f>F270*20%</f>
        <v/>
      </c>
      <c r="T270" s="5">
        <f>J270-S270</f>
        <v/>
      </c>
      <c r="U270" s="5">
        <f>F270+J270</f>
        <v/>
      </c>
      <c r="V270" s="5">
        <f>O270-U270</f>
        <v/>
      </c>
      <c r="W270" s="5">
        <f>O270-(P270+R270)</f>
        <v/>
      </c>
      <c r="X270" s="5">
        <f>O270-(P270+Q270+R270)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  <c r="S271" s="5">
        <f>F271*20%</f>
        <v/>
      </c>
      <c r="T271" s="5">
        <f>J271-S271</f>
        <v/>
      </c>
      <c r="U271" s="5">
        <f>F271+J271</f>
        <v/>
      </c>
      <c r="V271" s="5">
        <f>O271-U271</f>
        <v/>
      </c>
      <c r="W271" s="5">
        <f>O271-(P271+R271)</f>
        <v/>
      </c>
      <c r="X271" s="5">
        <f>O271-(P271+Q271+R271)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  <c r="S272" s="5">
        <f>F272*20%</f>
        <v/>
      </c>
      <c r="T272" s="5">
        <f>J272-S272</f>
        <v/>
      </c>
      <c r="U272" s="5">
        <f>F272+J272</f>
        <v/>
      </c>
      <c r="V272" s="5">
        <f>O272-U272</f>
        <v/>
      </c>
      <c r="W272" s="5">
        <f>O272-(P272+R272)</f>
        <v/>
      </c>
      <c r="X272" s="5">
        <f>O272-(P272+Q272+R272)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  <c r="S273" s="5">
        <f>F273*20%</f>
        <v/>
      </c>
      <c r="T273" s="5">
        <f>J273-S273</f>
        <v/>
      </c>
      <c r="U273" s="5">
        <f>F273+J273</f>
        <v/>
      </c>
      <c r="V273" s="5">
        <f>O273-U273</f>
        <v/>
      </c>
      <c r="W273" s="5">
        <f>O273-(P273+R273)</f>
        <v/>
      </c>
      <c r="X273" s="5">
        <f>O273-(P273+Q273+R273)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  <c r="S274" s="5">
        <f>F274*20%</f>
        <v/>
      </c>
      <c r="T274" s="5">
        <f>J274-S274</f>
        <v/>
      </c>
      <c r="U274" s="5">
        <f>F274+J274</f>
        <v/>
      </c>
      <c r="V274" s="5">
        <f>O274-U274</f>
        <v/>
      </c>
      <c r="W274" s="5">
        <f>O274-(P274+R274)</f>
        <v/>
      </c>
      <c r="X274" s="5">
        <f>O274-(P274+Q274+R274)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  <c r="S275" s="5">
        <f>F275*20%</f>
        <v/>
      </c>
      <c r="T275" s="5">
        <f>J275-S275</f>
        <v/>
      </c>
      <c r="U275" s="5">
        <f>F275+J275</f>
        <v/>
      </c>
      <c r="V275" s="5">
        <f>O275-U275</f>
        <v/>
      </c>
      <c r="W275" s="5">
        <f>O275-(P275+R275)</f>
        <v/>
      </c>
      <c r="X275" s="5">
        <f>O275-(P275+Q275+R275)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  <c r="S276" s="5">
        <f>F276*20%</f>
        <v/>
      </c>
      <c r="T276" s="5">
        <f>J276-S276</f>
        <v/>
      </c>
      <c r="U276" s="5">
        <f>F276+J276</f>
        <v/>
      </c>
      <c r="V276" s="5">
        <f>O276-U276</f>
        <v/>
      </c>
      <c r="W276" s="5">
        <f>O276-(P276+R276)</f>
        <v/>
      </c>
      <c r="X276" s="5">
        <f>O276-(P276+Q276+R276)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  <c r="S277" s="5">
        <f>F277*20%</f>
        <v/>
      </c>
      <c r="T277" s="5">
        <f>J277-S277</f>
        <v/>
      </c>
      <c r="U277" s="5">
        <f>F277+J277</f>
        <v/>
      </c>
      <c r="V277" s="5">
        <f>O277-U277</f>
        <v/>
      </c>
      <c r="W277" s="5">
        <f>O277-(P277+R277)</f>
        <v/>
      </c>
      <c r="X277" s="5">
        <f>O277-(P277+Q277+R277)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>
        <f>F278*20%</f>
        <v/>
      </c>
      <c r="T278" s="5">
        <f>J278-S278</f>
        <v/>
      </c>
      <c r="U278" s="5">
        <f>F278+J278</f>
        <v/>
      </c>
      <c r="V278" s="5">
        <f>O278-U278</f>
        <v/>
      </c>
      <c r="W278" s="5">
        <f>O278-(P278+R278)</f>
        <v/>
      </c>
      <c r="X278" s="5">
        <f>O278-(P278+Q278+R278)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  <c r="S279" s="5">
        <f>F279*20%</f>
        <v/>
      </c>
      <c r="T279" s="5">
        <f>J279-S279</f>
        <v/>
      </c>
      <c r="U279" s="5">
        <f>F279+J279</f>
        <v/>
      </c>
      <c r="V279" s="5">
        <f>O279-U279</f>
        <v/>
      </c>
      <c r="W279" s="5">
        <f>O279-(P279+R279)</f>
        <v/>
      </c>
      <c r="X279" s="5">
        <f>O279-(P279+Q279+R279)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  <c r="S280" s="5">
        <f>F280*20%</f>
        <v/>
      </c>
      <c r="T280" s="5">
        <f>J280-S280</f>
        <v/>
      </c>
      <c r="U280" s="5">
        <f>F280+J280</f>
        <v/>
      </c>
      <c r="V280" s="5">
        <f>O280-U280</f>
        <v/>
      </c>
      <c r="W280" s="5">
        <f>O280-(P280+R280)</f>
        <v/>
      </c>
      <c r="X280" s="5">
        <f>O280-(P280+Q280+R280)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  <c r="S281" s="5">
        <f>F281*20%</f>
        <v/>
      </c>
      <c r="T281" s="5">
        <f>J281-S281</f>
        <v/>
      </c>
      <c r="U281" s="5">
        <f>F281+J281</f>
        <v/>
      </c>
      <c r="V281" s="5">
        <f>O281-U281</f>
        <v/>
      </c>
      <c r="W281" s="5">
        <f>O281-(P281+R281)</f>
        <v/>
      </c>
      <c r="X281" s="5">
        <f>O281-(P281+Q281+R281)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  <c r="S282" s="5">
        <f>F282*20%</f>
        <v/>
      </c>
      <c r="T282" s="5">
        <f>J282-S282</f>
        <v/>
      </c>
      <c r="U282" s="5">
        <f>F282+J282</f>
        <v/>
      </c>
      <c r="V282" s="5">
        <f>O282-U282</f>
        <v/>
      </c>
      <c r="W282" s="5">
        <f>O282-(P282+R282)</f>
        <v/>
      </c>
      <c r="X282" s="5">
        <f>O282-(P282+Q282+R282)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  <c r="S283" s="5">
        <f>F283*20%</f>
        <v/>
      </c>
      <c r="T283" s="5">
        <f>J283-S283</f>
        <v/>
      </c>
      <c r="U283" s="5">
        <f>F283+J283</f>
        <v/>
      </c>
      <c r="V283" s="5">
        <f>O283-U283</f>
        <v/>
      </c>
      <c r="W283" s="5">
        <f>O283-(P283+R283)</f>
        <v/>
      </c>
      <c r="X283" s="5">
        <f>O283-(P283+Q283+R283)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  <c r="S284" s="5">
        <f>F284*20%</f>
        <v/>
      </c>
      <c r="T284" s="5">
        <f>J284-S284</f>
        <v/>
      </c>
      <c r="U284" s="5">
        <f>F284+J284</f>
        <v/>
      </c>
      <c r="V284" s="5">
        <f>O284-U284</f>
        <v/>
      </c>
      <c r="W284" s="5">
        <f>O284-(P284+R284)</f>
        <v/>
      </c>
      <c r="X284" s="5">
        <f>O284-(P284+Q284+R284)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  <c r="S285" s="5">
        <f>F285*20%</f>
        <v/>
      </c>
      <c r="T285" s="5">
        <f>J285-S285</f>
        <v/>
      </c>
      <c r="U285" s="5">
        <f>F285+J285</f>
        <v/>
      </c>
      <c r="V285" s="5">
        <f>O285-U285</f>
        <v/>
      </c>
      <c r="W285" s="5">
        <f>O285-(P285+R285)</f>
        <v/>
      </c>
      <c r="X285" s="5">
        <f>O285-(P285+Q285+R285)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  <c r="S286" s="5">
        <f>F286*20%</f>
        <v/>
      </c>
      <c r="T286" s="5">
        <f>J286-S286</f>
        <v/>
      </c>
      <c r="U286" s="5">
        <f>F286+J286</f>
        <v/>
      </c>
      <c r="V286" s="5">
        <f>O286-U286</f>
        <v/>
      </c>
      <c r="W286" s="5">
        <f>O286-(P286+R286)</f>
        <v/>
      </c>
      <c r="X286" s="5">
        <f>O286-(P286+Q286+R286)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  <c r="S287" s="5">
        <f>F287*20%</f>
        <v/>
      </c>
      <c r="T287" s="5">
        <f>J287-S287</f>
        <v/>
      </c>
      <c r="U287" s="5">
        <f>F287+J287</f>
        <v/>
      </c>
      <c r="V287" s="5">
        <f>O287-U287</f>
        <v/>
      </c>
      <c r="W287" s="5">
        <f>O287-(P287+R287)</f>
        <v/>
      </c>
      <c r="X287" s="5">
        <f>O287-(P287+Q287+R287)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  <c r="S288" s="5">
        <f>F288*20%</f>
        <v/>
      </c>
      <c r="T288" s="5">
        <f>J288-S288</f>
        <v/>
      </c>
      <c r="U288" s="5">
        <f>F288+J288</f>
        <v/>
      </c>
      <c r="V288" s="5">
        <f>O288-U288</f>
        <v/>
      </c>
      <c r="W288" s="5">
        <f>O288-(P288+R288)</f>
        <v/>
      </c>
      <c r="X288" s="5">
        <f>O288-(P288+Q288+R288)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  <c r="S289" s="5">
        <f>F289*20%</f>
        <v/>
      </c>
      <c r="T289" s="5">
        <f>J289-S289</f>
        <v/>
      </c>
      <c r="U289" s="5">
        <f>F289+J289</f>
        <v/>
      </c>
      <c r="V289" s="5">
        <f>O289-U289</f>
        <v/>
      </c>
      <c r="W289" s="5">
        <f>O289-(P289+R289)</f>
        <v/>
      </c>
      <c r="X289" s="5">
        <f>O289-(P289+Q289+R289)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>
        <f>F290*20%</f>
        <v/>
      </c>
      <c r="T290" s="5">
        <f>J290-S290</f>
        <v/>
      </c>
      <c r="U290" s="5">
        <f>F290+J290</f>
        <v/>
      </c>
      <c r="V290" s="5">
        <f>O290-U290</f>
        <v/>
      </c>
      <c r="W290" s="5">
        <f>O290-(P290+R290)</f>
        <v/>
      </c>
      <c r="X290" s="5">
        <f>O290-(P290+Q290+R290)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>
        <f>F291*20%</f>
        <v/>
      </c>
      <c r="T291" s="5">
        <f>J291-S291</f>
        <v/>
      </c>
      <c r="U291" s="5">
        <f>F291+J291</f>
        <v/>
      </c>
      <c r="V291" s="5">
        <f>O291-U291</f>
        <v/>
      </c>
      <c r="W291" s="5">
        <f>O291-(P291+R291)</f>
        <v/>
      </c>
      <c r="X291" s="5">
        <f>O291-(P291+Q291+R291)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  <c r="S292" s="5">
        <f>F292*20%</f>
        <v/>
      </c>
      <c r="T292" s="5">
        <f>J292-S292</f>
        <v/>
      </c>
      <c r="U292" s="5">
        <f>F292+J292</f>
        <v/>
      </c>
      <c r="V292" s="5">
        <f>O292-U292</f>
        <v/>
      </c>
      <c r="W292" s="5">
        <f>O292-(P292+R292)</f>
        <v/>
      </c>
      <c r="X292" s="5">
        <f>O292-(P292+Q292+R292)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  <c r="S293" s="5">
        <f>F293*20%</f>
        <v/>
      </c>
      <c r="T293" s="5">
        <f>J293-S293</f>
        <v/>
      </c>
      <c r="U293" s="5">
        <f>F293+J293</f>
        <v/>
      </c>
      <c r="V293" s="5">
        <f>O293-U293</f>
        <v/>
      </c>
      <c r="W293" s="5">
        <f>O293-(P293+R293)</f>
        <v/>
      </c>
      <c r="X293" s="5">
        <f>O293-(P293+Q293+R293)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  <c r="S294" s="5">
        <f>F294*20%</f>
        <v/>
      </c>
      <c r="T294" s="5">
        <f>J294-S294</f>
        <v/>
      </c>
      <c r="U294" s="5">
        <f>F294+J294</f>
        <v/>
      </c>
      <c r="V294" s="5">
        <f>O294-U294</f>
        <v/>
      </c>
      <c r="W294" s="5">
        <f>O294-(P294+R294)</f>
        <v/>
      </c>
      <c r="X294" s="5">
        <f>O294-(P294+Q294+R294)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  <c r="S295" s="5">
        <f>F295*20%</f>
        <v/>
      </c>
      <c r="T295" s="5">
        <f>J295-S295</f>
        <v/>
      </c>
      <c r="U295" s="5">
        <f>F295+J295</f>
        <v/>
      </c>
      <c r="V295" s="5">
        <f>O295-U295</f>
        <v/>
      </c>
      <c r="W295" s="5">
        <f>O295-(P295+R295)</f>
        <v/>
      </c>
      <c r="X295" s="5">
        <f>O295-(P295+Q295+R295)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  <c r="S296" s="5">
        <f>F296*20%</f>
        <v/>
      </c>
      <c r="T296" s="5">
        <f>J296-S296</f>
        <v/>
      </c>
      <c r="U296" s="5">
        <f>F296+J296</f>
        <v/>
      </c>
      <c r="V296" s="5">
        <f>O296-U296</f>
        <v/>
      </c>
      <c r="W296" s="5">
        <f>O296-(P296+R296)</f>
        <v/>
      </c>
      <c r="X296" s="5">
        <f>O296-(P296+Q296+R296)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  <c r="S297" s="5">
        <f>F297*20%</f>
        <v/>
      </c>
      <c r="T297" s="5">
        <f>J297-S297</f>
        <v/>
      </c>
      <c r="U297" s="5">
        <f>F297+J297</f>
        <v/>
      </c>
      <c r="V297" s="5">
        <f>O297-U297</f>
        <v/>
      </c>
      <c r="W297" s="5">
        <f>O297-(P297+R297)</f>
        <v/>
      </c>
      <c r="X297" s="5">
        <f>O297-(P297+Q297+R297)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  <c r="S298" s="5">
        <f>F298*20%</f>
        <v/>
      </c>
      <c r="T298" s="5">
        <f>J298-S298</f>
        <v/>
      </c>
      <c r="U298" s="5">
        <f>F298+J298</f>
        <v/>
      </c>
      <c r="V298" s="5">
        <f>O298-U298</f>
        <v/>
      </c>
      <c r="W298" s="5">
        <f>O298-(P298+R298)</f>
        <v/>
      </c>
      <c r="X298" s="5">
        <f>O298-(P298+Q298+R298)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  <c r="S299" s="5">
        <f>F299*20%</f>
        <v/>
      </c>
      <c r="T299" s="5">
        <f>J299-S299</f>
        <v/>
      </c>
      <c r="U299" s="5">
        <f>F299+J299</f>
        <v/>
      </c>
      <c r="V299" s="5">
        <f>O299-U299</f>
        <v/>
      </c>
      <c r="W299" s="5">
        <f>O299-(P299+R299)</f>
        <v/>
      </c>
      <c r="X299" s="5">
        <f>O299-(P299+Q299+R299)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  <c r="S300" s="5">
        <f>F300*20%</f>
        <v/>
      </c>
      <c r="T300" s="5">
        <f>J300-S300</f>
        <v/>
      </c>
      <c r="U300" s="5">
        <f>F300+J300</f>
        <v/>
      </c>
      <c r="V300" s="5">
        <f>O300-U300</f>
        <v/>
      </c>
      <c r="W300" s="5">
        <f>O300-(P300+R300)</f>
        <v/>
      </c>
      <c r="X300" s="5">
        <f>O300-(P300+Q300+R300)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  <c r="S301" s="5">
        <f>F301*20%</f>
        <v/>
      </c>
      <c r="T301" s="5">
        <f>J301-S301</f>
        <v/>
      </c>
      <c r="U301" s="5">
        <f>F301+J301</f>
        <v/>
      </c>
      <c r="V301" s="5">
        <f>O301-U301</f>
        <v/>
      </c>
      <c r="W301" s="5">
        <f>O301-(P301+R301)</f>
        <v/>
      </c>
      <c r="X301" s="5">
        <f>O301-(P301+Q301+R301)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  <c r="S302" s="5">
        <f>F302*20%</f>
        <v/>
      </c>
      <c r="T302" s="5">
        <f>J302-S302</f>
        <v/>
      </c>
      <c r="U302" s="5">
        <f>F302+J302</f>
        <v/>
      </c>
      <c r="V302" s="5">
        <f>O302-U302</f>
        <v/>
      </c>
      <c r="W302" s="5">
        <f>O302-(P302+R302)</f>
        <v/>
      </c>
      <c r="X302" s="5">
        <f>O302-(P302+Q302+R302)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  <c r="S303" s="5">
        <f>F303*20%</f>
        <v/>
      </c>
      <c r="T303" s="5">
        <f>J303-S303</f>
        <v/>
      </c>
      <c r="U303" s="5">
        <f>F303+J303</f>
        <v/>
      </c>
      <c r="V303" s="5">
        <f>O303-U303</f>
        <v/>
      </c>
      <c r="W303" s="5">
        <f>O303-(P303+R303)</f>
        <v/>
      </c>
      <c r="X303" s="5">
        <f>O303-(P303+Q303+R303)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  <c r="S304" s="5">
        <f>F304*20%</f>
        <v/>
      </c>
      <c r="T304" s="5">
        <f>J304-S304</f>
        <v/>
      </c>
      <c r="U304" s="5">
        <f>F304+J304</f>
        <v/>
      </c>
      <c r="V304" s="5">
        <f>O304-U304</f>
        <v/>
      </c>
      <c r="W304" s="5">
        <f>O304-(P304+R304)</f>
        <v/>
      </c>
      <c r="X304" s="5">
        <f>O304-(P304+Q304+R304)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  <c r="S305" s="5">
        <f>F305*20%</f>
        <v/>
      </c>
      <c r="T305" s="5">
        <f>J305-S305</f>
        <v/>
      </c>
      <c r="U305" s="5">
        <f>F305+J305</f>
        <v/>
      </c>
      <c r="V305" s="5">
        <f>O305-U305</f>
        <v/>
      </c>
      <c r="W305" s="5">
        <f>O305-(P305+R305)</f>
        <v/>
      </c>
      <c r="X305" s="5">
        <f>O305-(P305+Q305+R305)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  <c r="S306" s="5">
        <f>F306*20%</f>
        <v/>
      </c>
      <c r="T306" s="5">
        <f>J306-S306</f>
        <v/>
      </c>
      <c r="U306" s="5">
        <f>F306+J306</f>
        <v/>
      </c>
      <c r="V306" s="5">
        <f>O306-U306</f>
        <v/>
      </c>
      <c r="W306" s="5">
        <f>O306-(P306+R306)</f>
        <v/>
      </c>
      <c r="X306" s="5">
        <f>O306-(P306+Q306+R306)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  <c r="S307" s="5">
        <f>F307*20%</f>
        <v/>
      </c>
      <c r="T307" s="5">
        <f>J307-S307</f>
        <v/>
      </c>
      <c r="U307" s="5">
        <f>F307+J307</f>
        <v/>
      </c>
      <c r="V307" s="5">
        <f>O307-U307</f>
        <v/>
      </c>
      <c r="W307" s="5">
        <f>O307-(P307+R307)</f>
        <v/>
      </c>
      <c r="X307" s="5">
        <f>O307-(P307+Q307+R307)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  <c r="S308" s="5">
        <f>F308*20%</f>
        <v/>
      </c>
      <c r="T308" s="5">
        <f>J308-S308</f>
        <v/>
      </c>
      <c r="U308" s="5">
        <f>F308+J308</f>
        <v/>
      </c>
      <c r="V308" s="5">
        <f>O308-U308</f>
        <v/>
      </c>
      <c r="W308" s="5">
        <f>O308-(P308+R308)</f>
        <v/>
      </c>
      <c r="X308" s="5">
        <f>O308-(P308+Q308+R308)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  <c r="S309" s="5">
        <f>F309*20%</f>
        <v/>
      </c>
      <c r="T309" s="5">
        <f>J309-S309</f>
        <v/>
      </c>
      <c r="U309" s="5">
        <f>F309+J309</f>
        <v/>
      </c>
      <c r="V309" s="5">
        <f>O309-U309</f>
        <v/>
      </c>
      <c r="W309" s="5">
        <f>O309-(P309+R309)</f>
        <v/>
      </c>
      <c r="X309" s="5">
        <f>O309-(P309+Q309+R309)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  <c r="S310" s="5">
        <f>F310*20%</f>
        <v/>
      </c>
      <c r="T310" s="5">
        <f>J310-S310</f>
        <v/>
      </c>
      <c r="U310" s="5">
        <f>F310+J310</f>
        <v/>
      </c>
      <c r="V310" s="5">
        <f>O310-U310</f>
        <v/>
      </c>
      <c r="W310" s="5">
        <f>O310-(P310+R310)</f>
        <v/>
      </c>
      <c r="X310" s="5">
        <f>O310-(P310+Q310+R310)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  <c r="S311" s="5">
        <f>F311*20%</f>
        <v/>
      </c>
      <c r="T311" s="5">
        <f>J311-S311</f>
        <v/>
      </c>
      <c r="U311" s="5">
        <f>F311+J311</f>
        <v/>
      </c>
      <c r="V311" s="5">
        <f>O311-U311</f>
        <v/>
      </c>
      <c r="W311" s="5">
        <f>O311-(P311+R311)</f>
        <v/>
      </c>
      <c r="X311" s="5">
        <f>O311-(P311+Q311+R311)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  <c r="S312" s="5">
        <f>F312*20%</f>
        <v/>
      </c>
      <c r="T312" s="5">
        <f>J312-S312</f>
        <v/>
      </c>
      <c r="U312" s="5">
        <f>F312+J312</f>
        <v/>
      </c>
      <c r="V312" s="5">
        <f>O312-U312</f>
        <v/>
      </c>
      <c r="W312" s="5">
        <f>O312-(P312+R312)</f>
        <v/>
      </c>
      <c r="X312" s="5">
        <f>O312-(P312+Q312+R312)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  <c r="S313" s="5">
        <f>F313*20%</f>
        <v/>
      </c>
      <c r="T313" s="5">
        <f>J313-S313</f>
        <v/>
      </c>
      <c r="U313" s="5">
        <f>F313+J313</f>
        <v/>
      </c>
      <c r="V313" s="5">
        <f>O313-U313</f>
        <v/>
      </c>
      <c r="W313" s="5">
        <f>O313-(P313+R313)</f>
        <v/>
      </c>
      <c r="X313" s="5">
        <f>O313-(P313+Q313+R313)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  <c r="S314" s="5">
        <f>F314*20%</f>
        <v/>
      </c>
      <c r="T314" s="5">
        <f>J314-S314</f>
        <v/>
      </c>
      <c r="U314" s="5">
        <f>F314+J314</f>
        <v/>
      </c>
      <c r="V314" s="5">
        <f>O314-U314</f>
        <v/>
      </c>
      <c r="W314" s="5">
        <f>O314-(P314+R314)</f>
        <v/>
      </c>
      <c r="X314" s="5">
        <f>O314-(P314+Q314+R314)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  <c r="S315" s="5">
        <f>F315*20%</f>
        <v/>
      </c>
      <c r="T315" s="5">
        <f>J315-S315</f>
        <v/>
      </c>
      <c r="U315" s="5">
        <f>F315+J315</f>
        <v/>
      </c>
      <c r="V315" s="5">
        <f>O315-U315</f>
        <v/>
      </c>
      <c r="W315" s="5">
        <f>O315-(P315+R315)</f>
        <v/>
      </c>
      <c r="X315" s="5">
        <f>O315-(P315+Q315+R315)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  <c r="S316" s="5">
        <f>F316*20%</f>
        <v/>
      </c>
      <c r="T316" s="5">
        <f>J316-S316</f>
        <v/>
      </c>
      <c r="U316" s="5">
        <f>F316+J316</f>
        <v/>
      </c>
      <c r="V316" s="5">
        <f>O316-U316</f>
        <v/>
      </c>
      <c r="W316" s="5">
        <f>O316-(P316+R316)</f>
        <v/>
      </c>
      <c r="X316" s="5">
        <f>O316-(P316+Q316+R316)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  <c r="S317" s="5">
        <f>F317*20%</f>
        <v/>
      </c>
      <c r="T317" s="5">
        <f>J317-S317</f>
        <v/>
      </c>
      <c r="U317" s="5">
        <f>F317+J317</f>
        <v/>
      </c>
      <c r="V317" s="5">
        <f>O317-U317</f>
        <v/>
      </c>
      <c r="W317" s="5">
        <f>O317-(P317+R317)</f>
        <v/>
      </c>
      <c r="X317" s="5">
        <f>O317-(P317+Q317+R317)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  <c r="S318" s="5">
        <f>F318*20%</f>
        <v/>
      </c>
      <c r="T318" s="5">
        <f>J318-S318</f>
        <v/>
      </c>
      <c r="U318" s="5">
        <f>F318+J318</f>
        <v/>
      </c>
      <c r="V318" s="5">
        <f>O318-U318</f>
        <v/>
      </c>
      <c r="W318" s="5">
        <f>O318-(P318+R318)</f>
        <v/>
      </c>
      <c r="X318" s="5">
        <f>O318-(P318+Q318+R318)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  <c r="S319" s="5">
        <f>F319*20%</f>
        <v/>
      </c>
      <c r="T319" s="5">
        <f>J319-S319</f>
        <v/>
      </c>
      <c r="U319" s="5">
        <f>F319+J319</f>
        <v/>
      </c>
      <c r="V319" s="5">
        <f>O319-U319</f>
        <v/>
      </c>
      <c r="W319" s="5">
        <f>O319-(P319+R319)</f>
        <v/>
      </c>
      <c r="X319" s="5">
        <f>O319-(P319+Q319+R319)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  <c r="S320" s="5">
        <f>F320*20%</f>
        <v/>
      </c>
      <c r="T320" s="5">
        <f>J320-S320</f>
        <v/>
      </c>
      <c r="U320" s="5">
        <f>F320+J320</f>
        <v/>
      </c>
      <c r="V320" s="5">
        <f>O320-U320</f>
        <v/>
      </c>
      <c r="W320" s="5">
        <f>O320-(P320+R320)</f>
        <v/>
      </c>
      <c r="X320" s="5">
        <f>O320-(P320+Q320+R320)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  <c r="S321" s="5">
        <f>F321*20%</f>
        <v/>
      </c>
      <c r="T321" s="5">
        <f>J321-S321</f>
        <v/>
      </c>
      <c r="U321" s="5">
        <f>F321+J321</f>
        <v/>
      </c>
      <c r="V321" s="5">
        <f>O321-U321</f>
        <v/>
      </c>
      <c r="W321" s="5">
        <f>O321-(P321+R321)</f>
        <v/>
      </c>
      <c r="X321" s="5">
        <f>O321-(P321+Q321+R321)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  <c r="S322" s="5">
        <f>F322*20%</f>
        <v/>
      </c>
      <c r="T322" s="5">
        <f>J322-S322</f>
        <v/>
      </c>
      <c r="U322" s="5">
        <f>F322+J322</f>
        <v/>
      </c>
      <c r="V322" s="5">
        <f>O322-U322</f>
        <v/>
      </c>
      <c r="W322" s="5">
        <f>O322-(P322+R322)</f>
        <v/>
      </c>
      <c r="X322" s="5">
        <f>O322-(P322+Q322+R322)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  <c r="S323" s="5">
        <f>F323*20%</f>
        <v/>
      </c>
      <c r="T323" s="5">
        <f>J323-S323</f>
        <v/>
      </c>
      <c r="U323" s="5">
        <f>F323+J323</f>
        <v/>
      </c>
      <c r="V323" s="5">
        <f>O323-U323</f>
        <v/>
      </c>
      <c r="W323" s="5">
        <f>O323-(P323+R323)</f>
        <v/>
      </c>
      <c r="X323" s="5">
        <f>O323-(P323+Q323+R323)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  <c r="S324" s="5">
        <f>F324*20%</f>
        <v/>
      </c>
      <c r="T324" s="5">
        <f>J324-S324</f>
        <v/>
      </c>
      <c r="U324" s="5">
        <f>F324+J324</f>
        <v/>
      </c>
      <c r="V324" s="5">
        <f>O324-U324</f>
        <v/>
      </c>
      <c r="W324" s="5">
        <f>O324-(P324+R324)</f>
        <v/>
      </c>
      <c r="X324" s="5">
        <f>O324-(P324+Q324+R324)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  <c r="S325" s="5">
        <f>F325*20%</f>
        <v/>
      </c>
      <c r="T325" s="5">
        <f>J325-S325</f>
        <v/>
      </c>
      <c r="U325" s="5">
        <f>F325+J325</f>
        <v/>
      </c>
      <c r="V325" s="5">
        <f>O325-U325</f>
        <v/>
      </c>
      <c r="W325" s="5">
        <f>O325-(P325+R325)</f>
        <v/>
      </c>
      <c r="X325" s="5">
        <f>O325-(P325+Q325+R325)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  <c r="S326" s="5">
        <f>F326*20%</f>
        <v/>
      </c>
      <c r="T326" s="5">
        <f>J326-S326</f>
        <v/>
      </c>
      <c r="U326" s="5">
        <f>F326+J326</f>
        <v/>
      </c>
      <c r="V326" s="5">
        <f>O326-U326</f>
        <v/>
      </c>
      <c r="W326" s="5">
        <f>O326-(P326+R326)</f>
        <v/>
      </c>
      <c r="X326" s="5">
        <f>O326-(P326+Q326+R326)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  <c r="S327" s="5">
        <f>F327*20%</f>
        <v/>
      </c>
      <c r="T327" s="5">
        <f>J327-S327</f>
        <v/>
      </c>
      <c r="U327" s="5">
        <f>F327+J327</f>
        <v/>
      </c>
      <c r="V327" s="5">
        <f>O327-U327</f>
        <v/>
      </c>
      <c r="W327" s="5">
        <f>O327-(P327+R327)</f>
        <v/>
      </c>
      <c r="X327" s="5">
        <f>O327-(P327+Q327+R327)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  <c r="S328" s="5">
        <f>F328*20%</f>
        <v/>
      </c>
      <c r="T328" s="5">
        <f>J328-S328</f>
        <v/>
      </c>
      <c r="U328" s="5">
        <f>F328+J328</f>
        <v/>
      </c>
      <c r="V328" s="5">
        <f>O328-U328</f>
        <v/>
      </c>
      <c r="W328" s="5">
        <f>O328-(P328+R328)</f>
        <v/>
      </c>
      <c r="X328" s="5">
        <f>O328-(P328+Q328+R328)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  <c r="S329" s="5">
        <f>F329*20%</f>
        <v/>
      </c>
      <c r="T329" s="5">
        <f>J329-S329</f>
        <v/>
      </c>
      <c r="U329" s="5">
        <f>F329+J329</f>
        <v/>
      </c>
      <c r="V329" s="5">
        <f>O329-U329</f>
        <v/>
      </c>
      <c r="W329" s="5">
        <f>O329-(P329+R329)</f>
        <v/>
      </c>
      <c r="X329" s="5">
        <f>O329-(P329+Q329+R329)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  <c r="S330" s="5">
        <f>F330*20%</f>
        <v/>
      </c>
      <c r="T330" s="5">
        <f>J330-S330</f>
        <v/>
      </c>
      <c r="U330" s="5">
        <f>F330+J330</f>
        <v/>
      </c>
      <c r="V330" s="5">
        <f>O330-U330</f>
        <v/>
      </c>
      <c r="W330" s="5">
        <f>O330-(P330+R330)</f>
        <v/>
      </c>
      <c r="X330" s="5">
        <f>O330-(P330+Q330+R330)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  <c r="S331" s="5">
        <f>F331*20%</f>
        <v/>
      </c>
      <c r="T331" s="5">
        <f>J331-S331</f>
        <v/>
      </c>
      <c r="U331" s="5">
        <f>F331+J331</f>
        <v/>
      </c>
      <c r="V331" s="5">
        <f>O331-U331</f>
        <v/>
      </c>
      <c r="W331" s="5">
        <f>O331-(P331+R331)</f>
        <v/>
      </c>
      <c r="X331" s="5">
        <f>O331-(P331+Q331+R331)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  <c r="S332" s="5">
        <f>F332*20%</f>
        <v/>
      </c>
      <c r="T332" s="5">
        <f>J332-S332</f>
        <v/>
      </c>
      <c r="U332" s="5">
        <f>F332+J332</f>
        <v/>
      </c>
      <c r="V332" s="5">
        <f>O332-U332</f>
        <v/>
      </c>
      <c r="W332" s="5">
        <f>O332-(P332+R332)</f>
        <v/>
      </c>
      <c r="X332" s="5">
        <f>O332-(P332+Q332+R332)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  <c r="S333" s="5">
        <f>F333*20%</f>
        <v/>
      </c>
      <c r="T333" s="5">
        <f>J333-S333</f>
        <v/>
      </c>
      <c r="U333" s="5">
        <f>F333+J333</f>
        <v/>
      </c>
      <c r="V333" s="5">
        <f>O333-U333</f>
        <v/>
      </c>
      <c r="W333" s="5">
        <f>O333-(P333+R333)</f>
        <v/>
      </c>
      <c r="X333" s="5">
        <f>O333-(P333+Q333+R333)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  <c r="S334" s="5">
        <f>F334*20%</f>
        <v/>
      </c>
      <c r="T334" s="5">
        <f>J334-S334</f>
        <v/>
      </c>
      <c r="U334" s="5">
        <f>F334+J334</f>
        <v/>
      </c>
      <c r="V334" s="5">
        <f>O334-U334</f>
        <v/>
      </c>
      <c r="W334" s="5">
        <f>O334-(P334+R334)</f>
        <v/>
      </c>
      <c r="X334" s="5">
        <f>O334-(P334+Q334+R334)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  <c r="S335" s="5">
        <f>F335*20%</f>
        <v/>
      </c>
      <c r="T335" s="5">
        <f>J335-S335</f>
        <v/>
      </c>
      <c r="U335" s="5">
        <f>F335+J335</f>
        <v/>
      </c>
      <c r="V335" s="5">
        <f>O335-U335</f>
        <v/>
      </c>
      <c r="W335" s="5">
        <f>O335-(P335+R335)</f>
        <v/>
      </c>
      <c r="X335" s="5">
        <f>O335-(P335+Q335+R335)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  <c r="S336" s="5">
        <f>F336*20%</f>
        <v/>
      </c>
      <c r="T336" s="5">
        <f>J336-S336</f>
        <v/>
      </c>
      <c r="U336" s="5">
        <f>F336+J336</f>
        <v/>
      </c>
      <c r="V336" s="5">
        <f>O336-U336</f>
        <v/>
      </c>
      <c r="W336" s="5">
        <f>O336-(P336+R336)</f>
        <v/>
      </c>
      <c r="X336" s="5">
        <f>O336-(P336+Q336+R336)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  <c r="S337" s="5">
        <f>F337*20%</f>
        <v/>
      </c>
      <c r="T337" s="5">
        <f>J337-S337</f>
        <v/>
      </c>
      <c r="U337" s="5">
        <f>F337+J337</f>
        <v/>
      </c>
      <c r="V337" s="5">
        <f>O337-U337</f>
        <v/>
      </c>
      <c r="W337" s="5">
        <f>O337-(P337+R337)</f>
        <v/>
      </c>
      <c r="X337" s="5">
        <f>O337-(P337+Q337+R337)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  <c r="S338" s="5">
        <f>F338*20%</f>
        <v/>
      </c>
      <c r="T338" s="5">
        <f>J338-S338</f>
        <v/>
      </c>
      <c r="U338" s="5">
        <f>F338+J338</f>
        <v/>
      </c>
      <c r="V338" s="5">
        <f>O338-U338</f>
        <v/>
      </c>
      <c r="W338" s="5">
        <f>O338-(P338+R338)</f>
        <v/>
      </c>
      <c r="X338" s="5">
        <f>O338-(P338+Q338+R338)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  <c r="S339" s="5">
        <f>F339*20%</f>
        <v/>
      </c>
      <c r="T339" s="5">
        <f>J339-S339</f>
        <v/>
      </c>
      <c r="U339" s="5">
        <f>F339+J339</f>
        <v/>
      </c>
      <c r="V339" s="5">
        <f>O339-U339</f>
        <v/>
      </c>
      <c r="W339" s="5">
        <f>O339-(P339+R339)</f>
        <v/>
      </c>
      <c r="X339" s="5">
        <f>O339-(P339+Q339+R339)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  <c r="S340" s="5">
        <f>F340*20%</f>
        <v/>
      </c>
      <c r="T340" s="5">
        <f>J340-S340</f>
        <v/>
      </c>
      <c r="U340" s="5">
        <f>F340+J340</f>
        <v/>
      </c>
      <c r="V340" s="5">
        <f>O340-U340</f>
        <v/>
      </c>
      <c r="W340" s="5">
        <f>O340-(P340+R340)</f>
        <v/>
      </c>
      <c r="X340" s="5">
        <f>O340-(P340+Q340+R340)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  <c r="S341" s="5">
        <f>F341*20%</f>
        <v/>
      </c>
      <c r="T341" s="5">
        <f>J341-S341</f>
        <v/>
      </c>
      <c r="U341" s="5">
        <f>F341+J341</f>
        <v/>
      </c>
      <c r="V341" s="5">
        <f>O341-U341</f>
        <v/>
      </c>
      <c r="W341" s="5">
        <f>O341-(P341+R341)</f>
        <v/>
      </c>
      <c r="X341" s="5">
        <f>O341-(P341+Q341+R341)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  <c r="S342" s="5">
        <f>F342*20%</f>
        <v/>
      </c>
      <c r="T342" s="5">
        <f>J342-S342</f>
        <v/>
      </c>
      <c r="U342" s="5">
        <f>F342+J342</f>
        <v/>
      </c>
      <c r="V342" s="5">
        <f>O342-U342</f>
        <v/>
      </c>
      <c r="W342" s="5">
        <f>O342-(P342+R342)</f>
        <v/>
      </c>
      <c r="X342" s="5">
        <f>O342-(P342+Q342+R342)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  <c r="S343" s="5">
        <f>F343*20%</f>
        <v/>
      </c>
      <c r="T343" s="5">
        <f>J343-S343</f>
        <v/>
      </c>
      <c r="U343" s="5">
        <f>F343+J343</f>
        <v/>
      </c>
      <c r="V343" s="5">
        <f>O343-U343</f>
        <v/>
      </c>
      <c r="W343" s="5">
        <f>O343-(P343+R343)</f>
        <v/>
      </c>
      <c r="X343" s="5">
        <f>O343-(P343+Q343+R343)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  <c r="S344" s="5">
        <f>F344*20%</f>
        <v/>
      </c>
      <c r="T344" s="5">
        <f>J344-S344</f>
        <v/>
      </c>
      <c r="U344" s="5">
        <f>F344+J344</f>
        <v/>
      </c>
      <c r="V344" s="5">
        <f>O344-U344</f>
        <v/>
      </c>
      <c r="W344" s="5">
        <f>O344-(P344+R344)</f>
        <v/>
      </c>
      <c r="X344" s="5">
        <f>O344-(P344+Q344+R344)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  <c r="S345" s="5">
        <f>F345*20%</f>
        <v/>
      </c>
      <c r="T345" s="5">
        <f>J345-S345</f>
        <v/>
      </c>
      <c r="U345" s="5">
        <f>F345+J345</f>
        <v/>
      </c>
      <c r="V345" s="5">
        <f>O345-U345</f>
        <v/>
      </c>
      <c r="W345" s="5">
        <f>O345-(P345+R345)</f>
        <v/>
      </c>
      <c r="X345" s="5">
        <f>O345-(P345+Q345+R345)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  <c r="S346" s="5">
        <f>F346*20%</f>
        <v/>
      </c>
      <c r="T346" s="5">
        <f>J346-S346</f>
        <v/>
      </c>
      <c r="U346" s="5">
        <f>F346+J346</f>
        <v/>
      </c>
      <c r="V346" s="5">
        <f>O346-U346</f>
        <v/>
      </c>
      <c r="W346" s="5">
        <f>O346-(P346+R346)</f>
        <v/>
      </c>
      <c r="X346" s="5">
        <f>O346-(P346+Q346+R346)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  <c r="S347" s="5">
        <f>F347*20%</f>
        <v/>
      </c>
      <c r="T347" s="5">
        <f>J347-S347</f>
        <v/>
      </c>
      <c r="U347" s="5">
        <f>F347+J347</f>
        <v/>
      </c>
      <c r="V347" s="5">
        <f>O347-U347</f>
        <v/>
      </c>
      <c r="W347" s="5">
        <f>O347-(P347+R347)</f>
        <v/>
      </c>
      <c r="X347" s="5">
        <f>O347-(P347+Q347+R347)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  <c r="S348" s="5">
        <f>F348*20%</f>
        <v/>
      </c>
      <c r="T348" s="5">
        <f>J348-S348</f>
        <v/>
      </c>
      <c r="U348" s="5">
        <f>F348+J348</f>
        <v/>
      </c>
      <c r="V348" s="5">
        <f>O348-U348</f>
        <v/>
      </c>
      <c r="W348" s="5">
        <f>O348-(P348+R348)</f>
        <v/>
      </c>
      <c r="X348" s="5">
        <f>O348-(P348+Q348+R348)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  <c r="S349" s="5">
        <f>F349*20%</f>
        <v/>
      </c>
      <c r="T349" s="5">
        <f>J349-S349</f>
        <v/>
      </c>
      <c r="U349" s="5">
        <f>F349+J349</f>
        <v/>
      </c>
      <c r="V349" s="5">
        <f>O349-U349</f>
        <v/>
      </c>
      <c r="W349" s="5">
        <f>O349-(P349+R349)</f>
        <v/>
      </c>
      <c r="X349" s="5">
        <f>O349-(P349+Q349+R349)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  <c r="S350" s="5">
        <f>F350*20%</f>
        <v/>
      </c>
      <c r="T350" s="5">
        <f>J350-S350</f>
        <v/>
      </c>
      <c r="U350" s="5">
        <f>F350+J350</f>
        <v/>
      </c>
      <c r="V350" s="5">
        <f>O350-U350</f>
        <v/>
      </c>
      <c r="W350" s="5">
        <f>O350-(P350+R350)</f>
        <v/>
      </c>
      <c r="X350" s="5">
        <f>O350-(P350+Q350+R350)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  <c r="S351" s="5">
        <f>F351*20%</f>
        <v/>
      </c>
      <c r="T351" s="5">
        <f>J351-S351</f>
        <v/>
      </c>
      <c r="U351" s="5">
        <f>F351+J351</f>
        <v/>
      </c>
      <c r="V351" s="5">
        <f>O351-U351</f>
        <v/>
      </c>
      <c r="W351" s="5">
        <f>O351-(P351+R351)</f>
        <v/>
      </c>
      <c r="X351" s="5">
        <f>O351-(P351+Q351+R351)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  <c r="S352" s="5">
        <f>F352*20%</f>
        <v/>
      </c>
      <c r="T352" s="5">
        <f>J352-S352</f>
        <v/>
      </c>
      <c r="U352" s="5">
        <f>F352+J352</f>
        <v/>
      </c>
      <c r="V352" s="5">
        <f>O352-U352</f>
        <v/>
      </c>
      <c r="W352" s="5">
        <f>O352-(P352+R352)</f>
        <v/>
      </c>
      <c r="X352" s="5">
        <f>O352-(P352+Q352+R352)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  <c r="S353" s="5">
        <f>F353*20%</f>
        <v/>
      </c>
      <c r="T353" s="5">
        <f>J353-S353</f>
        <v/>
      </c>
      <c r="U353" s="5">
        <f>F353+J353</f>
        <v/>
      </c>
      <c r="V353" s="5">
        <f>O353-U353</f>
        <v/>
      </c>
      <c r="W353" s="5">
        <f>O353-(P353+R353)</f>
        <v/>
      </c>
      <c r="X353" s="5">
        <f>O353-(P353+Q353+R353)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  <c r="S354" s="5">
        <f>F354*20%</f>
        <v/>
      </c>
      <c r="T354" s="5">
        <f>J354-S354</f>
        <v/>
      </c>
      <c r="U354" s="5">
        <f>F354+J354</f>
        <v/>
      </c>
      <c r="V354" s="5">
        <f>O354-U354</f>
        <v/>
      </c>
      <c r="W354" s="5">
        <f>O354-(P354+R354)</f>
        <v/>
      </c>
      <c r="X354" s="5">
        <f>O354-(P354+Q354+R354)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  <c r="S355" s="5">
        <f>F355*20%</f>
        <v/>
      </c>
      <c r="T355" s="5">
        <f>J355-S355</f>
        <v/>
      </c>
      <c r="U355" s="5">
        <f>F355+J355</f>
        <v/>
      </c>
      <c r="V355" s="5">
        <f>O355-U355</f>
        <v/>
      </c>
      <c r="W355" s="5">
        <f>O355-(P355+R355)</f>
        <v/>
      </c>
      <c r="X355" s="5">
        <f>O355-(P355+Q355+R355)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  <c r="S356" s="5">
        <f>F356*20%</f>
        <v/>
      </c>
      <c r="T356" s="5">
        <f>J356-S356</f>
        <v/>
      </c>
      <c r="U356" s="5">
        <f>F356+J356</f>
        <v/>
      </c>
      <c r="V356" s="5">
        <f>O356-U356</f>
        <v/>
      </c>
      <c r="W356" s="5">
        <f>O356-(P356+R356)</f>
        <v/>
      </c>
      <c r="X356" s="5">
        <f>O356-(P356+Q356+R356)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  <c r="S357" s="5">
        <f>F357*20%</f>
        <v/>
      </c>
      <c r="T357" s="5">
        <f>J357-S357</f>
        <v/>
      </c>
      <c r="U357" s="5">
        <f>F357+J357</f>
        <v/>
      </c>
      <c r="V357" s="5">
        <f>O357-U357</f>
        <v/>
      </c>
      <c r="W357" s="5">
        <f>O357-(P357+R357)</f>
        <v/>
      </c>
      <c r="X357" s="5">
        <f>O357-(P357+Q357+R357)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  <c r="S358" s="5">
        <f>F358*20%</f>
        <v/>
      </c>
      <c r="T358" s="5">
        <f>J358-S358</f>
        <v/>
      </c>
      <c r="U358" s="5">
        <f>F358+J358</f>
        <v/>
      </c>
      <c r="V358" s="5">
        <f>O358-U358</f>
        <v/>
      </c>
      <c r="W358" s="5">
        <f>O358-(P358+R358)</f>
        <v/>
      </c>
      <c r="X358" s="5">
        <f>O358-(P358+Q358+R358)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  <c r="S359" s="5">
        <f>F359*20%</f>
        <v/>
      </c>
      <c r="T359" s="5">
        <f>J359-S359</f>
        <v/>
      </c>
      <c r="U359" s="5">
        <f>F359+J359</f>
        <v/>
      </c>
      <c r="V359" s="5">
        <f>O359-U359</f>
        <v/>
      </c>
      <c r="W359" s="5">
        <f>O359-(P359+R359)</f>
        <v/>
      </c>
      <c r="X359" s="5">
        <f>O359-(P359+Q359+R359)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  <c r="S360" s="5">
        <f>F360*20%</f>
        <v/>
      </c>
      <c r="T360" s="5">
        <f>J360-S360</f>
        <v/>
      </c>
      <c r="U360" s="5">
        <f>F360+J360</f>
        <v/>
      </c>
      <c r="V360" s="5">
        <f>O360-U360</f>
        <v/>
      </c>
      <c r="W360" s="5">
        <f>O360-(P360+R360)</f>
        <v/>
      </c>
      <c r="X360" s="5">
        <f>O360-(P360+Q360+R360)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  <c r="S361" s="5">
        <f>F361*20%</f>
        <v/>
      </c>
      <c r="T361" s="5">
        <f>J361-S361</f>
        <v/>
      </c>
      <c r="U361" s="5">
        <f>F361+J361</f>
        <v/>
      </c>
      <c r="V361" s="5">
        <f>O361-U361</f>
        <v/>
      </c>
      <c r="W361" s="5">
        <f>O361-(P361+R361)</f>
        <v/>
      </c>
      <c r="X361" s="5">
        <f>O361-(P361+Q361+R361)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  <c r="S362" s="5">
        <f>F362*20%</f>
        <v/>
      </c>
      <c r="T362" s="5">
        <f>J362-S362</f>
        <v/>
      </c>
      <c r="U362" s="5">
        <f>F362+J362</f>
        <v/>
      </c>
      <c r="V362" s="5">
        <f>O362-U362</f>
        <v/>
      </c>
      <c r="W362" s="5">
        <f>O362-(P362+R362)</f>
        <v/>
      </c>
      <c r="X362" s="5">
        <f>O362-(P362+Q362+R362)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  <c r="S363" s="5">
        <f>F363*20%</f>
        <v/>
      </c>
      <c r="T363" s="5">
        <f>J363-S363</f>
        <v/>
      </c>
      <c r="U363" s="5">
        <f>F363+J363</f>
        <v/>
      </c>
      <c r="V363" s="5">
        <f>O363-U363</f>
        <v/>
      </c>
      <c r="W363" s="5">
        <f>O363-(P363+R363)</f>
        <v/>
      </c>
      <c r="X363" s="5">
        <f>O363-(P363+Q363+R363)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  <c r="S364" s="5">
        <f>F364*20%</f>
        <v/>
      </c>
      <c r="T364" s="5">
        <f>J364-S364</f>
        <v/>
      </c>
      <c r="U364" s="5">
        <f>F364+J364</f>
        <v/>
      </c>
      <c r="V364" s="5">
        <f>O364-U364</f>
        <v/>
      </c>
      <c r="W364" s="5">
        <f>O364-(P364+R364)</f>
        <v/>
      </c>
      <c r="X364" s="5">
        <f>O364-(P364+Q364+R364)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  <c r="S365" s="5">
        <f>F365*20%</f>
        <v/>
      </c>
      <c r="T365" s="5">
        <f>J365-S365</f>
        <v/>
      </c>
      <c r="U365" s="5">
        <f>F365+J365</f>
        <v/>
      </c>
      <c r="V365" s="5">
        <f>O365-U365</f>
        <v/>
      </c>
      <c r="W365" s="5">
        <f>O365-(P365+R365)</f>
        <v/>
      </c>
      <c r="X365" s="5">
        <f>O365-(P365+Q365+R365)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  <c r="S366" s="5">
        <f>F366*20%</f>
        <v/>
      </c>
      <c r="T366" s="5">
        <f>J366-S366</f>
        <v/>
      </c>
      <c r="U366" s="5">
        <f>F366+J366</f>
        <v/>
      </c>
      <c r="V366" s="5">
        <f>O366-U366</f>
        <v/>
      </c>
      <c r="W366" s="5">
        <f>O366-(P366+R366)</f>
        <v/>
      </c>
      <c r="X366" s="5">
        <f>O366-(P366+Q366+R366)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  <c r="S367" s="5">
        <f>F367*20%</f>
        <v/>
      </c>
      <c r="T367" s="5">
        <f>J367-S367</f>
        <v/>
      </c>
      <c r="U367" s="5">
        <f>F367+J367</f>
        <v/>
      </c>
      <c r="V367" s="5">
        <f>O367-U367</f>
        <v/>
      </c>
      <c r="W367" s="5">
        <f>O367-(P367+R367)</f>
        <v/>
      </c>
      <c r="X367" s="5">
        <f>O367-(P367+Q367+R367)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  <c r="S368" s="5">
        <f>F368*20%</f>
        <v/>
      </c>
      <c r="T368" s="5">
        <f>J368-S368</f>
        <v/>
      </c>
      <c r="U368" s="5">
        <f>F368+J368</f>
        <v/>
      </c>
      <c r="V368" s="5">
        <f>O368-U368</f>
        <v/>
      </c>
      <c r="W368" s="5">
        <f>O368-(P368+R368)</f>
        <v/>
      </c>
      <c r="X368" s="5">
        <f>O368-(P368+Q368+R368)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  <c r="S369" s="5">
        <f>F369*20%</f>
        <v/>
      </c>
      <c r="T369" s="5">
        <f>J369-S369</f>
        <v/>
      </c>
      <c r="U369" s="5">
        <f>F369+J369</f>
        <v/>
      </c>
      <c r="V369" s="5">
        <f>O369-U369</f>
        <v/>
      </c>
      <c r="W369" s="5">
        <f>O369-(P369+R369)</f>
        <v/>
      </c>
      <c r="X369" s="5">
        <f>O369-(P369+Q369+R369)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  <c r="S370" s="5">
        <f>F370*20%</f>
        <v/>
      </c>
      <c r="T370" s="5">
        <f>J370-S370</f>
        <v/>
      </c>
      <c r="U370" s="5">
        <f>F370+J370</f>
        <v/>
      </c>
      <c r="V370" s="5">
        <f>O370-U370</f>
        <v/>
      </c>
      <c r="W370" s="5">
        <f>O370-(P370+R370)</f>
        <v/>
      </c>
      <c r="X370" s="5">
        <f>O370-(P370+Q370+R370)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  <c r="S371" s="5">
        <f>F371*20%</f>
        <v/>
      </c>
      <c r="T371" s="5">
        <f>J371-S371</f>
        <v/>
      </c>
      <c r="U371" s="5">
        <f>F371+J371</f>
        <v/>
      </c>
      <c r="V371" s="5">
        <f>O371-U371</f>
        <v/>
      </c>
      <c r="W371" s="5">
        <f>O371-(P371+R371)</f>
        <v/>
      </c>
      <c r="X371" s="5">
        <f>O371-(P371+Q371+R371)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  <c r="S372" s="5">
        <f>F372*20%</f>
        <v/>
      </c>
      <c r="T372" s="5">
        <f>J372-S372</f>
        <v/>
      </c>
      <c r="U372" s="5">
        <f>F372+J372</f>
        <v/>
      </c>
      <c r="V372" s="5">
        <f>O372-U372</f>
        <v/>
      </c>
      <c r="W372" s="5">
        <f>O372-(P372+R372)</f>
        <v/>
      </c>
      <c r="X372" s="5">
        <f>O372-(P372+Q372+R372)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  <c r="S373" s="5">
        <f>F373*20%</f>
        <v/>
      </c>
      <c r="T373" s="5">
        <f>J373-S373</f>
        <v/>
      </c>
      <c r="U373" s="5">
        <f>F373+J373</f>
        <v/>
      </c>
      <c r="V373" s="5">
        <f>O373-U373</f>
        <v/>
      </c>
      <c r="W373" s="5">
        <f>O373-(P373+R373)</f>
        <v/>
      </c>
      <c r="X373" s="5">
        <f>O373-(P373+Q373+R373)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  <c r="S374" s="5">
        <f>F374*20%</f>
        <v/>
      </c>
      <c r="T374" s="5">
        <f>J374-S374</f>
        <v/>
      </c>
      <c r="U374" s="5">
        <f>F374+J374</f>
        <v/>
      </c>
      <c r="V374" s="5">
        <f>O374-U374</f>
        <v/>
      </c>
      <c r="W374" s="5">
        <f>O374-(P374+R374)</f>
        <v/>
      </c>
      <c r="X374" s="5">
        <f>O374-(P374+Q374+R374)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  <c r="S375" s="5">
        <f>F375*20%</f>
        <v/>
      </c>
      <c r="T375" s="5">
        <f>J375-S375</f>
        <v/>
      </c>
      <c r="U375" s="5">
        <f>F375+J375</f>
        <v/>
      </c>
      <c r="V375" s="5">
        <f>O375-U375</f>
        <v/>
      </c>
      <c r="W375" s="5">
        <f>O375-(P375+R375)</f>
        <v/>
      </c>
      <c r="X375" s="5">
        <f>O375-(P375+Q375+R375)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  <c r="S376" s="5">
        <f>F376*20%</f>
        <v/>
      </c>
      <c r="T376" s="5">
        <f>J376-S376</f>
        <v/>
      </c>
      <c r="U376" s="5">
        <f>F376+J376</f>
        <v/>
      </c>
      <c r="V376" s="5">
        <f>O376-U376</f>
        <v/>
      </c>
      <c r="W376" s="5">
        <f>O376-(P376+R376)</f>
        <v/>
      </c>
      <c r="X376" s="5">
        <f>O376-(P376+Q376+R376)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  <c r="S377" s="5">
        <f>F377*20%</f>
        <v/>
      </c>
      <c r="T377" s="5">
        <f>J377-S377</f>
        <v/>
      </c>
      <c r="U377" s="5">
        <f>F377+J377</f>
        <v/>
      </c>
      <c r="V377" s="5">
        <f>O377-U377</f>
        <v/>
      </c>
      <c r="W377" s="5">
        <f>O377-(P377+R377)</f>
        <v/>
      </c>
      <c r="X377" s="5">
        <f>O377-(P377+Q377+R377)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  <c r="S378" s="5">
        <f>F378*20%</f>
        <v/>
      </c>
      <c r="T378" s="5">
        <f>J378-S378</f>
        <v/>
      </c>
      <c r="U378" s="5">
        <f>F378+J378</f>
        <v/>
      </c>
      <c r="V378" s="5">
        <f>O378-U378</f>
        <v/>
      </c>
      <c r="W378" s="5">
        <f>O378-(P378+R378)</f>
        <v/>
      </c>
      <c r="X378" s="5">
        <f>O378-(P378+Q378+R378)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  <c r="S379" s="5">
        <f>F379*20%</f>
        <v/>
      </c>
      <c r="T379" s="5">
        <f>J379-S379</f>
        <v/>
      </c>
      <c r="U379" s="5">
        <f>F379+J379</f>
        <v/>
      </c>
      <c r="V379" s="5">
        <f>O379-U379</f>
        <v/>
      </c>
      <c r="W379" s="5">
        <f>O379-(P379+R379)</f>
        <v/>
      </c>
      <c r="X379" s="5">
        <f>O379-(P379+Q379+R379)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  <c r="S380" s="5">
        <f>F380*20%</f>
        <v/>
      </c>
      <c r="T380" s="5">
        <f>J380-S380</f>
        <v/>
      </c>
      <c r="U380" s="5">
        <f>F380+J380</f>
        <v/>
      </c>
      <c r="V380" s="5">
        <f>O380-U380</f>
        <v/>
      </c>
      <c r="W380" s="5">
        <f>O380-(P380+R380)</f>
        <v/>
      </c>
      <c r="X380" s="5">
        <f>O380-(P380+Q380+R380)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  <c r="S381" s="5">
        <f>F381*20%</f>
        <v/>
      </c>
      <c r="T381" s="5">
        <f>J381-S381</f>
        <v/>
      </c>
      <c r="U381" s="5">
        <f>F381+J381</f>
        <v/>
      </c>
      <c r="V381" s="5">
        <f>O381-U381</f>
        <v/>
      </c>
      <c r="W381" s="5">
        <f>O381-(P381+R381)</f>
        <v/>
      </c>
      <c r="X381" s="5">
        <f>O381-(P381+Q381+R381)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  <c r="S382" s="5">
        <f>F382*20%</f>
        <v/>
      </c>
      <c r="T382" s="5">
        <f>J382-S382</f>
        <v/>
      </c>
      <c r="U382" s="5">
        <f>F382+J382</f>
        <v/>
      </c>
      <c r="V382" s="5">
        <f>O382-U382</f>
        <v/>
      </c>
      <c r="W382" s="5">
        <f>O382-(P382+R382)</f>
        <v/>
      </c>
      <c r="X382" s="5">
        <f>O382-(P382+Q382+R382)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  <c r="S383" s="5">
        <f>F383*20%</f>
        <v/>
      </c>
      <c r="T383" s="5">
        <f>J383-S383</f>
        <v/>
      </c>
      <c r="U383" s="5">
        <f>F383+J383</f>
        <v/>
      </c>
      <c r="V383" s="5">
        <f>O383-U383</f>
        <v/>
      </c>
      <c r="W383" s="5">
        <f>O383-(P383+R383)</f>
        <v/>
      </c>
      <c r="X383" s="5">
        <f>O383-(P383+Q383+R383)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  <c r="S384" s="5">
        <f>F384*20%</f>
        <v/>
      </c>
      <c r="T384" s="5">
        <f>J384-S384</f>
        <v/>
      </c>
      <c r="U384" s="5">
        <f>F384+J384</f>
        <v/>
      </c>
      <c r="V384" s="5">
        <f>O384-U384</f>
        <v/>
      </c>
      <c r="W384" s="5">
        <f>O384-(P384+R384)</f>
        <v/>
      </c>
      <c r="X384" s="5">
        <f>O384-(P384+Q384+R384)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F385*20%</f>
        <v/>
      </c>
      <c r="T385" s="5">
        <f>J385-S385</f>
        <v/>
      </c>
      <c r="U385" s="5">
        <f>F385+J385</f>
        <v/>
      </c>
      <c r="V385" s="5">
        <f>O385-U385</f>
        <v/>
      </c>
      <c r="W385" s="5">
        <f>O385-(P385+R385)</f>
        <v/>
      </c>
      <c r="X385" s="5">
        <f>O385-(P385+Q385+R385)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  <c r="S386" s="5">
        <f>F386*20%</f>
        <v/>
      </c>
      <c r="T386" s="5">
        <f>J386-S386</f>
        <v/>
      </c>
      <c r="U386" s="5">
        <f>F386+J386</f>
        <v/>
      </c>
      <c r="V386" s="5">
        <f>O386-U386</f>
        <v/>
      </c>
      <c r="W386" s="5">
        <f>O386-(P386+R386)</f>
        <v/>
      </c>
      <c r="X386" s="5">
        <f>O386-(P386+Q386+R386)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  <c r="S387" s="5">
        <f>F387*20%</f>
        <v/>
      </c>
      <c r="T387" s="5">
        <f>J387-S387</f>
        <v/>
      </c>
      <c r="U387" s="5">
        <f>F387+J387</f>
        <v/>
      </c>
      <c r="V387" s="5">
        <f>O387-U387</f>
        <v/>
      </c>
      <c r="W387" s="5">
        <f>O387-(P387+R387)</f>
        <v/>
      </c>
      <c r="X387" s="5">
        <f>O387-(P387+Q387+R387)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  <c r="S388" s="5">
        <f>F388*20%</f>
        <v/>
      </c>
      <c r="T388" s="5">
        <f>J388-S388</f>
        <v/>
      </c>
      <c r="U388" s="5">
        <f>F388+J388</f>
        <v/>
      </c>
      <c r="V388" s="5">
        <f>O388-U388</f>
        <v/>
      </c>
      <c r="W388" s="5">
        <f>O388-(P388+R388)</f>
        <v/>
      </c>
      <c r="X388" s="5">
        <f>O388-(P388+Q388+R388)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  <c r="S389" s="5">
        <f>F389*20%</f>
        <v/>
      </c>
      <c r="T389" s="5">
        <f>J389-S389</f>
        <v/>
      </c>
      <c r="U389" s="5">
        <f>F389+J389</f>
        <v/>
      </c>
      <c r="V389" s="5">
        <f>O389-U389</f>
        <v/>
      </c>
      <c r="W389" s="5">
        <f>O389-(P389+R389)</f>
        <v/>
      </c>
      <c r="X389" s="5">
        <f>O389-(P389+Q389+R389)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  <c r="S390" s="5">
        <f>F390*20%</f>
        <v/>
      </c>
      <c r="T390" s="5">
        <f>J390-S390</f>
        <v/>
      </c>
      <c r="U390" s="5">
        <f>F390+J390</f>
        <v/>
      </c>
      <c r="V390" s="5">
        <f>O390-U390</f>
        <v/>
      </c>
      <c r="W390" s="5">
        <f>O390-(P390+R390)</f>
        <v/>
      </c>
      <c r="X390" s="5">
        <f>O390-(P390+Q390+R390)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  <c r="S391" s="5">
        <f>F391*20%</f>
        <v/>
      </c>
      <c r="T391" s="5">
        <f>J391-S391</f>
        <v/>
      </c>
      <c r="U391" s="5">
        <f>F391+J391</f>
        <v/>
      </c>
      <c r="V391" s="5">
        <f>O391-U391</f>
        <v/>
      </c>
      <c r="W391" s="5">
        <f>O391-(P391+R391)</f>
        <v/>
      </c>
      <c r="X391" s="5">
        <f>O391-(P391+Q391+R391)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  <c r="S392" s="5">
        <f>F392*20%</f>
        <v/>
      </c>
      <c r="T392" s="5">
        <f>J392-S392</f>
        <v/>
      </c>
      <c r="U392" s="5">
        <f>F392+J392</f>
        <v/>
      </c>
      <c r="V392" s="5">
        <f>O392-U392</f>
        <v/>
      </c>
      <c r="W392" s="5">
        <f>O392-(P392+R392)</f>
        <v/>
      </c>
      <c r="X392" s="5">
        <f>O392-(P392+Q392+R392)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  <c r="S393" s="5">
        <f>F393*20%</f>
        <v/>
      </c>
      <c r="T393" s="5">
        <f>J393-S393</f>
        <v/>
      </c>
      <c r="U393" s="5">
        <f>F393+J393</f>
        <v/>
      </c>
      <c r="V393" s="5">
        <f>O393-U393</f>
        <v/>
      </c>
      <c r="W393" s="5">
        <f>O393-(P393+R393)</f>
        <v/>
      </c>
      <c r="X393" s="5">
        <f>O393-(P393+Q393+R393)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  <c r="S394" s="5">
        <f>F394*20%</f>
        <v/>
      </c>
      <c r="T394" s="5">
        <f>J394-S394</f>
        <v/>
      </c>
      <c r="U394" s="5">
        <f>F394+J394</f>
        <v/>
      </c>
      <c r="V394" s="5">
        <f>O394-U394</f>
        <v/>
      </c>
      <c r="W394" s="5">
        <f>O394-(P394+R394)</f>
        <v/>
      </c>
      <c r="X394" s="5">
        <f>O394-(P394+Q394+R394)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  <c r="S395" s="5">
        <f>F395*20%</f>
        <v/>
      </c>
      <c r="T395" s="5">
        <f>J395-S395</f>
        <v/>
      </c>
      <c r="U395" s="5">
        <f>F395+J395</f>
        <v/>
      </c>
      <c r="V395" s="5">
        <f>O395-U395</f>
        <v/>
      </c>
      <c r="W395" s="5">
        <f>O395-(P395+R395)</f>
        <v/>
      </c>
      <c r="X395" s="5">
        <f>O395-(P395+Q395+R395)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  <c r="S396" s="5">
        <f>F396*20%</f>
        <v/>
      </c>
      <c r="T396" s="5">
        <f>J396-S396</f>
        <v/>
      </c>
      <c r="U396" s="5">
        <f>F396+J396</f>
        <v/>
      </c>
      <c r="V396" s="5">
        <f>O396-U396</f>
        <v/>
      </c>
      <c r="W396" s="5">
        <f>O396-(P396+R396)</f>
        <v/>
      </c>
      <c r="X396" s="5">
        <f>O396-(P396+Q396+R396)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  <c r="S397" s="5">
        <f>F397*20%</f>
        <v/>
      </c>
      <c r="T397" s="5">
        <f>J397-S397</f>
        <v/>
      </c>
      <c r="U397" s="5">
        <f>F397+J397</f>
        <v/>
      </c>
      <c r="V397" s="5">
        <f>O397-U397</f>
        <v/>
      </c>
      <c r="W397" s="5">
        <f>O397-(P397+R397)</f>
        <v/>
      </c>
      <c r="X397" s="5">
        <f>O397-(P397+Q397+R397)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  <c r="S398" s="5">
        <f>F398*20%</f>
        <v/>
      </c>
      <c r="T398" s="5">
        <f>J398-S398</f>
        <v/>
      </c>
      <c r="U398" s="5">
        <f>F398+J398</f>
        <v/>
      </c>
      <c r="V398" s="5">
        <f>O398-U398</f>
        <v/>
      </c>
      <c r="W398" s="5">
        <f>O398-(P398+R398)</f>
        <v/>
      </c>
      <c r="X398" s="5">
        <f>O398-(P398+Q398+R398)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>
        <f>F399*20%</f>
        <v/>
      </c>
      <c r="T399" s="5">
        <f>J399-S399</f>
        <v/>
      </c>
      <c r="U399" s="5">
        <f>F399+J399</f>
        <v/>
      </c>
      <c r="V399" s="5">
        <f>O399-U399</f>
        <v/>
      </c>
      <c r="W399" s="5">
        <f>O399-(P399+R399)</f>
        <v/>
      </c>
      <c r="X399" s="5">
        <f>O399-(P399+Q399+R399)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  <c r="S400" s="5">
        <f>F400*20%</f>
        <v/>
      </c>
      <c r="T400" s="5">
        <f>J400-S400</f>
        <v/>
      </c>
      <c r="U400" s="5">
        <f>F400+J400</f>
        <v/>
      </c>
      <c r="V400" s="5">
        <f>O400-U400</f>
        <v/>
      </c>
      <c r="W400" s="5">
        <f>O400-(P400+R400)</f>
        <v/>
      </c>
      <c r="X400" s="5">
        <f>O400-(P400+Q400+R400)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  <c r="S401" s="5">
        <f>F401*20%</f>
        <v/>
      </c>
      <c r="T401" s="5">
        <f>J401-S401</f>
        <v/>
      </c>
      <c r="U401" s="5">
        <f>F401+J401</f>
        <v/>
      </c>
      <c r="V401" s="5">
        <f>O401-U401</f>
        <v/>
      </c>
      <c r="W401" s="5">
        <f>O401-(P401+R401)</f>
        <v/>
      </c>
      <c r="X401" s="5">
        <f>O401-(P401+Q401+R401)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  <c r="S402" s="5">
        <f>F402*20%</f>
        <v/>
      </c>
      <c r="T402" s="5">
        <f>J402-S402</f>
        <v/>
      </c>
      <c r="U402" s="5">
        <f>F402+J402</f>
        <v/>
      </c>
      <c r="V402" s="5">
        <f>O402-U402</f>
        <v/>
      </c>
      <c r="W402" s="5">
        <f>O402-(P402+R402)</f>
        <v/>
      </c>
      <c r="X402" s="5">
        <f>O402-(P402+Q402+R402)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  <c r="S403" s="5">
        <f>F403*20%</f>
        <v/>
      </c>
      <c r="T403" s="5">
        <f>J403-S403</f>
        <v/>
      </c>
      <c r="U403" s="5">
        <f>F403+J403</f>
        <v/>
      </c>
      <c r="V403" s="5">
        <f>O403-U403</f>
        <v/>
      </c>
      <c r="W403" s="5">
        <f>O403-(P403+R403)</f>
        <v/>
      </c>
      <c r="X403" s="5">
        <f>O403-(P403+Q403+R403)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  <c r="S404" s="5">
        <f>F404*20%</f>
        <v/>
      </c>
      <c r="T404" s="5">
        <f>J404-S404</f>
        <v/>
      </c>
      <c r="U404" s="5">
        <f>F404+J404</f>
        <v/>
      </c>
      <c r="V404" s="5">
        <f>O404-U404</f>
        <v/>
      </c>
      <c r="W404" s="5">
        <f>O404-(P404+R404)</f>
        <v/>
      </c>
      <c r="X404" s="5">
        <f>O404-(P404+Q404+R404)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  <c r="S405" s="5">
        <f>F405*20%</f>
        <v/>
      </c>
      <c r="T405" s="5">
        <f>J405-S405</f>
        <v/>
      </c>
      <c r="U405" s="5">
        <f>F405+J405</f>
        <v/>
      </c>
      <c r="V405" s="5">
        <f>O405-U405</f>
        <v/>
      </c>
      <c r="W405" s="5">
        <f>O405-(P405+R405)</f>
        <v/>
      </c>
      <c r="X405" s="5">
        <f>O405-(P405+Q405+R405)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  <c r="S406" s="5">
        <f>F406*20%</f>
        <v/>
      </c>
      <c r="T406" s="5">
        <f>J406-S406</f>
        <v/>
      </c>
      <c r="U406" s="5">
        <f>F406+J406</f>
        <v/>
      </c>
      <c r="V406" s="5">
        <f>O406-U406</f>
        <v/>
      </c>
      <c r="W406" s="5">
        <f>O406-(P406+R406)</f>
        <v/>
      </c>
      <c r="X406" s="5">
        <f>O406-(P406+Q406+R406)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  <c r="S407" s="5">
        <f>F407*20%</f>
        <v/>
      </c>
      <c r="T407" s="5">
        <f>J407-S407</f>
        <v/>
      </c>
      <c r="U407" s="5">
        <f>F407+J407</f>
        <v/>
      </c>
      <c r="V407" s="5">
        <f>O407-U407</f>
        <v/>
      </c>
      <c r="W407" s="5">
        <f>O407-(P407+R407)</f>
        <v/>
      </c>
      <c r="X407" s="5">
        <f>O407-(P407+Q407+R407)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  <c r="S408" s="5">
        <f>F408*20%</f>
        <v/>
      </c>
      <c r="T408" s="5">
        <f>J408-S408</f>
        <v/>
      </c>
      <c r="U408" s="5">
        <f>F408+J408</f>
        <v/>
      </c>
      <c r="V408" s="5">
        <f>O408-U408</f>
        <v/>
      </c>
      <c r="W408" s="5">
        <f>O408-(P408+R408)</f>
        <v/>
      </c>
      <c r="X408" s="5">
        <f>O408-(P408+Q408+R408)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  <c r="S409" s="5">
        <f>F409*20%</f>
        <v/>
      </c>
      <c r="T409" s="5">
        <f>J409-S409</f>
        <v/>
      </c>
      <c r="U409" s="5">
        <f>F409+J409</f>
        <v/>
      </c>
      <c r="V409" s="5">
        <f>O409-U409</f>
        <v/>
      </c>
      <c r="W409" s="5">
        <f>O409-(P409+R409)</f>
        <v/>
      </c>
      <c r="X409" s="5">
        <f>O409-(P409+Q409+R409)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  <c r="S410" s="5">
        <f>F410*20%</f>
        <v/>
      </c>
      <c r="T410" s="5">
        <f>J410-S410</f>
        <v/>
      </c>
      <c r="U410" s="5">
        <f>F410+J410</f>
        <v/>
      </c>
      <c r="V410" s="5">
        <f>O410-U410</f>
        <v/>
      </c>
      <c r="W410" s="5">
        <f>O410-(P410+R410)</f>
        <v/>
      </c>
      <c r="X410" s="5">
        <f>O410-(P410+Q410+R410)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  <c r="S411" s="5">
        <f>F411*20%</f>
        <v/>
      </c>
      <c r="T411" s="5">
        <f>J411-S411</f>
        <v/>
      </c>
      <c r="U411" s="5">
        <f>F411+J411</f>
        <v/>
      </c>
      <c r="V411" s="5">
        <f>O411-U411</f>
        <v/>
      </c>
      <c r="W411" s="5">
        <f>O411-(P411+R411)</f>
        <v/>
      </c>
      <c r="X411" s="5">
        <f>O411-(P411+Q411+R411)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>
        <f>F412*20%</f>
        <v/>
      </c>
      <c r="T412" s="5">
        <f>J412-S412</f>
        <v/>
      </c>
      <c r="U412" s="5">
        <f>F412+J412</f>
        <v/>
      </c>
      <c r="V412" s="5">
        <f>O412-U412</f>
        <v/>
      </c>
      <c r="W412" s="5">
        <f>O412-(P412+R412)</f>
        <v/>
      </c>
      <c r="X412" s="5">
        <f>O412-(P412+Q412+R412)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  <c r="S413" s="5">
        <f>F413*20%</f>
        <v/>
      </c>
      <c r="T413" s="5">
        <f>J413-S413</f>
        <v/>
      </c>
      <c r="U413" s="5">
        <f>F413+J413</f>
        <v/>
      </c>
      <c r="V413" s="5">
        <f>O413-U413</f>
        <v/>
      </c>
      <c r="W413" s="5">
        <f>O413-(P413+R413)</f>
        <v/>
      </c>
      <c r="X413" s="5">
        <f>O413-(P413+Q413+R413)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  <c r="S414" s="5">
        <f>F414*20%</f>
        <v/>
      </c>
      <c r="T414" s="5">
        <f>J414-S414</f>
        <v/>
      </c>
      <c r="U414" s="5">
        <f>F414+J414</f>
        <v/>
      </c>
      <c r="V414" s="5">
        <f>O414-U414</f>
        <v/>
      </c>
      <c r="W414" s="5">
        <f>O414-(P414+R414)</f>
        <v/>
      </c>
      <c r="X414" s="5">
        <f>O414-(P414+Q414+R414)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F415*20%</f>
        <v/>
      </c>
      <c r="T415" s="5">
        <f>J415-S415</f>
        <v/>
      </c>
      <c r="U415" s="5">
        <f>F415+J415</f>
        <v/>
      </c>
      <c r="V415" s="5">
        <f>O415-U415</f>
        <v/>
      </c>
      <c r="W415" s="5">
        <f>O415-(P415+R415)</f>
        <v/>
      </c>
      <c r="X415" s="5">
        <f>O415-(P415+Q415+R415)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  <c r="S416" s="5">
        <f>F416*20%</f>
        <v/>
      </c>
      <c r="T416" s="5">
        <f>J416-S416</f>
        <v/>
      </c>
      <c r="U416" s="5">
        <f>F416+J416</f>
        <v/>
      </c>
      <c r="V416" s="5">
        <f>O416-U416</f>
        <v/>
      </c>
      <c r="W416" s="5">
        <f>O416-(P416+R416)</f>
        <v/>
      </c>
      <c r="X416" s="5">
        <f>O416-(P416+Q416+R416)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  <c r="S417" s="5">
        <f>F417*20%</f>
        <v/>
      </c>
      <c r="T417" s="5">
        <f>J417-S417</f>
        <v/>
      </c>
      <c r="U417" s="5">
        <f>F417+J417</f>
        <v/>
      </c>
      <c r="V417" s="5">
        <f>O417-U417</f>
        <v/>
      </c>
      <c r="W417" s="5">
        <f>O417-(P417+R417)</f>
        <v/>
      </c>
      <c r="X417" s="5">
        <f>O417-(P417+Q417+R417)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  <c r="S418" s="5">
        <f>F418*20%</f>
        <v/>
      </c>
      <c r="T418" s="5">
        <f>J418-S418</f>
        <v/>
      </c>
      <c r="U418" s="5">
        <f>F418+J418</f>
        <v/>
      </c>
      <c r="V418" s="5">
        <f>O418-U418</f>
        <v/>
      </c>
      <c r="W418" s="5">
        <f>O418-(P418+R418)</f>
        <v/>
      </c>
      <c r="X418" s="5">
        <f>O418-(P418+Q418+R418)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  <c r="S419" s="5">
        <f>F419*20%</f>
        <v/>
      </c>
      <c r="T419" s="5">
        <f>J419-S419</f>
        <v/>
      </c>
      <c r="U419" s="5">
        <f>F419+J419</f>
        <v/>
      </c>
      <c r="V419" s="5">
        <f>O419-U419</f>
        <v/>
      </c>
      <c r="W419" s="5">
        <f>O419-(P419+R419)</f>
        <v/>
      </c>
      <c r="X419" s="5">
        <f>O419-(P419+Q419+R419)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  <c r="S420" s="5">
        <f>F420*20%</f>
        <v/>
      </c>
      <c r="T420" s="5">
        <f>J420-S420</f>
        <v/>
      </c>
      <c r="U420" s="5">
        <f>F420+J420</f>
        <v/>
      </c>
      <c r="V420" s="5">
        <f>O420-U420</f>
        <v/>
      </c>
      <c r="W420" s="5">
        <f>O420-(P420+R420)</f>
        <v/>
      </c>
      <c r="X420" s="5">
        <f>O420-(P420+Q420+R420)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  <c r="S421" s="5">
        <f>F421*20%</f>
        <v/>
      </c>
      <c r="T421" s="5">
        <f>J421-S421</f>
        <v/>
      </c>
      <c r="U421" s="5">
        <f>F421+J421</f>
        <v/>
      </c>
      <c r="V421" s="5">
        <f>O421-U421</f>
        <v/>
      </c>
      <c r="W421" s="5">
        <f>O421-(P421+R421)</f>
        <v/>
      </c>
      <c r="X421" s="5">
        <f>O421-(P421+Q421+R421)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  <c r="S422" s="5">
        <f>F422*20%</f>
        <v/>
      </c>
      <c r="T422" s="5">
        <f>J422-S422</f>
        <v/>
      </c>
      <c r="U422" s="5">
        <f>F422+J422</f>
        <v/>
      </c>
      <c r="V422" s="5">
        <f>O422-U422</f>
        <v/>
      </c>
      <c r="W422" s="5">
        <f>O422-(P422+R422)</f>
        <v/>
      </c>
      <c r="X422" s="5">
        <f>O422-(P422+Q422+R422)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  <c r="S423" s="5">
        <f>F423*20%</f>
        <v/>
      </c>
      <c r="T423" s="5">
        <f>J423-S423</f>
        <v/>
      </c>
      <c r="U423" s="5">
        <f>F423+J423</f>
        <v/>
      </c>
      <c r="V423" s="5">
        <f>O423-U423</f>
        <v/>
      </c>
      <c r="W423" s="5">
        <f>O423-(P423+R423)</f>
        <v/>
      </c>
      <c r="X423" s="5">
        <f>O423-(P423+Q423+R423)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  <c r="S424" s="5">
        <f>F424*20%</f>
        <v/>
      </c>
      <c r="T424" s="5">
        <f>J424-S424</f>
        <v/>
      </c>
      <c r="U424" s="5">
        <f>F424+J424</f>
        <v/>
      </c>
      <c r="V424" s="5">
        <f>O424-U424</f>
        <v/>
      </c>
      <c r="W424" s="5">
        <f>O424-(P424+R424)</f>
        <v/>
      </c>
      <c r="X424" s="5">
        <f>O424-(P424+Q424+R424)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  <c r="S425" s="5">
        <f>F425*20%</f>
        <v/>
      </c>
      <c r="T425" s="5">
        <f>J425-S425</f>
        <v/>
      </c>
      <c r="U425" s="5">
        <f>F425+J425</f>
        <v/>
      </c>
      <c r="V425" s="5">
        <f>O425-U425</f>
        <v/>
      </c>
      <c r="W425" s="5">
        <f>O425-(P425+R425)</f>
        <v/>
      </c>
      <c r="X425" s="5">
        <f>O425-(P425+Q425+R425)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  <c r="S426" s="5">
        <f>F426*20%</f>
        <v/>
      </c>
      <c r="T426" s="5">
        <f>J426-S426</f>
        <v/>
      </c>
      <c r="U426" s="5">
        <f>F426+J426</f>
        <v/>
      </c>
      <c r="V426" s="5">
        <f>O426-U426</f>
        <v/>
      </c>
      <c r="W426" s="5">
        <f>O426-(P426+R426)</f>
        <v/>
      </c>
      <c r="X426" s="5">
        <f>O426-(P426+Q426+R426)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>
        <f>F427*20%</f>
        <v/>
      </c>
      <c r="T427" s="5">
        <f>J427-S427</f>
        <v/>
      </c>
      <c r="U427" s="5">
        <f>F427+J427</f>
        <v/>
      </c>
      <c r="V427" s="5">
        <f>O427-U427</f>
        <v/>
      </c>
      <c r="W427" s="5">
        <f>O427-(P427+R427)</f>
        <v/>
      </c>
      <c r="X427" s="5">
        <f>O427-(P427+Q427+R427)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  <c r="S428" s="5">
        <f>F428*20%</f>
        <v/>
      </c>
      <c r="T428" s="5">
        <f>J428-S428</f>
        <v/>
      </c>
      <c r="U428" s="5">
        <f>F428+J428</f>
        <v/>
      </c>
      <c r="V428" s="5">
        <f>O428-U428</f>
        <v/>
      </c>
      <c r="W428" s="5">
        <f>O428-(P428+R428)</f>
        <v/>
      </c>
      <c r="X428" s="5">
        <f>O428-(P428+Q428+R428)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  <c r="S429" s="5">
        <f>F429*20%</f>
        <v/>
      </c>
      <c r="T429" s="5">
        <f>J429-S429</f>
        <v/>
      </c>
      <c r="U429" s="5">
        <f>F429+J429</f>
        <v/>
      </c>
      <c r="V429" s="5">
        <f>O429-U429</f>
        <v/>
      </c>
      <c r="W429" s="5">
        <f>O429-(P429+R429)</f>
        <v/>
      </c>
      <c r="X429" s="5">
        <f>O429-(P429+Q429+R429)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  <c r="S430" s="5">
        <f>F430*20%</f>
        <v/>
      </c>
      <c r="T430" s="5">
        <f>J430-S430</f>
        <v/>
      </c>
      <c r="U430" s="5">
        <f>F430+J430</f>
        <v/>
      </c>
      <c r="V430" s="5">
        <f>O430-U430</f>
        <v/>
      </c>
      <c r="W430" s="5">
        <f>O430-(P430+R430)</f>
        <v/>
      </c>
      <c r="X430" s="5">
        <f>O430-(P430+Q430+R430)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  <c r="S431" s="5">
        <f>F431*20%</f>
        <v/>
      </c>
      <c r="T431" s="5">
        <f>J431-S431</f>
        <v/>
      </c>
      <c r="U431" s="5">
        <f>F431+J431</f>
        <v/>
      </c>
      <c r="V431" s="5">
        <f>O431-U431</f>
        <v/>
      </c>
      <c r="W431" s="5">
        <f>O431-(P431+R431)</f>
        <v/>
      </c>
      <c r="X431" s="5">
        <f>O431-(P431+Q431+R431)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F432*20%</f>
        <v/>
      </c>
      <c r="T432" s="5">
        <f>J432-S432</f>
        <v/>
      </c>
      <c r="U432" s="5">
        <f>F432+J432</f>
        <v/>
      </c>
      <c r="V432" s="5">
        <f>O432-U432</f>
        <v/>
      </c>
      <c r="W432" s="5">
        <f>O432-(P432+R432)</f>
        <v/>
      </c>
      <c r="X432" s="5">
        <f>O432-(P432+Q432+R432)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>
        <f>F433*20%</f>
        <v/>
      </c>
      <c r="T433" s="5">
        <f>J433-S433</f>
        <v/>
      </c>
      <c r="U433" s="5">
        <f>F433+J433</f>
        <v/>
      </c>
      <c r="V433" s="5">
        <f>O433-U433</f>
        <v/>
      </c>
      <c r="W433" s="5">
        <f>O433-(P433+R433)</f>
        <v/>
      </c>
      <c r="X433" s="5">
        <f>O433-(P433+Q433+R433)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  <c r="S434" s="5">
        <f>F434*20%</f>
        <v/>
      </c>
      <c r="T434" s="5">
        <f>J434-S434</f>
        <v/>
      </c>
      <c r="U434" s="5">
        <f>F434+J434</f>
        <v/>
      </c>
      <c r="V434" s="5">
        <f>O434-U434</f>
        <v/>
      </c>
      <c r="W434" s="5">
        <f>O434-(P434+R434)</f>
        <v/>
      </c>
      <c r="X434" s="5">
        <f>O434-(P434+Q434+R434)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  <c r="S435" s="5">
        <f>F435*20%</f>
        <v/>
      </c>
      <c r="T435" s="5">
        <f>J435-S435</f>
        <v/>
      </c>
      <c r="U435" s="5">
        <f>F435+J435</f>
        <v/>
      </c>
      <c r="V435" s="5">
        <f>O435-U435</f>
        <v/>
      </c>
      <c r="W435" s="5">
        <f>O435-(P435+R435)</f>
        <v/>
      </c>
      <c r="X435" s="5">
        <f>O435-(P435+Q435+R435)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  <c r="S436" s="5">
        <f>F436*20%</f>
        <v/>
      </c>
      <c r="T436" s="5">
        <f>J436-S436</f>
        <v/>
      </c>
      <c r="U436" s="5">
        <f>F436+J436</f>
        <v/>
      </c>
      <c r="V436" s="5">
        <f>O436-U436</f>
        <v/>
      </c>
      <c r="W436" s="5">
        <f>O436-(P436+R436)</f>
        <v/>
      </c>
      <c r="X436" s="5">
        <f>O436-(P436+Q436+R436)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  <c r="S437" s="5">
        <f>F437*20%</f>
        <v/>
      </c>
      <c r="T437" s="5">
        <f>J437-S437</f>
        <v/>
      </c>
      <c r="U437" s="5">
        <f>F437+J437</f>
        <v/>
      </c>
      <c r="V437" s="5">
        <f>O437-U437</f>
        <v/>
      </c>
      <c r="W437" s="5">
        <f>O437-(P437+R437)</f>
        <v/>
      </c>
      <c r="X437" s="5">
        <f>O437-(P437+Q437+R437)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  <c r="S438" s="5">
        <f>F438*20%</f>
        <v/>
      </c>
      <c r="T438" s="5">
        <f>J438-S438</f>
        <v/>
      </c>
      <c r="U438" s="5">
        <f>F438+J438</f>
        <v/>
      </c>
      <c r="V438" s="5">
        <f>O438-U438</f>
        <v/>
      </c>
      <c r="W438" s="5">
        <f>O438-(P438+R438)</f>
        <v/>
      </c>
      <c r="X438" s="5">
        <f>O438-(P438+Q438+R438)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  <c r="S439" s="5">
        <f>F439*20%</f>
        <v/>
      </c>
      <c r="T439" s="5">
        <f>J439-S439</f>
        <v/>
      </c>
      <c r="U439" s="5">
        <f>F439+J439</f>
        <v/>
      </c>
      <c r="V439" s="5">
        <f>O439-U439</f>
        <v/>
      </c>
      <c r="W439" s="5">
        <f>O439-(P439+R439)</f>
        <v/>
      </c>
      <c r="X439" s="5">
        <f>O439-(P439+Q439+R439)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  <c r="S440" s="5">
        <f>F440*20%</f>
        <v/>
      </c>
      <c r="T440" s="5">
        <f>J440-S440</f>
        <v/>
      </c>
      <c r="U440" s="5">
        <f>F440+J440</f>
        <v/>
      </c>
      <c r="V440" s="5">
        <f>O440-U440</f>
        <v/>
      </c>
      <c r="W440" s="5">
        <f>O440-(P440+R440)</f>
        <v/>
      </c>
      <c r="X440" s="5">
        <f>O440-(P440+Q440+R440)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  <c r="S441" s="5">
        <f>F441*20%</f>
        <v/>
      </c>
      <c r="T441" s="5">
        <f>J441-S441</f>
        <v/>
      </c>
      <c r="U441" s="5">
        <f>F441+J441</f>
        <v/>
      </c>
      <c r="V441" s="5">
        <f>O441-U441</f>
        <v/>
      </c>
      <c r="W441" s="5">
        <f>O441-(P441+R441)</f>
        <v/>
      </c>
      <c r="X441" s="5">
        <f>O441-(P441+Q441+R441)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  <c r="S442" s="5">
        <f>F442*20%</f>
        <v/>
      </c>
      <c r="T442" s="5">
        <f>J442-S442</f>
        <v/>
      </c>
      <c r="U442" s="5">
        <f>F442+J442</f>
        <v/>
      </c>
      <c r="V442" s="5">
        <f>O442-U442</f>
        <v/>
      </c>
      <c r="W442" s="5">
        <f>O442-(P442+R442)</f>
        <v/>
      </c>
      <c r="X442" s="5">
        <f>O442-(P442+Q442+R442)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  <c r="S443" s="5">
        <f>F443*20%</f>
        <v/>
      </c>
      <c r="T443" s="5">
        <f>J443-S443</f>
        <v/>
      </c>
      <c r="U443" s="5">
        <f>F443+J443</f>
        <v/>
      </c>
      <c r="V443" s="5">
        <f>O443-U443</f>
        <v/>
      </c>
      <c r="W443" s="5">
        <f>O443-(P443+R443)</f>
        <v/>
      </c>
      <c r="X443" s="5">
        <f>O443-(P443+Q443+R443)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  <c r="S444" s="5">
        <f>F444*20%</f>
        <v/>
      </c>
      <c r="T444" s="5">
        <f>J444-S444</f>
        <v/>
      </c>
      <c r="U444" s="5">
        <f>F444+J444</f>
        <v/>
      </c>
      <c r="V444" s="5">
        <f>O444-U444</f>
        <v/>
      </c>
      <c r="W444" s="5">
        <f>O444-(P444+R444)</f>
        <v/>
      </c>
      <c r="X444" s="5">
        <f>O444-(P444+Q444+R444)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  <c r="S445" s="5">
        <f>F445*20%</f>
        <v/>
      </c>
      <c r="T445" s="5">
        <f>J445-S445</f>
        <v/>
      </c>
      <c r="U445" s="5">
        <f>F445+J445</f>
        <v/>
      </c>
      <c r="V445" s="5">
        <f>O445-U445</f>
        <v/>
      </c>
      <c r="W445" s="5">
        <f>O445-(P445+R445)</f>
        <v/>
      </c>
      <c r="X445" s="5">
        <f>O445-(P445+Q445+R445)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  <c r="S446" s="5">
        <f>F446*20%</f>
        <v/>
      </c>
      <c r="T446" s="5">
        <f>J446-S446</f>
        <v/>
      </c>
      <c r="U446" s="5">
        <f>F446+J446</f>
        <v/>
      </c>
      <c r="V446" s="5">
        <f>O446-U446</f>
        <v/>
      </c>
      <c r="W446" s="5">
        <f>O446-(P446+R446)</f>
        <v/>
      </c>
      <c r="X446" s="5">
        <f>O446-(P446+Q446+R446)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>
        <f>F447*20%</f>
        <v/>
      </c>
      <c r="T447" s="5">
        <f>J447-S447</f>
        <v/>
      </c>
      <c r="U447" s="5">
        <f>F447+J447</f>
        <v/>
      </c>
      <c r="V447" s="5">
        <f>O447-U447</f>
        <v/>
      </c>
      <c r="W447" s="5">
        <f>O447-(P447+R447)</f>
        <v/>
      </c>
      <c r="X447" s="5">
        <f>O447-(P447+Q447+R447)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  <c r="S448" s="5">
        <f>F448*20%</f>
        <v/>
      </c>
      <c r="T448" s="5">
        <f>J448-S448</f>
        <v/>
      </c>
      <c r="U448" s="5">
        <f>F448+J448</f>
        <v/>
      </c>
      <c r="V448" s="5">
        <f>O448-U448</f>
        <v/>
      </c>
      <c r="W448" s="5">
        <f>O448-(P448+R448)</f>
        <v/>
      </c>
      <c r="X448" s="5">
        <f>O448-(P448+Q448+R448)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  <c r="S449" s="5">
        <f>F449*20%</f>
        <v/>
      </c>
      <c r="T449" s="5">
        <f>J449-S449</f>
        <v/>
      </c>
      <c r="U449" s="5">
        <f>F449+J449</f>
        <v/>
      </c>
      <c r="V449" s="5">
        <f>O449-U449</f>
        <v/>
      </c>
      <c r="W449" s="5">
        <f>O449-(P449+R449)</f>
        <v/>
      </c>
      <c r="X449" s="5">
        <f>O449-(P449+Q449+R449)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  <c r="S450" s="5">
        <f>F450*20%</f>
        <v/>
      </c>
      <c r="T450" s="5">
        <f>J450-S450</f>
        <v/>
      </c>
      <c r="U450" s="5">
        <f>F450+J450</f>
        <v/>
      </c>
      <c r="V450" s="5">
        <f>O450-U450</f>
        <v/>
      </c>
      <c r="W450" s="5">
        <f>O450-(P450+R450)</f>
        <v/>
      </c>
      <c r="X450" s="5">
        <f>O450-(P450+Q450+R450)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>
        <f>F451*20%</f>
        <v/>
      </c>
      <c r="T451" s="5">
        <f>J451-S451</f>
        <v/>
      </c>
      <c r="U451" s="5">
        <f>F451+J451</f>
        <v/>
      </c>
      <c r="V451" s="5">
        <f>O451-U451</f>
        <v/>
      </c>
      <c r="W451" s="5">
        <f>O451-(P451+R451)</f>
        <v/>
      </c>
      <c r="X451" s="5">
        <f>O451-(P451+Q451+R451)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F452*20%</f>
        <v/>
      </c>
      <c r="T452" s="5">
        <f>J452-S452</f>
        <v/>
      </c>
      <c r="U452" s="5">
        <f>F452+J452</f>
        <v/>
      </c>
      <c r="V452" s="5">
        <f>O452-U452</f>
        <v/>
      </c>
      <c r="W452" s="5">
        <f>O452-(P452+R452)</f>
        <v/>
      </c>
      <c r="X452" s="5">
        <f>O452-(P452+Q452+R452)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  <c r="S453" s="5">
        <f>F453*20%</f>
        <v/>
      </c>
      <c r="T453" s="5">
        <f>J453-S453</f>
        <v/>
      </c>
      <c r="U453" s="5">
        <f>F453+J453</f>
        <v/>
      </c>
      <c r="V453" s="5">
        <f>O453-U453</f>
        <v/>
      </c>
      <c r="W453" s="5">
        <f>O453-(P453+R453)</f>
        <v/>
      </c>
      <c r="X453" s="5">
        <f>O453-(P453+Q453+R453)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  <c r="S454" s="5">
        <f>F454*20%</f>
        <v/>
      </c>
      <c r="T454" s="5">
        <f>J454-S454</f>
        <v/>
      </c>
      <c r="U454" s="5">
        <f>F454+J454</f>
        <v/>
      </c>
      <c r="V454" s="5">
        <f>O454-U454</f>
        <v/>
      </c>
      <c r="W454" s="5">
        <f>O454-(P454+R454)</f>
        <v/>
      </c>
      <c r="X454" s="5">
        <f>O454-(P454+Q454+R454)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  <c r="S455" s="5">
        <f>F455*20%</f>
        <v/>
      </c>
      <c r="T455" s="5">
        <f>J455-S455</f>
        <v/>
      </c>
      <c r="U455" s="5">
        <f>F455+J455</f>
        <v/>
      </c>
      <c r="V455" s="5">
        <f>O455-U455</f>
        <v/>
      </c>
      <c r="W455" s="5">
        <f>O455-(P455+R455)</f>
        <v/>
      </c>
      <c r="X455" s="5">
        <f>O455-(P455+Q455+R455)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  <c r="S456" s="5">
        <f>F456*20%</f>
        <v/>
      </c>
      <c r="T456" s="5">
        <f>J456-S456</f>
        <v/>
      </c>
      <c r="U456" s="5">
        <f>F456+J456</f>
        <v/>
      </c>
      <c r="V456" s="5">
        <f>O456-U456</f>
        <v/>
      </c>
      <c r="W456" s="5">
        <f>O456-(P456+R456)</f>
        <v/>
      </c>
      <c r="X456" s="5">
        <f>O456-(P456+Q456+R456)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  <c r="S457" s="5">
        <f>F457*20%</f>
        <v/>
      </c>
      <c r="T457" s="5">
        <f>J457-S457</f>
        <v/>
      </c>
      <c r="U457" s="5">
        <f>F457+J457</f>
        <v/>
      </c>
      <c r="V457" s="5">
        <f>O457-U457</f>
        <v/>
      </c>
      <c r="W457" s="5">
        <f>O457-(P457+R457)</f>
        <v/>
      </c>
      <c r="X457" s="5">
        <f>O457-(P457+Q457+R457)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  <c r="S458" s="5">
        <f>F458*20%</f>
        <v/>
      </c>
      <c r="T458" s="5">
        <f>J458-S458</f>
        <v/>
      </c>
      <c r="U458" s="5">
        <f>F458+J458</f>
        <v/>
      </c>
      <c r="V458" s="5">
        <f>O458-U458</f>
        <v/>
      </c>
      <c r="W458" s="5">
        <f>O458-(P458+R458)</f>
        <v/>
      </c>
      <c r="X458" s="5">
        <f>O458-(P458+Q458+R458)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  <c r="S459" s="5">
        <f>F459*20%</f>
        <v/>
      </c>
      <c r="T459" s="5">
        <f>J459-S459</f>
        <v/>
      </c>
      <c r="U459" s="5">
        <f>F459+J459</f>
        <v/>
      </c>
      <c r="V459" s="5">
        <f>O459-U459</f>
        <v/>
      </c>
      <c r="W459" s="5">
        <f>O459-(P459+R459)</f>
        <v/>
      </c>
      <c r="X459" s="5">
        <f>O459-(P459+Q459+R459)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  <c r="S460" s="5">
        <f>F460*20%</f>
        <v/>
      </c>
      <c r="T460" s="5">
        <f>J460-S460</f>
        <v/>
      </c>
      <c r="U460" s="5">
        <f>F460+J460</f>
        <v/>
      </c>
      <c r="V460" s="5">
        <f>O460-U460</f>
        <v/>
      </c>
      <c r="W460" s="5">
        <f>O460-(P460+R460)</f>
        <v/>
      </c>
      <c r="X460" s="5">
        <f>O460-(P460+Q460+R460)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  <c r="S461" s="5">
        <f>F461*20%</f>
        <v/>
      </c>
      <c r="T461" s="5">
        <f>J461-S461</f>
        <v/>
      </c>
      <c r="U461" s="5">
        <f>F461+J461</f>
        <v/>
      </c>
      <c r="V461" s="5">
        <f>O461-U461</f>
        <v/>
      </c>
      <c r="W461" s="5">
        <f>O461-(P461+R461)</f>
        <v/>
      </c>
      <c r="X461" s="5">
        <f>O461-(P461+Q461+R461)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  <c r="S462" s="5">
        <f>F462*20%</f>
        <v/>
      </c>
      <c r="T462" s="5">
        <f>J462-S462</f>
        <v/>
      </c>
      <c r="U462" s="5">
        <f>F462+J462</f>
        <v/>
      </c>
      <c r="V462" s="5">
        <f>O462-U462</f>
        <v/>
      </c>
      <c r="W462" s="5">
        <f>O462-(P462+R462)</f>
        <v/>
      </c>
      <c r="X462" s="5">
        <f>O462-(P462+Q462+R462)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  <c r="S463" s="5">
        <f>F463*20%</f>
        <v/>
      </c>
      <c r="T463" s="5">
        <f>J463-S463</f>
        <v/>
      </c>
      <c r="U463" s="5">
        <f>F463+J463</f>
        <v/>
      </c>
      <c r="V463" s="5">
        <f>O463-U463</f>
        <v/>
      </c>
      <c r="W463" s="5">
        <f>O463-(P463+R463)</f>
        <v/>
      </c>
      <c r="X463" s="5">
        <f>O463-(P463+Q463+R463)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  <c r="S464" s="5">
        <f>F464*20%</f>
        <v/>
      </c>
      <c r="T464" s="5">
        <f>J464-S464</f>
        <v/>
      </c>
      <c r="U464" s="5">
        <f>F464+J464</f>
        <v/>
      </c>
      <c r="V464" s="5">
        <f>O464-U464</f>
        <v/>
      </c>
      <c r="W464" s="5">
        <f>O464-(P464+R464)</f>
        <v/>
      </c>
      <c r="X464" s="5">
        <f>O464-(P464+Q464+R464)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  <c r="S465" s="5">
        <f>F465*20%</f>
        <v/>
      </c>
      <c r="T465" s="5">
        <f>J465-S465</f>
        <v/>
      </c>
      <c r="U465" s="5">
        <f>F465+J465</f>
        <v/>
      </c>
      <c r="V465" s="5">
        <f>O465-U465</f>
        <v/>
      </c>
      <c r="W465" s="5">
        <f>O465-(P465+R465)</f>
        <v/>
      </c>
      <c r="X465" s="5">
        <f>O465-(P465+Q465+R465)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F466*20%</f>
        <v/>
      </c>
      <c r="T466" s="5">
        <f>J466-S466</f>
        <v/>
      </c>
      <c r="U466" s="5">
        <f>F466+J466</f>
        <v/>
      </c>
      <c r="V466" s="5">
        <f>O466-U466</f>
        <v/>
      </c>
      <c r="W466" s="5">
        <f>O466-(P466+R466)</f>
        <v/>
      </c>
      <c r="X466" s="5">
        <f>O466-(P466+Q466+R466)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  <c r="S467" s="5">
        <f>F467*20%</f>
        <v/>
      </c>
      <c r="T467" s="5">
        <f>J467-S467</f>
        <v/>
      </c>
      <c r="U467" s="5">
        <f>F467+J467</f>
        <v/>
      </c>
      <c r="V467" s="5">
        <f>O467-U467</f>
        <v/>
      </c>
      <c r="W467" s="5">
        <f>O467-(P467+R467)</f>
        <v/>
      </c>
      <c r="X467" s="5">
        <f>O467-(P467+Q467+R467)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  <c r="S468" s="5">
        <f>F468*20%</f>
        <v/>
      </c>
      <c r="T468" s="5">
        <f>J468-S468</f>
        <v/>
      </c>
      <c r="U468" s="5">
        <f>F468+J468</f>
        <v/>
      </c>
      <c r="V468" s="5">
        <f>O468-U468</f>
        <v/>
      </c>
      <c r="W468" s="5">
        <f>O468-(P468+R468)</f>
        <v/>
      </c>
      <c r="X468" s="5">
        <f>O468-(P468+Q468+R468)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  <c r="S469" s="5">
        <f>F469*20%</f>
        <v/>
      </c>
      <c r="T469" s="5">
        <f>J469-S469</f>
        <v/>
      </c>
      <c r="U469" s="5">
        <f>F469+J469</f>
        <v/>
      </c>
      <c r="V469" s="5">
        <f>O469-U469</f>
        <v/>
      </c>
      <c r="W469" s="5">
        <f>O469-(P469+R469)</f>
        <v/>
      </c>
      <c r="X469" s="5">
        <f>O469-(P469+Q469+R469)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  <c r="S470" s="5">
        <f>F470*20%</f>
        <v/>
      </c>
      <c r="T470" s="5">
        <f>J470-S470</f>
        <v/>
      </c>
      <c r="U470" s="5">
        <f>F470+J470</f>
        <v/>
      </c>
      <c r="V470" s="5">
        <f>O470-U470</f>
        <v/>
      </c>
      <c r="W470" s="5">
        <f>O470-(P470+R470)</f>
        <v/>
      </c>
      <c r="X470" s="5">
        <f>O470-(P470+Q470+R470)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  <c r="S471" s="5">
        <f>F471*20%</f>
        <v/>
      </c>
      <c r="T471" s="5">
        <f>J471-S471</f>
        <v/>
      </c>
      <c r="U471" s="5">
        <f>F471+J471</f>
        <v/>
      </c>
      <c r="V471" s="5">
        <f>O471-U471</f>
        <v/>
      </c>
      <c r="W471" s="5">
        <f>O471-(P471+R471)</f>
        <v/>
      </c>
      <c r="X471" s="5">
        <f>O471-(P471+Q471+R471)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  <c r="S472" s="5">
        <f>F472*20%</f>
        <v/>
      </c>
      <c r="T472" s="5">
        <f>J472-S472</f>
        <v/>
      </c>
      <c r="U472" s="5">
        <f>F472+J472</f>
        <v/>
      </c>
      <c r="V472" s="5">
        <f>O472-U472</f>
        <v/>
      </c>
      <c r="W472" s="5">
        <f>O472-(P472+R472)</f>
        <v/>
      </c>
      <c r="X472" s="5">
        <f>O472-(P472+Q472+R472)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  <c r="S473" s="5">
        <f>F473*20%</f>
        <v/>
      </c>
      <c r="T473" s="5">
        <f>J473-S473</f>
        <v/>
      </c>
      <c r="U473" s="5">
        <f>F473+J473</f>
        <v/>
      </c>
      <c r="V473" s="5">
        <f>O473-U473</f>
        <v/>
      </c>
      <c r="W473" s="5">
        <f>O473-(P473+R473)</f>
        <v/>
      </c>
      <c r="X473" s="5">
        <f>O473-(P473+Q473+R473)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  <c r="S474" s="5">
        <f>F474*20%</f>
        <v/>
      </c>
      <c r="T474" s="5">
        <f>J474-S474</f>
        <v/>
      </c>
      <c r="U474" s="5">
        <f>F474+J474</f>
        <v/>
      </c>
      <c r="V474" s="5">
        <f>O474-U474</f>
        <v/>
      </c>
      <c r="W474" s="5">
        <f>O474-(P474+R474)</f>
        <v/>
      </c>
      <c r="X474" s="5">
        <f>O474-(P474+Q474+R474)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  <c r="S475" s="5">
        <f>F475*20%</f>
        <v/>
      </c>
      <c r="T475" s="5">
        <f>J475-S475</f>
        <v/>
      </c>
      <c r="U475" s="5">
        <f>F475+J475</f>
        <v/>
      </c>
      <c r="V475" s="5">
        <f>O475-U475</f>
        <v/>
      </c>
      <c r="W475" s="5">
        <f>O475-(P475+R475)</f>
        <v/>
      </c>
      <c r="X475" s="5">
        <f>O475-(P475+Q475+R475)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  <c r="S476" s="5">
        <f>F476*20%</f>
        <v/>
      </c>
      <c r="T476" s="5">
        <f>J476-S476</f>
        <v/>
      </c>
      <c r="U476" s="5">
        <f>F476+J476</f>
        <v/>
      </c>
      <c r="V476" s="5">
        <f>O476-U476</f>
        <v/>
      </c>
      <c r="W476" s="5">
        <f>O476-(P476+R476)</f>
        <v/>
      </c>
      <c r="X476" s="5">
        <f>O476-(P476+Q476+R476)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  <c r="S477" s="5">
        <f>F477*20%</f>
        <v/>
      </c>
      <c r="T477" s="5">
        <f>J477-S477</f>
        <v/>
      </c>
      <c r="U477" s="5">
        <f>F477+J477</f>
        <v/>
      </c>
      <c r="V477" s="5">
        <f>O477-U477</f>
        <v/>
      </c>
      <c r="W477" s="5">
        <f>O477-(P477+R477)</f>
        <v/>
      </c>
      <c r="X477" s="5">
        <f>O477-(P477+Q477+R477)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  <c r="S478" s="5">
        <f>F478*20%</f>
        <v/>
      </c>
      <c r="T478" s="5">
        <f>J478-S478</f>
        <v/>
      </c>
      <c r="U478" s="5">
        <f>F478+J478</f>
        <v/>
      </c>
      <c r="V478" s="5">
        <f>O478-U478</f>
        <v/>
      </c>
      <c r="W478" s="5">
        <f>O478-(P478+R478)</f>
        <v/>
      </c>
      <c r="X478" s="5">
        <f>O478-(P478+Q478+R478)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>
        <f>F479*20%</f>
        <v/>
      </c>
      <c r="T479" s="5">
        <f>J479-S479</f>
        <v/>
      </c>
      <c r="U479" s="5">
        <f>F479+J479</f>
        <v/>
      </c>
      <c r="V479" s="5">
        <f>O479-U479</f>
        <v/>
      </c>
      <c r="W479" s="5">
        <f>O479-(P479+R479)</f>
        <v/>
      </c>
      <c r="X479" s="5">
        <f>O479-(P479+Q479+R479)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>
        <f>F480*20%</f>
        <v/>
      </c>
      <c r="T480" s="5">
        <f>J480-S480</f>
        <v/>
      </c>
      <c r="U480" s="5">
        <f>F480+J480</f>
        <v/>
      </c>
      <c r="V480" s="5">
        <f>O480-U480</f>
        <v/>
      </c>
      <c r="W480" s="5">
        <f>O480-(P480+R480)</f>
        <v/>
      </c>
      <c r="X480" s="5">
        <f>O480-(P480+Q480+R480)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F481*20%</f>
        <v/>
      </c>
      <c r="T481" s="5">
        <f>J481-S481</f>
        <v/>
      </c>
      <c r="U481" s="5">
        <f>F481+J481</f>
        <v/>
      </c>
      <c r="V481" s="5">
        <f>O481-U481</f>
        <v/>
      </c>
      <c r="W481" s="5">
        <f>O481-(P481+R481)</f>
        <v/>
      </c>
      <c r="X481" s="5">
        <f>O481-(P481+Q481+R481)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  <c r="S482" s="5">
        <f>F482*20%</f>
        <v/>
      </c>
      <c r="T482" s="5">
        <f>J482-S482</f>
        <v/>
      </c>
      <c r="U482" s="5">
        <f>F482+J482</f>
        <v/>
      </c>
      <c r="V482" s="5">
        <f>O482-U482</f>
        <v/>
      </c>
      <c r="W482" s="5">
        <f>O482-(P482+R482)</f>
        <v/>
      </c>
      <c r="X482" s="5">
        <f>O482-(P482+Q482+R482)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  <c r="S483" s="5">
        <f>F483*20%</f>
        <v/>
      </c>
      <c r="T483" s="5">
        <f>J483-S483</f>
        <v/>
      </c>
      <c r="U483" s="5">
        <f>F483+J483</f>
        <v/>
      </c>
      <c r="V483" s="5">
        <f>O483-U483</f>
        <v/>
      </c>
      <c r="W483" s="5">
        <f>O483-(P483+R483)</f>
        <v/>
      </c>
      <c r="X483" s="5">
        <f>O483-(P483+Q483+R483)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  <c r="S484" s="5">
        <f>F484*20%</f>
        <v/>
      </c>
      <c r="T484" s="5">
        <f>J484-S484</f>
        <v/>
      </c>
      <c r="U484" s="5">
        <f>F484+J484</f>
        <v/>
      </c>
      <c r="V484" s="5">
        <f>O484-U484</f>
        <v/>
      </c>
      <c r="W484" s="5">
        <f>O484-(P484+R484)</f>
        <v/>
      </c>
      <c r="X484" s="5">
        <f>O484-(P484+Q484+R484)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  <c r="S485" s="5">
        <f>F485*20%</f>
        <v/>
      </c>
      <c r="T485" s="5">
        <f>J485-S485</f>
        <v/>
      </c>
      <c r="U485" s="5">
        <f>F485+J485</f>
        <v/>
      </c>
      <c r="V485" s="5">
        <f>O485-U485</f>
        <v/>
      </c>
      <c r="W485" s="5">
        <f>O485-(P485+R485)</f>
        <v/>
      </c>
      <c r="X485" s="5">
        <f>O485-(P485+Q485+R485)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  <c r="S486" s="5">
        <f>F486*20%</f>
        <v/>
      </c>
      <c r="T486" s="5">
        <f>J486-S486</f>
        <v/>
      </c>
      <c r="U486" s="5">
        <f>F486+J486</f>
        <v/>
      </c>
      <c r="V486" s="5">
        <f>O486-U486</f>
        <v/>
      </c>
      <c r="W486" s="5">
        <f>O486-(P486+R486)</f>
        <v/>
      </c>
      <c r="X486" s="5">
        <f>O486-(P486+Q486+R486)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  <c r="S487" s="5">
        <f>F487*20%</f>
        <v/>
      </c>
      <c r="T487" s="5">
        <f>J487-S487</f>
        <v/>
      </c>
      <c r="U487" s="5">
        <f>F487+J487</f>
        <v/>
      </c>
      <c r="V487" s="5">
        <f>O487-U487</f>
        <v/>
      </c>
      <c r="W487" s="5">
        <f>O487-(P487+R487)</f>
        <v/>
      </c>
      <c r="X487" s="5">
        <f>O487-(P487+Q487+R487)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>
        <f>F488*20%</f>
        <v/>
      </c>
      <c r="T488" s="5">
        <f>J488-S488</f>
        <v/>
      </c>
      <c r="U488" s="5">
        <f>F488+J488</f>
        <v/>
      </c>
      <c r="V488" s="5">
        <f>O488-U488</f>
        <v/>
      </c>
      <c r="W488" s="5">
        <f>O488-(P488+R488)</f>
        <v/>
      </c>
      <c r="X488" s="5">
        <f>O488-(P488+Q488+R488)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  <c r="S489" s="5">
        <f>F489*20%</f>
        <v/>
      </c>
      <c r="T489" s="5">
        <f>J489-S489</f>
        <v/>
      </c>
      <c r="U489" s="5">
        <f>F489+J489</f>
        <v/>
      </c>
      <c r="V489" s="5">
        <f>O489-U489</f>
        <v/>
      </c>
      <c r="W489" s="5">
        <f>O489-(P489+R489)</f>
        <v/>
      </c>
      <c r="X489" s="5">
        <f>O489-(P489+Q489+R489)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  <c r="S490" s="5">
        <f>F490*20%</f>
        <v/>
      </c>
      <c r="T490" s="5">
        <f>J490-S490</f>
        <v/>
      </c>
      <c r="U490" s="5">
        <f>F490+J490</f>
        <v/>
      </c>
      <c r="V490" s="5">
        <f>O490-U490</f>
        <v/>
      </c>
      <c r="W490" s="5">
        <f>O490-(P490+R490)</f>
        <v/>
      </c>
      <c r="X490" s="5">
        <f>O490-(P490+Q490+R490)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  <c r="S491" s="5">
        <f>F491*20%</f>
        <v/>
      </c>
      <c r="T491" s="5">
        <f>J491-S491</f>
        <v/>
      </c>
      <c r="U491" s="5">
        <f>F491+J491</f>
        <v/>
      </c>
      <c r="V491" s="5">
        <f>O491-U491</f>
        <v/>
      </c>
      <c r="W491" s="5">
        <f>O491-(P491+R491)</f>
        <v/>
      </c>
      <c r="X491" s="5">
        <f>O491-(P491+Q491+R491)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F492*20%</f>
        <v/>
      </c>
      <c r="T492" s="5">
        <f>J492-S492</f>
        <v/>
      </c>
      <c r="U492" s="5">
        <f>F492+J492</f>
        <v/>
      </c>
      <c r="V492" s="5">
        <f>O492-U492</f>
        <v/>
      </c>
      <c r="W492" s="5">
        <f>O492-(P492+R492)</f>
        <v/>
      </c>
      <c r="X492" s="5">
        <f>O492-(P492+Q492+R492)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  <c r="S493" s="5">
        <f>F493*20%</f>
        <v/>
      </c>
      <c r="T493" s="5">
        <f>J493-S493</f>
        <v/>
      </c>
      <c r="U493" s="5">
        <f>F493+J493</f>
        <v/>
      </c>
      <c r="V493" s="5">
        <f>O493-U493</f>
        <v/>
      </c>
      <c r="W493" s="5">
        <f>O493-(P493+R493)</f>
        <v/>
      </c>
      <c r="X493" s="5">
        <f>O493-(P493+Q493+R493)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  <c r="S494" s="5">
        <f>F494*20%</f>
        <v/>
      </c>
      <c r="T494" s="5">
        <f>J494-S494</f>
        <v/>
      </c>
      <c r="U494" s="5">
        <f>F494+J494</f>
        <v/>
      </c>
      <c r="V494" s="5">
        <f>O494-U494</f>
        <v/>
      </c>
      <c r="W494" s="5">
        <f>O494-(P494+R494)</f>
        <v/>
      </c>
      <c r="X494" s="5">
        <f>O494-(P494+Q494+R494)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  <c r="S495" s="5">
        <f>F495*20%</f>
        <v/>
      </c>
      <c r="T495" s="5">
        <f>J495-S495</f>
        <v/>
      </c>
      <c r="U495" s="5">
        <f>F495+J495</f>
        <v/>
      </c>
      <c r="V495" s="5">
        <f>O495-U495</f>
        <v/>
      </c>
      <c r="W495" s="5">
        <f>O495-(P495+R495)</f>
        <v/>
      </c>
      <c r="X495" s="5">
        <f>O495-(P495+Q495+R495)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  <c r="S496" s="5">
        <f>F496*20%</f>
        <v/>
      </c>
      <c r="T496" s="5">
        <f>J496-S496</f>
        <v/>
      </c>
      <c r="U496" s="5">
        <f>F496+J496</f>
        <v/>
      </c>
      <c r="V496" s="5">
        <f>O496-U496</f>
        <v/>
      </c>
      <c r="W496" s="5">
        <f>O496-(P496+R496)</f>
        <v/>
      </c>
      <c r="X496" s="5">
        <f>O496-(P496+Q496+R496)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  <c r="S497" s="5">
        <f>F497*20%</f>
        <v/>
      </c>
      <c r="T497" s="5">
        <f>J497-S497</f>
        <v/>
      </c>
      <c r="U497" s="5">
        <f>F497+J497</f>
        <v/>
      </c>
      <c r="V497" s="5">
        <f>O497-U497</f>
        <v/>
      </c>
      <c r="W497" s="5">
        <f>O497-(P497+R497)</f>
        <v/>
      </c>
      <c r="X497" s="5">
        <f>O497-(P497+Q497+R497)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  <c r="S498" s="5">
        <f>F498*20%</f>
        <v/>
      </c>
      <c r="T498" s="5">
        <f>J498-S498</f>
        <v/>
      </c>
      <c r="U498" s="5">
        <f>F498+J498</f>
        <v/>
      </c>
      <c r="V498" s="5">
        <f>O498-U498</f>
        <v/>
      </c>
      <c r="W498" s="5">
        <f>O498-(P498+R498)</f>
        <v/>
      </c>
      <c r="X498" s="5">
        <f>O498-(P498+Q498+R498)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  <c r="S499" s="5">
        <f>F499*20%</f>
        <v/>
      </c>
      <c r="T499" s="5">
        <f>J499-S499</f>
        <v/>
      </c>
      <c r="U499" s="5">
        <f>F499+J499</f>
        <v/>
      </c>
      <c r="V499" s="5">
        <f>O499-U499</f>
        <v/>
      </c>
      <c r="W499" s="5">
        <f>O499-(P499+R499)</f>
        <v/>
      </c>
      <c r="X499" s="5">
        <f>O499-(P499+Q499+R499)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  <c r="S500" s="5">
        <f>F500*20%</f>
        <v/>
      </c>
      <c r="T500" s="5">
        <f>J500-S500</f>
        <v/>
      </c>
      <c r="U500" s="5">
        <f>F500+J500</f>
        <v/>
      </c>
      <c r="V500" s="5">
        <f>O500-U500</f>
        <v/>
      </c>
      <c r="W500" s="5">
        <f>O500-(P500+R500)</f>
        <v/>
      </c>
      <c r="X500" s="5">
        <f>O500-(P500+Q500+R500)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  <c r="S501" s="5">
        <f>F501*20%</f>
        <v/>
      </c>
      <c r="T501" s="5">
        <f>J501-S501</f>
        <v/>
      </c>
      <c r="U501" s="5">
        <f>F501+J501</f>
        <v/>
      </c>
      <c r="V501" s="5">
        <f>O501-U501</f>
        <v/>
      </c>
      <c r="W501" s="5">
        <f>O501-(P501+R501)</f>
        <v/>
      </c>
      <c r="X501" s="5">
        <f>O501-(P501+Q501+R501)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  <c r="S502" s="5">
        <f>F502*20%</f>
        <v/>
      </c>
      <c r="T502" s="5">
        <f>J502-S502</f>
        <v/>
      </c>
      <c r="U502" s="5">
        <f>F502+J502</f>
        <v/>
      </c>
      <c r="V502" s="5">
        <f>O502-U502</f>
        <v/>
      </c>
      <c r="W502" s="5">
        <f>O502-(P502+R502)</f>
        <v/>
      </c>
      <c r="X502" s="5">
        <f>O502-(P502+Q502+R502)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  <c r="S503" s="5">
        <f>F503*20%</f>
        <v/>
      </c>
      <c r="T503" s="5">
        <f>J503-S503</f>
        <v/>
      </c>
      <c r="U503" s="5">
        <f>F503+J503</f>
        <v/>
      </c>
      <c r="V503" s="5">
        <f>O503-U503</f>
        <v/>
      </c>
      <c r="W503" s="5">
        <f>O503-(P503+R503)</f>
        <v/>
      </c>
      <c r="X503" s="5">
        <f>O503-(P503+Q503+R503)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  <c r="S504" s="5">
        <f>F504*20%</f>
        <v/>
      </c>
      <c r="T504" s="5">
        <f>J504-S504</f>
        <v/>
      </c>
      <c r="U504" s="5">
        <f>F504+J504</f>
        <v/>
      </c>
      <c r="V504" s="5">
        <f>O504-U504</f>
        <v/>
      </c>
      <c r="W504" s="5">
        <f>O504-(P504+R504)</f>
        <v/>
      </c>
      <c r="X504" s="5">
        <f>O504-(P504+Q504+R504)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  <c r="S505" s="5">
        <f>F505*20%</f>
        <v/>
      </c>
      <c r="T505" s="5">
        <f>J505-S505</f>
        <v/>
      </c>
      <c r="U505" s="5">
        <f>F505+J505</f>
        <v/>
      </c>
      <c r="V505" s="5">
        <f>O505-U505</f>
        <v/>
      </c>
      <c r="W505" s="5">
        <f>O505-(P505+R505)</f>
        <v/>
      </c>
      <c r="X505" s="5">
        <f>O505-(P505+Q505+R505)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  <c r="S506" s="5">
        <f>F506*20%</f>
        <v/>
      </c>
      <c r="T506" s="5">
        <f>J506-S506</f>
        <v/>
      </c>
      <c r="U506" s="5">
        <f>F506+J506</f>
        <v/>
      </c>
      <c r="V506" s="5">
        <f>O506-U506</f>
        <v/>
      </c>
      <c r="W506" s="5">
        <f>O506-(P506+R506)</f>
        <v/>
      </c>
      <c r="X506" s="5">
        <f>O506-(P506+Q506+R506)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  <c r="S507" s="5">
        <f>F507*20%</f>
        <v/>
      </c>
      <c r="T507" s="5">
        <f>J507-S507</f>
        <v/>
      </c>
      <c r="U507" s="5">
        <f>F507+J507</f>
        <v/>
      </c>
      <c r="V507" s="5">
        <f>O507-U507</f>
        <v/>
      </c>
      <c r="W507" s="5">
        <f>O507-(P507+R507)</f>
        <v/>
      </c>
      <c r="X507" s="5">
        <f>O507-(P507+Q507+R507)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  <c r="S508" s="5">
        <f>F508*20%</f>
        <v/>
      </c>
      <c r="T508" s="5">
        <f>J508-S508</f>
        <v/>
      </c>
      <c r="U508" s="5">
        <f>F508+J508</f>
        <v/>
      </c>
      <c r="V508" s="5">
        <f>O508-U508</f>
        <v/>
      </c>
      <c r="W508" s="5">
        <f>O508-(P508+R508)</f>
        <v/>
      </c>
      <c r="X508" s="5">
        <f>O508-(P508+Q508+R508)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  <c r="S509" s="5">
        <f>F509*20%</f>
        <v/>
      </c>
      <c r="T509" s="5">
        <f>J509-S509</f>
        <v/>
      </c>
      <c r="U509" s="5">
        <f>F509+J509</f>
        <v/>
      </c>
      <c r="V509" s="5">
        <f>O509-U509</f>
        <v/>
      </c>
      <c r="W509" s="5">
        <f>O509-(P509+R509)</f>
        <v/>
      </c>
      <c r="X509" s="5">
        <f>O509-(P509+Q509+R509)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  <c r="S510" s="5">
        <f>F510*20%</f>
        <v/>
      </c>
      <c r="T510" s="5">
        <f>J510-S510</f>
        <v/>
      </c>
      <c r="U510" s="5">
        <f>F510+J510</f>
        <v/>
      </c>
      <c r="V510" s="5">
        <f>O510-U510</f>
        <v/>
      </c>
      <c r="W510" s="5">
        <f>O510-(P510+R510)</f>
        <v/>
      </c>
      <c r="X510" s="5">
        <f>O510-(P510+Q510+R510)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  <c r="S511" s="5">
        <f>F511*20%</f>
        <v/>
      </c>
      <c r="T511" s="5">
        <f>J511-S511</f>
        <v/>
      </c>
      <c r="U511" s="5">
        <f>F511+J511</f>
        <v/>
      </c>
      <c r="V511" s="5">
        <f>O511-U511</f>
        <v/>
      </c>
      <c r="W511" s="5">
        <f>O511-(P511+R511)</f>
        <v/>
      </c>
      <c r="X511" s="5">
        <f>O511-(P511+Q511+R511)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  <c r="S512" s="5">
        <f>F512*20%</f>
        <v/>
      </c>
      <c r="T512" s="5">
        <f>J512-S512</f>
        <v/>
      </c>
      <c r="U512" s="5">
        <f>F512+J512</f>
        <v/>
      </c>
      <c r="V512" s="5">
        <f>O512-U512</f>
        <v/>
      </c>
      <c r="W512" s="5">
        <f>O512-(P512+R512)</f>
        <v/>
      </c>
      <c r="X512" s="5">
        <f>O512-(P512+Q512+R512)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  <c r="S513" s="5">
        <f>F513*20%</f>
        <v/>
      </c>
      <c r="T513" s="5">
        <f>J513-S513</f>
        <v/>
      </c>
      <c r="U513" s="5">
        <f>F513+J513</f>
        <v/>
      </c>
      <c r="V513" s="5">
        <f>O513-U513</f>
        <v/>
      </c>
      <c r="W513" s="5">
        <f>O513-(P513+R513)</f>
        <v/>
      </c>
      <c r="X513" s="5">
        <f>O513-(P513+Q513+R513)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  <c r="S514" s="5">
        <f>F514*20%</f>
        <v/>
      </c>
      <c r="T514" s="5">
        <f>J514-S514</f>
        <v/>
      </c>
      <c r="U514" s="5">
        <f>F514+J514</f>
        <v/>
      </c>
      <c r="V514" s="5">
        <f>O514-U514</f>
        <v/>
      </c>
      <c r="W514" s="5">
        <f>O514-(P514+R514)</f>
        <v/>
      </c>
      <c r="X514" s="5">
        <f>O514-(P514+Q514+R514)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  <c r="S515" s="5">
        <f>F515*20%</f>
        <v/>
      </c>
      <c r="T515" s="5">
        <f>J515-S515</f>
        <v/>
      </c>
      <c r="U515" s="5">
        <f>F515+J515</f>
        <v/>
      </c>
      <c r="V515" s="5">
        <f>O515-U515</f>
        <v/>
      </c>
      <c r="W515" s="5">
        <f>O515-(P515+R515)</f>
        <v/>
      </c>
      <c r="X515" s="5">
        <f>O515-(P515+Q515+R515)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  <c r="S516" s="5">
        <f>F516*20%</f>
        <v/>
      </c>
      <c r="T516" s="5">
        <f>J516-S516</f>
        <v/>
      </c>
      <c r="U516" s="5">
        <f>F516+J516</f>
        <v/>
      </c>
      <c r="V516" s="5">
        <f>O516-U516</f>
        <v/>
      </c>
      <c r="W516" s="5">
        <f>O516-(P516+R516)</f>
        <v/>
      </c>
      <c r="X516" s="5">
        <f>O516-(P516+Q516+R516)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  <c r="S517" s="5">
        <f>F517*20%</f>
        <v/>
      </c>
      <c r="T517" s="5">
        <f>J517-S517</f>
        <v/>
      </c>
      <c r="U517" s="5">
        <f>F517+J517</f>
        <v/>
      </c>
      <c r="V517" s="5">
        <f>O517-U517</f>
        <v/>
      </c>
      <c r="W517" s="5">
        <f>O517-(P517+R517)</f>
        <v/>
      </c>
      <c r="X517" s="5">
        <f>O517-(P517+Q517+R517)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  <c r="S518" s="5">
        <f>F518*20%</f>
        <v/>
      </c>
      <c r="T518" s="5">
        <f>J518-S518</f>
        <v/>
      </c>
      <c r="U518" s="5">
        <f>F518+J518</f>
        <v/>
      </c>
      <c r="V518" s="5">
        <f>O518-U518</f>
        <v/>
      </c>
      <c r="W518" s="5">
        <f>O518-(P518+R518)</f>
        <v/>
      </c>
      <c r="X518" s="5">
        <f>O518-(P518+Q518+R518)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  <c r="S519" s="5">
        <f>F519*20%</f>
        <v/>
      </c>
      <c r="T519" s="5">
        <f>J519-S519</f>
        <v/>
      </c>
      <c r="U519" s="5">
        <f>F519+J519</f>
        <v/>
      </c>
      <c r="V519" s="5">
        <f>O519-U519</f>
        <v/>
      </c>
      <c r="W519" s="5">
        <f>O519-(P519+R519)</f>
        <v/>
      </c>
      <c r="X519" s="5">
        <f>O519-(P519+Q519+R519)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  <c r="S520" s="5">
        <f>F520*20%</f>
        <v/>
      </c>
      <c r="T520" s="5">
        <f>J520-S520</f>
        <v/>
      </c>
      <c r="U520" s="5">
        <f>F520+J520</f>
        <v/>
      </c>
      <c r="V520" s="5">
        <f>O520-U520</f>
        <v/>
      </c>
      <c r="W520" s="5">
        <f>O520-(P520+R520)</f>
        <v/>
      </c>
      <c r="X520" s="5">
        <f>O520-(P520+Q520+R520)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  <c r="S521" s="5">
        <f>F521*20%</f>
        <v/>
      </c>
      <c r="T521" s="5">
        <f>J521-S521</f>
        <v/>
      </c>
      <c r="U521" s="5">
        <f>F521+J521</f>
        <v/>
      </c>
      <c r="V521" s="5">
        <f>O521-U521</f>
        <v/>
      </c>
      <c r="W521" s="5">
        <f>O521-(P521+R521)</f>
        <v/>
      </c>
      <c r="X521" s="5">
        <f>O521-(P521+Q521+R521)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  <c r="S522" s="5">
        <f>F522*20%</f>
        <v/>
      </c>
      <c r="T522" s="5">
        <f>J522-S522</f>
        <v/>
      </c>
      <c r="U522" s="5">
        <f>F522+J522</f>
        <v/>
      </c>
      <c r="V522" s="5">
        <f>O522-U522</f>
        <v/>
      </c>
      <c r="W522" s="5">
        <f>O522-(P522+R522)</f>
        <v/>
      </c>
      <c r="X522" s="5">
        <f>O522-(P522+Q522+R522)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  <c r="S523" s="5">
        <f>F523*20%</f>
        <v/>
      </c>
      <c r="T523" s="5">
        <f>J523-S523</f>
        <v/>
      </c>
      <c r="U523" s="5">
        <f>F523+J523</f>
        <v/>
      </c>
      <c r="V523" s="5">
        <f>O523-U523</f>
        <v/>
      </c>
      <c r="W523" s="5">
        <f>O523-(P523+R523)</f>
        <v/>
      </c>
      <c r="X523" s="5">
        <f>O523-(P523+Q523+R523)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  <c r="S524" s="5">
        <f>F524*20%</f>
        <v/>
      </c>
      <c r="T524" s="5">
        <f>J524-S524</f>
        <v/>
      </c>
      <c r="U524" s="5">
        <f>F524+J524</f>
        <v/>
      </c>
      <c r="V524" s="5">
        <f>O524-U524</f>
        <v/>
      </c>
      <c r="W524" s="5">
        <f>O524-(P524+R524)</f>
        <v/>
      </c>
      <c r="X524" s="5">
        <f>O524-(P524+Q524+R524)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  <c r="S525" s="5">
        <f>F525*20%</f>
        <v/>
      </c>
      <c r="T525" s="5">
        <f>J525-S525</f>
        <v/>
      </c>
      <c r="U525" s="5">
        <f>F525+J525</f>
        <v/>
      </c>
      <c r="V525" s="5">
        <f>O525-U525</f>
        <v/>
      </c>
      <c r="W525" s="5">
        <f>O525-(P525+R525)</f>
        <v/>
      </c>
      <c r="X525" s="5">
        <f>O525-(P525+Q525+R525)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  <c r="S526" s="5">
        <f>F526*20%</f>
        <v/>
      </c>
      <c r="T526" s="5">
        <f>J526-S526</f>
        <v/>
      </c>
      <c r="U526" s="5">
        <f>F526+J526</f>
        <v/>
      </c>
      <c r="V526" s="5">
        <f>O526-U526</f>
        <v/>
      </c>
      <c r="W526" s="5">
        <f>O526-(P526+R526)</f>
        <v/>
      </c>
      <c r="X526" s="5">
        <f>O526-(P526+Q526+R526)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  <c r="S527" s="5">
        <f>F527*20%</f>
        <v/>
      </c>
      <c r="T527" s="5">
        <f>J527-S527</f>
        <v/>
      </c>
      <c r="U527" s="5">
        <f>F527+J527</f>
        <v/>
      </c>
      <c r="V527" s="5">
        <f>O527-U527</f>
        <v/>
      </c>
      <c r="W527" s="5">
        <f>O527-(P527+R527)</f>
        <v/>
      </c>
      <c r="X527" s="5">
        <f>O527-(P527+Q527+R527)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  <c r="S528" s="5">
        <f>F528*20%</f>
        <v/>
      </c>
      <c r="T528" s="5">
        <f>J528-S528</f>
        <v/>
      </c>
      <c r="U528" s="5">
        <f>F528+J528</f>
        <v/>
      </c>
      <c r="V528" s="5">
        <f>O528-U528</f>
        <v/>
      </c>
      <c r="W528" s="5">
        <f>O528-(P528+R528)</f>
        <v/>
      </c>
      <c r="X528" s="5">
        <f>O528-(P528+Q528+R528)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  <c r="S529" s="5">
        <f>F529*20%</f>
        <v/>
      </c>
      <c r="T529" s="5">
        <f>J529-S529</f>
        <v/>
      </c>
      <c r="U529" s="5">
        <f>F529+J529</f>
        <v/>
      </c>
      <c r="V529" s="5">
        <f>O529-U529</f>
        <v/>
      </c>
      <c r="W529" s="5">
        <f>O529-(P529+R529)</f>
        <v/>
      </c>
      <c r="X529" s="5">
        <f>O529-(P529+Q529+R529)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>
        <f>F530*20%</f>
        <v/>
      </c>
      <c r="T530" s="5">
        <f>J530-S530</f>
        <v/>
      </c>
      <c r="U530" s="5">
        <f>F530+J530</f>
        <v/>
      </c>
      <c r="V530" s="5">
        <f>O530-U530</f>
        <v/>
      </c>
      <c r="W530" s="5">
        <f>O530-(P530+R530)</f>
        <v/>
      </c>
      <c r="X530" s="5">
        <f>O530-(P530+Q530+R530)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F531*20%</f>
        <v/>
      </c>
      <c r="T531" s="5">
        <f>J531-S531</f>
        <v/>
      </c>
      <c r="U531" s="5">
        <f>F531+J531</f>
        <v/>
      </c>
      <c r="V531" s="5">
        <f>O531-U531</f>
        <v/>
      </c>
      <c r="W531" s="5">
        <f>O531-(P531+R531)</f>
        <v/>
      </c>
      <c r="X531" s="5">
        <f>O531-(P531+Q531+R531)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F532*20%</f>
        <v/>
      </c>
      <c r="T532" s="5">
        <f>J532-S532</f>
        <v/>
      </c>
      <c r="U532" s="5">
        <f>F532+J532</f>
        <v/>
      </c>
      <c r="V532" s="5">
        <f>O532-U532</f>
        <v/>
      </c>
      <c r="W532" s="5">
        <f>O532-(P532+R532)</f>
        <v/>
      </c>
      <c r="X532" s="5">
        <f>O532-(P532+Q532+R532)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  <c r="S533" s="5">
        <f>F533*20%</f>
        <v/>
      </c>
      <c r="T533" s="5">
        <f>J533-S533</f>
        <v/>
      </c>
      <c r="U533" s="5">
        <f>F533+J533</f>
        <v/>
      </c>
      <c r="V533" s="5">
        <f>O533-U533</f>
        <v/>
      </c>
      <c r="W533" s="5">
        <f>O533-(P533+R533)</f>
        <v/>
      </c>
      <c r="X533" s="5">
        <f>O533-(P533+Q533+R533)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  <c r="S534" s="5">
        <f>F534*20%</f>
        <v/>
      </c>
      <c r="T534" s="5">
        <f>J534-S534</f>
        <v/>
      </c>
      <c r="U534" s="5">
        <f>F534+J534</f>
        <v/>
      </c>
      <c r="V534" s="5">
        <f>O534-U534</f>
        <v/>
      </c>
      <c r="W534" s="5">
        <f>O534-(P534+R534)</f>
        <v/>
      </c>
      <c r="X534" s="5">
        <f>O534-(P534+Q534+R534)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  <c r="S535" s="5">
        <f>F535*20%</f>
        <v/>
      </c>
      <c r="T535" s="5">
        <f>J535-S535</f>
        <v/>
      </c>
      <c r="U535" s="5">
        <f>F535+J535</f>
        <v/>
      </c>
      <c r="V535" s="5">
        <f>O535-U535</f>
        <v/>
      </c>
      <c r="W535" s="5">
        <f>O535-(P535+R535)</f>
        <v/>
      </c>
      <c r="X535" s="5">
        <f>O535-(P535+Q535+R535)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  <c r="S536" s="5">
        <f>F536*20%</f>
        <v/>
      </c>
      <c r="T536" s="5">
        <f>J536-S536</f>
        <v/>
      </c>
      <c r="U536" s="5">
        <f>F536+J536</f>
        <v/>
      </c>
      <c r="V536" s="5">
        <f>O536-U536</f>
        <v/>
      </c>
      <c r="W536" s="5">
        <f>O536-(P536+R536)</f>
        <v/>
      </c>
      <c r="X536" s="5">
        <f>O536-(P536+Q536+R536)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  <c r="S537" s="5">
        <f>F537*20%</f>
        <v/>
      </c>
      <c r="T537" s="5">
        <f>J537-S537</f>
        <v/>
      </c>
      <c r="U537" s="5">
        <f>F537+J537</f>
        <v/>
      </c>
      <c r="V537" s="5">
        <f>O537-U537</f>
        <v/>
      </c>
      <c r="W537" s="5">
        <f>O537-(P537+R537)</f>
        <v/>
      </c>
      <c r="X537" s="5">
        <f>O537-(P537+Q537+R537)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  <c r="S538" s="5">
        <f>F538*20%</f>
        <v/>
      </c>
      <c r="T538" s="5">
        <f>J538-S538</f>
        <v/>
      </c>
      <c r="U538" s="5">
        <f>F538+J538</f>
        <v/>
      </c>
      <c r="V538" s="5">
        <f>O538-U538</f>
        <v/>
      </c>
      <c r="W538" s="5">
        <f>O538-(P538+R538)</f>
        <v/>
      </c>
      <c r="X538" s="5">
        <f>O538-(P538+Q538+R538)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  <c r="S539" s="5">
        <f>F539*20%</f>
        <v/>
      </c>
      <c r="T539" s="5">
        <f>J539-S539</f>
        <v/>
      </c>
      <c r="U539" s="5">
        <f>F539+J539</f>
        <v/>
      </c>
      <c r="V539" s="5">
        <f>O539-U539</f>
        <v/>
      </c>
      <c r="W539" s="5">
        <f>O539-(P539+R539)</f>
        <v/>
      </c>
      <c r="X539" s="5">
        <f>O539-(P539+Q539+R539)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>
        <f>F540*20%</f>
        <v/>
      </c>
      <c r="T540" s="5">
        <f>J540-S540</f>
        <v/>
      </c>
      <c r="U540" s="5">
        <f>F540+J540</f>
        <v/>
      </c>
      <c r="V540" s="5">
        <f>O540-U540</f>
        <v/>
      </c>
      <c r="W540" s="5">
        <f>O540-(P540+R540)</f>
        <v/>
      </c>
      <c r="X540" s="5">
        <f>O540-(P540+Q540+R540)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  <c r="S541" s="5">
        <f>F541*20%</f>
        <v/>
      </c>
      <c r="T541" s="5">
        <f>J541-S541</f>
        <v/>
      </c>
      <c r="U541" s="5">
        <f>F541+J541</f>
        <v/>
      </c>
      <c r="V541" s="5">
        <f>O541-U541</f>
        <v/>
      </c>
      <c r="W541" s="5">
        <f>O541-(P541+R541)</f>
        <v/>
      </c>
      <c r="X541" s="5">
        <f>O541-(P541+Q541+R541)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  <c r="S542" s="5">
        <f>F542*20%</f>
        <v/>
      </c>
      <c r="T542" s="5">
        <f>J542-S542</f>
        <v/>
      </c>
      <c r="U542" s="5">
        <f>F542+J542</f>
        <v/>
      </c>
      <c r="V542" s="5">
        <f>O542-U542</f>
        <v/>
      </c>
      <c r="W542" s="5">
        <f>O542-(P542+R542)</f>
        <v/>
      </c>
      <c r="X542" s="5">
        <f>O542-(P542+Q542+R542)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  <c r="S543" s="5">
        <f>F543*20%</f>
        <v/>
      </c>
      <c r="T543" s="5">
        <f>J543-S543</f>
        <v/>
      </c>
      <c r="U543" s="5">
        <f>F543+J543</f>
        <v/>
      </c>
      <c r="V543" s="5">
        <f>O543-U543</f>
        <v/>
      </c>
      <c r="W543" s="5">
        <f>O543-(P543+R543)</f>
        <v/>
      </c>
      <c r="X543" s="5">
        <f>O543-(P543+Q543+R543)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  <c r="S544" s="5">
        <f>F544*20%</f>
        <v/>
      </c>
      <c r="T544" s="5">
        <f>J544-S544</f>
        <v/>
      </c>
      <c r="U544" s="5">
        <f>F544+J544</f>
        <v/>
      </c>
      <c r="V544" s="5">
        <f>O544-U544</f>
        <v/>
      </c>
      <c r="W544" s="5">
        <f>O544-(P544+R544)</f>
        <v/>
      </c>
      <c r="X544" s="5">
        <f>O544-(P544+Q544+R544)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  <c r="S545" s="5">
        <f>F545*20%</f>
        <v/>
      </c>
      <c r="T545" s="5">
        <f>J545-S545</f>
        <v/>
      </c>
      <c r="U545" s="5">
        <f>F545+J545</f>
        <v/>
      </c>
      <c r="V545" s="5">
        <f>O545-U545</f>
        <v/>
      </c>
      <c r="W545" s="5">
        <f>O545-(P545+R545)</f>
        <v/>
      </c>
      <c r="X545" s="5">
        <f>O545-(P545+Q545+R545)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  <c r="S546" s="5">
        <f>F546*20%</f>
        <v/>
      </c>
      <c r="T546" s="5">
        <f>J546-S546</f>
        <v/>
      </c>
      <c r="U546" s="5">
        <f>F546+J546</f>
        <v/>
      </c>
      <c r="V546" s="5">
        <f>O546-U546</f>
        <v/>
      </c>
      <c r="W546" s="5">
        <f>O546-(P546+R546)</f>
        <v/>
      </c>
      <c r="X546" s="5">
        <f>O546-(P546+Q546+R546)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  <c r="S547" s="5">
        <f>F547*20%</f>
        <v/>
      </c>
      <c r="T547" s="5">
        <f>J547-S547</f>
        <v/>
      </c>
      <c r="U547" s="5">
        <f>F547+J547</f>
        <v/>
      </c>
      <c r="V547" s="5">
        <f>O547-U547</f>
        <v/>
      </c>
      <c r="W547" s="5">
        <f>O547-(P547+R547)</f>
        <v/>
      </c>
      <c r="X547" s="5">
        <f>O547-(P547+Q547+R547)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  <c r="S548" s="5">
        <f>F548*20%</f>
        <v/>
      </c>
      <c r="T548" s="5">
        <f>J548-S548</f>
        <v/>
      </c>
      <c r="U548" s="5">
        <f>F548+J548</f>
        <v/>
      </c>
      <c r="V548" s="5">
        <f>O548-U548</f>
        <v/>
      </c>
      <c r="W548" s="5">
        <f>O548-(P548+R548)</f>
        <v/>
      </c>
      <c r="X548" s="5">
        <f>O548-(P548+Q548+R548)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  <c r="S549" s="5">
        <f>F549*20%</f>
        <v/>
      </c>
      <c r="T549" s="5">
        <f>J549-S549</f>
        <v/>
      </c>
      <c r="U549" s="5">
        <f>F549+J549</f>
        <v/>
      </c>
      <c r="V549" s="5">
        <f>O549-U549</f>
        <v/>
      </c>
      <c r="W549" s="5">
        <f>O549-(P549+R549)</f>
        <v/>
      </c>
      <c r="X549" s="5">
        <f>O549-(P549+Q549+R549)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  <c r="S550" s="5">
        <f>F550*20%</f>
        <v/>
      </c>
      <c r="T550" s="5">
        <f>J550-S550</f>
        <v/>
      </c>
      <c r="U550" s="5">
        <f>F550+J550</f>
        <v/>
      </c>
      <c r="V550" s="5">
        <f>O550-U550</f>
        <v/>
      </c>
      <c r="W550" s="5">
        <f>O550-(P550+R550)</f>
        <v/>
      </c>
      <c r="X550" s="5">
        <f>O550-(P550+Q550+R550)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  <c r="S551" s="5">
        <f>F551*20%</f>
        <v/>
      </c>
      <c r="T551" s="5">
        <f>J551-S551</f>
        <v/>
      </c>
      <c r="U551" s="5">
        <f>F551+J551</f>
        <v/>
      </c>
      <c r="V551" s="5">
        <f>O551-U551</f>
        <v/>
      </c>
      <c r="W551" s="5">
        <f>O551-(P551+R551)</f>
        <v/>
      </c>
      <c r="X551" s="5">
        <f>O551-(P551+Q551+R551)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F552*20%</f>
        <v/>
      </c>
      <c r="T552" s="5">
        <f>J552-S552</f>
        <v/>
      </c>
      <c r="U552" s="5">
        <f>F552+J552</f>
        <v/>
      </c>
      <c r="V552" s="5">
        <f>O552-U552</f>
        <v/>
      </c>
      <c r="W552" s="5">
        <f>O552-(P552+R552)</f>
        <v/>
      </c>
      <c r="X552" s="5">
        <f>O552-(P552+Q552+R552)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  <c r="S553" s="5">
        <f>F553*20%</f>
        <v/>
      </c>
      <c r="T553" s="5">
        <f>J553-S553</f>
        <v/>
      </c>
      <c r="U553" s="5">
        <f>F553+J553</f>
        <v/>
      </c>
      <c r="V553" s="5">
        <f>O553-U553</f>
        <v/>
      </c>
      <c r="W553" s="5">
        <f>O553-(P553+R553)</f>
        <v/>
      </c>
      <c r="X553" s="5">
        <f>O553-(P553+Q553+R553)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  <c r="S554" s="5">
        <f>F554*20%</f>
        <v/>
      </c>
      <c r="T554" s="5">
        <f>J554-S554</f>
        <v/>
      </c>
      <c r="U554" s="5">
        <f>F554+J554</f>
        <v/>
      </c>
      <c r="V554" s="5">
        <f>O554-U554</f>
        <v/>
      </c>
      <c r="W554" s="5">
        <f>O554-(P554+R554)</f>
        <v/>
      </c>
      <c r="X554" s="5">
        <f>O554-(P554+Q554+R554)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  <c r="S555" s="5">
        <f>F555*20%</f>
        <v/>
      </c>
      <c r="T555" s="5">
        <f>J555-S555</f>
        <v/>
      </c>
      <c r="U555" s="5">
        <f>F555+J555</f>
        <v/>
      </c>
      <c r="V555" s="5">
        <f>O555-U555</f>
        <v/>
      </c>
      <c r="W555" s="5">
        <f>O555-(P555+R555)</f>
        <v/>
      </c>
      <c r="X555" s="5">
        <f>O555-(P555+Q555+R555)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  <c r="S556" s="5">
        <f>F556*20%</f>
        <v/>
      </c>
      <c r="T556" s="5">
        <f>J556-S556</f>
        <v/>
      </c>
      <c r="U556" s="5">
        <f>F556+J556</f>
        <v/>
      </c>
      <c r="V556" s="5">
        <f>O556-U556</f>
        <v/>
      </c>
      <c r="W556" s="5">
        <f>O556-(P556+R556)</f>
        <v/>
      </c>
      <c r="X556" s="5">
        <f>O556-(P556+Q556+R556)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  <c r="S557" s="5">
        <f>F557*20%</f>
        <v/>
      </c>
      <c r="T557" s="5">
        <f>J557-S557</f>
        <v/>
      </c>
      <c r="U557" s="5">
        <f>F557+J557</f>
        <v/>
      </c>
      <c r="V557" s="5">
        <f>O557-U557</f>
        <v/>
      </c>
      <c r="W557" s="5">
        <f>O557-(P557+R557)</f>
        <v/>
      </c>
      <c r="X557" s="5">
        <f>O557-(P557+Q557+R557)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  <c r="S558" s="5">
        <f>F558*20%</f>
        <v/>
      </c>
      <c r="T558" s="5">
        <f>J558-S558</f>
        <v/>
      </c>
      <c r="U558" s="5">
        <f>F558+J558</f>
        <v/>
      </c>
      <c r="V558" s="5">
        <f>O558-U558</f>
        <v/>
      </c>
      <c r="W558" s="5">
        <f>O558-(P558+R558)</f>
        <v/>
      </c>
      <c r="X558" s="5">
        <f>O558-(P558+Q558+R558)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  <c r="S559" s="5">
        <f>F559*20%</f>
        <v/>
      </c>
      <c r="T559" s="5">
        <f>J559-S559</f>
        <v/>
      </c>
      <c r="U559" s="5">
        <f>F559+J559</f>
        <v/>
      </c>
      <c r="V559" s="5">
        <f>O559-U559</f>
        <v/>
      </c>
      <c r="W559" s="5">
        <f>O559-(P559+R559)</f>
        <v/>
      </c>
      <c r="X559" s="5">
        <f>O559-(P559+Q559+R559)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  <c r="S560" s="5">
        <f>F560*20%</f>
        <v/>
      </c>
      <c r="T560" s="5">
        <f>J560-S560</f>
        <v/>
      </c>
      <c r="U560" s="5">
        <f>F560+J560</f>
        <v/>
      </c>
      <c r="V560" s="5">
        <f>O560-U560</f>
        <v/>
      </c>
      <c r="W560" s="5">
        <f>O560-(P560+R560)</f>
        <v/>
      </c>
      <c r="X560" s="5">
        <f>O560-(P560+Q560+R560)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  <c r="S561" s="5">
        <f>F561*20%</f>
        <v/>
      </c>
      <c r="T561" s="5">
        <f>J561-S561</f>
        <v/>
      </c>
      <c r="U561" s="5">
        <f>F561+J561</f>
        <v/>
      </c>
      <c r="V561" s="5">
        <f>O561-U561</f>
        <v/>
      </c>
      <c r="W561" s="5">
        <f>O561-(P561+R561)</f>
        <v/>
      </c>
      <c r="X561" s="5">
        <f>O561-(P561+Q561+R561)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  <c r="S562" s="5">
        <f>F562*20%</f>
        <v/>
      </c>
      <c r="T562" s="5">
        <f>J562-S562</f>
        <v/>
      </c>
      <c r="U562" s="5">
        <f>F562+J562</f>
        <v/>
      </c>
      <c r="V562" s="5">
        <f>O562-U562</f>
        <v/>
      </c>
      <c r="W562" s="5">
        <f>O562-(P562+R562)</f>
        <v/>
      </c>
      <c r="X562" s="5">
        <f>O562-(P562+Q562+R562)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  <c r="S563" s="5">
        <f>F563*20%</f>
        <v/>
      </c>
      <c r="T563" s="5">
        <f>J563-S563</f>
        <v/>
      </c>
      <c r="U563" s="5">
        <f>F563+J563</f>
        <v/>
      </c>
      <c r="V563" s="5">
        <f>O563-U563</f>
        <v/>
      </c>
      <c r="W563" s="5">
        <f>O563-(P563+R563)</f>
        <v/>
      </c>
      <c r="X563" s="5">
        <f>O563-(P563+Q563+R563)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  <c r="S564" s="5">
        <f>F564*20%</f>
        <v/>
      </c>
      <c r="T564" s="5">
        <f>J564-S564</f>
        <v/>
      </c>
      <c r="U564" s="5">
        <f>F564+J564</f>
        <v/>
      </c>
      <c r="V564" s="5">
        <f>O564-U564</f>
        <v/>
      </c>
      <c r="W564" s="5">
        <f>O564-(P564+R564)</f>
        <v/>
      </c>
      <c r="X564" s="5">
        <f>O564-(P564+Q564+R564)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  <c r="S565" s="5">
        <f>F565*20%</f>
        <v/>
      </c>
      <c r="T565" s="5">
        <f>J565-S565</f>
        <v/>
      </c>
      <c r="U565" s="5">
        <f>F565+J565</f>
        <v/>
      </c>
      <c r="V565" s="5">
        <f>O565-U565</f>
        <v/>
      </c>
      <c r="W565" s="5">
        <f>O565-(P565+R565)</f>
        <v/>
      </c>
      <c r="X565" s="5">
        <f>O565-(P565+Q565+R565)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  <c r="S566" s="5">
        <f>F566*20%</f>
        <v/>
      </c>
      <c r="T566" s="5">
        <f>J566-S566</f>
        <v/>
      </c>
      <c r="U566" s="5">
        <f>F566+J566</f>
        <v/>
      </c>
      <c r="V566" s="5">
        <f>O566-U566</f>
        <v/>
      </c>
      <c r="W566" s="5">
        <f>O566-(P566+R566)</f>
        <v/>
      </c>
      <c r="X566" s="5">
        <f>O566-(P566+Q566+R566)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  <c r="S567" s="5">
        <f>F567*20%</f>
        <v/>
      </c>
      <c r="T567" s="5">
        <f>J567-S567</f>
        <v/>
      </c>
      <c r="U567" s="5">
        <f>F567+J567</f>
        <v/>
      </c>
      <c r="V567" s="5">
        <f>O567-U567</f>
        <v/>
      </c>
      <c r="W567" s="5">
        <f>O567-(P567+R567)</f>
        <v/>
      </c>
      <c r="X567" s="5">
        <f>O567-(P567+Q567+R567)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  <c r="S568" s="5">
        <f>F568*20%</f>
        <v/>
      </c>
      <c r="T568" s="5">
        <f>J568-S568</f>
        <v/>
      </c>
      <c r="U568" s="5">
        <f>F568+J568</f>
        <v/>
      </c>
      <c r="V568" s="5">
        <f>O568-U568</f>
        <v/>
      </c>
      <c r="W568" s="5">
        <f>O568-(P568+R568)</f>
        <v/>
      </c>
      <c r="X568" s="5">
        <f>O568-(P568+Q568+R568)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  <c r="S569" s="5">
        <f>F569*20%</f>
        <v/>
      </c>
      <c r="T569" s="5">
        <f>J569-S569</f>
        <v/>
      </c>
      <c r="U569" s="5">
        <f>F569+J569</f>
        <v/>
      </c>
      <c r="V569" s="5">
        <f>O569-U569</f>
        <v/>
      </c>
      <c r="W569" s="5">
        <f>O569-(P569+R569)</f>
        <v/>
      </c>
      <c r="X569" s="5">
        <f>O569-(P569+Q569+R569)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  <c r="S570" s="5">
        <f>F570*20%</f>
        <v/>
      </c>
      <c r="T570" s="5">
        <f>J570-S570</f>
        <v/>
      </c>
      <c r="U570" s="5">
        <f>F570+J570</f>
        <v/>
      </c>
      <c r="V570" s="5">
        <f>O570-U570</f>
        <v/>
      </c>
      <c r="W570" s="5">
        <f>O570-(P570+R570)</f>
        <v/>
      </c>
      <c r="X570" s="5">
        <f>O570-(P570+Q570+R570)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  <c r="S571" s="5">
        <f>F571*20%</f>
        <v/>
      </c>
      <c r="T571" s="5">
        <f>J571-S571</f>
        <v/>
      </c>
      <c r="U571" s="5">
        <f>F571+J571</f>
        <v/>
      </c>
      <c r="V571" s="5">
        <f>O571-U571</f>
        <v/>
      </c>
      <c r="W571" s="5">
        <f>O571-(P571+R571)</f>
        <v/>
      </c>
      <c r="X571" s="5">
        <f>O571-(P571+Q571+R571)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>
        <f>F572*20%</f>
        <v/>
      </c>
      <c r="T572" s="5">
        <f>J572-S572</f>
        <v/>
      </c>
      <c r="U572" s="5">
        <f>F572+J572</f>
        <v/>
      </c>
      <c r="V572" s="5">
        <f>O572-U572</f>
        <v/>
      </c>
      <c r="W572" s="5">
        <f>O572-(P572+R572)</f>
        <v/>
      </c>
      <c r="X572" s="5">
        <f>O572-(P572+Q572+R572)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  <c r="S573" s="5">
        <f>F573*20%</f>
        <v/>
      </c>
      <c r="T573" s="5">
        <f>J573-S573</f>
        <v/>
      </c>
      <c r="U573" s="5">
        <f>F573+J573</f>
        <v/>
      </c>
      <c r="V573" s="5">
        <f>O573-U573</f>
        <v/>
      </c>
      <c r="W573" s="5">
        <f>O573-(P573+R573)</f>
        <v/>
      </c>
      <c r="X573" s="5">
        <f>O573-(P573+Q573+R573)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  <c r="S574" s="5">
        <f>F574*20%</f>
        <v/>
      </c>
      <c r="T574" s="5">
        <f>J574-S574</f>
        <v/>
      </c>
      <c r="U574" s="5">
        <f>F574+J574</f>
        <v/>
      </c>
      <c r="V574" s="5">
        <f>O574-U574</f>
        <v/>
      </c>
      <c r="W574" s="5">
        <f>O574-(P574+R574)</f>
        <v/>
      </c>
      <c r="X574" s="5">
        <f>O574-(P574+Q574+R574)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  <c r="S575" s="5">
        <f>F575*20%</f>
        <v/>
      </c>
      <c r="T575" s="5">
        <f>J575-S575</f>
        <v/>
      </c>
      <c r="U575" s="5">
        <f>F575+J575</f>
        <v/>
      </c>
      <c r="V575" s="5">
        <f>O575-U575</f>
        <v/>
      </c>
      <c r="W575" s="5">
        <f>O575-(P575+R575)</f>
        <v/>
      </c>
      <c r="X575" s="5">
        <f>O575-(P575+Q575+R575)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  <c r="S576" s="5">
        <f>F576*20%</f>
        <v/>
      </c>
      <c r="T576" s="5">
        <f>J576-S576</f>
        <v/>
      </c>
      <c r="U576" s="5">
        <f>F576+J576</f>
        <v/>
      </c>
      <c r="V576" s="5">
        <f>O576-U576</f>
        <v/>
      </c>
      <c r="W576" s="5">
        <f>O576-(P576+R576)</f>
        <v/>
      </c>
      <c r="X576" s="5">
        <f>O576-(P576+Q576+R576)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  <c r="S577" s="5">
        <f>F577*20%</f>
        <v/>
      </c>
      <c r="T577" s="5">
        <f>J577-S577</f>
        <v/>
      </c>
      <c r="U577" s="5">
        <f>F577+J577</f>
        <v/>
      </c>
      <c r="V577" s="5">
        <f>O577-U577</f>
        <v/>
      </c>
      <c r="W577" s="5">
        <f>O577-(P577+R577)</f>
        <v/>
      </c>
      <c r="X577" s="5">
        <f>O577-(P577+Q577+R577)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  <c r="S578" s="5">
        <f>F578*20%</f>
        <v/>
      </c>
      <c r="T578" s="5">
        <f>J578-S578</f>
        <v/>
      </c>
      <c r="U578" s="5">
        <f>F578+J578</f>
        <v/>
      </c>
      <c r="V578" s="5">
        <f>O578-U578</f>
        <v/>
      </c>
      <c r="W578" s="5">
        <f>O578-(P578+R578)</f>
        <v/>
      </c>
      <c r="X578" s="5">
        <f>O578-(P578+Q578+R578)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  <c r="S579" s="5">
        <f>F579*20%</f>
        <v/>
      </c>
      <c r="T579" s="5">
        <f>J579-S579</f>
        <v/>
      </c>
      <c r="U579" s="5">
        <f>F579+J579</f>
        <v/>
      </c>
      <c r="V579" s="5">
        <f>O579-U579</f>
        <v/>
      </c>
      <c r="W579" s="5">
        <f>O579-(P579+R579)</f>
        <v/>
      </c>
      <c r="X579" s="5">
        <f>O579-(P579+Q579+R579)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F580*20%</f>
        <v/>
      </c>
      <c r="T580" s="5">
        <f>J580-S580</f>
        <v/>
      </c>
      <c r="U580" s="5">
        <f>F580+J580</f>
        <v/>
      </c>
      <c r="V580" s="5">
        <f>O580-U580</f>
        <v/>
      </c>
      <c r="W580" s="5">
        <f>O580-(P580+R580)</f>
        <v/>
      </c>
      <c r="X580" s="5">
        <f>O580-(P580+Q580+R580)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  <c r="S581" s="5">
        <f>F581*20%</f>
        <v/>
      </c>
      <c r="T581" s="5">
        <f>J581-S581</f>
        <v/>
      </c>
      <c r="U581" s="5">
        <f>F581+J581</f>
        <v/>
      </c>
      <c r="V581" s="5">
        <f>O581-U581</f>
        <v/>
      </c>
      <c r="W581" s="5">
        <f>O581-(P581+R581)</f>
        <v/>
      </c>
      <c r="X581" s="5">
        <f>O581-(P581+Q581+R581)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  <c r="S582" s="5">
        <f>F582*20%</f>
        <v/>
      </c>
      <c r="T582" s="5">
        <f>J582-S582</f>
        <v/>
      </c>
      <c r="U582" s="5">
        <f>F582+J582</f>
        <v/>
      </c>
      <c r="V582" s="5">
        <f>O582-U582</f>
        <v/>
      </c>
      <c r="W582" s="5">
        <f>O582-(P582+R582)</f>
        <v/>
      </c>
      <c r="X582" s="5">
        <f>O582-(P582+Q582+R582)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  <c r="S583" s="5">
        <f>F583*20%</f>
        <v/>
      </c>
      <c r="T583" s="5">
        <f>J583-S583</f>
        <v/>
      </c>
      <c r="U583" s="5">
        <f>F583+J583</f>
        <v/>
      </c>
      <c r="V583" s="5">
        <f>O583-U583</f>
        <v/>
      </c>
      <c r="W583" s="5">
        <f>O583-(P583+R583)</f>
        <v/>
      </c>
      <c r="X583" s="5">
        <f>O583-(P583+Q583+R583)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  <c r="S584" s="5">
        <f>F584*20%</f>
        <v/>
      </c>
      <c r="T584" s="5">
        <f>J584-S584</f>
        <v/>
      </c>
      <c r="U584" s="5">
        <f>F584+J584</f>
        <v/>
      </c>
      <c r="V584" s="5">
        <f>O584-U584</f>
        <v/>
      </c>
      <c r="W584" s="5">
        <f>O584-(P584+R584)</f>
        <v/>
      </c>
      <c r="X584" s="5">
        <f>O584-(P584+Q584+R584)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>
        <f>F585*20%</f>
        <v/>
      </c>
      <c r="T585" s="5">
        <f>J585-S585</f>
        <v/>
      </c>
      <c r="U585" s="5">
        <f>F585+J585</f>
        <v/>
      </c>
      <c r="V585" s="5">
        <f>O585-U585</f>
        <v/>
      </c>
      <c r="W585" s="5">
        <f>O585-(P585+R585)</f>
        <v/>
      </c>
      <c r="X585" s="5">
        <f>O585-(P585+Q585+R585)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  <c r="S586" s="5">
        <f>F586*20%</f>
        <v/>
      </c>
      <c r="T586" s="5">
        <f>J586-S586</f>
        <v/>
      </c>
      <c r="U586" s="5">
        <f>F586+J586</f>
        <v/>
      </c>
      <c r="V586" s="5">
        <f>O586-U586</f>
        <v/>
      </c>
      <c r="W586" s="5">
        <f>O586-(P586+R586)</f>
        <v/>
      </c>
      <c r="X586" s="5">
        <f>O586-(P586+Q586+R586)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  <c r="S587" s="5">
        <f>F587*20%</f>
        <v/>
      </c>
      <c r="T587" s="5">
        <f>J587-S587</f>
        <v/>
      </c>
      <c r="U587" s="5">
        <f>F587+J587</f>
        <v/>
      </c>
      <c r="V587" s="5">
        <f>O587-U587</f>
        <v/>
      </c>
      <c r="W587" s="5">
        <f>O587-(P587+R587)</f>
        <v/>
      </c>
      <c r="X587" s="5">
        <f>O587-(P587+Q587+R587)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  <c r="S588" s="5">
        <f>F588*20%</f>
        <v/>
      </c>
      <c r="T588" s="5">
        <f>J588-S588</f>
        <v/>
      </c>
      <c r="U588" s="5">
        <f>F588+J588</f>
        <v/>
      </c>
      <c r="V588" s="5">
        <f>O588-U588</f>
        <v/>
      </c>
      <c r="W588" s="5">
        <f>O588-(P588+R588)</f>
        <v/>
      </c>
      <c r="X588" s="5">
        <f>O588-(P588+Q588+R588)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  <c r="S589" s="5">
        <f>F589*20%</f>
        <v/>
      </c>
      <c r="T589" s="5">
        <f>J589-S589</f>
        <v/>
      </c>
      <c r="U589" s="5">
        <f>F589+J589</f>
        <v/>
      </c>
      <c r="V589" s="5">
        <f>O589-U589</f>
        <v/>
      </c>
      <c r="W589" s="5">
        <f>O589-(P589+R589)</f>
        <v/>
      </c>
      <c r="X589" s="5">
        <f>O589-(P589+Q589+R589)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  <c r="S590" s="5">
        <f>F590*20%</f>
        <v/>
      </c>
      <c r="T590" s="5">
        <f>J590-S590</f>
        <v/>
      </c>
      <c r="U590" s="5">
        <f>F590+J590</f>
        <v/>
      </c>
      <c r="V590" s="5">
        <f>O590-U590</f>
        <v/>
      </c>
      <c r="W590" s="5">
        <f>O590-(P590+R590)</f>
        <v/>
      </c>
      <c r="X590" s="5">
        <f>O590-(P590+Q590+R590)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  <c r="S591" s="5">
        <f>F591*20%</f>
        <v/>
      </c>
      <c r="T591" s="5">
        <f>J591-S591</f>
        <v/>
      </c>
      <c r="U591" s="5">
        <f>F591+J591</f>
        <v/>
      </c>
      <c r="V591" s="5">
        <f>O591-U591</f>
        <v/>
      </c>
      <c r="W591" s="5">
        <f>O591-(P591+R591)</f>
        <v/>
      </c>
      <c r="X591" s="5">
        <f>O591-(P591+Q591+R591)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  <c r="S592" s="5">
        <f>F592*20%</f>
        <v/>
      </c>
      <c r="T592" s="5">
        <f>J592-S592</f>
        <v/>
      </c>
      <c r="U592" s="5">
        <f>F592+J592</f>
        <v/>
      </c>
      <c r="V592" s="5">
        <f>O592-U592</f>
        <v/>
      </c>
      <c r="W592" s="5">
        <f>O592-(P592+R592)</f>
        <v/>
      </c>
      <c r="X592" s="5">
        <f>O592-(P592+Q592+R592)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  <c r="S593" s="5">
        <f>F593*20%</f>
        <v/>
      </c>
      <c r="T593" s="5">
        <f>J593-S593</f>
        <v/>
      </c>
      <c r="U593" s="5">
        <f>F593+J593</f>
        <v/>
      </c>
      <c r="V593" s="5">
        <f>O593-U593</f>
        <v/>
      </c>
      <c r="W593" s="5">
        <f>O593-(P593+R593)</f>
        <v/>
      </c>
      <c r="X593" s="5">
        <f>O593-(P593+Q593+R593)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  <c r="S594" s="5">
        <f>F594*20%</f>
        <v/>
      </c>
      <c r="T594" s="5">
        <f>J594-S594</f>
        <v/>
      </c>
      <c r="U594" s="5">
        <f>F594+J594</f>
        <v/>
      </c>
      <c r="V594" s="5">
        <f>O594-U594</f>
        <v/>
      </c>
      <c r="W594" s="5">
        <f>O594-(P594+R594)</f>
        <v/>
      </c>
      <c r="X594" s="5">
        <f>O594-(P594+Q594+R594)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  <c r="S595" s="5">
        <f>F595*20%</f>
        <v/>
      </c>
      <c r="T595" s="5">
        <f>J595-S595</f>
        <v/>
      </c>
      <c r="U595" s="5">
        <f>F595+J595</f>
        <v/>
      </c>
      <c r="V595" s="5">
        <f>O595-U595</f>
        <v/>
      </c>
      <c r="W595" s="5">
        <f>O595-(P595+R595)</f>
        <v/>
      </c>
      <c r="X595" s="5">
        <f>O595-(P595+Q595+R595)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  <c r="S596" s="5">
        <f>F596*20%</f>
        <v/>
      </c>
      <c r="T596" s="5">
        <f>J596-S596</f>
        <v/>
      </c>
      <c r="U596" s="5">
        <f>F596+J596</f>
        <v/>
      </c>
      <c r="V596" s="5">
        <f>O596-U596</f>
        <v/>
      </c>
      <c r="W596" s="5">
        <f>O596-(P596+R596)</f>
        <v/>
      </c>
      <c r="X596" s="5">
        <f>O596-(P596+Q596+R596)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  <c r="S597" s="5">
        <f>F597*20%</f>
        <v/>
      </c>
      <c r="T597" s="5">
        <f>J597-S597</f>
        <v/>
      </c>
      <c r="U597" s="5">
        <f>F597+J597</f>
        <v/>
      </c>
      <c r="V597" s="5">
        <f>O597-U597</f>
        <v/>
      </c>
      <c r="W597" s="5">
        <f>O597-(P597+R597)</f>
        <v/>
      </c>
      <c r="X597" s="5">
        <f>O597-(P597+Q597+R597)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  <c r="S598" s="5">
        <f>F598*20%</f>
        <v/>
      </c>
      <c r="T598" s="5">
        <f>J598-S598</f>
        <v/>
      </c>
      <c r="U598" s="5">
        <f>F598+J598</f>
        <v/>
      </c>
      <c r="V598" s="5">
        <f>O598-U598</f>
        <v/>
      </c>
      <c r="W598" s="5">
        <f>O598-(P598+R598)</f>
        <v/>
      </c>
      <c r="X598" s="5">
        <f>O598-(P598+Q598+R598)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  <c r="S599" s="5">
        <f>F599*20%</f>
        <v/>
      </c>
      <c r="T599" s="5">
        <f>J599-S599</f>
        <v/>
      </c>
      <c r="U599" s="5">
        <f>F599+J599</f>
        <v/>
      </c>
      <c r="V599" s="5">
        <f>O599-U599</f>
        <v/>
      </c>
      <c r="W599" s="5">
        <f>O599-(P599+R599)</f>
        <v/>
      </c>
      <c r="X599" s="5">
        <f>O599-(P599+Q599+R599)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  <c r="S600" s="5">
        <f>F600*20%</f>
        <v/>
      </c>
      <c r="T600" s="5">
        <f>J600-S600</f>
        <v/>
      </c>
      <c r="U600" s="5">
        <f>F600+J600</f>
        <v/>
      </c>
      <c r="V600" s="5">
        <f>O600-U600</f>
        <v/>
      </c>
      <c r="W600" s="5">
        <f>O600-(P600+R600)</f>
        <v/>
      </c>
      <c r="X600" s="5">
        <f>O600-(P600+Q600+R600)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  <c r="S601" s="5">
        <f>F601*20%</f>
        <v/>
      </c>
      <c r="T601" s="5">
        <f>J601-S601</f>
        <v/>
      </c>
      <c r="U601" s="5">
        <f>F601+J601</f>
        <v/>
      </c>
      <c r="V601" s="5">
        <f>O601-U601</f>
        <v/>
      </c>
      <c r="W601" s="5">
        <f>O601-(P601+R601)</f>
        <v/>
      </c>
      <c r="X601" s="5">
        <f>O601-(P601+Q601+R601)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  <c r="S602" s="5">
        <f>F602*20%</f>
        <v/>
      </c>
      <c r="T602" s="5">
        <f>J602-S602</f>
        <v/>
      </c>
      <c r="U602" s="5">
        <f>F602+J602</f>
        <v/>
      </c>
      <c r="V602" s="5">
        <f>O602-U602</f>
        <v/>
      </c>
      <c r="W602" s="5">
        <f>O602-(P602+R602)</f>
        <v/>
      </c>
      <c r="X602" s="5">
        <f>O602-(P602+Q602+R602)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  <c r="S603" s="5">
        <f>F603*20%</f>
        <v/>
      </c>
      <c r="T603" s="5">
        <f>J603-S603</f>
        <v/>
      </c>
      <c r="U603" s="5">
        <f>F603+J603</f>
        <v/>
      </c>
      <c r="V603" s="5">
        <f>O603-U603</f>
        <v/>
      </c>
      <c r="W603" s="5">
        <f>O603-(P603+R603)</f>
        <v/>
      </c>
      <c r="X603" s="5">
        <f>O603-(P603+Q603+R603)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  <c r="S604" s="5">
        <f>F604*20%</f>
        <v/>
      </c>
      <c r="T604" s="5">
        <f>J604-S604</f>
        <v/>
      </c>
      <c r="U604" s="5">
        <f>F604+J604</f>
        <v/>
      </c>
      <c r="V604" s="5">
        <f>O604-U604</f>
        <v/>
      </c>
      <c r="W604" s="5">
        <f>O604-(P604+R604)</f>
        <v/>
      </c>
      <c r="X604" s="5">
        <f>O604-(P604+Q604+R604)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  <c r="S605" s="5">
        <f>F605*20%</f>
        <v/>
      </c>
      <c r="T605" s="5">
        <f>J605-S605</f>
        <v/>
      </c>
      <c r="U605" s="5">
        <f>F605+J605</f>
        <v/>
      </c>
      <c r="V605" s="5">
        <f>O605-U605</f>
        <v/>
      </c>
      <c r="W605" s="5">
        <f>O605-(P605+R605)</f>
        <v/>
      </c>
      <c r="X605" s="5">
        <f>O605-(P605+Q605+R605)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  <c r="S606" s="5">
        <f>F606*20%</f>
        <v/>
      </c>
      <c r="T606" s="5">
        <f>J606-S606</f>
        <v/>
      </c>
      <c r="U606" s="5">
        <f>F606+J606</f>
        <v/>
      </c>
      <c r="V606" s="5">
        <f>O606-U606</f>
        <v/>
      </c>
      <c r="W606" s="5">
        <f>O606-(P606+R606)</f>
        <v/>
      </c>
      <c r="X606" s="5">
        <f>O606-(P606+Q606+R606)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  <c r="S607" s="5">
        <f>F607*20%</f>
        <v/>
      </c>
      <c r="T607" s="5">
        <f>J607-S607</f>
        <v/>
      </c>
      <c r="U607" s="5">
        <f>F607+J607</f>
        <v/>
      </c>
      <c r="V607" s="5">
        <f>O607-U607</f>
        <v/>
      </c>
      <c r="W607" s="5">
        <f>O607-(P607+R607)</f>
        <v/>
      </c>
      <c r="X607" s="5">
        <f>O607-(P607+Q607+R607)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  <c r="S608" s="5">
        <f>F608*20%</f>
        <v/>
      </c>
      <c r="T608" s="5">
        <f>J608-S608</f>
        <v/>
      </c>
      <c r="U608" s="5">
        <f>F608+J608</f>
        <v/>
      </c>
      <c r="V608" s="5">
        <f>O608-U608</f>
        <v/>
      </c>
      <c r="W608" s="5">
        <f>O608-(P608+R608)</f>
        <v/>
      </c>
      <c r="X608" s="5">
        <f>O608-(P608+Q608+R608)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  <c r="S609" s="5">
        <f>F609*20%</f>
        <v/>
      </c>
      <c r="T609" s="5">
        <f>J609-S609</f>
        <v/>
      </c>
      <c r="U609" s="5">
        <f>F609+J609</f>
        <v/>
      </c>
      <c r="V609" s="5">
        <f>O609-U609</f>
        <v/>
      </c>
      <c r="W609" s="5">
        <f>O609-(P609+R609)</f>
        <v/>
      </c>
      <c r="X609" s="5">
        <f>O609-(P609+Q609+R609)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  <c r="S610" s="5">
        <f>F610*20%</f>
        <v/>
      </c>
      <c r="T610" s="5">
        <f>J610-S610</f>
        <v/>
      </c>
      <c r="U610" s="5">
        <f>F610+J610</f>
        <v/>
      </c>
      <c r="V610" s="5">
        <f>O610-U610</f>
        <v/>
      </c>
      <c r="W610" s="5">
        <f>O610-(P610+R610)</f>
        <v/>
      </c>
      <c r="X610" s="5">
        <f>O610-(P610+Q610+R610)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  <c r="S611" s="5">
        <f>F611*20%</f>
        <v/>
      </c>
      <c r="T611" s="5">
        <f>J611-S611</f>
        <v/>
      </c>
      <c r="U611" s="5">
        <f>F611+J611</f>
        <v/>
      </c>
      <c r="V611" s="5">
        <f>O611-U611</f>
        <v/>
      </c>
      <c r="W611" s="5">
        <f>O611-(P611+R611)</f>
        <v/>
      </c>
      <c r="X611" s="5">
        <f>O611-(P611+Q611+R611)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  <c r="S612" s="5">
        <f>F612*20%</f>
        <v/>
      </c>
      <c r="T612" s="5">
        <f>J612-S612</f>
        <v/>
      </c>
      <c r="U612" s="5">
        <f>F612+J612</f>
        <v/>
      </c>
      <c r="V612" s="5">
        <f>O612-U612</f>
        <v/>
      </c>
      <c r="W612" s="5">
        <f>O612-(P612+R612)</f>
        <v/>
      </c>
      <c r="X612" s="5">
        <f>O612-(P612+Q612+R612)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  <c r="S613" s="5">
        <f>F613*20%</f>
        <v/>
      </c>
      <c r="T613" s="5">
        <f>J613-S613</f>
        <v/>
      </c>
      <c r="U613" s="5">
        <f>F613+J613</f>
        <v/>
      </c>
      <c r="V613" s="5">
        <f>O613-U613</f>
        <v/>
      </c>
      <c r="W613" s="5">
        <f>O613-(P613+R613)</f>
        <v/>
      </c>
      <c r="X613" s="5">
        <f>O613-(P613+Q613+R613)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F614*20%</f>
        <v/>
      </c>
      <c r="T614" s="5">
        <f>J614-S614</f>
        <v/>
      </c>
      <c r="U614" s="5">
        <f>F614+J614</f>
        <v/>
      </c>
      <c r="V614" s="5">
        <f>O614-U614</f>
        <v/>
      </c>
      <c r="W614" s="5">
        <f>O614-(P614+R614)</f>
        <v/>
      </c>
      <c r="X614" s="5">
        <f>O614-(P614+Q614+R614)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  <c r="S615" s="5">
        <f>F615*20%</f>
        <v/>
      </c>
      <c r="T615" s="5">
        <f>J615-S615</f>
        <v/>
      </c>
      <c r="U615" s="5">
        <f>F615+J615</f>
        <v/>
      </c>
      <c r="V615" s="5">
        <f>O615-U615</f>
        <v/>
      </c>
      <c r="W615" s="5">
        <f>O615-(P615+R615)</f>
        <v/>
      </c>
      <c r="X615" s="5">
        <f>O615-(P615+Q615+R615)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  <c r="S616" s="5">
        <f>F616*20%</f>
        <v/>
      </c>
      <c r="T616" s="5">
        <f>J616-S616</f>
        <v/>
      </c>
      <c r="U616" s="5">
        <f>F616+J616</f>
        <v/>
      </c>
      <c r="V616" s="5">
        <f>O616-U616</f>
        <v/>
      </c>
      <c r="W616" s="5">
        <f>O616-(P616+R616)</f>
        <v/>
      </c>
      <c r="X616" s="5">
        <f>O616-(P616+Q616+R616)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  <c r="S617" s="5">
        <f>F617*20%</f>
        <v/>
      </c>
      <c r="T617" s="5">
        <f>J617-S617</f>
        <v/>
      </c>
      <c r="U617" s="5">
        <f>F617+J617</f>
        <v/>
      </c>
      <c r="V617" s="5">
        <f>O617-U617</f>
        <v/>
      </c>
      <c r="W617" s="5">
        <f>O617-(P617+R617)</f>
        <v/>
      </c>
      <c r="X617" s="5">
        <f>O617-(P617+Q617+R617)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  <c r="S618" s="5">
        <f>F618*20%</f>
        <v/>
      </c>
      <c r="T618" s="5">
        <f>J618-S618</f>
        <v/>
      </c>
      <c r="U618" s="5">
        <f>F618+J618</f>
        <v/>
      </c>
      <c r="V618" s="5">
        <f>O618-U618</f>
        <v/>
      </c>
      <c r="W618" s="5">
        <f>O618-(P618+R618)</f>
        <v/>
      </c>
      <c r="X618" s="5">
        <f>O618-(P618+Q618+R618)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  <c r="S619" s="5">
        <f>F619*20%</f>
        <v/>
      </c>
      <c r="T619" s="5">
        <f>J619-S619</f>
        <v/>
      </c>
      <c r="U619" s="5">
        <f>F619+J619</f>
        <v/>
      </c>
      <c r="V619" s="5">
        <f>O619-U619</f>
        <v/>
      </c>
      <c r="W619" s="5">
        <f>O619-(P619+R619)</f>
        <v/>
      </c>
      <c r="X619" s="5">
        <f>O619-(P619+Q619+R619)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  <c r="S620" s="5">
        <f>F620*20%</f>
        <v/>
      </c>
      <c r="T620" s="5">
        <f>J620-S620</f>
        <v/>
      </c>
      <c r="U620" s="5">
        <f>F620+J620</f>
        <v/>
      </c>
      <c r="V620" s="5">
        <f>O620-U620</f>
        <v/>
      </c>
      <c r="W620" s="5">
        <f>O620-(P620+R620)</f>
        <v/>
      </c>
      <c r="X620" s="5">
        <f>O620-(P620+Q620+R620)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  <c r="S621" s="5">
        <f>F621*20%</f>
        <v/>
      </c>
      <c r="T621" s="5">
        <f>J621-S621</f>
        <v/>
      </c>
      <c r="U621" s="5">
        <f>F621+J621</f>
        <v/>
      </c>
      <c r="V621" s="5">
        <f>O621-U621</f>
        <v/>
      </c>
      <c r="W621" s="5">
        <f>O621-(P621+R621)</f>
        <v/>
      </c>
      <c r="X621" s="5">
        <f>O621-(P621+Q621+R621)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  <c r="S622" s="5">
        <f>F622*20%</f>
        <v/>
      </c>
      <c r="T622" s="5">
        <f>J622-S622</f>
        <v/>
      </c>
      <c r="U622" s="5">
        <f>F622+J622</f>
        <v/>
      </c>
      <c r="V622" s="5">
        <f>O622-U622</f>
        <v/>
      </c>
      <c r="W622" s="5">
        <f>O622-(P622+R622)</f>
        <v/>
      </c>
      <c r="X622" s="5">
        <f>O622-(P622+Q622+R622)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  <c r="S623" s="5">
        <f>F623*20%</f>
        <v/>
      </c>
      <c r="T623" s="5">
        <f>J623-S623</f>
        <v/>
      </c>
      <c r="U623" s="5">
        <f>F623+J623</f>
        <v/>
      </c>
      <c r="V623" s="5">
        <f>O623-U623</f>
        <v/>
      </c>
      <c r="W623" s="5">
        <f>O623-(P623+R623)</f>
        <v/>
      </c>
      <c r="X623" s="5">
        <f>O623-(P623+Q623+R623)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F624*20%</f>
        <v/>
      </c>
      <c r="T624" s="5">
        <f>J624-S624</f>
        <v/>
      </c>
      <c r="U624" s="5">
        <f>F624+J624</f>
        <v/>
      </c>
      <c r="V624" s="5">
        <f>O624-U624</f>
        <v/>
      </c>
      <c r="W624" s="5">
        <f>O624-(P624+R624)</f>
        <v/>
      </c>
      <c r="X624" s="5">
        <f>O624-(P624+Q624+R624)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F625*20%</f>
        <v/>
      </c>
      <c r="T625" s="5">
        <f>J625-S625</f>
        <v/>
      </c>
      <c r="U625" s="5">
        <f>F625+J625</f>
        <v/>
      </c>
      <c r="V625" s="5">
        <f>O625-U625</f>
        <v/>
      </c>
      <c r="W625" s="5">
        <f>O625-(P625+R625)</f>
        <v/>
      </c>
      <c r="X625" s="5">
        <f>O625-(P625+Q625+R625)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  <c r="S626" s="5">
        <f>F626*20%</f>
        <v/>
      </c>
      <c r="T626" s="5">
        <f>J626-S626</f>
        <v/>
      </c>
      <c r="U626" s="5">
        <f>F626+J626</f>
        <v/>
      </c>
      <c r="V626" s="5">
        <f>O626-U626</f>
        <v/>
      </c>
      <c r="W626" s="5">
        <f>O626-(P626+R626)</f>
        <v/>
      </c>
      <c r="X626" s="5">
        <f>O626-(P626+Q626+R626)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  <c r="S627" s="5">
        <f>F627*20%</f>
        <v/>
      </c>
      <c r="T627" s="5">
        <f>J627-S627</f>
        <v/>
      </c>
      <c r="U627" s="5">
        <f>F627+J627</f>
        <v/>
      </c>
      <c r="V627" s="5">
        <f>O627-U627</f>
        <v/>
      </c>
      <c r="W627" s="5">
        <f>O627-(P627+R627)</f>
        <v/>
      </c>
      <c r="X627" s="5">
        <f>O627-(P627+Q627+R627)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  <c r="S628" s="5">
        <f>F628*20%</f>
        <v/>
      </c>
      <c r="T628" s="5">
        <f>J628-S628</f>
        <v/>
      </c>
      <c r="U628" s="5">
        <f>F628+J628</f>
        <v/>
      </c>
      <c r="V628" s="5">
        <f>O628-U628</f>
        <v/>
      </c>
      <c r="W628" s="5">
        <f>O628-(P628+R628)</f>
        <v/>
      </c>
      <c r="X628" s="5">
        <f>O628-(P628+Q628+R628)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  <c r="S629" s="5">
        <f>F629*20%</f>
        <v/>
      </c>
      <c r="T629" s="5">
        <f>J629-S629</f>
        <v/>
      </c>
      <c r="U629" s="5">
        <f>F629+J629</f>
        <v/>
      </c>
      <c r="V629" s="5">
        <f>O629-U629</f>
        <v/>
      </c>
      <c r="W629" s="5">
        <f>O629-(P629+R629)</f>
        <v/>
      </c>
      <c r="X629" s="5">
        <f>O629-(P629+Q629+R629)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  <c r="S630" s="5">
        <f>F630*20%</f>
        <v/>
      </c>
      <c r="T630" s="5">
        <f>J630-S630</f>
        <v/>
      </c>
      <c r="U630" s="5">
        <f>F630+J630</f>
        <v/>
      </c>
      <c r="V630" s="5">
        <f>O630-U630</f>
        <v/>
      </c>
      <c r="W630" s="5">
        <f>O630-(P630+R630)</f>
        <v/>
      </c>
      <c r="X630" s="5">
        <f>O630-(P630+Q630+R630)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  <c r="S631" s="5">
        <f>F631*20%</f>
        <v/>
      </c>
      <c r="T631" s="5">
        <f>J631-S631</f>
        <v/>
      </c>
      <c r="U631" s="5">
        <f>F631+J631</f>
        <v/>
      </c>
      <c r="V631" s="5">
        <f>O631-U631</f>
        <v/>
      </c>
      <c r="W631" s="5">
        <f>O631-(P631+R631)</f>
        <v/>
      </c>
      <c r="X631" s="5">
        <f>O631-(P631+Q631+R631)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  <c r="S632" s="5">
        <f>F632*20%</f>
        <v/>
      </c>
      <c r="T632" s="5">
        <f>J632-S632</f>
        <v/>
      </c>
      <c r="U632" s="5">
        <f>F632+J632</f>
        <v/>
      </c>
      <c r="V632" s="5">
        <f>O632-U632</f>
        <v/>
      </c>
      <c r="W632" s="5">
        <f>O632-(P632+R632)</f>
        <v/>
      </c>
      <c r="X632" s="5">
        <f>O632-(P632+Q632+R632)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  <c r="S633" s="5">
        <f>F633*20%</f>
        <v/>
      </c>
      <c r="T633" s="5">
        <f>J633-S633</f>
        <v/>
      </c>
      <c r="U633" s="5">
        <f>F633+J633</f>
        <v/>
      </c>
      <c r="V633" s="5">
        <f>O633-U633</f>
        <v/>
      </c>
      <c r="W633" s="5">
        <f>O633-(P633+R633)</f>
        <v/>
      </c>
      <c r="X633" s="5">
        <f>O633-(P633+Q633+R633)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  <c r="S634" s="5">
        <f>F634*20%</f>
        <v/>
      </c>
      <c r="T634" s="5">
        <f>J634-S634</f>
        <v/>
      </c>
      <c r="U634" s="5">
        <f>F634+J634</f>
        <v/>
      </c>
      <c r="V634" s="5">
        <f>O634-U634</f>
        <v/>
      </c>
      <c r="W634" s="5">
        <f>O634-(P634+R634)</f>
        <v/>
      </c>
      <c r="X634" s="5">
        <f>O634-(P634+Q634+R634)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  <c r="S635" s="5">
        <f>F635*20%</f>
        <v/>
      </c>
      <c r="T635" s="5">
        <f>J635-S635</f>
        <v/>
      </c>
      <c r="U635" s="5">
        <f>F635+J635</f>
        <v/>
      </c>
      <c r="V635" s="5">
        <f>O635-U635</f>
        <v/>
      </c>
      <c r="W635" s="5">
        <f>O635-(P635+R635)</f>
        <v/>
      </c>
      <c r="X635" s="5">
        <f>O635-(P635+Q635+R635)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  <c r="S636" s="5">
        <f>F636*20%</f>
        <v/>
      </c>
      <c r="T636" s="5">
        <f>J636-S636</f>
        <v/>
      </c>
      <c r="U636" s="5">
        <f>F636+J636</f>
        <v/>
      </c>
      <c r="V636" s="5">
        <f>O636-U636</f>
        <v/>
      </c>
      <c r="W636" s="5">
        <f>O636-(P636+R636)</f>
        <v/>
      </c>
      <c r="X636" s="5">
        <f>O636-(P636+Q636+R636)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  <c r="S637" s="5">
        <f>F637*20%</f>
        <v/>
      </c>
      <c r="T637" s="5">
        <f>J637-S637</f>
        <v/>
      </c>
      <c r="U637" s="5">
        <f>F637+J637</f>
        <v/>
      </c>
      <c r="V637" s="5">
        <f>O637-U637</f>
        <v/>
      </c>
      <c r="W637" s="5">
        <f>O637-(P637+R637)</f>
        <v/>
      </c>
      <c r="X637" s="5">
        <f>O637-(P637+Q637+R637)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F638*20%</f>
        <v/>
      </c>
      <c r="T638" s="5">
        <f>J638-S638</f>
        <v/>
      </c>
      <c r="U638" s="5">
        <f>F638+J638</f>
        <v/>
      </c>
      <c r="V638" s="5">
        <f>O638-U638</f>
        <v/>
      </c>
      <c r="W638" s="5">
        <f>O638-(P638+R638)</f>
        <v/>
      </c>
      <c r="X638" s="5">
        <f>O638-(P638+Q638+R638)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  <c r="S639" s="5">
        <f>F639*20%</f>
        <v/>
      </c>
      <c r="T639" s="5">
        <f>J639-S639</f>
        <v/>
      </c>
      <c r="U639" s="5">
        <f>F639+J639</f>
        <v/>
      </c>
      <c r="V639" s="5">
        <f>O639-U639</f>
        <v/>
      </c>
      <c r="W639" s="5">
        <f>O639-(P639+R639)</f>
        <v/>
      </c>
      <c r="X639" s="5">
        <f>O639-(P639+Q639+R639)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F640*20%</f>
        <v/>
      </c>
      <c r="T640" s="5">
        <f>J640-S640</f>
        <v/>
      </c>
      <c r="U640" s="5">
        <f>F640+J640</f>
        <v/>
      </c>
      <c r="V640" s="5">
        <f>O640-U640</f>
        <v/>
      </c>
      <c r="W640" s="5">
        <f>O640-(P640+R640)</f>
        <v/>
      </c>
      <c r="X640" s="5">
        <f>O640-(P640+Q640+R640)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  <c r="S641" s="5">
        <f>F641*20%</f>
        <v/>
      </c>
      <c r="T641" s="5">
        <f>J641-S641</f>
        <v/>
      </c>
      <c r="U641" s="5">
        <f>F641+J641</f>
        <v/>
      </c>
      <c r="V641" s="5">
        <f>O641-U641</f>
        <v/>
      </c>
      <c r="W641" s="5">
        <f>O641-(P641+R641)</f>
        <v/>
      </c>
      <c r="X641" s="5">
        <f>O641-(P641+Q641+R641)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  <c r="S642" s="5">
        <f>F642*20%</f>
        <v/>
      </c>
      <c r="T642" s="5">
        <f>J642-S642</f>
        <v/>
      </c>
      <c r="U642" s="5">
        <f>F642+J642</f>
        <v/>
      </c>
      <c r="V642" s="5">
        <f>O642-U642</f>
        <v/>
      </c>
      <c r="W642" s="5">
        <f>O642-(P642+R642)</f>
        <v/>
      </c>
      <c r="X642" s="5">
        <f>O642-(P642+Q642+R642)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  <c r="S643" s="5">
        <f>F643*20%</f>
        <v/>
      </c>
      <c r="T643" s="5">
        <f>J643-S643</f>
        <v/>
      </c>
      <c r="U643" s="5">
        <f>F643+J643</f>
        <v/>
      </c>
      <c r="V643" s="5">
        <f>O643-U643</f>
        <v/>
      </c>
      <c r="W643" s="5">
        <f>O643-(P643+R643)</f>
        <v/>
      </c>
      <c r="X643" s="5">
        <f>O643-(P643+Q643+R643)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  <c r="S644" s="5">
        <f>F644*20%</f>
        <v/>
      </c>
      <c r="T644" s="5">
        <f>J644-S644</f>
        <v/>
      </c>
      <c r="U644" s="5">
        <f>F644+J644</f>
        <v/>
      </c>
      <c r="V644" s="5">
        <f>O644-U644</f>
        <v/>
      </c>
      <c r="W644" s="5">
        <f>O644-(P644+R644)</f>
        <v/>
      </c>
      <c r="X644" s="5">
        <f>O644-(P644+Q644+R644)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  <c r="S645" s="5">
        <f>F645*20%</f>
        <v/>
      </c>
      <c r="T645" s="5">
        <f>J645-S645</f>
        <v/>
      </c>
      <c r="U645" s="5">
        <f>F645+J645</f>
        <v/>
      </c>
      <c r="V645" s="5">
        <f>O645-U645</f>
        <v/>
      </c>
      <c r="W645" s="5">
        <f>O645-(P645+R645)</f>
        <v/>
      </c>
      <c r="X645" s="5">
        <f>O645-(P645+Q645+R645)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  <c r="S646" s="5">
        <f>F646*20%</f>
        <v/>
      </c>
      <c r="T646" s="5">
        <f>J646-S646</f>
        <v/>
      </c>
      <c r="U646" s="5">
        <f>F646+J646</f>
        <v/>
      </c>
      <c r="V646" s="5">
        <f>O646-U646</f>
        <v/>
      </c>
      <c r="W646" s="5">
        <f>O646-(P646+R646)</f>
        <v/>
      </c>
      <c r="X646" s="5">
        <f>O646-(P646+Q646+R646)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  <c r="S647" s="5">
        <f>F647*20%</f>
        <v/>
      </c>
      <c r="T647" s="5">
        <f>J647-S647</f>
        <v/>
      </c>
      <c r="U647" s="5">
        <f>F647+J647</f>
        <v/>
      </c>
      <c r="V647" s="5">
        <f>O647-U647</f>
        <v/>
      </c>
      <c r="W647" s="5">
        <f>O647-(P647+R647)</f>
        <v/>
      </c>
      <c r="X647" s="5">
        <f>O647-(P647+Q647+R647)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  <c r="S648" s="5">
        <f>F648*20%</f>
        <v/>
      </c>
      <c r="T648" s="5">
        <f>J648-S648</f>
        <v/>
      </c>
      <c r="U648" s="5">
        <f>F648+J648</f>
        <v/>
      </c>
      <c r="V648" s="5">
        <f>O648-U648</f>
        <v/>
      </c>
      <c r="W648" s="5">
        <f>O648-(P648+R648)</f>
        <v/>
      </c>
      <c r="X648" s="5">
        <f>O648-(P648+Q648+R648)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  <c r="S649" s="5">
        <f>F649*20%</f>
        <v/>
      </c>
      <c r="T649" s="5">
        <f>J649-S649</f>
        <v/>
      </c>
      <c r="U649" s="5">
        <f>F649+J649</f>
        <v/>
      </c>
      <c r="V649" s="5">
        <f>O649-U649</f>
        <v/>
      </c>
      <c r="W649" s="5">
        <f>O649-(P649+R649)</f>
        <v/>
      </c>
      <c r="X649" s="5">
        <f>O649-(P649+Q649+R649)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  <c r="S650" s="5">
        <f>F650*20%</f>
        <v/>
      </c>
      <c r="T650" s="5">
        <f>J650-S650</f>
        <v/>
      </c>
      <c r="U650" s="5">
        <f>F650+J650</f>
        <v/>
      </c>
      <c r="V650" s="5">
        <f>O650-U650</f>
        <v/>
      </c>
      <c r="W650" s="5">
        <f>O650-(P650+R650)</f>
        <v/>
      </c>
      <c r="X650" s="5">
        <f>O650-(P650+Q650+R650)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  <c r="S651" s="5">
        <f>F651*20%</f>
        <v/>
      </c>
      <c r="T651" s="5">
        <f>J651-S651</f>
        <v/>
      </c>
      <c r="U651" s="5">
        <f>F651+J651</f>
        <v/>
      </c>
      <c r="V651" s="5">
        <f>O651-U651</f>
        <v/>
      </c>
      <c r="W651" s="5">
        <f>O651-(P651+R651)</f>
        <v/>
      </c>
      <c r="X651" s="5">
        <f>O651-(P651+Q651+R651)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  <c r="S652" s="5">
        <f>F652*20%</f>
        <v/>
      </c>
      <c r="T652" s="5">
        <f>J652-S652</f>
        <v/>
      </c>
      <c r="U652" s="5">
        <f>F652+J652</f>
        <v/>
      </c>
      <c r="V652" s="5">
        <f>O652-U652</f>
        <v/>
      </c>
      <c r="W652" s="5">
        <f>O652-(P652+R652)</f>
        <v/>
      </c>
      <c r="X652" s="5">
        <f>O652-(P652+Q652+R652)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  <c r="S653" s="5">
        <f>F653*20%</f>
        <v/>
      </c>
      <c r="T653" s="5">
        <f>J653-S653</f>
        <v/>
      </c>
      <c r="U653" s="5">
        <f>F653+J653</f>
        <v/>
      </c>
      <c r="V653" s="5">
        <f>O653-U653</f>
        <v/>
      </c>
      <c r="W653" s="5">
        <f>O653-(P653+R653)</f>
        <v/>
      </c>
      <c r="X653" s="5">
        <f>O653-(P653+Q653+R653)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  <c r="S654" s="5">
        <f>F654*20%</f>
        <v/>
      </c>
      <c r="T654" s="5">
        <f>J654-S654</f>
        <v/>
      </c>
      <c r="U654" s="5">
        <f>F654+J654</f>
        <v/>
      </c>
      <c r="V654" s="5">
        <f>O654-U654</f>
        <v/>
      </c>
      <c r="W654" s="5">
        <f>O654-(P654+R654)</f>
        <v/>
      </c>
      <c r="X654" s="5">
        <f>O654-(P654+Q654+R654)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  <c r="S655" s="5">
        <f>F655*20%</f>
        <v/>
      </c>
      <c r="T655" s="5">
        <f>J655-S655</f>
        <v/>
      </c>
      <c r="U655" s="5">
        <f>F655+J655</f>
        <v/>
      </c>
      <c r="V655" s="5">
        <f>O655-U655</f>
        <v/>
      </c>
      <c r="W655" s="5">
        <f>O655-(P655+R655)</f>
        <v/>
      </c>
      <c r="X655" s="5">
        <f>O655-(P655+Q655+R655)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  <c r="S656" s="5">
        <f>F656*20%</f>
        <v/>
      </c>
      <c r="T656" s="5">
        <f>J656-S656</f>
        <v/>
      </c>
      <c r="U656" s="5">
        <f>F656+J656</f>
        <v/>
      </c>
      <c r="V656" s="5">
        <f>O656-U656</f>
        <v/>
      </c>
      <c r="W656" s="5">
        <f>O656-(P656+R656)</f>
        <v/>
      </c>
      <c r="X656" s="5">
        <f>O656-(P656+Q656+R656)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  <c r="S657" s="5">
        <f>F657*20%</f>
        <v/>
      </c>
      <c r="T657" s="5">
        <f>J657-S657</f>
        <v/>
      </c>
      <c r="U657" s="5">
        <f>F657+J657</f>
        <v/>
      </c>
      <c r="V657" s="5">
        <f>O657-U657</f>
        <v/>
      </c>
      <c r="W657" s="5">
        <f>O657-(P657+R657)</f>
        <v/>
      </c>
      <c r="X657" s="5">
        <f>O657-(P657+Q657+R657)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  <c r="S658" s="5">
        <f>F658*20%</f>
        <v/>
      </c>
      <c r="T658" s="5">
        <f>J658-S658</f>
        <v/>
      </c>
      <c r="U658" s="5">
        <f>F658+J658</f>
        <v/>
      </c>
      <c r="V658" s="5">
        <f>O658-U658</f>
        <v/>
      </c>
      <c r="W658" s="5">
        <f>O658-(P658+R658)</f>
        <v/>
      </c>
      <c r="X658" s="5">
        <f>O658-(P658+Q658+R658)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  <c r="S659" s="5">
        <f>F659*20%</f>
        <v/>
      </c>
      <c r="T659" s="5">
        <f>J659-S659</f>
        <v/>
      </c>
      <c r="U659" s="5">
        <f>F659+J659</f>
        <v/>
      </c>
      <c r="V659" s="5">
        <f>O659-U659</f>
        <v/>
      </c>
      <c r="W659" s="5">
        <f>O659-(P659+R659)</f>
        <v/>
      </c>
      <c r="X659" s="5">
        <f>O659-(P659+Q659+R659)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F660*20%</f>
        <v/>
      </c>
      <c r="T660" s="5">
        <f>J660-S660</f>
        <v/>
      </c>
      <c r="U660" s="5">
        <f>F660+J660</f>
        <v/>
      </c>
      <c r="V660" s="5">
        <f>O660-U660</f>
        <v/>
      </c>
      <c r="W660" s="5">
        <f>O660-(P660+R660)</f>
        <v/>
      </c>
      <c r="X660" s="5">
        <f>O660-(P660+Q660+R660)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  <c r="S661" s="5">
        <f>F661*20%</f>
        <v/>
      </c>
      <c r="T661" s="5">
        <f>J661-S661</f>
        <v/>
      </c>
      <c r="U661" s="5">
        <f>F661+J661</f>
        <v/>
      </c>
      <c r="V661" s="5">
        <f>O661-U661</f>
        <v/>
      </c>
      <c r="W661" s="5">
        <f>O661-(P661+R661)</f>
        <v/>
      </c>
      <c r="X661" s="5">
        <f>O661-(P661+Q661+R661)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  <c r="S662" s="5">
        <f>F662*20%</f>
        <v/>
      </c>
      <c r="T662" s="5">
        <f>J662-S662</f>
        <v/>
      </c>
      <c r="U662" s="5">
        <f>F662+J662</f>
        <v/>
      </c>
      <c r="V662" s="5">
        <f>O662-U662</f>
        <v/>
      </c>
      <c r="W662" s="5">
        <f>O662-(P662+R662)</f>
        <v/>
      </c>
      <c r="X662" s="5">
        <f>O662-(P662+Q662+R662)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  <c r="S663" s="5">
        <f>F663*20%</f>
        <v/>
      </c>
      <c r="T663" s="5">
        <f>J663-S663</f>
        <v/>
      </c>
      <c r="U663" s="5">
        <f>F663+J663</f>
        <v/>
      </c>
      <c r="V663" s="5">
        <f>O663-U663</f>
        <v/>
      </c>
      <c r="W663" s="5">
        <f>O663-(P663+R663)</f>
        <v/>
      </c>
      <c r="X663" s="5">
        <f>O663-(P663+Q663+R663)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>
        <f>F664*20%</f>
        <v/>
      </c>
      <c r="T664" s="5">
        <f>J664-S664</f>
        <v/>
      </c>
      <c r="U664" s="5">
        <f>F664+J664</f>
        <v/>
      </c>
      <c r="V664" s="5">
        <f>O664-U664</f>
        <v/>
      </c>
      <c r="W664" s="5">
        <f>O664-(P664+R664)</f>
        <v/>
      </c>
      <c r="X664" s="5">
        <f>O664-(P664+Q664+R664)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  <c r="S665" s="5">
        <f>F665*20%</f>
        <v/>
      </c>
      <c r="T665" s="5">
        <f>J665-S665</f>
        <v/>
      </c>
      <c r="U665" s="5">
        <f>F665+J665</f>
        <v/>
      </c>
      <c r="V665" s="5">
        <f>O665-U665</f>
        <v/>
      </c>
      <c r="W665" s="5">
        <f>O665-(P665+R665)</f>
        <v/>
      </c>
      <c r="X665" s="5">
        <f>O665-(P665+Q665+R665)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  <c r="S666" s="5">
        <f>F666*20%</f>
        <v/>
      </c>
      <c r="T666" s="5">
        <f>J666-S666</f>
        <v/>
      </c>
      <c r="U666" s="5">
        <f>F666+J666</f>
        <v/>
      </c>
      <c r="V666" s="5">
        <f>O666-U666</f>
        <v/>
      </c>
      <c r="W666" s="5">
        <f>O666-(P666+R666)</f>
        <v/>
      </c>
      <c r="X666" s="5">
        <f>O666-(P666+Q666+R666)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  <c r="S667" s="5">
        <f>F667*20%</f>
        <v/>
      </c>
      <c r="T667" s="5">
        <f>J667-S667</f>
        <v/>
      </c>
      <c r="U667" s="5">
        <f>F667+J667</f>
        <v/>
      </c>
      <c r="V667" s="5">
        <f>O667-U667</f>
        <v/>
      </c>
      <c r="W667" s="5">
        <f>O667-(P667+R667)</f>
        <v/>
      </c>
      <c r="X667" s="5">
        <f>O667-(P667+Q667+R667)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  <c r="S668" s="5">
        <f>F668*20%</f>
        <v/>
      </c>
      <c r="T668" s="5">
        <f>J668-S668</f>
        <v/>
      </c>
      <c r="U668" s="5">
        <f>F668+J668</f>
        <v/>
      </c>
      <c r="V668" s="5">
        <f>O668-U668</f>
        <v/>
      </c>
      <c r="W668" s="5">
        <f>O668-(P668+R668)</f>
        <v/>
      </c>
      <c r="X668" s="5">
        <f>O668-(P668+Q668+R668)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  <c r="S669" s="5">
        <f>F669*20%</f>
        <v/>
      </c>
      <c r="T669" s="5">
        <f>J669-S669</f>
        <v/>
      </c>
      <c r="U669" s="5">
        <f>F669+J669</f>
        <v/>
      </c>
      <c r="V669" s="5">
        <f>O669-U669</f>
        <v/>
      </c>
      <c r="W669" s="5">
        <f>O669-(P669+R669)</f>
        <v/>
      </c>
      <c r="X669" s="5">
        <f>O669-(P669+Q669+R669)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  <c r="S670" s="5">
        <f>F670*20%</f>
        <v/>
      </c>
      <c r="T670" s="5">
        <f>J670-S670</f>
        <v/>
      </c>
      <c r="U670" s="5">
        <f>F670+J670</f>
        <v/>
      </c>
      <c r="V670" s="5">
        <f>O670-U670</f>
        <v/>
      </c>
      <c r="W670" s="5">
        <f>O670-(P670+R670)</f>
        <v/>
      </c>
      <c r="X670" s="5">
        <f>O670-(P670+Q670+R670)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  <c r="S671" s="5">
        <f>F671*20%</f>
        <v/>
      </c>
      <c r="T671" s="5">
        <f>J671-S671</f>
        <v/>
      </c>
      <c r="U671" s="5">
        <f>F671+J671</f>
        <v/>
      </c>
      <c r="V671" s="5">
        <f>O671-U671</f>
        <v/>
      </c>
      <c r="W671" s="5">
        <f>O671-(P671+R671)</f>
        <v/>
      </c>
      <c r="X671" s="5">
        <f>O671-(P671+Q671+R671)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  <c r="S672" s="5">
        <f>F672*20%</f>
        <v/>
      </c>
      <c r="T672" s="5">
        <f>J672-S672</f>
        <v/>
      </c>
      <c r="U672" s="5">
        <f>F672+J672</f>
        <v/>
      </c>
      <c r="V672" s="5">
        <f>O672-U672</f>
        <v/>
      </c>
      <c r="W672" s="5">
        <f>O672-(P672+R672)</f>
        <v/>
      </c>
      <c r="X672" s="5">
        <f>O672-(P672+Q672+R672)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  <c r="S673" s="5">
        <f>F673*20%</f>
        <v/>
      </c>
      <c r="T673" s="5">
        <f>J673-S673</f>
        <v/>
      </c>
      <c r="U673" s="5">
        <f>F673+J673</f>
        <v/>
      </c>
      <c r="V673" s="5">
        <f>O673-U673</f>
        <v/>
      </c>
      <c r="W673" s="5">
        <f>O673-(P673+R673)</f>
        <v/>
      </c>
      <c r="X673" s="5">
        <f>O673-(P673+Q673+R673)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  <c r="S674" s="5">
        <f>F674*20%</f>
        <v/>
      </c>
      <c r="T674" s="5">
        <f>J674-S674</f>
        <v/>
      </c>
      <c r="U674" s="5">
        <f>F674+J674</f>
        <v/>
      </c>
      <c r="V674" s="5">
        <f>O674-U674</f>
        <v/>
      </c>
      <c r="W674" s="5">
        <f>O674-(P674+R674)</f>
        <v/>
      </c>
      <c r="X674" s="5">
        <f>O674-(P674+Q674+R674)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  <c r="S675" s="5">
        <f>F675*20%</f>
        <v/>
      </c>
      <c r="T675" s="5">
        <f>J675-S675</f>
        <v/>
      </c>
      <c r="U675" s="5">
        <f>F675+J675</f>
        <v/>
      </c>
      <c r="V675" s="5">
        <f>O675-U675</f>
        <v/>
      </c>
      <c r="W675" s="5">
        <f>O675-(P675+R675)</f>
        <v/>
      </c>
      <c r="X675" s="5">
        <f>O675-(P675+Q675+R675)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  <c r="S676" s="5">
        <f>F676*20%</f>
        <v/>
      </c>
      <c r="T676" s="5">
        <f>J676-S676</f>
        <v/>
      </c>
      <c r="U676" s="5">
        <f>F676+J676</f>
        <v/>
      </c>
      <c r="V676" s="5">
        <f>O676-U676</f>
        <v/>
      </c>
      <c r="W676" s="5">
        <f>O676-(P676+R676)</f>
        <v/>
      </c>
      <c r="X676" s="5">
        <f>O676-(P676+Q676+R676)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  <c r="S677" s="5">
        <f>F677*20%</f>
        <v/>
      </c>
      <c r="T677" s="5">
        <f>J677-S677</f>
        <v/>
      </c>
      <c r="U677" s="5">
        <f>F677+J677</f>
        <v/>
      </c>
      <c r="V677" s="5">
        <f>O677-U677</f>
        <v/>
      </c>
      <c r="W677" s="5">
        <f>O677-(P677+R677)</f>
        <v/>
      </c>
      <c r="X677" s="5">
        <f>O677-(P677+Q677+R677)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  <c r="S678" s="5">
        <f>F678*20%</f>
        <v/>
      </c>
      <c r="T678" s="5">
        <f>J678-S678</f>
        <v/>
      </c>
      <c r="U678" s="5">
        <f>F678+J678</f>
        <v/>
      </c>
      <c r="V678" s="5">
        <f>O678-U678</f>
        <v/>
      </c>
      <c r="W678" s="5">
        <f>O678-(P678+R678)</f>
        <v/>
      </c>
      <c r="X678" s="5">
        <f>O678-(P678+Q678+R678)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  <c r="S679" s="5">
        <f>F679*20%</f>
        <v/>
      </c>
      <c r="T679" s="5">
        <f>J679-S679</f>
        <v/>
      </c>
      <c r="U679" s="5">
        <f>F679+J679</f>
        <v/>
      </c>
      <c r="V679" s="5">
        <f>O679-U679</f>
        <v/>
      </c>
      <c r="W679" s="5">
        <f>O679-(P679+R679)</f>
        <v/>
      </c>
      <c r="X679" s="5">
        <f>O679-(P679+Q679+R679)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  <c r="S680" s="5">
        <f>F680*20%</f>
        <v/>
      </c>
      <c r="T680" s="5">
        <f>J680-S680</f>
        <v/>
      </c>
      <c r="U680" s="5">
        <f>F680+J680</f>
        <v/>
      </c>
      <c r="V680" s="5">
        <f>O680-U680</f>
        <v/>
      </c>
      <c r="W680" s="5">
        <f>O680-(P680+R680)</f>
        <v/>
      </c>
      <c r="X680" s="5">
        <f>O680-(P680+Q680+R680)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  <c r="S681" s="5">
        <f>F681*20%</f>
        <v/>
      </c>
      <c r="T681" s="5">
        <f>J681-S681</f>
        <v/>
      </c>
      <c r="U681" s="5">
        <f>F681+J681</f>
        <v/>
      </c>
      <c r="V681" s="5">
        <f>O681-U681</f>
        <v/>
      </c>
      <c r="W681" s="5">
        <f>O681-(P681+R681)</f>
        <v/>
      </c>
      <c r="X681" s="5">
        <f>O681-(P681+Q681+R681)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  <c r="S682" s="5">
        <f>F682*20%</f>
        <v/>
      </c>
      <c r="T682" s="5">
        <f>J682-S682</f>
        <v/>
      </c>
      <c r="U682" s="5">
        <f>F682+J682</f>
        <v/>
      </c>
      <c r="V682" s="5">
        <f>O682-U682</f>
        <v/>
      </c>
      <c r="W682" s="5">
        <f>O682-(P682+R682)</f>
        <v/>
      </c>
      <c r="X682" s="5">
        <f>O682-(P682+Q682+R682)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  <c r="S683" s="5">
        <f>F683*20%</f>
        <v/>
      </c>
      <c r="T683" s="5">
        <f>J683-S683</f>
        <v/>
      </c>
      <c r="U683" s="5">
        <f>F683+J683</f>
        <v/>
      </c>
      <c r="V683" s="5">
        <f>O683-U683</f>
        <v/>
      </c>
      <c r="W683" s="5">
        <f>O683-(P683+R683)</f>
        <v/>
      </c>
      <c r="X683" s="5">
        <f>O683-(P683+Q683+R683)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  <c r="S684" s="5">
        <f>F684*20%</f>
        <v/>
      </c>
      <c r="T684" s="5">
        <f>J684-S684</f>
        <v/>
      </c>
      <c r="U684" s="5">
        <f>F684+J684</f>
        <v/>
      </c>
      <c r="V684" s="5">
        <f>O684-U684</f>
        <v/>
      </c>
      <c r="W684" s="5">
        <f>O684-(P684+R684)</f>
        <v/>
      </c>
      <c r="X684" s="5">
        <f>O684-(P684+Q684+R684)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  <c r="S685" s="5">
        <f>F685*20%</f>
        <v/>
      </c>
      <c r="T685" s="5">
        <f>J685-S685</f>
        <v/>
      </c>
      <c r="U685" s="5">
        <f>F685+J685</f>
        <v/>
      </c>
      <c r="V685" s="5">
        <f>O685-U685</f>
        <v/>
      </c>
      <c r="W685" s="5">
        <f>O685-(P685+R685)</f>
        <v/>
      </c>
      <c r="X685" s="5">
        <f>O685-(P685+Q685+R685)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  <c r="S686" s="5">
        <f>F686*20%</f>
        <v/>
      </c>
      <c r="T686" s="5">
        <f>J686-S686</f>
        <v/>
      </c>
      <c r="U686" s="5">
        <f>F686+J686</f>
        <v/>
      </c>
      <c r="V686" s="5">
        <f>O686-U686</f>
        <v/>
      </c>
      <c r="W686" s="5">
        <f>O686-(P686+R686)</f>
        <v/>
      </c>
      <c r="X686" s="5">
        <f>O686-(P686+Q686+R686)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  <c r="S687" s="5">
        <f>F687*20%</f>
        <v/>
      </c>
      <c r="T687" s="5">
        <f>J687-S687</f>
        <v/>
      </c>
      <c r="U687" s="5">
        <f>F687+J687</f>
        <v/>
      </c>
      <c r="V687" s="5">
        <f>O687-U687</f>
        <v/>
      </c>
      <c r="W687" s="5">
        <f>O687-(P687+R687)</f>
        <v/>
      </c>
      <c r="X687" s="5">
        <f>O687-(P687+Q687+R687)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  <c r="S688" s="5">
        <f>F688*20%</f>
        <v/>
      </c>
      <c r="T688" s="5">
        <f>J688-S688</f>
        <v/>
      </c>
      <c r="U688" s="5">
        <f>F688+J688</f>
        <v/>
      </c>
      <c r="V688" s="5">
        <f>O688-U688</f>
        <v/>
      </c>
      <c r="W688" s="5">
        <f>O688-(P688+R688)</f>
        <v/>
      </c>
      <c r="X688" s="5">
        <f>O688-(P688+Q688+R688)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  <c r="S689" s="5">
        <f>F689*20%</f>
        <v/>
      </c>
      <c r="T689" s="5">
        <f>J689-S689</f>
        <v/>
      </c>
      <c r="U689" s="5">
        <f>F689+J689</f>
        <v/>
      </c>
      <c r="V689" s="5">
        <f>O689-U689</f>
        <v/>
      </c>
      <c r="W689" s="5">
        <f>O689-(P689+R689)</f>
        <v/>
      </c>
      <c r="X689" s="5">
        <f>O689-(P689+Q689+R689)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  <c r="S690" s="5">
        <f>F690*20%</f>
        <v/>
      </c>
      <c r="T690" s="5">
        <f>J690-S690</f>
        <v/>
      </c>
      <c r="U690" s="5">
        <f>F690+J690</f>
        <v/>
      </c>
      <c r="V690" s="5">
        <f>O690-U690</f>
        <v/>
      </c>
      <c r="W690" s="5">
        <f>O690-(P690+R690)</f>
        <v/>
      </c>
      <c r="X690" s="5">
        <f>O690-(P690+Q690+R690)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  <c r="S691" s="5">
        <f>F691*20%</f>
        <v/>
      </c>
      <c r="T691" s="5">
        <f>J691-S691</f>
        <v/>
      </c>
      <c r="U691" s="5">
        <f>F691+J691</f>
        <v/>
      </c>
      <c r="V691" s="5">
        <f>O691-U691</f>
        <v/>
      </c>
      <c r="W691" s="5">
        <f>O691-(P691+R691)</f>
        <v/>
      </c>
      <c r="X691" s="5">
        <f>O691-(P691+Q691+R691)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  <c r="S692" s="5">
        <f>F692*20%</f>
        <v/>
      </c>
      <c r="T692" s="5">
        <f>J692-S692</f>
        <v/>
      </c>
      <c r="U692" s="5">
        <f>F692+J692</f>
        <v/>
      </c>
      <c r="V692" s="5">
        <f>O692-U692</f>
        <v/>
      </c>
      <c r="W692" s="5">
        <f>O692-(P692+R692)</f>
        <v/>
      </c>
      <c r="X692" s="5">
        <f>O692-(P692+Q692+R692)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  <c r="S693" s="5">
        <f>F693*20%</f>
        <v/>
      </c>
      <c r="T693" s="5">
        <f>J693-S693</f>
        <v/>
      </c>
      <c r="U693" s="5">
        <f>F693+J693</f>
        <v/>
      </c>
      <c r="V693" s="5">
        <f>O693-U693</f>
        <v/>
      </c>
      <c r="W693" s="5">
        <f>O693-(P693+R693)</f>
        <v/>
      </c>
      <c r="X693" s="5">
        <f>O693-(P693+Q693+R693)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  <c r="S694" s="5">
        <f>F694*20%</f>
        <v/>
      </c>
      <c r="T694" s="5">
        <f>J694-S694</f>
        <v/>
      </c>
      <c r="U694" s="5">
        <f>F694+J694</f>
        <v/>
      </c>
      <c r="V694" s="5">
        <f>O694-U694</f>
        <v/>
      </c>
      <c r="W694" s="5">
        <f>O694-(P694+R694)</f>
        <v/>
      </c>
      <c r="X694" s="5">
        <f>O694-(P694+Q694+R694)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  <c r="S695" s="5">
        <f>F695*20%</f>
        <v/>
      </c>
      <c r="T695" s="5">
        <f>J695-S695</f>
        <v/>
      </c>
      <c r="U695" s="5">
        <f>F695+J695</f>
        <v/>
      </c>
      <c r="V695" s="5">
        <f>O695-U695</f>
        <v/>
      </c>
      <c r="W695" s="5">
        <f>O695-(P695+R695)</f>
        <v/>
      </c>
      <c r="X695" s="5">
        <f>O695-(P695+Q695+R695)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  <c r="S696" s="5">
        <f>F696*20%</f>
        <v/>
      </c>
      <c r="T696" s="5">
        <f>J696-S696</f>
        <v/>
      </c>
      <c r="U696" s="5">
        <f>F696+J696</f>
        <v/>
      </c>
      <c r="V696" s="5">
        <f>O696-U696</f>
        <v/>
      </c>
      <c r="W696" s="5">
        <f>O696-(P696+R696)</f>
        <v/>
      </c>
      <c r="X696" s="5">
        <f>O696-(P696+Q696+R696)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  <c r="S697" s="5">
        <f>F697*20%</f>
        <v/>
      </c>
      <c r="T697" s="5">
        <f>J697-S697</f>
        <v/>
      </c>
      <c r="U697" s="5">
        <f>F697+J697</f>
        <v/>
      </c>
      <c r="V697" s="5">
        <f>O697-U697</f>
        <v/>
      </c>
      <c r="W697" s="5">
        <f>O697-(P697+R697)</f>
        <v/>
      </c>
      <c r="X697" s="5">
        <f>O697-(P697+Q697+R697)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  <c r="S698" s="5">
        <f>F698*20%</f>
        <v/>
      </c>
      <c r="T698" s="5">
        <f>J698-S698</f>
        <v/>
      </c>
      <c r="U698" s="5">
        <f>F698+J698</f>
        <v/>
      </c>
      <c r="V698" s="5">
        <f>O698-U698</f>
        <v/>
      </c>
      <c r="W698" s="5">
        <f>O698-(P698+R698)</f>
        <v/>
      </c>
      <c r="X698" s="5">
        <f>O698-(P698+Q698+R698)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  <c r="S699" s="5">
        <f>F699*20%</f>
        <v/>
      </c>
      <c r="T699" s="5">
        <f>J699-S699</f>
        <v/>
      </c>
      <c r="U699" s="5">
        <f>F699+J699</f>
        <v/>
      </c>
      <c r="V699" s="5">
        <f>O699-U699</f>
        <v/>
      </c>
      <c r="W699" s="5">
        <f>O699-(P699+R699)</f>
        <v/>
      </c>
      <c r="X699" s="5">
        <f>O699-(P699+Q699+R699)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>
        <f>F700*20%</f>
        <v/>
      </c>
      <c r="T700" s="5">
        <f>J700-S700</f>
        <v/>
      </c>
      <c r="U700" s="5">
        <f>F700+J700</f>
        <v/>
      </c>
      <c r="V700" s="5">
        <f>O700-U700</f>
        <v/>
      </c>
      <c r="W700" s="5">
        <f>O700-(P700+R700)</f>
        <v/>
      </c>
      <c r="X700" s="5">
        <f>O700-(P700+Q700+R700)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  <c r="S701" s="5">
        <f>F701*20%</f>
        <v/>
      </c>
      <c r="T701" s="5">
        <f>J701-S701</f>
        <v/>
      </c>
      <c r="U701" s="5">
        <f>F701+J701</f>
        <v/>
      </c>
      <c r="V701" s="5">
        <f>O701-U701</f>
        <v/>
      </c>
      <c r="W701" s="5">
        <f>O701-(P701+R701)</f>
        <v/>
      </c>
      <c r="X701" s="5">
        <f>O701-(P701+Q701+R701)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  <c r="S702" s="5">
        <f>F702*20%</f>
        <v/>
      </c>
      <c r="T702" s="5">
        <f>J702-S702</f>
        <v/>
      </c>
      <c r="U702" s="5">
        <f>F702+J702</f>
        <v/>
      </c>
      <c r="V702" s="5">
        <f>O702-U702</f>
        <v/>
      </c>
      <c r="W702" s="5">
        <f>O702-(P702+R702)</f>
        <v/>
      </c>
      <c r="X702" s="5">
        <f>O702-(P702+Q702+R702)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  <c r="S703" s="5">
        <f>F703*20%</f>
        <v/>
      </c>
      <c r="T703" s="5">
        <f>J703-S703</f>
        <v/>
      </c>
      <c r="U703" s="5">
        <f>F703+J703</f>
        <v/>
      </c>
      <c r="V703" s="5">
        <f>O703-U703</f>
        <v/>
      </c>
      <c r="W703" s="5">
        <f>O703-(P703+R703)</f>
        <v/>
      </c>
      <c r="X703" s="5">
        <f>O703-(P703+Q703+R703)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  <c r="S704" s="5">
        <f>F704*20%</f>
        <v/>
      </c>
      <c r="T704" s="5">
        <f>J704-S704</f>
        <v/>
      </c>
      <c r="U704" s="5">
        <f>F704+J704</f>
        <v/>
      </c>
      <c r="V704" s="5">
        <f>O704-U704</f>
        <v/>
      </c>
      <c r="W704" s="5">
        <f>O704-(P704+R704)</f>
        <v/>
      </c>
      <c r="X704" s="5">
        <f>O704-(P704+Q704+R704)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  <c r="S705" s="5">
        <f>F705*20%</f>
        <v/>
      </c>
      <c r="T705" s="5">
        <f>J705-S705</f>
        <v/>
      </c>
      <c r="U705" s="5">
        <f>F705+J705</f>
        <v/>
      </c>
      <c r="V705" s="5">
        <f>O705-U705</f>
        <v/>
      </c>
      <c r="W705" s="5">
        <f>O705-(P705+R705)</f>
        <v/>
      </c>
      <c r="X705" s="5">
        <f>O705-(P705+Q705+R705)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  <c r="S706" s="5">
        <f>F706*20%</f>
        <v/>
      </c>
      <c r="T706" s="5">
        <f>J706-S706</f>
        <v/>
      </c>
      <c r="U706" s="5">
        <f>F706+J706</f>
        <v/>
      </c>
      <c r="V706" s="5">
        <f>O706-U706</f>
        <v/>
      </c>
      <c r="W706" s="5">
        <f>O706-(P706+R706)</f>
        <v/>
      </c>
      <c r="X706" s="5">
        <f>O706-(P706+Q706+R706)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  <c r="S707" s="5">
        <f>F707*20%</f>
        <v/>
      </c>
      <c r="T707" s="5">
        <f>J707-S707</f>
        <v/>
      </c>
      <c r="U707" s="5">
        <f>F707+J707</f>
        <v/>
      </c>
      <c r="V707" s="5">
        <f>O707-U707</f>
        <v/>
      </c>
      <c r="W707" s="5">
        <f>O707-(P707+R707)</f>
        <v/>
      </c>
      <c r="X707" s="5">
        <f>O707-(P707+Q707+R707)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  <c r="S708" s="5">
        <f>F708*20%</f>
        <v/>
      </c>
      <c r="T708" s="5">
        <f>J708-S708</f>
        <v/>
      </c>
      <c r="U708" s="5">
        <f>F708+J708</f>
        <v/>
      </c>
      <c r="V708" s="5">
        <f>O708-U708</f>
        <v/>
      </c>
      <c r="W708" s="5">
        <f>O708-(P708+R708)</f>
        <v/>
      </c>
      <c r="X708" s="5">
        <f>O708-(P708+Q708+R708)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  <c r="S709" s="5">
        <f>F709*20%</f>
        <v/>
      </c>
      <c r="T709" s="5">
        <f>J709-S709</f>
        <v/>
      </c>
      <c r="U709" s="5">
        <f>F709+J709</f>
        <v/>
      </c>
      <c r="V709" s="5">
        <f>O709-U709</f>
        <v/>
      </c>
      <c r="W709" s="5">
        <f>O709-(P709+R709)</f>
        <v/>
      </c>
      <c r="X709" s="5">
        <f>O709-(P709+Q709+R709)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  <c r="S710" s="5">
        <f>F710*20%</f>
        <v/>
      </c>
      <c r="T710" s="5">
        <f>J710-S710</f>
        <v/>
      </c>
      <c r="U710" s="5">
        <f>F710+J710</f>
        <v/>
      </c>
      <c r="V710" s="5">
        <f>O710-U710</f>
        <v/>
      </c>
      <c r="W710" s="5">
        <f>O710-(P710+R710)</f>
        <v/>
      </c>
      <c r="X710" s="5">
        <f>O710-(P710+Q710+R710)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  <c r="S711" s="5">
        <f>F711*20%</f>
        <v/>
      </c>
      <c r="T711" s="5">
        <f>J711-S711</f>
        <v/>
      </c>
      <c r="U711" s="5">
        <f>F711+J711</f>
        <v/>
      </c>
      <c r="V711" s="5">
        <f>O711-U711</f>
        <v/>
      </c>
      <c r="W711" s="5">
        <f>O711-(P711+R711)</f>
        <v/>
      </c>
      <c r="X711" s="5">
        <f>O711-(P711+Q711+R711)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  <c r="S712" s="5">
        <f>F712*20%</f>
        <v/>
      </c>
      <c r="T712" s="5">
        <f>J712-S712</f>
        <v/>
      </c>
      <c r="U712" s="5">
        <f>F712+J712</f>
        <v/>
      </c>
      <c r="V712" s="5">
        <f>O712-U712</f>
        <v/>
      </c>
      <c r="W712" s="5">
        <f>O712-(P712+R712)</f>
        <v/>
      </c>
      <c r="X712" s="5">
        <f>O712-(P712+Q712+R712)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  <c r="S713" s="5">
        <f>F713*20%</f>
        <v/>
      </c>
      <c r="T713" s="5">
        <f>J713-S713</f>
        <v/>
      </c>
      <c r="U713" s="5">
        <f>F713+J713</f>
        <v/>
      </c>
      <c r="V713" s="5">
        <f>O713-U713</f>
        <v/>
      </c>
      <c r="W713" s="5">
        <f>O713-(P713+R713)</f>
        <v/>
      </c>
      <c r="X713" s="5">
        <f>O713-(P713+Q713+R713)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  <c r="S714" s="5">
        <f>F714*20%</f>
        <v/>
      </c>
      <c r="T714" s="5">
        <f>J714-S714</f>
        <v/>
      </c>
      <c r="U714" s="5">
        <f>F714+J714</f>
        <v/>
      </c>
      <c r="V714" s="5">
        <f>O714-U714</f>
        <v/>
      </c>
      <c r="W714" s="5">
        <f>O714-(P714+R714)</f>
        <v/>
      </c>
      <c r="X714" s="5">
        <f>O714-(P714+Q714+R714)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  <c r="S715" s="5">
        <f>F715*20%</f>
        <v/>
      </c>
      <c r="T715" s="5">
        <f>J715-S715</f>
        <v/>
      </c>
      <c r="U715" s="5">
        <f>F715+J715</f>
        <v/>
      </c>
      <c r="V715" s="5">
        <f>O715-U715</f>
        <v/>
      </c>
      <c r="W715" s="5">
        <f>O715-(P715+R715)</f>
        <v/>
      </c>
      <c r="X715" s="5">
        <f>O715-(P715+Q715+R715)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  <c r="S716" s="5">
        <f>F716*20%</f>
        <v/>
      </c>
      <c r="T716" s="5">
        <f>J716-S716</f>
        <v/>
      </c>
      <c r="U716" s="5">
        <f>F716+J716</f>
        <v/>
      </c>
      <c r="V716" s="5">
        <f>O716-U716</f>
        <v/>
      </c>
      <c r="W716" s="5">
        <f>O716-(P716+R716)</f>
        <v/>
      </c>
      <c r="X716" s="5">
        <f>O716-(P716+Q716+R716)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  <c r="S717" s="5">
        <f>F717*20%</f>
        <v/>
      </c>
      <c r="T717" s="5">
        <f>J717-S717</f>
        <v/>
      </c>
      <c r="U717" s="5">
        <f>F717+J717</f>
        <v/>
      </c>
      <c r="V717" s="5">
        <f>O717-U717</f>
        <v/>
      </c>
      <c r="W717" s="5">
        <f>O717-(P717+R717)</f>
        <v/>
      </c>
      <c r="X717" s="5">
        <f>O717-(P717+Q717+R717)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  <c r="S718" s="5">
        <f>F718*20%</f>
        <v/>
      </c>
      <c r="T718" s="5">
        <f>J718-S718</f>
        <v/>
      </c>
      <c r="U718" s="5">
        <f>F718+J718</f>
        <v/>
      </c>
      <c r="V718" s="5">
        <f>O718-U718</f>
        <v/>
      </c>
      <c r="W718" s="5">
        <f>O718-(P718+R718)</f>
        <v/>
      </c>
      <c r="X718" s="5">
        <f>O718-(P718+Q718+R718)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  <c r="S719" s="5">
        <f>F719*20%</f>
        <v/>
      </c>
      <c r="T719" s="5">
        <f>J719-S719</f>
        <v/>
      </c>
      <c r="U719" s="5">
        <f>F719+J719</f>
        <v/>
      </c>
      <c r="V719" s="5">
        <f>O719-U719</f>
        <v/>
      </c>
      <c r="W719" s="5">
        <f>O719-(P719+R719)</f>
        <v/>
      </c>
      <c r="X719" s="5">
        <f>O719-(P719+Q719+R719)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  <c r="S720" s="5">
        <f>F720*20%</f>
        <v/>
      </c>
      <c r="T720" s="5">
        <f>J720-S720</f>
        <v/>
      </c>
      <c r="U720" s="5">
        <f>F720+J720</f>
        <v/>
      </c>
      <c r="V720" s="5">
        <f>O720-U720</f>
        <v/>
      </c>
      <c r="W720" s="5">
        <f>O720-(P720+R720)</f>
        <v/>
      </c>
      <c r="X720" s="5">
        <f>O720-(P720+Q720+R720)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  <c r="S721" s="5">
        <f>F721*20%</f>
        <v/>
      </c>
      <c r="T721" s="5">
        <f>J721-S721</f>
        <v/>
      </c>
      <c r="U721" s="5">
        <f>F721+J721</f>
        <v/>
      </c>
      <c r="V721" s="5">
        <f>O721-U721</f>
        <v/>
      </c>
      <c r="W721" s="5">
        <f>O721-(P721+R721)</f>
        <v/>
      </c>
      <c r="X721" s="5">
        <f>O721-(P721+Q721+R721)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  <c r="S722" s="5">
        <f>F722*20%</f>
        <v/>
      </c>
      <c r="T722" s="5">
        <f>J722-S722</f>
        <v/>
      </c>
      <c r="U722" s="5">
        <f>F722+J722</f>
        <v/>
      </c>
      <c r="V722" s="5">
        <f>O722-U722</f>
        <v/>
      </c>
      <c r="W722" s="5">
        <f>O722-(P722+R722)</f>
        <v/>
      </c>
      <c r="X722" s="5">
        <f>O722-(P722+Q722+R722)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  <c r="S723" s="5">
        <f>F723*20%</f>
        <v/>
      </c>
      <c r="T723" s="5">
        <f>J723-S723</f>
        <v/>
      </c>
      <c r="U723" s="5">
        <f>F723+J723</f>
        <v/>
      </c>
      <c r="V723" s="5">
        <f>O723-U723</f>
        <v/>
      </c>
      <c r="W723" s="5">
        <f>O723-(P723+R723)</f>
        <v/>
      </c>
      <c r="X723" s="5">
        <f>O723-(P723+Q723+R723)</f>
        <v/>
      </c>
    </row>
  </sheetData>
  <autoFilter ref="A1:X723"/>
  <conditionalFormatting sqref="T2:T72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V2:V72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X2:X72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AJ_TROU_NUM_TICKET</t>
        </is>
      </c>
      <c r="G1" s="1" t="inlineStr">
        <is>
          <t>AJ_TROU_NUM_INTERNE</t>
        </is>
      </c>
      <c r="H1" s="1" t="inlineStr">
        <is>
          <t>OBSERVATION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>
        <f>""</f>
        <v/>
      </c>
      <c r="G2" s="5">
        <f>""</f>
        <v/>
      </c>
      <c r="H2" s="2">
        <f>"Premier enregistrement"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>
        <f>C3-C2</f>
        <v/>
      </c>
      <c r="G3" s="5">
        <f>B3-B2</f>
        <v/>
      </c>
      <c r="H3" s="2">
        <f>IF(AND(F3=1,G3=1),"OK","À JUSTIFIER")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>
        <f>C4-C3</f>
        <v/>
      </c>
      <c r="G4" s="5">
        <f>B4-B3</f>
        <v/>
      </c>
      <c r="H4" s="2">
        <f>IF(AND(F4=1,G4=1),"OK","À JUSTIFIER")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>
        <f>C5-C4</f>
        <v/>
      </c>
      <c r="G5" s="5">
        <f>B5-B4</f>
        <v/>
      </c>
      <c r="H5" s="2">
        <f>IF(AND(F5=1,G5=1),"OK","À JUSTIFIER")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>
        <f>C6-C5</f>
        <v/>
      </c>
      <c r="G6" s="5">
        <f>B6-B5</f>
        <v/>
      </c>
      <c r="H6" s="2">
        <f>IF(AND(F6=1,G6=1),"OK","À JUSTIFIER")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>
        <f>C7-C6</f>
        <v/>
      </c>
      <c r="G7" s="5">
        <f>B7-B6</f>
        <v/>
      </c>
      <c r="H7" s="2">
        <f>IF(AND(F7=1,G7=1),"OK","À JUSTIFIER")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>
        <f>C8-C7</f>
        <v/>
      </c>
      <c r="G8" s="5">
        <f>B8-B7</f>
        <v/>
      </c>
      <c r="H8" s="2">
        <f>IF(AND(F8=1,G8=1),"OK","À JUSTIFIER")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>
        <f>C9-C8</f>
        <v/>
      </c>
      <c r="G9" s="5">
        <f>B9-B8</f>
        <v/>
      </c>
      <c r="H9" s="2">
        <f>IF(AND(F9=1,G9=1),"OK","À JUSTIFIER")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>
        <f>C10-C9</f>
        <v/>
      </c>
      <c r="G10" s="5">
        <f>B10-B9</f>
        <v/>
      </c>
      <c r="H10" s="2">
        <f>IF(AND(F10=1,G10=1),"OK","À JUSTIFIER")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>
        <f>C11-C10</f>
        <v/>
      </c>
      <c r="G11" s="5">
        <f>B11-B10</f>
        <v/>
      </c>
      <c r="H11" s="2">
        <f>IF(AND(F11=1,G11=1),"OK","À JUSTIFIER")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>
        <f>C12-C11</f>
        <v/>
      </c>
      <c r="G12" s="5">
        <f>B12-B11</f>
        <v/>
      </c>
      <c r="H12" s="2">
        <f>IF(AND(F12=1,G12=1),"OK","À JUSTIFIER")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>
        <f>C13-C12</f>
        <v/>
      </c>
      <c r="G13" s="5">
        <f>B13-B12</f>
        <v/>
      </c>
      <c r="H13" s="2">
        <f>IF(AND(F13=1,G13=1),"OK","À JUSTIFIER")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>
        <f>C14-C13</f>
        <v/>
      </c>
      <c r="G14" s="5">
        <f>B14-B13</f>
        <v/>
      </c>
      <c r="H14" s="2">
        <f>IF(AND(F14=1,G14=1),"OK","À JUSTIFIER")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>
        <f>C15-C14</f>
        <v/>
      </c>
      <c r="G15" s="5">
        <f>B15-B14</f>
        <v/>
      </c>
      <c r="H15" s="2">
        <f>IF(AND(F15=1,G15=1),"OK","À JUSTIFIER")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>
        <f>C16-C15</f>
        <v/>
      </c>
      <c r="G16" s="5">
        <f>B16-B15</f>
        <v/>
      </c>
      <c r="H16" s="2">
        <f>IF(AND(F16=1,G16=1),"OK","À JUSTIFIER")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>
        <f>C17-C16</f>
        <v/>
      </c>
      <c r="G17" s="5">
        <f>B17-B16</f>
        <v/>
      </c>
      <c r="H17" s="2">
        <f>IF(AND(F17=1,G17=1),"OK","À JUSTIFIER")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>
        <f>C18-C17</f>
        <v/>
      </c>
      <c r="G18" s="5">
        <f>B18-B17</f>
        <v/>
      </c>
      <c r="H18" s="2">
        <f>IF(AND(F18=1,G18=1),"OK","À JUSTIFIER")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>
        <f>C19-C18</f>
        <v/>
      </c>
      <c r="G19" s="5">
        <f>B19-B18</f>
        <v/>
      </c>
      <c r="H19" s="2">
        <f>IF(AND(F19=1,G19=1),"OK","À JUSTIFIER")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>
        <f>C20-C19</f>
        <v/>
      </c>
      <c r="G20" s="5">
        <f>B20-B19</f>
        <v/>
      </c>
      <c r="H20" s="2">
        <f>IF(AND(F20=1,G20=1),"OK","À JUSTIFIER")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>
        <f>C21-C20</f>
        <v/>
      </c>
      <c r="G21" s="5">
        <f>B21-B20</f>
        <v/>
      </c>
      <c r="H21" s="2">
        <f>IF(AND(F21=1,G21=1),"OK","À JUSTIFIER")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>
        <f>C22-C21</f>
        <v/>
      </c>
      <c r="G22" s="5">
        <f>B22-B21</f>
        <v/>
      </c>
      <c r="H22" s="2">
        <f>IF(AND(F22=1,G22=1),"OK","À JUSTIFIER")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>
        <f>C23-C22</f>
        <v/>
      </c>
      <c r="G23" s="5">
        <f>B23-B22</f>
        <v/>
      </c>
      <c r="H23" s="2">
        <f>IF(AND(F23=1,G23=1),"OK","À JUSTIFIER")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>
        <f>C24-C23</f>
        <v/>
      </c>
      <c r="G24" s="5">
        <f>B24-B23</f>
        <v/>
      </c>
      <c r="H24" s="2">
        <f>IF(AND(F24=1,G24=1),"OK","À JUSTIFIER")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>
        <f>C25-C24</f>
        <v/>
      </c>
      <c r="G25" s="5">
        <f>B25-B24</f>
        <v/>
      </c>
      <c r="H25" s="2">
        <f>IF(AND(F25=1,G25=1),"OK","À JUSTIFIER")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>
        <f>C26-C25</f>
        <v/>
      </c>
      <c r="G26" s="5">
        <f>B26-B25</f>
        <v/>
      </c>
      <c r="H26" s="2">
        <f>IF(AND(F26=1,G26=1),"OK","À JUSTIFIER")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>
        <f>C27-C26</f>
        <v/>
      </c>
      <c r="G27" s="5">
        <f>B27-B26</f>
        <v/>
      </c>
      <c r="H27" s="2">
        <f>IF(AND(F27=1,G27=1),"OK","À JUSTIFIER")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>
        <f>C28-C27</f>
        <v/>
      </c>
      <c r="G28" s="5">
        <f>B28-B27</f>
        <v/>
      </c>
      <c r="H28" s="2">
        <f>IF(AND(F28=1,G28=1),"OK","À JUSTIFIER")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>
        <f>C29-C28</f>
        <v/>
      </c>
      <c r="G29" s="5">
        <f>B29-B28</f>
        <v/>
      </c>
      <c r="H29" s="2">
        <f>IF(AND(F29=1,G29=1),"OK","À JUSTIFIER")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>
        <f>C30-C29</f>
        <v/>
      </c>
      <c r="G30" s="5">
        <f>B30-B29</f>
        <v/>
      </c>
      <c r="H30" s="2">
        <f>IF(AND(F30=1,G30=1),"OK","À JUSTIFIER")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>
        <f>C31-C30</f>
        <v/>
      </c>
      <c r="G31" s="5">
        <f>B31-B30</f>
        <v/>
      </c>
      <c r="H31" s="2">
        <f>IF(AND(F31=1,G31=1),"OK","À JUSTIFIER")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>
        <f>C32-C31</f>
        <v/>
      </c>
      <c r="G32" s="5">
        <f>B32-B31</f>
        <v/>
      </c>
      <c r="H32" s="2">
        <f>IF(AND(F32=1,G32=1),"OK","À JUSTIFIER")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>
        <f>C33-C32</f>
        <v/>
      </c>
      <c r="G33" s="5">
        <f>B33-B32</f>
        <v/>
      </c>
      <c r="H33" s="2">
        <f>IF(AND(F33=1,G33=1),"OK","À JUSTIFIER")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>
        <f>C34-C33</f>
        <v/>
      </c>
      <c r="G34" s="5">
        <f>B34-B33</f>
        <v/>
      </c>
      <c r="H34" s="2">
        <f>IF(AND(F34=1,G34=1),"OK","À JUSTIFIER")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>
        <f>C35-C34</f>
        <v/>
      </c>
      <c r="G35" s="5">
        <f>B35-B34</f>
        <v/>
      </c>
      <c r="H35" s="2">
        <f>IF(AND(F35=1,G35=1),"OK","À JUSTIFIER")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>
        <f>C36-C35</f>
        <v/>
      </c>
      <c r="G36" s="5">
        <f>B36-B35</f>
        <v/>
      </c>
      <c r="H36" s="2">
        <f>IF(AND(F36=1,G36=1),"OK","À JUSTIFIER")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>
        <f>C37-C36</f>
        <v/>
      </c>
      <c r="G37" s="5">
        <f>B37-B36</f>
        <v/>
      </c>
      <c r="H37" s="2">
        <f>IF(AND(F37=1,G37=1),"OK","À JUSTIFIER")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>
        <f>C38-C37</f>
        <v/>
      </c>
      <c r="G38" s="5">
        <f>B38-B37</f>
        <v/>
      </c>
      <c r="H38" s="2">
        <f>IF(AND(F38=1,G38=1),"OK","À JUSTIFIER")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>
        <f>C39-C38</f>
        <v/>
      </c>
      <c r="G39" s="5">
        <f>B39-B38</f>
        <v/>
      </c>
      <c r="H39" s="2">
        <f>IF(AND(F39=1,G39=1),"OK","À JUSTIFIER")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>
        <f>C40-C39</f>
        <v/>
      </c>
      <c r="G40" s="5">
        <f>B40-B39</f>
        <v/>
      </c>
      <c r="H40" s="2">
        <f>IF(AND(F40=1,G40=1),"OK","À JUSTIFIER")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>
        <f>C41-C40</f>
        <v/>
      </c>
      <c r="G41" s="5">
        <f>B41-B40</f>
        <v/>
      </c>
      <c r="H41" s="2">
        <f>IF(AND(F41=1,G41=1),"OK","À JUSTIFIER")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>
        <f>C42-C41</f>
        <v/>
      </c>
      <c r="G42" s="5">
        <f>B42-B41</f>
        <v/>
      </c>
      <c r="H42" s="2">
        <f>IF(AND(F42=1,G42=1),"OK","À JUSTIFIER")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>
        <f>C43-C42</f>
        <v/>
      </c>
      <c r="G43" s="5">
        <f>B43-B42</f>
        <v/>
      </c>
      <c r="H43" s="2">
        <f>IF(AND(F43=1,G43=1),"OK","À JUSTIFIER")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>
        <f>C44-C43</f>
        <v/>
      </c>
      <c r="G44" s="5">
        <f>B44-B43</f>
        <v/>
      </c>
      <c r="H44" s="2">
        <f>IF(AND(F44=1,G44=1),"OK","À JUSTIFIER")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>
        <f>C45-C44</f>
        <v/>
      </c>
      <c r="G45" s="5">
        <f>B45-B44</f>
        <v/>
      </c>
      <c r="H45" s="2">
        <f>IF(AND(F45=1,G45=1),"OK","À JUSTIFIER")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>
        <f>C46-C45</f>
        <v/>
      </c>
      <c r="G46" s="5">
        <f>B46-B45</f>
        <v/>
      </c>
      <c r="H46" s="2">
        <f>IF(AND(F46=1,G46=1),"OK","À JUSTIFIER")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>
        <f>C47-C46</f>
        <v/>
      </c>
      <c r="G47" s="5">
        <f>B47-B46</f>
        <v/>
      </c>
      <c r="H47" s="2">
        <f>IF(AND(F47=1,G47=1),"OK","À JUSTIFIER")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>
        <f>C48-C47</f>
        <v/>
      </c>
      <c r="G48" s="5">
        <f>B48-B47</f>
        <v/>
      </c>
      <c r="H48" s="2">
        <f>IF(AND(F48=1,G48=1),"OK","À JUSTIFIER")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>
        <f>C49-C48</f>
        <v/>
      </c>
      <c r="G49" s="5">
        <f>B49-B48</f>
        <v/>
      </c>
      <c r="H49" s="2">
        <f>IF(AND(F49=1,G49=1),"OK","À JUSTIFIER")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>
        <f>C50-C49</f>
        <v/>
      </c>
      <c r="G50" s="5">
        <f>B50-B49</f>
        <v/>
      </c>
      <c r="H50" s="2">
        <f>IF(AND(F50=1,G50=1),"OK","À JUSTIFIER")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>
        <f>C51-C50</f>
        <v/>
      </c>
      <c r="G51" s="5">
        <f>B51-B50</f>
        <v/>
      </c>
      <c r="H51" s="2">
        <f>IF(AND(F51=1,G51=1),"OK","À JUSTIFIER")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>
        <f>C52-C51</f>
        <v/>
      </c>
      <c r="G52" s="5">
        <f>B52-B51</f>
        <v/>
      </c>
      <c r="H52" s="2">
        <f>IF(AND(F52=1,G52=1),"OK","À JUSTIFIER")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>
        <f>C53-C52</f>
        <v/>
      </c>
      <c r="G53" s="5">
        <f>B53-B52</f>
        <v/>
      </c>
      <c r="H53" s="2">
        <f>IF(AND(F53=1,G53=1),"OK","À JUSTIFIER")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>
        <f>C54-C53</f>
        <v/>
      </c>
      <c r="G54" s="5">
        <f>B54-B53</f>
        <v/>
      </c>
      <c r="H54" s="2">
        <f>IF(AND(F54=1,G54=1),"OK","À JUSTIFIER")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>
        <f>C55-C54</f>
        <v/>
      </c>
      <c r="G55" s="5">
        <f>B55-B54</f>
        <v/>
      </c>
      <c r="H55" s="2">
        <f>IF(AND(F55=1,G55=1),"OK","À JUSTIFIER")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>
        <f>C56-C55</f>
        <v/>
      </c>
      <c r="G56" s="5">
        <f>B56-B55</f>
        <v/>
      </c>
      <c r="H56" s="2">
        <f>IF(AND(F56=1,G56=1),"OK","À JUSTIFIER")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>
        <f>C57-C56</f>
        <v/>
      </c>
      <c r="G57" s="5">
        <f>B57-B56</f>
        <v/>
      </c>
      <c r="H57" s="2">
        <f>IF(AND(F57=1,G57=1),"OK","À JUSTIFIER")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>
        <f>C58-C57</f>
        <v/>
      </c>
      <c r="G58" s="5">
        <f>B58-B57</f>
        <v/>
      </c>
      <c r="H58" s="2">
        <f>IF(AND(F58=1,G58=1),"OK","À JUSTIFIER")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>
        <f>C59-C58</f>
        <v/>
      </c>
      <c r="G59" s="5">
        <f>B59-B58</f>
        <v/>
      </c>
      <c r="H59" s="2">
        <f>IF(AND(F59=1,G59=1),"OK","À JUSTIFIER")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>
        <f>C60-C59</f>
        <v/>
      </c>
      <c r="G60" s="5">
        <f>B60-B59</f>
        <v/>
      </c>
      <c r="H60" s="2">
        <f>IF(AND(F60=1,G60=1),"OK","À JUSTIFIER")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>
        <f>C61-C60</f>
        <v/>
      </c>
      <c r="G61" s="5">
        <f>B61-B60</f>
        <v/>
      </c>
      <c r="H61" s="2">
        <f>IF(AND(F61=1,G61=1),"OK","À JUSTIFIER")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>
        <f>C62-C61</f>
        <v/>
      </c>
      <c r="G62" s="5">
        <f>B62-B61</f>
        <v/>
      </c>
      <c r="H62" s="2">
        <f>IF(AND(F62=1,G62=1),"OK","À JUSTIFIER")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>
        <f>C63-C62</f>
        <v/>
      </c>
      <c r="G63" s="5">
        <f>B63-B62</f>
        <v/>
      </c>
      <c r="H63" s="2">
        <f>IF(AND(F63=1,G63=1),"OK","À JUSTIFIER")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>
        <f>C64-C63</f>
        <v/>
      </c>
      <c r="G64" s="5">
        <f>B64-B63</f>
        <v/>
      </c>
      <c r="H64" s="2">
        <f>IF(AND(F64=1,G64=1),"OK","À JUSTIFIER")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>
        <f>C65-C64</f>
        <v/>
      </c>
      <c r="G65" s="5">
        <f>B65-B64</f>
        <v/>
      </c>
      <c r="H65" s="2">
        <f>IF(AND(F65=1,G65=1),"OK","À JUSTIFIER")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>
        <f>C66-C65</f>
        <v/>
      </c>
      <c r="G66" s="5">
        <f>B66-B65</f>
        <v/>
      </c>
      <c r="H66" s="2">
        <f>IF(AND(F66=1,G66=1),"OK","À JUSTIFIER")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>
        <f>C67-C66</f>
        <v/>
      </c>
      <c r="G67" s="5">
        <f>B67-B66</f>
        <v/>
      </c>
      <c r="H67" s="2">
        <f>IF(AND(F67=1,G67=1),"OK","À JUSTIFIER")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>
        <f>C68-C67</f>
        <v/>
      </c>
      <c r="G68" s="5">
        <f>B68-B67</f>
        <v/>
      </c>
      <c r="H68" s="2">
        <f>IF(AND(F68=1,G68=1),"OK","À JUSTIFIER")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>
        <f>C69-C68</f>
        <v/>
      </c>
      <c r="G69" s="5">
        <f>B69-B68</f>
        <v/>
      </c>
      <c r="H69" s="2">
        <f>IF(AND(F69=1,G69=1),"OK","À JUSTIFIER")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>
        <f>C70-C69</f>
        <v/>
      </c>
      <c r="G70" s="5">
        <f>B70-B69</f>
        <v/>
      </c>
      <c r="H70" s="2">
        <f>IF(AND(F70=1,G70=1),"OK","À JUSTIFIER")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>
        <f>C71-C70</f>
        <v/>
      </c>
      <c r="G71" s="5">
        <f>B71-B70</f>
        <v/>
      </c>
      <c r="H71" s="2">
        <f>IF(AND(F71=1,G71=1),"OK","À JUSTIFIER")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>
        <f>C72-C71</f>
        <v/>
      </c>
      <c r="G72" s="5">
        <f>B72-B71</f>
        <v/>
      </c>
      <c r="H72" s="2">
        <f>IF(AND(F72=1,G72=1),"OK","À JUSTIFIER")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>
        <f>C73-C72</f>
        <v/>
      </c>
      <c r="G73" s="5">
        <f>B73-B72</f>
        <v/>
      </c>
      <c r="H73" s="2">
        <f>IF(AND(F73=1,G73=1),"OK","À JUSTIFIER")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>
        <f>C74-C73</f>
        <v/>
      </c>
      <c r="G74" s="5">
        <f>B74-B73</f>
        <v/>
      </c>
      <c r="H74" s="2">
        <f>IF(AND(F74=1,G74=1),"OK","À JUSTIFIER")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>
        <f>C75-C74</f>
        <v/>
      </c>
      <c r="G75" s="5">
        <f>B75-B74</f>
        <v/>
      </c>
      <c r="H75" s="2">
        <f>IF(AND(F75=1,G75=1),"OK","À JUSTIFIER")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>
        <f>C76-C75</f>
        <v/>
      </c>
      <c r="G76" s="5">
        <f>B76-B75</f>
        <v/>
      </c>
      <c r="H76" s="2">
        <f>IF(AND(F76=1,G76=1),"OK","À JUSTIFIER")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>
        <f>C77-C76</f>
        <v/>
      </c>
      <c r="G77" s="5">
        <f>B77-B76</f>
        <v/>
      </c>
      <c r="H77" s="2">
        <f>IF(AND(F77=1,G77=1),"OK","À JUSTIFIER")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>
        <f>C78-C77</f>
        <v/>
      </c>
      <c r="G78" s="5">
        <f>B78-B77</f>
        <v/>
      </c>
      <c r="H78" s="2">
        <f>IF(AND(F78=1,G78=1),"OK","À JUSTIFIER")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>
        <f>C79-C78</f>
        <v/>
      </c>
      <c r="G79" s="5">
        <f>B79-B78</f>
        <v/>
      </c>
      <c r="H79" s="2">
        <f>IF(AND(F79=1,G79=1),"OK","À JUSTIFIER")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>
        <f>C80-C79</f>
        <v/>
      </c>
      <c r="G80" s="5">
        <f>B80-B79</f>
        <v/>
      </c>
      <c r="H80" s="2">
        <f>IF(AND(F80=1,G80=1),"OK","À JUSTIFIER")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>
        <f>C81-C80</f>
        <v/>
      </c>
      <c r="G81" s="5">
        <f>B81-B80</f>
        <v/>
      </c>
      <c r="H81" s="2">
        <f>IF(AND(F81=1,G81=1),"OK","À JUSTIFIER")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>
        <f>C82-C81</f>
        <v/>
      </c>
      <c r="G82" s="5">
        <f>B82-B81</f>
        <v/>
      </c>
      <c r="H82" s="2">
        <f>IF(AND(F82=1,G82=1),"OK","À JUSTIFIER")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>
        <f>C83-C82</f>
        <v/>
      </c>
      <c r="G83" s="5">
        <f>B83-B82</f>
        <v/>
      </c>
      <c r="H83" s="2">
        <f>IF(AND(F83=1,G83=1),"OK","À JUSTIFIER")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>
        <f>C84-C83</f>
        <v/>
      </c>
      <c r="G84" s="5">
        <f>B84-B83</f>
        <v/>
      </c>
      <c r="H84" s="2">
        <f>IF(AND(F84=1,G84=1),"OK","À JUSTIFIER")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>
        <f>C85-C84</f>
        <v/>
      </c>
      <c r="G85" s="5">
        <f>B85-B84</f>
        <v/>
      </c>
      <c r="H85" s="2">
        <f>IF(AND(F85=1,G85=1),"OK","À JUSTIFIER")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>
        <f>C86-C85</f>
        <v/>
      </c>
      <c r="G86" s="5">
        <f>B86-B85</f>
        <v/>
      </c>
      <c r="H86" s="2">
        <f>IF(AND(F86=1,G86=1),"OK","À JUSTIFIER")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>
        <f>C87-C86</f>
        <v/>
      </c>
      <c r="G87" s="5">
        <f>B87-B86</f>
        <v/>
      </c>
      <c r="H87" s="2">
        <f>IF(AND(F87=1,G87=1),"OK","À JUSTIFIER")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>
        <f>C88-C87</f>
        <v/>
      </c>
      <c r="G88" s="5">
        <f>B88-B87</f>
        <v/>
      </c>
      <c r="H88" s="2">
        <f>IF(AND(F88=1,G88=1),"OK","À JUSTIFIER")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>
        <f>C89-C88</f>
        <v/>
      </c>
      <c r="G89" s="5">
        <f>B89-B88</f>
        <v/>
      </c>
      <c r="H89" s="2">
        <f>IF(AND(F89=1,G89=1),"OK","À JUSTIFIER")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>
        <f>C90-C89</f>
        <v/>
      </c>
      <c r="G90" s="5">
        <f>B90-B89</f>
        <v/>
      </c>
      <c r="H90" s="2">
        <f>IF(AND(F90=1,G90=1),"OK","À JUSTIFIER")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>
        <f>C91-C90</f>
        <v/>
      </c>
      <c r="G91" s="5">
        <f>B91-B90</f>
        <v/>
      </c>
      <c r="H91" s="2">
        <f>IF(AND(F91=1,G91=1),"OK","À JUSTIFIER")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>
        <f>C92-C91</f>
        <v/>
      </c>
      <c r="G92" s="5">
        <f>B92-B91</f>
        <v/>
      </c>
      <c r="H92" s="2">
        <f>IF(AND(F92=1,G92=1),"OK","À JUSTIFIER")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>
        <f>C93-C92</f>
        <v/>
      </c>
      <c r="G93" s="5">
        <f>B93-B92</f>
        <v/>
      </c>
      <c r="H93" s="2">
        <f>IF(AND(F93=1,G93=1),"OK","À JUSTIFIER")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>
        <f>C94-C93</f>
        <v/>
      </c>
      <c r="G94" s="5">
        <f>B94-B93</f>
        <v/>
      </c>
      <c r="H94" s="2">
        <f>IF(AND(F94=1,G94=1),"OK","À JUSTIFIER")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>
        <f>C95-C94</f>
        <v/>
      </c>
      <c r="G95" s="5">
        <f>B95-B94</f>
        <v/>
      </c>
      <c r="H95" s="2">
        <f>IF(AND(F95=1,G95=1),"OK","À JUSTIFIER")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>
        <f>C96-C95</f>
        <v/>
      </c>
      <c r="G96" s="5">
        <f>B96-B95</f>
        <v/>
      </c>
      <c r="H96" s="2">
        <f>IF(AND(F96=1,G96=1),"OK","À JUSTIFIER")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>
        <f>C97-C96</f>
        <v/>
      </c>
      <c r="G97" s="5">
        <f>B97-B96</f>
        <v/>
      </c>
      <c r="H97" s="2">
        <f>IF(AND(F97=1,G97=1),"OK","À JUSTIFIER")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>
        <f>C98-C97</f>
        <v/>
      </c>
      <c r="G98" s="5">
        <f>B98-B97</f>
        <v/>
      </c>
      <c r="H98" s="2">
        <f>IF(AND(F98=1,G98=1),"OK","À JUSTIFIER")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>
        <f>C99-C98</f>
        <v/>
      </c>
      <c r="G99" s="5">
        <f>B99-B98</f>
        <v/>
      </c>
      <c r="H99" s="2">
        <f>IF(AND(F99=1,G99=1),"OK","À JUSTIFIER")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>
        <f>C100-C99</f>
        <v/>
      </c>
      <c r="G100" s="5">
        <f>B100-B99</f>
        <v/>
      </c>
      <c r="H100" s="2">
        <f>IF(AND(F100=1,G100=1),"OK","À JUSTIFIER")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>
        <f>C101-C100</f>
        <v/>
      </c>
      <c r="G101" s="5">
        <f>B101-B100</f>
        <v/>
      </c>
      <c r="H101" s="2">
        <f>IF(AND(F101=1,G101=1),"OK","À JUSTIFIER")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>
        <f>C102-C101</f>
        <v/>
      </c>
      <c r="G102" s="5">
        <f>B102-B101</f>
        <v/>
      </c>
      <c r="H102" s="2">
        <f>IF(AND(F102=1,G102=1),"OK","À JUSTIFIER")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>
        <f>C103-C102</f>
        <v/>
      </c>
      <c r="G103" s="5">
        <f>B103-B102</f>
        <v/>
      </c>
      <c r="H103" s="2">
        <f>IF(AND(F103=1,G103=1),"OK","À JUSTIFIER")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>
        <f>C104-C103</f>
        <v/>
      </c>
      <c r="G104" s="5">
        <f>B104-B103</f>
        <v/>
      </c>
      <c r="H104" s="2">
        <f>IF(AND(F104=1,G104=1),"OK","À JUSTIFIER")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>
        <f>C105-C104</f>
        <v/>
      </c>
      <c r="G105" s="5">
        <f>B105-B104</f>
        <v/>
      </c>
      <c r="H105" s="2">
        <f>IF(AND(F105=1,G105=1),"OK","À JUSTIFIER")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>
        <f>C106-C105</f>
        <v/>
      </c>
      <c r="G106" s="5">
        <f>B106-B105</f>
        <v/>
      </c>
      <c r="H106" s="2">
        <f>IF(AND(F106=1,G106=1),"OK","À JUSTIFIER")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>
        <f>C107-C106</f>
        <v/>
      </c>
      <c r="G107" s="5">
        <f>B107-B106</f>
        <v/>
      </c>
      <c r="H107" s="2">
        <f>IF(AND(F107=1,G107=1),"OK","À JUSTIFIER")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>
        <f>C108-C107</f>
        <v/>
      </c>
      <c r="G108" s="5">
        <f>B108-B107</f>
        <v/>
      </c>
      <c r="H108" s="2">
        <f>IF(AND(F108=1,G108=1),"OK","À JUSTIFIER")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>
        <f>C109-C108</f>
        <v/>
      </c>
      <c r="G109" s="5">
        <f>B109-B108</f>
        <v/>
      </c>
      <c r="H109" s="2">
        <f>IF(AND(F109=1,G109=1),"OK","À JUSTIFIER")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>
        <f>C110-C109</f>
        <v/>
      </c>
      <c r="G110" s="5">
        <f>B110-B109</f>
        <v/>
      </c>
      <c r="H110" s="2">
        <f>IF(AND(F110=1,G110=1),"OK","À JUSTIFIER")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>
        <f>C111-C110</f>
        <v/>
      </c>
      <c r="G111" s="5">
        <f>B111-B110</f>
        <v/>
      </c>
      <c r="H111" s="2">
        <f>IF(AND(F111=1,G111=1),"OK","À JUSTIFIER")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>
        <f>C112-C111</f>
        <v/>
      </c>
      <c r="G112" s="5">
        <f>B112-B111</f>
        <v/>
      </c>
      <c r="H112" s="2">
        <f>IF(AND(F112=1,G112=1),"OK","À JUSTIFIER")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>
        <f>C113-C112</f>
        <v/>
      </c>
      <c r="G113" s="5">
        <f>B113-B112</f>
        <v/>
      </c>
      <c r="H113" s="2">
        <f>IF(AND(F113=1,G113=1),"OK","À JUSTIFIER")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>
        <f>C114-C113</f>
        <v/>
      </c>
      <c r="G114" s="5">
        <f>B114-B113</f>
        <v/>
      </c>
      <c r="H114" s="2">
        <f>IF(AND(F114=1,G114=1),"OK","À JUSTIFIER")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>
        <f>C115-C114</f>
        <v/>
      </c>
      <c r="G115" s="5">
        <f>B115-B114</f>
        <v/>
      </c>
      <c r="H115" s="2">
        <f>IF(AND(F115=1,G115=1),"OK","À JUSTIFIER")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>
        <f>C116-C115</f>
        <v/>
      </c>
      <c r="G116" s="5">
        <f>B116-B115</f>
        <v/>
      </c>
      <c r="H116" s="2">
        <f>IF(AND(F116=1,G116=1),"OK","À JUSTIFIER")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>
        <f>C117-C116</f>
        <v/>
      </c>
      <c r="G117" s="5">
        <f>B117-B116</f>
        <v/>
      </c>
      <c r="H117" s="2">
        <f>IF(AND(F117=1,G117=1),"OK","À JUSTIFIER")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>
        <f>C118-C117</f>
        <v/>
      </c>
      <c r="G118" s="5">
        <f>B118-B117</f>
        <v/>
      </c>
      <c r="H118" s="2">
        <f>IF(AND(F118=1,G118=1),"OK","À JUSTIFIER")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>
        <f>C119-C118</f>
        <v/>
      </c>
      <c r="G119" s="5">
        <f>B119-B118</f>
        <v/>
      </c>
      <c r="H119" s="2">
        <f>IF(AND(F119=1,G119=1),"OK","À JUSTIFIER")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>
        <f>C120-C119</f>
        <v/>
      </c>
      <c r="G120" s="5">
        <f>B120-B119</f>
        <v/>
      </c>
      <c r="H120" s="2">
        <f>IF(AND(F120=1,G120=1),"OK","À JUSTIFIER")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>
        <f>C121-C120</f>
        <v/>
      </c>
      <c r="G121" s="5">
        <f>B121-B120</f>
        <v/>
      </c>
      <c r="H121" s="2">
        <f>IF(AND(F121=1,G121=1),"OK","À JUSTIFIER")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>
        <f>C122-C121</f>
        <v/>
      </c>
      <c r="G122" s="5">
        <f>B122-B121</f>
        <v/>
      </c>
      <c r="H122" s="2">
        <f>IF(AND(F122=1,G122=1),"OK","À JUSTIFIER")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>
        <f>C123-C122</f>
        <v/>
      </c>
      <c r="G123" s="5">
        <f>B123-B122</f>
        <v/>
      </c>
      <c r="H123" s="2">
        <f>IF(AND(F123=1,G123=1),"OK","À JUSTIFIER")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>
        <f>C124-C123</f>
        <v/>
      </c>
      <c r="G124" s="5">
        <f>B124-B123</f>
        <v/>
      </c>
      <c r="H124" s="2">
        <f>IF(AND(F124=1,G124=1),"OK","À JUSTIFIER")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>
        <f>C125-C124</f>
        <v/>
      </c>
      <c r="G125" s="5">
        <f>B125-B124</f>
        <v/>
      </c>
      <c r="H125" s="2">
        <f>IF(AND(F125=1,G125=1),"OK","À JUSTIFIER")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>
        <f>C126-C125</f>
        <v/>
      </c>
      <c r="G126" s="5">
        <f>B126-B125</f>
        <v/>
      </c>
      <c r="H126" s="2">
        <f>IF(AND(F126=1,G126=1),"OK","À JUSTIFIER")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>
        <f>C127-C126</f>
        <v/>
      </c>
      <c r="G127" s="5">
        <f>B127-B126</f>
        <v/>
      </c>
      <c r="H127" s="2">
        <f>IF(AND(F127=1,G127=1),"OK","À JUSTIFIER")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>
        <f>C128-C127</f>
        <v/>
      </c>
      <c r="G128" s="5">
        <f>B128-B127</f>
        <v/>
      </c>
      <c r="H128" s="2">
        <f>IF(AND(F128=1,G128=1),"OK","À JUSTIFIER")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>
        <f>C129-C128</f>
        <v/>
      </c>
      <c r="G129" s="5">
        <f>B129-B128</f>
        <v/>
      </c>
      <c r="H129" s="2">
        <f>IF(AND(F129=1,G129=1),"OK","À JUSTIFIER")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>
        <f>C130-C129</f>
        <v/>
      </c>
      <c r="G130" s="5">
        <f>B130-B129</f>
        <v/>
      </c>
      <c r="H130" s="2">
        <f>IF(AND(F130=1,G130=1),"OK","À JUSTIFIER")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>
        <f>C131-C130</f>
        <v/>
      </c>
      <c r="G131" s="5">
        <f>B131-B130</f>
        <v/>
      </c>
      <c r="H131" s="2">
        <f>IF(AND(F131=1,G131=1),"OK","À JUSTIFIER")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>
        <f>C132-C131</f>
        <v/>
      </c>
      <c r="G132" s="5">
        <f>B132-B131</f>
        <v/>
      </c>
      <c r="H132" s="2">
        <f>IF(AND(F132=1,G132=1),"OK","À JUSTIFIER")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>
        <f>C133-C132</f>
        <v/>
      </c>
      <c r="G133" s="5">
        <f>B133-B132</f>
        <v/>
      </c>
      <c r="H133" s="2">
        <f>IF(AND(F133=1,G133=1),"OK","À JUSTIFIER")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>
        <f>C134-C133</f>
        <v/>
      </c>
      <c r="G134" s="5">
        <f>B134-B133</f>
        <v/>
      </c>
      <c r="H134" s="2">
        <f>IF(AND(F134=1,G134=1),"OK","À JUSTIFIER")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>
        <f>C135-C134</f>
        <v/>
      </c>
      <c r="G135" s="5">
        <f>B135-B134</f>
        <v/>
      </c>
      <c r="H135" s="2">
        <f>IF(AND(F135=1,G135=1),"OK","À JUSTIFIER")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>
        <f>C136-C135</f>
        <v/>
      </c>
      <c r="G136" s="5">
        <f>B136-B135</f>
        <v/>
      </c>
      <c r="H136" s="2">
        <f>IF(AND(F136=1,G136=1),"OK","À JUSTIFIER")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>
        <f>C137-C136</f>
        <v/>
      </c>
      <c r="G137" s="5">
        <f>B137-B136</f>
        <v/>
      </c>
      <c r="H137" s="2">
        <f>IF(AND(F137=1,G137=1),"OK","À JUSTIFIER")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>
        <f>C138-C137</f>
        <v/>
      </c>
      <c r="G138" s="5">
        <f>B138-B137</f>
        <v/>
      </c>
      <c r="H138" s="2">
        <f>IF(AND(F138=1,G138=1),"OK","À JUSTIFIER")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>
        <f>C139-C138</f>
        <v/>
      </c>
      <c r="G139" s="5">
        <f>B139-B138</f>
        <v/>
      </c>
      <c r="H139" s="2">
        <f>IF(AND(F139=1,G139=1),"OK","À JUSTIFIER")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>
        <f>C140-C139</f>
        <v/>
      </c>
      <c r="G140" s="5">
        <f>B140-B139</f>
        <v/>
      </c>
      <c r="H140" s="2">
        <f>IF(AND(F140=1,G140=1),"OK","À JUSTIFIER")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>
        <f>C141-C140</f>
        <v/>
      </c>
      <c r="G141" s="5">
        <f>B141-B140</f>
        <v/>
      </c>
      <c r="H141" s="2">
        <f>IF(AND(F141=1,G141=1),"OK","À JUSTIFIER")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>
        <f>C142-C141</f>
        <v/>
      </c>
      <c r="G142" s="5">
        <f>B142-B141</f>
        <v/>
      </c>
      <c r="H142" s="2">
        <f>IF(AND(F142=1,G142=1),"OK","À JUSTIFIER")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>
        <f>C143-C142</f>
        <v/>
      </c>
      <c r="G143" s="5">
        <f>B143-B142</f>
        <v/>
      </c>
      <c r="H143" s="2">
        <f>IF(AND(F143=1,G143=1),"OK","À JUSTIFIER")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>
        <f>C144-C143</f>
        <v/>
      </c>
      <c r="G144" s="5">
        <f>B144-B143</f>
        <v/>
      </c>
      <c r="H144" s="2">
        <f>IF(AND(F144=1,G144=1),"OK","À JUSTIFIER")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>
        <f>C145-C144</f>
        <v/>
      </c>
      <c r="G145" s="5">
        <f>B145-B144</f>
        <v/>
      </c>
      <c r="H145" s="2">
        <f>IF(AND(F145=1,G145=1),"OK","À JUSTIFIER")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>
        <f>C146-C145</f>
        <v/>
      </c>
      <c r="G146" s="5">
        <f>B146-B145</f>
        <v/>
      </c>
      <c r="H146" s="2">
        <f>IF(AND(F146=1,G146=1),"OK","À JUSTIFIER")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>
        <f>C147-C146</f>
        <v/>
      </c>
      <c r="G147" s="5">
        <f>B147-B146</f>
        <v/>
      </c>
      <c r="H147" s="2">
        <f>IF(AND(F147=1,G147=1),"OK","À JUSTIFIER")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>
        <f>C148-C147</f>
        <v/>
      </c>
      <c r="G148" s="5">
        <f>B148-B147</f>
        <v/>
      </c>
      <c r="H148" s="2">
        <f>IF(AND(F148=1,G148=1),"OK","À JUSTIFIER")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>
        <f>C149-C148</f>
        <v/>
      </c>
      <c r="G149" s="5">
        <f>B149-B148</f>
        <v/>
      </c>
      <c r="H149" s="2">
        <f>IF(AND(F149=1,G149=1),"OK","À JUSTIFIER")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>
        <f>C150-C149</f>
        <v/>
      </c>
      <c r="G150" s="5">
        <f>B150-B149</f>
        <v/>
      </c>
      <c r="H150" s="2">
        <f>IF(AND(F150=1,G150=1),"OK","À JUSTIFIER")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>
        <f>C151-C150</f>
        <v/>
      </c>
      <c r="G151" s="5">
        <f>B151-B150</f>
        <v/>
      </c>
      <c r="H151" s="2">
        <f>IF(AND(F151=1,G151=1),"OK","À JUSTIFIER")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>
        <f>C152-C151</f>
        <v/>
      </c>
      <c r="G152" s="5">
        <f>B152-B151</f>
        <v/>
      </c>
      <c r="H152" s="2">
        <f>IF(AND(F152=1,G152=1),"OK","À JUSTIFIER")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>
        <f>C153-C152</f>
        <v/>
      </c>
      <c r="G153" s="5">
        <f>B153-B152</f>
        <v/>
      </c>
      <c r="H153" s="2">
        <f>IF(AND(F153=1,G153=1),"OK","À JUSTIFIER")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>
        <f>C154-C153</f>
        <v/>
      </c>
      <c r="G154" s="5">
        <f>B154-B153</f>
        <v/>
      </c>
      <c r="H154" s="2">
        <f>IF(AND(F154=1,G154=1),"OK","À JUSTIFIER")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>
        <f>C155-C154</f>
        <v/>
      </c>
      <c r="G155" s="5">
        <f>B155-B154</f>
        <v/>
      </c>
      <c r="H155" s="2">
        <f>IF(AND(F155=1,G155=1),"OK","À JUSTIFIER")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>
        <f>C156-C155</f>
        <v/>
      </c>
      <c r="G156" s="5">
        <f>B156-B155</f>
        <v/>
      </c>
      <c r="H156" s="2">
        <f>IF(AND(F156=1,G156=1),"OK","À JUSTIFIER")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>
        <f>C157-C156</f>
        <v/>
      </c>
      <c r="G157" s="5">
        <f>B157-B156</f>
        <v/>
      </c>
      <c r="H157" s="2">
        <f>IF(AND(F157=1,G157=1),"OK","À JUSTIFIER")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>
        <f>C158-C157</f>
        <v/>
      </c>
      <c r="G158" s="5">
        <f>B158-B157</f>
        <v/>
      </c>
      <c r="H158" s="2">
        <f>IF(AND(F158=1,G158=1),"OK","À JUSTIFIER")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>
        <f>C159-C158</f>
        <v/>
      </c>
      <c r="G159" s="5">
        <f>B159-B158</f>
        <v/>
      </c>
      <c r="H159" s="2">
        <f>IF(AND(F159=1,G159=1),"OK","À JUSTIFIER")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>
        <f>C160-C159</f>
        <v/>
      </c>
      <c r="G160" s="5">
        <f>B160-B159</f>
        <v/>
      </c>
      <c r="H160" s="2">
        <f>IF(AND(F160=1,G160=1),"OK","À JUSTIFIER")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>
        <f>C161-C160</f>
        <v/>
      </c>
      <c r="G161" s="5">
        <f>B161-B160</f>
        <v/>
      </c>
      <c r="H161" s="2">
        <f>IF(AND(F161=1,G161=1),"OK","À JUSTIFIER")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>
        <f>C162-C161</f>
        <v/>
      </c>
      <c r="G162" s="5">
        <f>B162-B161</f>
        <v/>
      </c>
      <c r="H162" s="2">
        <f>IF(AND(F162=1,G162=1),"OK","À JUSTIFIER")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>
        <f>C163-C162</f>
        <v/>
      </c>
      <c r="G163" s="5">
        <f>B163-B162</f>
        <v/>
      </c>
      <c r="H163" s="2">
        <f>IF(AND(F163=1,G163=1),"OK","À JUSTIFIER")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>
        <f>C164-C163</f>
        <v/>
      </c>
      <c r="G164" s="5">
        <f>B164-B163</f>
        <v/>
      </c>
      <c r="H164" s="2">
        <f>IF(AND(F164=1,G164=1),"OK","À JUSTIFIER")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>
        <f>C165-C164</f>
        <v/>
      </c>
      <c r="G165" s="5">
        <f>B165-B164</f>
        <v/>
      </c>
      <c r="H165" s="2">
        <f>IF(AND(F165=1,G165=1),"OK","À JUSTIFIER")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>
        <f>C166-C165</f>
        <v/>
      </c>
      <c r="G166" s="5">
        <f>B166-B165</f>
        <v/>
      </c>
      <c r="H166" s="2">
        <f>IF(AND(F166=1,G166=1),"OK","À JUSTIFIER")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>
        <f>C167-C166</f>
        <v/>
      </c>
      <c r="G167" s="5">
        <f>B167-B166</f>
        <v/>
      </c>
      <c r="H167" s="2">
        <f>IF(AND(F167=1,G167=1),"OK","À JUSTIFIER")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>
        <f>C168-C167</f>
        <v/>
      </c>
      <c r="G168" s="5">
        <f>B168-B167</f>
        <v/>
      </c>
      <c r="H168" s="2">
        <f>IF(AND(F168=1,G168=1),"OK","À JUSTIFIER")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>
        <f>C169-C168</f>
        <v/>
      </c>
      <c r="G169" s="5">
        <f>B169-B168</f>
        <v/>
      </c>
      <c r="H169" s="2">
        <f>IF(AND(F169=1,G169=1),"OK","À JUSTIFIER")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>
        <f>C170-C169</f>
        <v/>
      </c>
      <c r="G170" s="5">
        <f>B170-B169</f>
        <v/>
      </c>
      <c r="H170" s="2">
        <f>IF(AND(F170=1,G170=1),"OK","À JUSTIFIER")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>
        <f>C171-C170</f>
        <v/>
      </c>
      <c r="G171" s="5">
        <f>B171-B170</f>
        <v/>
      </c>
      <c r="H171" s="2">
        <f>IF(AND(F171=1,G171=1),"OK","À JUSTIFIER")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>
        <f>C172-C171</f>
        <v/>
      </c>
      <c r="G172" s="5">
        <f>B172-B171</f>
        <v/>
      </c>
      <c r="H172" s="2">
        <f>IF(AND(F172=1,G172=1),"OK","À JUSTIFIER")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>
        <f>C173-C172</f>
        <v/>
      </c>
      <c r="G173" s="5">
        <f>B173-B172</f>
        <v/>
      </c>
      <c r="H173" s="2">
        <f>IF(AND(F173=1,G173=1),"OK","À JUSTIFIER")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>
        <f>C174-C173</f>
        <v/>
      </c>
      <c r="G174" s="5">
        <f>B174-B173</f>
        <v/>
      </c>
      <c r="H174" s="2">
        <f>IF(AND(F174=1,G174=1),"OK","À JUSTIFIER")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>
        <f>C175-C174</f>
        <v/>
      </c>
      <c r="G175" s="5">
        <f>B175-B174</f>
        <v/>
      </c>
      <c r="H175" s="2">
        <f>IF(AND(F175=1,G175=1),"OK","À JUSTIFIER")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>
        <f>C176-C175</f>
        <v/>
      </c>
      <c r="G176" s="5">
        <f>B176-B175</f>
        <v/>
      </c>
      <c r="H176" s="2">
        <f>IF(AND(F176=1,G176=1),"OK","À JUSTIFIER")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>
        <f>C177-C176</f>
        <v/>
      </c>
      <c r="G177" s="5">
        <f>B177-B176</f>
        <v/>
      </c>
      <c r="H177" s="2">
        <f>IF(AND(F177=1,G177=1),"OK","À JUSTIFIER")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>
        <f>C178-C177</f>
        <v/>
      </c>
      <c r="G178" s="5">
        <f>B178-B177</f>
        <v/>
      </c>
      <c r="H178" s="2">
        <f>IF(AND(F178=1,G178=1),"OK","À JUSTIFIER")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>
        <f>C179-C178</f>
        <v/>
      </c>
      <c r="G179" s="5">
        <f>B179-B178</f>
        <v/>
      </c>
      <c r="H179" s="2">
        <f>IF(AND(F179=1,G179=1),"OK","À JUSTIFIER")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>
        <f>C180-C179</f>
        <v/>
      </c>
      <c r="G180" s="5">
        <f>B180-B179</f>
        <v/>
      </c>
      <c r="H180" s="2">
        <f>IF(AND(F180=1,G180=1),"OK","À JUSTIFIER")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>
        <f>C181-C180</f>
        <v/>
      </c>
      <c r="G181" s="5">
        <f>B181-B180</f>
        <v/>
      </c>
      <c r="H181" s="2">
        <f>IF(AND(F181=1,G181=1),"OK","À JUSTIFIER")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>
        <f>C182-C181</f>
        <v/>
      </c>
      <c r="G182" s="5">
        <f>B182-B181</f>
        <v/>
      </c>
      <c r="H182" s="2">
        <f>IF(AND(F182=1,G182=1),"OK","À JUSTIFIER")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>
        <f>C183-C182</f>
        <v/>
      </c>
      <c r="G183" s="5">
        <f>B183-B182</f>
        <v/>
      </c>
      <c r="H183" s="2">
        <f>IF(AND(F183=1,G183=1),"OK","À JUSTIFIER")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>
        <f>C184-C183</f>
        <v/>
      </c>
      <c r="G184" s="5">
        <f>B184-B183</f>
        <v/>
      </c>
      <c r="H184" s="2">
        <f>IF(AND(F184=1,G184=1),"OK","À JUSTIFIER")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>
        <f>C185-C184</f>
        <v/>
      </c>
      <c r="G185" s="5">
        <f>B185-B184</f>
        <v/>
      </c>
      <c r="H185" s="2">
        <f>IF(AND(F185=1,G185=1),"OK","À JUSTIFIER")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>
        <f>C186-C185</f>
        <v/>
      </c>
      <c r="G186" s="5">
        <f>B186-B185</f>
        <v/>
      </c>
      <c r="H186" s="2">
        <f>IF(AND(F186=1,G186=1),"OK","À JUSTIFIER")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>
        <f>C187-C186</f>
        <v/>
      </c>
      <c r="G187" s="5">
        <f>B187-B186</f>
        <v/>
      </c>
      <c r="H187" s="2">
        <f>IF(AND(F187=1,G187=1),"OK","À JUSTIFIER")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>
        <f>C188-C187</f>
        <v/>
      </c>
      <c r="G188" s="5">
        <f>B188-B187</f>
        <v/>
      </c>
      <c r="H188" s="2">
        <f>IF(AND(F188=1,G188=1),"OK","À JUSTIFIER")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>
        <f>C189-C188</f>
        <v/>
      </c>
      <c r="G189" s="5">
        <f>B189-B188</f>
        <v/>
      </c>
      <c r="H189" s="2">
        <f>IF(AND(F189=1,G189=1),"OK","À JUSTIFIER")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>
        <f>C190-C189</f>
        <v/>
      </c>
      <c r="G190" s="5">
        <f>B190-B189</f>
        <v/>
      </c>
      <c r="H190" s="2">
        <f>IF(AND(F190=1,G190=1),"OK","À JUSTIFIER")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>
        <f>C191-C190</f>
        <v/>
      </c>
      <c r="G191" s="5">
        <f>B191-B190</f>
        <v/>
      </c>
      <c r="H191" s="2">
        <f>IF(AND(F191=1,G191=1),"OK","À JUSTIFIER")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>
        <f>C192-C191</f>
        <v/>
      </c>
      <c r="G192" s="5">
        <f>B192-B191</f>
        <v/>
      </c>
      <c r="H192" s="2">
        <f>IF(AND(F192=1,G192=1),"OK","À JUSTIFIER")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>
        <f>C193-C192</f>
        <v/>
      </c>
      <c r="G193" s="5">
        <f>B193-B192</f>
        <v/>
      </c>
      <c r="H193" s="2">
        <f>IF(AND(F193=1,G193=1),"OK","À JUSTIFIER")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>
        <f>C194-C193</f>
        <v/>
      </c>
      <c r="G194" s="5">
        <f>B194-B193</f>
        <v/>
      </c>
      <c r="H194" s="2">
        <f>IF(AND(F194=1,G194=1),"OK","À JUSTIFIER")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>
        <f>C195-C194</f>
        <v/>
      </c>
      <c r="G195" s="5">
        <f>B195-B194</f>
        <v/>
      </c>
      <c r="H195" s="2">
        <f>IF(AND(F195=1,G195=1),"OK","À JUSTIFIER")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>
        <f>C196-C195</f>
        <v/>
      </c>
      <c r="G196" s="5">
        <f>B196-B195</f>
        <v/>
      </c>
      <c r="H196" s="2">
        <f>IF(AND(F196=1,G196=1),"OK","À JUSTIFIER")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>
        <f>C197-C196</f>
        <v/>
      </c>
      <c r="G197" s="5">
        <f>B197-B196</f>
        <v/>
      </c>
      <c r="H197" s="2">
        <f>IF(AND(F197=1,G197=1),"OK","À JUSTIFIER")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>
        <f>C198-C197</f>
        <v/>
      </c>
      <c r="G198" s="5">
        <f>B198-B197</f>
        <v/>
      </c>
      <c r="H198" s="2">
        <f>IF(AND(F198=1,G198=1),"OK","À JUSTIFIER")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>
        <f>C199-C198</f>
        <v/>
      </c>
      <c r="G199" s="5">
        <f>B199-B198</f>
        <v/>
      </c>
      <c r="H199" s="2">
        <f>IF(AND(F199=1,G199=1),"OK","À JUSTIFIER")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>
        <f>C200-C199</f>
        <v/>
      </c>
      <c r="G200" s="5">
        <f>B200-B199</f>
        <v/>
      </c>
      <c r="H200" s="2">
        <f>IF(AND(F200=1,G200=1),"OK","À JUSTIFIER")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>
        <f>C201-C200</f>
        <v/>
      </c>
      <c r="G201" s="5">
        <f>B201-B200</f>
        <v/>
      </c>
      <c r="H201" s="2">
        <f>IF(AND(F201=1,G201=1),"OK","À JUSTIFIER")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>
        <f>C202-C201</f>
        <v/>
      </c>
      <c r="G202" s="5">
        <f>B202-B201</f>
        <v/>
      </c>
      <c r="H202" s="2">
        <f>IF(AND(F202=1,G202=1),"OK","À JUSTIFIER")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>
        <f>C203-C202</f>
        <v/>
      </c>
      <c r="G203" s="5">
        <f>B203-B202</f>
        <v/>
      </c>
      <c r="H203" s="2">
        <f>IF(AND(F203=1,G203=1),"OK","À JUSTIFIER")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>
        <f>C204-C203</f>
        <v/>
      </c>
      <c r="G204" s="5">
        <f>B204-B203</f>
        <v/>
      </c>
      <c r="H204" s="2">
        <f>IF(AND(F204=1,G204=1),"OK","À JUSTIFIER")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>
        <f>C205-C204</f>
        <v/>
      </c>
      <c r="G205" s="5">
        <f>B205-B204</f>
        <v/>
      </c>
      <c r="H205" s="2">
        <f>IF(AND(F205=1,G205=1),"OK","À JUSTIFIER")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>
        <f>C206-C205</f>
        <v/>
      </c>
      <c r="G206" s="5">
        <f>B206-B205</f>
        <v/>
      </c>
      <c r="H206" s="2">
        <f>IF(AND(F206=1,G206=1),"OK","À JUSTIFIER")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>
        <f>C207-C206</f>
        <v/>
      </c>
      <c r="G207" s="5">
        <f>B207-B206</f>
        <v/>
      </c>
      <c r="H207" s="2">
        <f>IF(AND(F207=1,G207=1),"OK","À JUSTIFIER")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>
        <f>C208-C207</f>
        <v/>
      </c>
      <c r="G208" s="5">
        <f>B208-B207</f>
        <v/>
      </c>
      <c r="H208" s="2">
        <f>IF(AND(F208=1,G208=1),"OK","À JUSTIFIER")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>
        <f>C209-C208</f>
        <v/>
      </c>
      <c r="G209" s="5">
        <f>B209-B208</f>
        <v/>
      </c>
      <c r="H209" s="2">
        <f>IF(AND(F209=1,G209=1),"OK","À JUSTIFIER")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>
        <f>C210-C209</f>
        <v/>
      </c>
      <c r="G210" s="5">
        <f>B210-B209</f>
        <v/>
      </c>
      <c r="H210" s="2">
        <f>IF(AND(F210=1,G210=1),"OK","À JUSTIFIER")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>
        <f>C211-C210</f>
        <v/>
      </c>
      <c r="G211" s="5">
        <f>B211-B210</f>
        <v/>
      </c>
      <c r="H211" s="2">
        <f>IF(AND(F211=1,G211=1),"OK","À JUSTIFIER")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>
        <f>C212-C211</f>
        <v/>
      </c>
      <c r="G212" s="5">
        <f>B212-B211</f>
        <v/>
      </c>
      <c r="H212" s="2">
        <f>IF(AND(F212=1,G212=1),"OK","À JUSTIFIER")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>
        <f>C213-C212</f>
        <v/>
      </c>
      <c r="G213" s="5">
        <f>B213-B212</f>
        <v/>
      </c>
      <c r="H213" s="2">
        <f>IF(AND(F213=1,G213=1),"OK","À JUSTIFIER")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>
        <f>C214-C213</f>
        <v/>
      </c>
      <c r="G214" s="5">
        <f>B214-B213</f>
        <v/>
      </c>
      <c r="H214" s="2">
        <f>IF(AND(F214=1,G214=1),"OK","À JUSTIFIER")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>
        <f>C215-C214</f>
        <v/>
      </c>
      <c r="G215" s="5">
        <f>B215-B214</f>
        <v/>
      </c>
      <c r="H215" s="2">
        <f>IF(AND(F215=1,G215=1),"OK","À JUSTIFIER")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>
        <f>C216-C215</f>
        <v/>
      </c>
      <c r="G216" s="5">
        <f>B216-B215</f>
        <v/>
      </c>
      <c r="H216" s="2">
        <f>IF(AND(F216=1,G216=1),"OK","À JUSTIFIER")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>
        <f>C217-C216</f>
        <v/>
      </c>
      <c r="G217" s="5">
        <f>B217-B216</f>
        <v/>
      </c>
      <c r="H217" s="2">
        <f>IF(AND(F217=1,G217=1),"OK","À JUSTIFIER")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>
        <f>C218-C217</f>
        <v/>
      </c>
      <c r="G218" s="5">
        <f>B218-B217</f>
        <v/>
      </c>
      <c r="H218" s="2">
        <f>IF(AND(F218=1,G218=1),"OK","À JUSTIFIER")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>
        <f>C219-C218</f>
        <v/>
      </c>
      <c r="G219" s="5">
        <f>B219-B218</f>
        <v/>
      </c>
      <c r="H219" s="2">
        <f>IF(AND(F219=1,G219=1),"OK","À JUSTIFIER")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>
        <f>C220-C219</f>
        <v/>
      </c>
      <c r="G220" s="5">
        <f>B220-B219</f>
        <v/>
      </c>
      <c r="H220" s="2">
        <f>IF(AND(F220=1,G220=1),"OK","À JUSTIFIER")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>
        <f>C221-C220</f>
        <v/>
      </c>
      <c r="G221" s="5">
        <f>B221-B220</f>
        <v/>
      </c>
      <c r="H221" s="2">
        <f>IF(AND(F221=1,G221=1),"OK","À JUSTIFIER")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>
        <f>C222-C221</f>
        <v/>
      </c>
      <c r="G222" s="5">
        <f>B222-B221</f>
        <v/>
      </c>
      <c r="H222" s="2">
        <f>IF(AND(F222=1,G222=1),"OK","À JUSTIFIER")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>
        <f>C223-C222</f>
        <v/>
      </c>
      <c r="G223" s="5">
        <f>B223-B222</f>
        <v/>
      </c>
      <c r="H223" s="2">
        <f>IF(AND(F223=1,G223=1),"OK","À JUSTIFIER")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>
        <f>C224-C223</f>
        <v/>
      </c>
      <c r="G224" s="5">
        <f>B224-B223</f>
        <v/>
      </c>
      <c r="H224" s="2">
        <f>IF(AND(F224=1,G224=1),"OK","À JUSTIFIER")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>
        <f>C225-C224</f>
        <v/>
      </c>
      <c r="G225" s="5">
        <f>B225-B224</f>
        <v/>
      </c>
      <c r="H225" s="2">
        <f>IF(AND(F225=1,G225=1),"OK","À JUSTIFIER")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>
        <f>C226-C225</f>
        <v/>
      </c>
      <c r="G226" s="5">
        <f>B226-B225</f>
        <v/>
      </c>
      <c r="H226" s="2">
        <f>IF(AND(F226=1,G226=1),"OK","À JUSTIFIER")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>
        <f>C227-C226</f>
        <v/>
      </c>
      <c r="G227" s="5">
        <f>B227-B226</f>
        <v/>
      </c>
      <c r="H227" s="2">
        <f>IF(AND(F227=1,G227=1),"OK","À JUSTIFIER")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>
        <f>C228-C227</f>
        <v/>
      </c>
      <c r="G228" s="5">
        <f>B228-B227</f>
        <v/>
      </c>
      <c r="H228" s="2">
        <f>IF(AND(F228=1,G228=1),"OK","À JUSTIFIER")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>
        <f>C229-C228</f>
        <v/>
      </c>
      <c r="G229" s="5">
        <f>B229-B228</f>
        <v/>
      </c>
      <c r="H229" s="2">
        <f>IF(AND(F229=1,G229=1),"OK","À JUSTIFIER")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>
        <f>C230-C229</f>
        <v/>
      </c>
      <c r="G230" s="5">
        <f>B230-B229</f>
        <v/>
      </c>
      <c r="H230" s="2">
        <f>IF(AND(F230=1,G230=1),"OK","À JUSTIFIER")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>
        <f>C231-C230</f>
        <v/>
      </c>
      <c r="G231" s="5">
        <f>B231-B230</f>
        <v/>
      </c>
      <c r="H231" s="2">
        <f>IF(AND(F231=1,G231=1),"OK","À JUSTIFIER")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>
        <f>C232-C231</f>
        <v/>
      </c>
      <c r="G232" s="5">
        <f>B232-B231</f>
        <v/>
      </c>
      <c r="H232" s="2">
        <f>IF(AND(F232=1,G232=1),"OK","À JUSTIFIER")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>
        <f>C233-C232</f>
        <v/>
      </c>
      <c r="G233" s="5">
        <f>B233-B232</f>
        <v/>
      </c>
      <c r="H233" s="2">
        <f>IF(AND(F233=1,G233=1),"OK","À JUSTIFIER")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>
        <f>C234-C233</f>
        <v/>
      </c>
      <c r="G234" s="5">
        <f>B234-B233</f>
        <v/>
      </c>
      <c r="H234" s="2">
        <f>IF(AND(F234=1,G234=1),"OK","À JUSTIFIER")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>
        <f>C235-C234</f>
        <v/>
      </c>
      <c r="G235" s="5">
        <f>B235-B234</f>
        <v/>
      </c>
      <c r="H235" s="2">
        <f>IF(AND(F235=1,G235=1),"OK","À JUSTIFIER")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>
        <f>C236-C235</f>
        <v/>
      </c>
      <c r="G236" s="5">
        <f>B236-B235</f>
        <v/>
      </c>
      <c r="H236" s="2">
        <f>IF(AND(F236=1,G236=1),"OK","À JUSTIFIER")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>
        <f>C237-C236</f>
        <v/>
      </c>
      <c r="G237" s="5">
        <f>B237-B236</f>
        <v/>
      </c>
      <c r="H237" s="2">
        <f>IF(AND(F237=1,G237=1),"OK","À JUSTIFIER")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>
        <f>C238-C237</f>
        <v/>
      </c>
      <c r="G238" s="5">
        <f>B238-B237</f>
        <v/>
      </c>
      <c r="H238" s="2">
        <f>IF(AND(F238=1,G238=1),"OK","À JUSTIFIER")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>
        <f>C239-C238</f>
        <v/>
      </c>
      <c r="G239" s="5">
        <f>B239-B238</f>
        <v/>
      </c>
      <c r="H239" s="2">
        <f>IF(AND(F239=1,G239=1),"OK","À JUSTIFIER")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>
        <f>C240-C239</f>
        <v/>
      </c>
      <c r="G240" s="5">
        <f>B240-B239</f>
        <v/>
      </c>
      <c r="H240" s="2">
        <f>IF(AND(F240=1,G240=1),"OK","À JUSTIFIER")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>
        <f>C241-C240</f>
        <v/>
      </c>
      <c r="G241" s="5">
        <f>B241-B240</f>
        <v/>
      </c>
      <c r="H241" s="2">
        <f>IF(AND(F241=1,G241=1),"OK","À JUSTIFIER")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>
        <f>C242-C241</f>
        <v/>
      </c>
      <c r="G242" s="5">
        <f>B242-B241</f>
        <v/>
      </c>
      <c r="H242" s="2">
        <f>IF(AND(F242=1,G242=1),"OK","À JUSTIFIER")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>
        <f>C243-C242</f>
        <v/>
      </c>
      <c r="G243" s="5">
        <f>B243-B242</f>
        <v/>
      </c>
      <c r="H243" s="2">
        <f>IF(AND(F243=1,G243=1),"OK","À JUSTIFIER")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>
        <f>C244-C243</f>
        <v/>
      </c>
      <c r="G244" s="5">
        <f>B244-B243</f>
        <v/>
      </c>
      <c r="H244" s="2">
        <f>IF(AND(F244=1,G244=1),"OK","À JUSTIFIER")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>
        <f>C245-C244</f>
        <v/>
      </c>
      <c r="G245" s="5">
        <f>B245-B244</f>
        <v/>
      </c>
      <c r="H245" s="2">
        <f>IF(AND(F245=1,G245=1),"OK","À JUSTIFIER")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>
        <f>C246-C245</f>
        <v/>
      </c>
      <c r="G246" s="5">
        <f>B246-B245</f>
        <v/>
      </c>
      <c r="H246" s="2">
        <f>IF(AND(F246=1,G246=1),"OK","À JUSTIFIER")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>
        <f>C247-C246</f>
        <v/>
      </c>
      <c r="G247" s="5">
        <f>B247-B246</f>
        <v/>
      </c>
      <c r="H247" s="2">
        <f>IF(AND(F247=1,G247=1),"OK","À JUSTIFIER")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>
        <f>C248-C247</f>
        <v/>
      </c>
      <c r="G248" s="5">
        <f>B248-B247</f>
        <v/>
      </c>
      <c r="H248" s="2">
        <f>IF(AND(F248=1,G248=1),"OK","À JUSTIFIER")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>
        <f>C249-C248</f>
        <v/>
      </c>
      <c r="G249" s="5">
        <f>B249-B248</f>
        <v/>
      </c>
      <c r="H249" s="2">
        <f>IF(AND(F249=1,G249=1),"OK","À JUSTIFIER")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>
        <f>C250-C249</f>
        <v/>
      </c>
      <c r="G250" s="5">
        <f>B250-B249</f>
        <v/>
      </c>
      <c r="H250" s="2">
        <f>IF(AND(F250=1,G250=1),"OK","À JUSTIFIER")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>
        <f>C251-C250</f>
        <v/>
      </c>
      <c r="G251" s="5">
        <f>B251-B250</f>
        <v/>
      </c>
      <c r="H251" s="2">
        <f>IF(AND(F251=1,G251=1),"OK","À JUSTIFIER")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>
        <f>C252-C251</f>
        <v/>
      </c>
      <c r="G252" s="5">
        <f>B252-B251</f>
        <v/>
      </c>
      <c r="H252" s="2">
        <f>IF(AND(F252=1,G252=1),"OK","À JUSTIFIER")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>
        <f>C253-C252</f>
        <v/>
      </c>
      <c r="G253" s="5">
        <f>B253-B252</f>
        <v/>
      </c>
      <c r="H253" s="2">
        <f>IF(AND(F253=1,G253=1),"OK","À JUSTIFIER")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>
        <f>C254-C253</f>
        <v/>
      </c>
      <c r="G254" s="5">
        <f>B254-B253</f>
        <v/>
      </c>
      <c r="H254" s="2">
        <f>IF(AND(F254=1,G254=1),"OK","À JUSTIFIER")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>
        <f>C255-C254</f>
        <v/>
      </c>
      <c r="G255" s="5">
        <f>B255-B254</f>
        <v/>
      </c>
      <c r="H255" s="2">
        <f>IF(AND(F255=1,G255=1),"OK","À JUSTIFIER")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>
        <f>C256-C255</f>
        <v/>
      </c>
      <c r="G256" s="5">
        <f>B256-B255</f>
        <v/>
      </c>
      <c r="H256" s="2">
        <f>IF(AND(F256=1,G256=1),"OK","À JUSTIFIER")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>
        <f>C257-C256</f>
        <v/>
      </c>
      <c r="G257" s="5">
        <f>B257-B256</f>
        <v/>
      </c>
      <c r="H257" s="2">
        <f>IF(AND(F257=1,G257=1),"OK","À JUSTIFIER")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>
        <f>C258-C257</f>
        <v/>
      </c>
      <c r="G258" s="5">
        <f>B258-B257</f>
        <v/>
      </c>
      <c r="H258" s="2">
        <f>IF(AND(F258=1,G258=1),"OK","À JUSTIFIER")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>
        <f>C259-C258</f>
        <v/>
      </c>
      <c r="G259" s="5">
        <f>B259-B258</f>
        <v/>
      </c>
      <c r="H259" s="2">
        <f>IF(AND(F259=1,G259=1),"OK","À JUSTIFIER")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>
        <f>C260-C259</f>
        <v/>
      </c>
      <c r="G260" s="5">
        <f>B260-B259</f>
        <v/>
      </c>
      <c r="H260" s="2">
        <f>IF(AND(F260=1,G260=1),"OK","À JUSTIFIER")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>
        <f>C261-C260</f>
        <v/>
      </c>
      <c r="G261" s="5">
        <f>B261-B260</f>
        <v/>
      </c>
      <c r="H261" s="2">
        <f>IF(AND(F261=1,G261=1),"OK","À JUSTIFIER")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>
        <f>C262-C261</f>
        <v/>
      </c>
      <c r="G262" s="5">
        <f>B262-B261</f>
        <v/>
      </c>
      <c r="H262" s="2">
        <f>IF(AND(F262=1,G262=1),"OK","À JUSTIFIER")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>
        <f>C263-C262</f>
        <v/>
      </c>
      <c r="G263" s="5">
        <f>B263-B262</f>
        <v/>
      </c>
      <c r="H263" s="2">
        <f>IF(AND(F263=1,G263=1),"OK","À JUSTIFIER")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>
        <f>C264-C263</f>
        <v/>
      </c>
      <c r="G264" s="5">
        <f>B264-B263</f>
        <v/>
      </c>
      <c r="H264" s="2">
        <f>IF(AND(F264=1,G264=1),"OK","À JUSTIFIER")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>
        <f>C265-C264</f>
        <v/>
      </c>
      <c r="G265" s="5">
        <f>B265-B264</f>
        <v/>
      </c>
      <c r="H265" s="2">
        <f>IF(AND(F265=1,G265=1),"OK","À JUSTIFIER")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>
        <f>C266-C265</f>
        <v/>
      </c>
      <c r="G266" s="5">
        <f>B266-B265</f>
        <v/>
      </c>
      <c r="H266" s="2">
        <f>IF(AND(F266=1,G266=1),"OK","À JUSTIFIER")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>
        <f>C267-C266</f>
        <v/>
      </c>
      <c r="G267" s="5">
        <f>B267-B266</f>
        <v/>
      </c>
      <c r="H267" s="2">
        <f>IF(AND(F267=1,G267=1),"OK","À JUSTIFIER")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>
        <f>C268-C267</f>
        <v/>
      </c>
      <c r="G268" s="5">
        <f>B268-B267</f>
        <v/>
      </c>
      <c r="H268" s="2">
        <f>IF(AND(F268=1,G268=1),"OK","À JUSTIFIER")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>
        <f>C269-C268</f>
        <v/>
      </c>
      <c r="G269" s="5">
        <f>B269-B268</f>
        <v/>
      </c>
      <c r="H269" s="2">
        <f>IF(AND(F269=1,G269=1),"OK","À JUSTIFIER")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>
        <f>C270-C269</f>
        <v/>
      </c>
      <c r="G270" s="5">
        <f>B270-B269</f>
        <v/>
      </c>
      <c r="H270" s="2">
        <f>IF(AND(F270=1,G270=1),"OK","À JUSTIFIER")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>
        <f>C271-C270</f>
        <v/>
      </c>
      <c r="G271" s="5">
        <f>B271-B270</f>
        <v/>
      </c>
      <c r="H271" s="2">
        <f>IF(AND(F271=1,G271=1),"OK","À JUSTIFIER")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>
        <f>C272-C271</f>
        <v/>
      </c>
      <c r="G272" s="5">
        <f>B272-B271</f>
        <v/>
      </c>
      <c r="H272" s="2">
        <f>IF(AND(F272=1,G272=1),"OK","À JUSTIFIER")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>
        <f>C273-C272</f>
        <v/>
      </c>
      <c r="G273" s="5">
        <f>B273-B272</f>
        <v/>
      </c>
      <c r="H273" s="2">
        <f>IF(AND(F273=1,G273=1),"OK","À JUSTIFIER")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>
        <f>C274-C273</f>
        <v/>
      </c>
      <c r="G274" s="5">
        <f>B274-B273</f>
        <v/>
      </c>
      <c r="H274" s="2">
        <f>IF(AND(F274=1,G274=1),"OK","À JUSTIFIER")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>
        <f>C275-C274</f>
        <v/>
      </c>
      <c r="G275" s="5">
        <f>B275-B274</f>
        <v/>
      </c>
      <c r="H275" s="2">
        <f>IF(AND(F275=1,G275=1),"OK","À JUSTIFIER")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>
        <f>C276-C275</f>
        <v/>
      </c>
      <c r="G276" s="5">
        <f>B276-B275</f>
        <v/>
      </c>
      <c r="H276" s="2">
        <f>IF(AND(F276=1,G276=1),"OK","À JUSTIFIER")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>
        <f>C277-C276</f>
        <v/>
      </c>
      <c r="G277" s="5">
        <f>B277-B276</f>
        <v/>
      </c>
      <c r="H277" s="2">
        <f>IF(AND(F277=1,G277=1),"OK","À JUSTIFIER")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>
        <f>C278-C277</f>
        <v/>
      </c>
      <c r="G278" s="5">
        <f>B278-B277</f>
        <v/>
      </c>
      <c r="H278" s="2">
        <f>IF(AND(F278=1,G278=1),"OK","À JUSTIFIER")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>
        <f>C279-C278</f>
        <v/>
      </c>
      <c r="G279" s="5">
        <f>B279-B278</f>
        <v/>
      </c>
      <c r="H279" s="2">
        <f>IF(AND(F279=1,G279=1),"OK","À JUSTIFIER")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>
        <f>C280-C279</f>
        <v/>
      </c>
      <c r="G280" s="5">
        <f>B280-B279</f>
        <v/>
      </c>
      <c r="H280" s="2">
        <f>IF(AND(F280=1,G280=1),"OK","À JUSTIFIER")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>
        <f>C281-C280</f>
        <v/>
      </c>
      <c r="G281" s="5">
        <f>B281-B280</f>
        <v/>
      </c>
      <c r="H281" s="2">
        <f>IF(AND(F281=1,G281=1),"OK","À JUSTIFIER")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>
        <f>C282-C281</f>
        <v/>
      </c>
      <c r="G282" s="5">
        <f>B282-B281</f>
        <v/>
      </c>
      <c r="H282" s="2">
        <f>IF(AND(F282=1,G282=1),"OK","À JUSTIFIER")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>
        <f>C283-C282</f>
        <v/>
      </c>
      <c r="G283" s="5">
        <f>B283-B282</f>
        <v/>
      </c>
      <c r="H283" s="2">
        <f>IF(AND(F283=1,G283=1),"OK","À JUSTIFIER")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>
        <f>C284-C283</f>
        <v/>
      </c>
      <c r="G284" s="5">
        <f>B284-B283</f>
        <v/>
      </c>
      <c r="H284" s="2">
        <f>IF(AND(F284=1,G284=1),"OK","À JUSTIFIER")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>
        <f>C285-C284</f>
        <v/>
      </c>
      <c r="G285" s="5">
        <f>B285-B284</f>
        <v/>
      </c>
      <c r="H285" s="2">
        <f>IF(AND(F285=1,G285=1),"OK","À JUSTIFIER")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>
        <f>C286-C285</f>
        <v/>
      </c>
      <c r="G286" s="5">
        <f>B286-B285</f>
        <v/>
      </c>
      <c r="H286" s="2">
        <f>IF(AND(F286=1,G286=1),"OK","À JUSTIFIER")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>
        <f>C287-C286</f>
        <v/>
      </c>
      <c r="G287" s="5">
        <f>B287-B286</f>
        <v/>
      </c>
      <c r="H287" s="2">
        <f>IF(AND(F287=1,G287=1),"OK","À JUSTIFIER")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>
        <f>C288-C287</f>
        <v/>
      </c>
      <c r="G288" s="5">
        <f>B288-B287</f>
        <v/>
      </c>
      <c r="H288" s="2">
        <f>IF(AND(F288=1,G288=1),"OK","À JUSTIFIER")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>
        <f>C289-C288</f>
        <v/>
      </c>
      <c r="G289" s="5">
        <f>B289-B288</f>
        <v/>
      </c>
      <c r="H289" s="2">
        <f>IF(AND(F289=1,G289=1),"OK","À JUSTIFIER")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>
        <f>C290-C289</f>
        <v/>
      </c>
      <c r="G290" s="5">
        <f>B290-B289</f>
        <v/>
      </c>
      <c r="H290" s="2">
        <f>IF(AND(F290=1,G290=1),"OK","À JUSTIFIER")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>
        <f>C291-C290</f>
        <v/>
      </c>
      <c r="G291" s="5">
        <f>B291-B290</f>
        <v/>
      </c>
      <c r="H291" s="2">
        <f>IF(AND(F291=1,G291=1),"OK","À JUSTIFIER")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>
        <f>C292-C291</f>
        <v/>
      </c>
      <c r="G292" s="5">
        <f>B292-B291</f>
        <v/>
      </c>
      <c r="H292" s="2">
        <f>IF(AND(F292=1,G292=1),"OK","À JUSTIFIER")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>
        <f>C293-C292</f>
        <v/>
      </c>
      <c r="G293" s="5">
        <f>B293-B292</f>
        <v/>
      </c>
      <c r="H293" s="2">
        <f>IF(AND(F293=1,G293=1),"OK","À JUSTIFIER")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>
        <f>C294-C293</f>
        <v/>
      </c>
      <c r="G294" s="5">
        <f>B294-B293</f>
        <v/>
      </c>
      <c r="H294" s="2">
        <f>IF(AND(F294=1,G294=1),"OK","À JUSTIFIER")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>
        <f>C295-C294</f>
        <v/>
      </c>
      <c r="G295" s="5">
        <f>B295-B294</f>
        <v/>
      </c>
      <c r="H295" s="2">
        <f>IF(AND(F295=1,G295=1),"OK","À JUSTIFIER")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>
        <f>C296-C295</f>
        <v/>
      </c>
      <c r="G296" s="5">
        <f>B296-B295</f>
        <v/>
      </c>
      <c r="H296" s="2">
        <f>IF(AND(F296=1,G296=1),"OK","À JUSTIFIER")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>
        <f>C297-C296</f>
        <v/>
      </c>
      <c r="G297" s="5">
        <f>B297-B296</f>
        <v/>
      </c>
      <c r="H297" s="2">
        <f>IF(AND(F297=1,G297=1),"OK","À JUSTIFIER")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>
        <f>C298-C297</f>
        <v/>
      </c>
      <c r="G298" s="5">
        <f>B298-B297</f>
        <v/>
      </c>
      <c r="H298" s="2">
        <f>IF(AND(F298=1,G298=1),"OK","À JUSTIFIER")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>
        <f>C299-C298</f>
        <v/>
      </c>
      <c r="G299" s="5">
        <f>B299-B298</f>
        <v/>
      </c>
      <c r="H299" s="2">
        <f>IF(AND(F299=1,G299=1),"OK","À JUSTIFIER")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>
        <f>C300-C299</f>
        <v/>
      </c>
      <c r="G300" s="5">
        <f>B300-B299</f>
        <v/>
      </c>
      <c r="H300" s="2">
        <f>IF(AND(F300=1,G300=1),"OK","À JUSTIFIER")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>
        <f>C301-C300</f>
        <v/>
      </c>
      <c r="G301" s="5">
        <f>B301-B300</f>
        <v/>
      </c>
      <c r="H301" s="2">
        <f>IF(AND(F301=1,G301=1),"OK","À JUSTIFIER")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>
        <f>C302-C301</f>
        <v/>
      </c>
      <c r="G302" s="5">
        <f>B302-B301</f>
        <v/>
      </c>
      <c r="H302" s="2">
        <f>IF(AND(F302=1,G302=1),"OK","À JUSTIFIER")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>
        <f>C303-C302</f>
        <v/>
      </c>
      <c r="G303" s="5">
        <f>B303-B302</f>
        <v/>
      </c>
      <c r="H303" s="2">
        <f>IF(AND(F303=1,G303=1),"OK","À JUSTIFIER")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>
        <f>C304-C303</f>
        <v/>
      </c>
      <c r="G304" s="5">
        <f>B304-B303</f>
        <v/>
      </c>
      <c r="H304" s="2">
        <f>IF(AND(F304=1,G304=1),"OK","À JUSTIFIER")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>
        <f>C305-C304</f>
        <v/>
      </c>
      <c r="G305" s="5">
        <f>B305-B304</f>
        <v/>
      </c>
      <c r="H305" s="2">
        <f>IF(AND(F305=1,G305=1),"OK","À JUSTIFIER")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>
        <f>C306-C305</f>
        <v/>
      </c>
      <c r="G306" s="5">
        <f>B306-B305</f>
        <v/>
      </c>
      <c r="H306" s="2">
        <f>IF(AND(F306=1,G306=1),"OK","À JUSTIFIER")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>
        <f>C307-C306</f>
        <v/>
      </c>
      <c r="G307" s="5">
        <f>B307-B306</f>
        <v/>
      </c>
      <c r="H307" s="2">
        <f>IF(AND(F307=1,G307=1),"OK","À JUSTIFIER")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>
        <f>C308-C307</f>
        <v/>
      </c>
      <c r="G308" s="5">
        <f>B308-B307</f>
        <v/>
      </c>
      <c r="H308" s="2">
        <f>IF(AND(F308=1,G308=1),"OK","À JUSTIFIER")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>
        <f>C309-C308</f>
        <v/>
      </c>
      <c r="G309" s="5">
        <f>B309-B308</f>
        <v/>
      </c>
      <c r="H309" s="2">
        <f>IF(AND(F309=1,G309=1),"OK","À JUSTIFIER")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>
        <f>C310-C309</f>
        <v/>
      </c>
      <c r="G310" s="5">
        <f>B310-B309</f>
        <v/>
      </c>
      <c r="H310" s="2">
        <f>IF(AND(F310=1,G310=1),"OK","À JUSTIFIER")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>
        <f>C311-C310</f>
        <v/>
      </c>
      <c r="G311" s="5">
        <f>B311-B310</f>
        <v/>
      </c>
      <c r="H311" s="2">
        <f>IF(AND(F311=1,G311=1),"OK","À JUSTIFIER")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>
        <f>C312-C311</f>
        <v/>
      </c>
      <c r="G312" s="5">
        <f>B312-B311</f>
        <v/>
      </c>
      <c r="H312" s="2">
        <f>IF(AND(F312=1,G312=1),"OK","À JUSTIFIER")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>
        <f>C313-C312</f>
        <v/>
      </c>
      <c r="G313" s="5">
        <f>B313-B312</f>
        <v/>
      </c>
      <c r="H313" s="2">
        <f>IF(AND(F313=1,G313=1),"OK","À JUSTIFIER")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>
        <f>C314-C313</f>
        <v/>
      </c>
      <c r="G314" s="5">
        <f>B314-B313</f>
        <v/>
      </c>
      <c r="H314" s="2">
        <f>IF(AND(F314=1,G314=1),"OK","À JUSTIFIER")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>
        <f>C315-C314</f>
        <v/>
      </c>
      <c r="G315" s="5">
        <f>B315-B314</f>
        <v/>
      </c>
      <c r="H315" s="2">
        <f>IF(AND(F315=1,G315=1),"OK","À JUSTIFIER")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>
        <f>C316-C315</f>
        <v/>
      </c>
      <c r="G316" s="5">
        <f>B316-B315</f>
        <v/>
      </c>
      <c r="H316" s="2">
        <f>IF(AND(F316=1,G316=1),"OK","À JUSTIFIER")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>
        <f>C317-C316</f>
        <v/>
      </c>
      <c r="G317" s="5">
        <f>B317-B316</f>
        <v/>
      </c>
      <c r="H317" s="2">
        <f>IF(AND(F317=1,G317=1),"OK","À JUSTIFIER")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>
        <f>C318-C317</f>
        <v/>
      </c>
      <c r="G318" s="5">
        <f>B318-B317</f>
        <v/>
      </c>
      <c r="H318" s="2">
        <f>IF(AND(F318=1,G318=1),"OK","À JUSTIFIER")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>
        <f>C319-C318</f>
        <v/>
      </c>
      <c r="G319" s="5">
        <f>B319-B318</f>
        <v/>
      </c>
      <c r="H319" s="2">
        <f>IF(AND(F319=1,G319=1),"OK","À JUSTIFIER")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>
        <f>C320-C319</f>
        <v/>
      </c>
      <c r="G320" s="5">
        <f>B320-B319</f>
        <v/>
      </c>
      <c r="H320" s="2">
        <f>IF(AND(F320=1,G320=1),"OK","À JUSTIFIER")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>
        <f>C321-C320</f>
        <v/>
      </c>
      <c r="G321" s="5">
        <f>B321-B320</f>
        <v/>
      </c>
      <c r="H321" s="2">
        <f>IF(AND(F321=1,G321=1),"OK","À JUSTIFIER")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>
        <f>C322-C321</f>
        <v/>
      </c>
      <c r="G322" s="5">
        <f>B322-B321</f>
        <v/>
      </c>
      <c r="H322" s="2">
        <f>IF(AND(F322=1,G322=1),"OK","À JUSTIFIER")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>
        <f>C323-C322</f>
        <v/>
      </c>
      <c r="G323" s="5">
        <f>B323-B322</f>
        <v/>
      </c>
      <c r="H323" s="2">
        <f>IF(AND(F323=1,G323=1),"OK","À JUSTIFIER")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>
        <f>C324-C323</f>
        <v/>
      </c>
      <c r="G324" s="5">
        <f>B324-B323</f>
        <v/>
      </c>
      <c r="H324" s="2">
        <f>IF(AND(F324=1,G324=1),"OK","À JUSTIFIER")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>
        <f>C325-C324</f>
        <v/>
      </c>
      <c r="G325" s="5">
        <f>B325-B324</f>
        <v/>
      </c>
      <c r="H325" s="2">
        <f>IF(AND(F325=1,G325=1),"OK","À JUSTIFIER")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>
        <f>C326-C325</f>
        <v/>
      </c>
      <c r="G326" s="5">
        <f>B326-B325</f>
        <v/>
      </c>
      <c r="H326" s="2">
        <f>IF(AND(F326=1,G326=1),"OK","À JUSTIFIER")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>
        <f>C327-C326</f>
        <v/>
      </c>
      <c r="G327" s="5">
        <f>B327-B326</f>
        <v/>
      </c>
      <c r="H327" s="2">
        <f>IF(AND(F327=1,G327=1),"OK","À JUSTIFIER")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>
        <f>C328-C327</f>
        <v/>
      </c>
      <c r="G328" s="5">
        <f>B328-B327</f>
        <v/>
      </c>
      <c r="H328" s="2">
        <f>IF(AND(F328=1,G328=1),"OK","À JUSTIFIER")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>
        <f>C329-C328</f>
        <v/>
      </c>
      <c r="G329" s="5">
        <f>B329-B328</f>
        <v/>
      </c>
      <c r="H329" s="2">
        <f>IF(AND(F329=1,G329=1),"OK","À JUSTIFIER")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>
        <f>C330-C329</f>
        <v/>
      </c>
      <c r="G330" s="5">
        <f>B330-B329</f>
        <v/>
      </c>
      <c r="H330" s="2">
        <f>IF(AND(F330=1,G330=1),"OK","À JUSTIFIER")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>
        <f>C331-C330</f>
        <v/>
      </c>
      <c r="G331" s="5">
        <f>B331-B330</f>
        <v/>
      </c>
      <c r="H331" s="2">
        <f>IF(AND(F331=1,G331=1),"OK","À JUSTIFIER")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>
        <f>C332-C331</f>
        <v/>
      </c>
      <c r="G332" s="5">
        <f>B332-B331</f>
        <v/>
      </c>
      <c r="H332" s="2">
        <f>IF(AND(F332=1,G332=1),"OK","À JUSTIFIER")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>
        <f>C333-C332</f>
        <v/>
      </c>
      <c r="G333" s="5">
        <f>B333-B332</f>
        <v/>
      </c>
      <c r="H333" s="2">
        <f>IF(AND(F333=1,G333=1),"OK","À JUSTIFIER")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>
        <f>C334-C333</f>
        <v/>
      </c>
      <c r="G334" s="5">
        <f>B334-B333</f>
        <v/>
      </c>
      <c r="H334" s="2">
        <f>IF(AND(F334=1,G334=1),"OK","À JUSTIFIER")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>
        <f>C335-C334</f>
        <v/>
      </c>
      <c r="G335" s="5">
        <f>B335-B334</f>
        <v/>
      </c>
      <c r="H335" s="2">
        <f>IF(AND(F335=1,G335=1),"OK","À JUSTIFIER")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>
        <f>C336-C335</f>
        <v/>
      </c>
      <c r="G336" s="5">
        <f>B336-B335</f>
        <v/>
      </c>
      <c r="H336" s="2">
        <f>IF(AND(F336=1,G336=1),"OK","À JUSTIFIER")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>
        <f>C337-C336</f>
        <v/>
      </c>
      <c r="G337" s="5">
        <f>B337-B336</f>
        <v/>
      </c>
      <c r="H337" s="2">
        <f>IF(AND(F337=1,G337=1),"OK","À JUSTIFIER")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>
        <f>C338-C337</f>
        <v/>
      </c>
      <c r="G338" s="5">
        <f>B338-B337</f>
        <v/>
      </c>
      <c r="H338" s="2">
        <f>IF(AND(F338=1,G338=1),"OK","À JUSTIFIER")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>
        <f>C339-C338</f>
        <v/>
      </c>
      <c r="G339" s="5">
        <f>B339-B338</f>
        <v/>
      </c>
      <c r="H339" s="2">
        <f>IF(AND(F339=1,G339=1),"OK","À JUSTIFIER")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>
        <f>C340-C339</f>
        <v/>
      </c>
      <c r="G340" s="5">
        <f>B340-B339</f>
        <v/>
      </c>
      <c r="H340" s="2">
        <f>IF(AND(F340=1,G340=1),"OK","À JUSTIFIER")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>
        <f>C341-C340</f>
        <v/>
      </c>
      <c r="G341" s="5">
        <f>B341-B340</f>
        <v/>
      </c>
      <c r="H341" s="2">
        <f>IF(AND(F341=1,G341=1),"OK","À JUSTIFIER")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>
        <f>C342-C341</f>
        <v/>
      </c>
      <c r="G342" s="5">
        <f>B342-B341</f>
        <v/>
      </c>
      <c r="H342" s="2">
        <f>IF(AND(F342=1,G342=1),"OK","À JUSTIFIER")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>
        <f>C343-C342</f>
        <v/>
      </c>
      <c r="G343" s="5">
        <f>B343-B342</f>
        <v/>
      </c>
      <c r="H343" s="2">
        <f>IF(AND(F343=1,G343=1),"OK","À JUSTIFIER")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>
        <f>C344-C343</f>
        <v/>
      </c>
      <c r="G344" s="5">
        <f>B344-B343</f>
        <v/>
      </c>
      <c r="H344" s="2">
        <f>IF(AND(F344=1,G344=1),"OK","À JUSTIFIER")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>
        <f>C345-C344</f>
        <v/>
      </c>
      <c r="G345" s="5">
        <f>B345-B344</f>
        <v/>
      </c>
      <c r="H345" s="2">
        <f>IF(AND(F345=1,G345=1),"OK","À JUSTIFIER")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>
        <f>C346-C345</f>
        <v/>
      </c>
      <c r="G346" s="5">
        <f>B346-B345</f>
        <v/>
      </c>
      <c r="H346" s="2">
        <f>IF(AND(F346=1,G346=1),"OK","À JUSTIFIER")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>
        <f>C347-C346</f>
        <v/>
      </c>
      <c r="G347" s="5">
        <f>B347-B346</f>
        <v/>
      </c>
      <c r="H347" s="2">
        <f>IF(AND(F347=1,G347=1),"OK","À JUSTIFIER")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>
        <f>C348-C347</f>
        <v/>
      </c>
      <c r="G348" s="5">
        <f>B348-B347</f>
        <v/>
      </c>
      <c r="H348" s="2">
        <f>IF(AND(F348=1,G348=1),"OK","À JUSTIFIER")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>
        <f>C349-C348</f>
        <v/>
      </c>
      <c r="G349" s="5">
        <f>B349-B348</f>
        <v/>
      </c>
      <c r="H349" s="2">
        <f>IF(AND(F349=1,G349=1),"OK","À JUSTIFIER")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>
        <f>C350-C349</f>
        <v/>
      </c>
      <c r="G350" s="5">
        <f>B350-B349</f>
        <v/>
      </c>
      <c r="H350" s="2">
        <f>IF(AND(F350=1,G350=1),"OK","À JUSTIFIER")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>
        <f>C351-C350</f>
        <v/>
      </c>
      <c r="G351" s="5">
        <f>B351-B350</f>
        <v/>
      </c>
      <c r="H351" s="2">
        <f>IF(AND(F351=1,G351=1),"OK","À JUSTIFIER")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>
        <f>C352-C351</f>
        <v/>
      </c>
      <c r="G352" s="5">
        <f>B352-B351</f>
        <v/>
      </c>
      <c r="H352" s="2">
        <f>IF(AND(F352=1,G352=1),"OK","À JUSTIFIER")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>
        <f>C353-C352</f>
        <v/>
      </c>
      <c r="G353" s="5">
        <f>B353-B352</f>
        <v/>
      </c>
      <c r="H353" s="2">
        <f>IF(AND(F353=1,G353=1),"OK","À JUSTIFIER")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>
        <f>C354-C353</f>
        <v/>
      </c>
      <c r="G354" s="5">
        <f>B354-B353</f>
        <v/>
      </c>
      <c r="H354" s="2">
        <f>IF(AND(F354=1,G354=1),"OK","À JUSTIFIER")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>
        <f>C355-C354</f>
        <v/>
      </c>
      <c r="G355" s="5">
        <f>B355-B354</f>
        <v/>
      </c>
      <c r="H355" s="2">
        <f>IF(AND(F355=1,G355=1),"OK","À JUSTIFIER")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>
        <f>C356-C355</f>
        <v/>
      </c>
      <c r="G356" s="5">
        <f>B356-B355</f>
        <v/>
      </c>
      <c r="H356" s="2">
        <f>IF(AND(F356=1,G356=1),"OK","À JUSTIFIER")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>
        <f>C357-C356</f>
        <v/>
      </c>
      <c r="G357" s="5">
        <f>B357-B356</f>
        <v/>
      </c>
      <c r="H357" s="2">
        <f>IF(AND(F357=1,G357=1),"OK","À JUSTIFIER")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>
        <f>C358-C357</f>
        <v/>
      </c>
      <c r="G358" s="5">
        <f>B358-B357</f>
        <v/>
      </c>
      <c r="H358" s="2">
        <f>IF(AND(F358=1,G358=1),"OK","À JUSTIFIER")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>
        <f>C359-C358</f>
        <v/>
      </c>
      <c r="G359" s="5">
        <f>B359-B358</f>
        <v/>
      </c>
      <c r="H359" s="2">
        <f>IF(AND(F359=1,G359=1),"OK","À JUSTIFIER")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>
        <f>C360-C359</f>
        <v/>
      </c>
      <c r="G360" s="5">
        <f>B360-B359</f>
        <v/>
      </c>
      <c r="H360" s="2">
        <f>IF(AND(F360=1,G360=1),"OK","À JUSTIFIER")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>
        <f>C361-C360</f>
        <v/>
      </c>
      <c r="G361" s="5">
        <f>B361-B360</f>
        <v/>
      </c>
      <c r="H361" s="2">
        <f>IF(AND(F361=1,G361=1),"OK","À JUSTIFIER")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>
        <f>C362-C361</f>
        <v/>
      </c>
      <c r="G362" s="5">
        <f>B362-B361</f>
        <v/>
      </c>
      <c r="H362" s="2">
        <f>IF(AND(F362=1,G362=1),"OK","À JUSTIFIER")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>
        <f>C363-C362</f>
        <v/>
      </c>
      <c r="G363" s="5">
        <f>B363-B362</f>
        <v/>
      </c>
      <c r="H363" s="2">
        <f>IF(AND(F363=1,G363=1),"OK","À JUSTIFIER")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>
        <f>C364-C363</f>
        <v/>
      </c>
      <c r="G364" s="5">
        <f>B364-B363</f>
        <v/>
      </c>
      <c r="H364" s="2">
        <f>IF(AND(F364=1,G364=1),"OK","À JUSTIFIER")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>
        <f>C365-C364</f>
        <v/>
      </c>
      <c r="G365" s="5">
        <f>B365-B364</f>
        <v/>
      </c>
      <c r="H365" s="2">
        <f>IF(AND(F365=1,G365=1),"OK","À JUSTIFIER")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>
        <f>C366-C365</f>
        <v/>
      </c>
      <c r="G366" s="5">
        <f>B366-B365</f>
        <v/>
      </c>
      <c r="H366" s="2">
        <f>IF(AND(F366=1,G366=1),"OK","À JUSTIFIER")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>
        <f>C367-C366</f>
        <v/>
      </c>
      <c r="G367" s="5">
        <f>B367-B366</f>
        <v/>
      </c>
      <c r="H367" s="2">
        <f>IF(AND(F367=1,G367=1),"OK","À JUSTIFIER")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>
        <f>C368-C367</f>
        <v/>
      </c>
      <c r="G368" s="5">
        <f>B368-B367</f>
        <v/>
      </c>
      <c r="H368" s="2">
        <f>IF(AND(F368=1,G368=1),"OK","À JUSTIFIER")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>
        <f>C369-C368</f>
        <v/>
      </c>
      <c r="G369" s="5">
        <f>B369-B368</f>
        <v/>
      </c>
      <c r="H369" s="2">
        <f>IF(AND(F369=1,G369=1),"OK","À JUSTIFIER")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>
        <f>C370-C369</f>
        <v/>
      </c>
      <c r="G370" s="5">
        <f>B370-B369</f>
        <v/>
      </c>
      <c r="H370" s="2">
        <f>IF(AND(F370=1,G370=1),"OK","À JUSTIFIER")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>
        <f>C371-C370</f>
        <v/>
      </c>
      <c r="G371" s="5">
        <f>B371-B370</f>
        <v/>
      </c>
      <c r="H371" s="2">
        <f>IF(AND(F371=1,G371=1),"OK","À JUSTIFIER")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>
        <f>C372-C371</f>
        <v/>
      </c>
      <c r="G372" s="5">
        <f>B372-B371</f>
        <v/>
      </c>
      <c r="H372" s="2">
        <f>IF(AND(F372=1,G372=1),"OK","À JUSTIFIER")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>
        <f>C373-C372</f>
        <v/>
      </c>
      <c r="G373" s="5">
        <f>B373-B372</f>
        <v/>
      </c>
      <c r="H373" s="2">
        <f>IF(AND(F373=1,G373=1),"OK","À JUSTIFIER")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>
        <f>C374-C373</f>
        <v/>
      </c>
      <c r="G374" s="5">
        <f>B374-B373</f>
        <v/>
      </c>
      <c r="H374" s="2">
        <f>IF(AND(F374=1,G374=1),"OK","À JUSTIFIER")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>
        <f>C375-C374</f>
        <v/>
      </c>
      <c r="G375" s="5">
        <f>B375-B374</f>
        <v/>
      </c>
      <c r="H375" s="2">
        <f>IF(AND(F375=1,G375=1),"OK","À JUSTIFIER")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>
        <f>C376-C375</f>
        <v/>
      </c>
      <c r="G376" s="5">
        <f>B376-B375</f>
        <v/>
      </c>
      <c r="H376" s="2">
        <f>IF(AND(F376=1,G376=1),"OK","À JUSTIFIER")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>
        <f>C377-C376</f>
        <v/>
      </c>
      <c r="G377" s="5">
        <f>B377-B376</f>
        <v/>
      </c>
      <c r="H377" s="2">
        <f>IF(AND(F377=1,G377=1),"OK","À JUSTIFIER")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>
        <f>C378-C377</f>
        <v/>
      </c>
      <c r="G378" s="5">
        <f>B378-B377</f>
        <v/>
      </c>
      <c r="H378" s="2">
        <f>IF(AND(F378=1,G378=1),"OK","À JUSTIFIER")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>
        <f>C379-C378</f>
        <v/>
      </c>
      <c r="G379" s="5">
        <f>B379-B378</f>
        <v/>
      </c>
      <c r="H379" s="2">
        <f>IF(AND(F379=1,G379=1),"OK","À JUSTIFIER")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>
        <f>C380-C379</f>
        <v/>
      </c>
      <c r="G380" s="5">
        <f>B380-B379</f>
        <v/>
      </c>
      <c r="H380" s="2">
        <f>IF(AND(F380=1,G380=1),"OK","À JUSTIFIER")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>
        <f>C381-C380</f>
        <v/>
      </c>
      <c r="G381" s="5">
        <f>B381-B380</f>
        <v/>
      </c>
      <c r="H381" s="2">
        <f>IF(AND(F381=1,G381=1),"OK","À JUSTIFIER")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>
        <f>C382-C381</f>
        <v/>
      </c>
      <c r="G382" s="5">
        <f>B382-B381</f>
        <v/>
      </c>
      <c r="H382" s="2">
        <f>IF(AND(F382=1,G382=1),"OK","À JUSTIFIER")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>
        <f>C383-C382</f>
        <v/>
      </c>
      <c r="G383" s="5">
        <f>B383-B382</f>
        <v/>
      </c>
      <c r="H383" s="2">
        <f>IF(AND(F383=1,G383=1),"OK","À JUSTIFIER")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>
        <f>C384-C383</f>
        <v/>
      </c>
      <c r="G384" s="5">
        <f>B384-B383</f>
        <v/>
      </c>
      <c r="H384" s="2">
        <f>IF(AND(F384=1,G384=1),"OK","À JUSTIFIER")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>
        <f>C385-C384</f>
        <v/>
      </c>
      <c r="G385" s="5">
        <f>B385-B384</f>
        <v/>
      </c>
      <c r="H385" s="2">
        <f>IF(AND(F385=1,G385=1),"OK","À JUSTIFIER")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>
        <f>C386-C385</f>
        <v/>
      </c>
      <c r="G386" s="5">
        <f>B386-B385</f>
        <v/>
      </c>
      <c r="H386" s="2">
        <f>IF(AND(F386=1,G386=1),"OK","À JUSTIFIER")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>
        <f>C387-C386</f>
        <v/>
      </c>
      <c r="G387" s="5">
        <f>B387-B386</f>
        <v/>
      </c>
      <c r="H387" s="2">
        <f>IF(AND(F387=1,G387=1),"OK","À JUSTIFIER")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>
        <f>C388-C387</f>
        <v/>
      </c>
      <c r="G388" s="5">
        <f>B388-B387</f>
        <v/>
      </c>
      <c r="H388" s="2">
        <f>IF(AND(F388=1,G388=1),"OK","À JUSTIFIER")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>
        <f>C389-C388</f>
        <v/>
      </c>
      <c r="G389" s="5">
        <f>B389-B388</f>
        <v/>
      </c>
      <c r="H389" s="2">
        <f>IF(AND(F389=1,G389=1),"OK","À JUSTIFIER")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>
        <f>C390-C389</f>
        <v/>
      </c>
      <c r="G390" s="5">
        <f>B390-B389</f>
        <v/>
      </c>
      <c r="H390" s="2">
        <f>IF(AND(F390=1,G390=1),"OK","À JUSTIFIER")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>
        <f>C391-C390</f>
        <v/>
      </c>
      <c r="G391" s="5">
        <f>B391-B390</f>
        <v/>
      </c>
      <c r="H391" s="2">
        <f>IF(AND(F391=1,G391=1),"OK","À JUSTIFIER")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>
        <f>C392-C391</f>
        <v/>
      </c>
      <c r="G392" s="5">
        <f>B392-B391</f>
        <v/>
      </c>
      <c r="H392" s="2">
        <f>IF(AND(F392=1,G392=1),"OK","À JUSTIFIER")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>
        <f>C393-C392</f>
        <v/>
      </c>
      <c r="G393" s="5">
        <f>B393-B392</f>
        <v/>
      </c>
      <c r="H393" s="2">
        <f>IF(AND(F393=1,G393=1),"OK","À JUSTIFIER")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>
        <f>C394-C393</f>
        <v/>
      </c>
      <c r="G394" s="5">
        <f>B394-B393</f>
        <v/>
      </c>
      <c r="H394" s="2">
        <f>IF(AND(F394=1,G394=1),"OK","À JUSTIFIER")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>
        <f>C395-C394</f>
        <v/>
      </c>
      <c r="G395" s="5">
        <f>B395-B394</f>
        <v/>
      </c>
      <c r="H395" s="2">
        <f>IF(AND(F395=1,G395=1),"OK","À JUSTIFIER")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>
        <f>C396-C395</f>
        <v/>
      </c>
      <c r="G396" s="5">
        <f>B396-B395</f>
        <v/>
      </c>
      <c r="H396" s="2">
        <f>IF(AND(F396=1,G396=1),"OK","À JUSTIFIER")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>
        <f>C397-C396</f>
        <v/>
      </c>
      <c r="G397" s="5">
        <f>B397-B396</f>
        <v/>
      </c>
      <c r="H397" s="2">
        <f>IF(AND(F397=1,G397=1),"OK","À JUSTIFIER")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>
        <f>C398-C397</f>
        <v/>
      </c>
      <c r="G398" s="5">
        <f>B398-B397</f>
        <v/>
      </c>
      <c r="H398" s="2">
        <f>IF(AND(F398=1,G398=1),"OK","À JUSTIFIER")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>
        <f>C399-C398</f>
        <v/>
      </c>
      <c r="G399" s="5">
        <f>B399-B398</f>
        <v/>
      </c>
      <c r="H399" s="2">
        <f>IF(AND(F399=1,G399=1),"OK","À JUSTIFIER")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>
        <f>C400-C399</f>
        <v/>
      </c>
      <c r="G400" s="5">
        <f>B400-B399</f>
        <v/>
      </c>
      <c r="H400" s="2">
        <f>IF(AND(F400=1,G400=1),"OK","À JUSTIFIER")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>
        <f>C401-C400</f>
        <v/>
      </c>
      <c r="G401" s="5">
        <f>B401-B400</f>
        <v/>
      </c>
      <c r="H401" s="2">
        <f>IF(AND(F401=1,G401=1),"OK","À JUSTIFIER")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>
        <f>C402-C401</f>
        <v/>
      </c>
      <c r="G402" s="5">
        <f>B402-B401</f>
        <v/>
      </c>
      <c r="H402" s="2">
        <f>IF(AND(F402=1,G402=1),"OK","À JUSTIFIER")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>
        <f>C403-C402</f>
        <v/>
      </c>
      <c r="G403" s="5">
        <f>B403-B402</f>
        <v/>
      </c>
      <c r="H403" s="2">
        <f>IF(AND(F403=1,G403=1),"OK","À JUSTIFIER")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>
        <f>C404-C403</f>
        <v/>
      </c>
      <c r="G404" s="5">
        <f>B404-B403</f>
        <v/>
      </c>
      <c r="H404" s="2">
        <f>IF(AND(F404=1,G404=1),"OK","À JUSTIFIER")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>
        <f>C405-C404</f>
        <v/>
      </c>
      <c r="G405" s="5">
        <f>B405-B404</f>
        <v/>
      </c>
      <c r="H405" s="2">
        <f>IF(AND(F405=1,G405=1),"OK","À JUSTIFIER")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>
        <f>C406-C405</f>
        <v/>
      </c>
      <c r="G406" s="5">
        <f>B406-B405</f>
        <v/>
      </c>
      <c r="H406" s="2">
        <f>IF(AND(F406=1,G406=1),"OK","À JUSTIFIER")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>
        <f>C407-C406</f>
        <v/>
      </c>
      <c r="G407" s="5">
        <f>B407-B406</f>
        <v/>
      </c>
      <c r="H407" s="2">
        <f>IF(AND(F407=1,G407=1),"OK","À JUSTIFIER")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>
        <f>C408-C407</f>
        <v/>
      </c>
      <c r="G408" s="5">
        <f>B408-B407</f>
        <v/>
      </c>
      <c r="H408" s="2">
        <f>IF(AND(F408=1,G408=1),"OK","À JUSTIFIER")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>
        <f>C409-C408</f>
        <v/>
      </c>
      <c r="G409" s="5">
        <f>B409-B408</f>
        <v/>
      </c>
      <c r="H409" s="2">
        <f>IF(AND(F409=1,G409=1),"OK","À JUSTIFIER")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>
        <f>C410-C409</f>
        <v/>
      </c>
      <c r="G410" s="5">
        <f>B410-B409</f>
        <v/>
      </c>
      <c r="H410" s="2">
        <f>IF(AND(F410=1,G410=1),"OK","À JUSTIFIER")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>
        <f>C411-C410</f>
        <v/>
      </c>
      <c r="G411" s="5">
        <f>B411-B410</f>
        <v/>
      </c>
      <c r="H411" s="2">
        <f>IF(AND(F411=1,G411=1),"OK","À JUSTIFIER")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>
        <f>C412-C411</f>
        <v/>
      </c>
      <c r="G412" s="5">
        <f>B412-B411</f>
        <v/>
      </c>
      <c r="H412" s="2">
        <f>IF(AND(F412=1,G412=1),"OK","À JUSTIFIER")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>
        <f>C413-C412</f>
        <v/>
      </c>
      <c r="G413" s="5">
        <f>B413-B412</f>
        <v/>
      </c>
      <c r="H413" s="2">
        <f>IF(AND(F413=1,G413=1),"OK","À JUSTIFIER")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>
        <f>C414-C413</f>
        <v/>
      </c>
      <c r="G414" s="5">
        <f>B414-B413</f>
        <v/>
      </c>
      <c r="H414" s="2">
        <f>IF(AND(F414=1,G414=1),"OK","À JUSTIFIER")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>
        <f>C415-C414</f>
        <v/>
      </c>
      <c r="G415" s="5">
        <f>B415-B414</f>
        <v/>
      </c>
      <c r="H415" s="2">
        <f>IF(AND(F415=1,G415=1),"OK","À JUSTIFIER")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>
        <f>C416-C415</f>
        <v/>
      </c>
      <c r="G416" s="5">
        <f>B416-B415</f>
        <v/>
      </c>
      <c r="H416" s="2">
        <f>IF(AND(F416=1,G416=1),"OK","À JUSTIFIER")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>
        <f>C417-C416</f>
        <v/>
      </c>
      <c r="G417" s="5">
        <f>B417-B416</f>
        <v/>
      </c>
      <c r="H417" s="2">
        <f>IF(AND(F417=1,G417=1),"OK","À JUSTIFIER")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>
        <f>C418-C417</f>
        <v/>
      </c>
      <c r="G418" s="5">
        <f>B418-B417</f>
        <v/>
      </c>
      <c r="H418" s="2">
        <f>IF(AND(F418=1,G418=1),"OK","À JUSTIFIER")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>
        <f>C419-C418</f>
        <v/>
      </c>
      <c r="G419" s="5">
        <f>B419-B418</f>
        <v/>
      </c>
      <c r="H419" s="2">
        <f>IF(AND(F419=1,G419=1),"OK","À JUSTIFIER")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>
        <f>C420-C419</f>
        <v/>
      </c>
      <c r="G420" s="5">
        <f>B420-B419</f>
        <v/>
      </c>
      <c r="H420" s="2">
        <f>IF(AND(F420=1,G420=1),"OK","À JUSTIFIER")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>
        <f>C421-C420</f>
        <v/>
      </c>
      <c r="G421" s="5">
        <f>B421-B420</f>
        <v/>
      </c>
      <c r="H421" s="2">
        <f>IF(AND(F421=1,G421=1),"OK","À JUSTIFIER")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>
        <f>C422-C421</f>
        <v/>
      </c>
      <c r="G422" s="5">
        <f>B422-B421</f>
        <v/>
      </c>
      <c r="H422" s="2">
        <f>IF(AND(F422=1,G422=1),"OK","À JUSTIFIER")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>
        <f>C423-C422</f>
        <v/>
      </c>
      <c r="G423" s="5">
        <f>B423-B422</f>
        <v/>
      </c>
      <c r="H423" s="2">
        <f>IF(AND(F423=1,G423=1),"OK","À JUSTIFIER")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>
        <f>C424-C423</f>
        <v/>
      </c>
      <c r="G424" s="5">
        <f>B424-B423</f>
        <v/>
      </c>
      <c r="H424" s="2">
        <f>IF(AND(F424=1,G424=1),"OK","À JUSTIFIER")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>
        <f>C425-C424</f>
        <v/>
      </c>
      <c r="G425" s="5">
        <f>B425-B424</f>
        <v/>
      </c>
      <c r="H425" s="2">
        <f>IF(AND(F425=1,G425=1),"OK","À JUSTIFIER")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>
        <f>C426-C425</f>
        <v/>
      </c>
      <c r="G426" s="5">
        <f>B426-B425</f>
        <v/>
      </c>
      <c r="H426" s="2">
        <f>IF(AND(F426=1,G426=1),"OK","À JUSTIFIER")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>
        <f>C427-C426</f>
        <v/>
      </c>
      <c r="G427" s="5">
        <f>B427-B426</f>
        <v/>
      </c>
      <c r="H427" s="2">
        <f>IF(AND(F427=1,G427=1),"OK","À JUSTIFIER")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>
        <f>C428-C427</f>
        <v/>
      </c>
      <c r="G428" s="5">
        <f>B428-B427</f>
        <v/>
      </c>
      <c r="H428" s="2">
        <f>IF(AND(F428=1,G428=1),"OK","À JUSTIFIER")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>
        <f>C429-C428</f>
        <v/>
      </c>
      <c r="G429" s="5">
        <f>B429-B428</f>
        <v/>
      </c>
      <c r="H429" s="2">
        <f>IF(AND(F429=1,G429=1),"OK","À JUSTIFIER")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>
        <f>C430-C429</f>
        <v/>
      </c>
      <c r="G430" s="5">
        <f>B430-B429</f>
        <v/>
      </c>
      <c r="H430" s="2">
        <f>IF(AND(F430=1,G430=1),"OK","À JUSTIFIER")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>
        <f>C431-C430</f>
        <v/>
      </c>
      <c r="G431" s="5">
        <f>B431-B430</f>
        <v/>
      </c>
      <c r="H431" s="2">
        <f>IF(AND(F431=1,G431=1),"OK","À JUSTIFIER")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>
        <f>C432-C431</f>
        <v/>
      </c>
      <c r="G432" s="5">
        <f>B432-B431</f>
        <v/>
      </c>
      <c r="H432" s="2">
        <f>IF(AND(F432=1,G432=1),"OK","À JUSTIFIER")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>
        <f>C433-C432</f>
        <v/>
      </c>
      <c r="G433" s="5">
        <f>B433-B432</f>
        <v/>
      </c>
      <c r="H433" s="2">
        <f>IF(AND(F433=1,G433=1),"OK","À JUSTIFIER")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>
        <f>C434-C433</f>
        <v/>
      </c>
      <c r="G434" s="5">
        <f>B434-B433</f>
        <v/>
      </c>
      <c r="H434" s="2">
        <f>IF(AND(F434=1,G434=1),"OK","À JUSTIFIER")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>
        <f>C435-C434</f>
        <v/>
      </c>
      <c r="G435" s="5">
        <f>B435-B434</f>
        <v/>
      </c>
      <c r="H435" s="2">
        <f>IF(AND(F435=1,G435=1),"OK","À JUSTIFIER")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>
        <f>C436-C435</f>
        <v/>
      </c>
      <c r="G436" s="5">
        <f>B436-B435</f>
        <v/>
      </c>
      <c r="H436" s="2">
        <f>IF(AND(F436=1,G436=1),"OK","À JUSTIFIER")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>
        <f>C437-C436</f>
        <v/>
      </c>
      <c r="G437" s="5">
        <f>B437-B436</f>
        <v/>
      </c>
      <c r="H437" s="2">
        <f>IF(AND(F437=1,G437=1),"OK","À JUSTIFIER")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>
        <f>C438-C437</f>
        <v/>
      </c>
      <c r="G438" s="5">
        <f>B438-B437</f>
        <v/>
      </c>
      <c r="H438" s="2">
        <f>IF(AND(F438=1,G438=1),"OK","À JUSTIFIER")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>
        <f>C439-C438</f>
        <v/>
      </c>
      <c r="G439" s="5">
        <f>B439-B438</f>
        <v/>
      </c>
      <c r="H439" s="2">
        <f>IF(AND(F439=1,G439=1),"OK","À JUSTIFIER")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>
        <f>C440-C439</f>
        <v/>
      </c>
      <c r="G440" s="5">
        <f>B440-B439</f>
        <v/>
      </c>
      <c r="H440" s="2">
        <f>IF(AND(F440=1,G440=1),"OK","À JUSTIFIER")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>
        <f>C441-C440</f>
        <v/>
      </c>
      <c r="G441" s="5">
        <f>B441-B440</f>
        <v/>
      </c>
      <c r="H441" s="2">
        <f>IF(AND(F441=1,G441=1),"OK","À JUSTIFIER")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>
        <f>C442-C441</f>
        <v/>
      </c>
      <c r="G442" s="5">
        <f>B442-B441</f>
        <v/>
      </c>
      <c r="H442" s="2">
        <f>IF(AND(F442=1,G442=1),"OK","À JUSTIFIER")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>
        <f>C443-C442</f>
        <v/>
      </c>
      <c r="G443" s="5">
        <f>B443-B442</f>
        <v/>
      </c>
      <c r="H443" s="2">
        <f>IF(AND(F443=1,G443=1),"OK","À JUSTIFIER")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>
        <f>C444-C443</f>
        <v/>
      </c>
      <c r="G444" s="5">
        <f>B444-B443</f>
        <v/>
      </c>
      <c r="H444" s="2">
        <f>IF(AND(F444=1,G444=1),"OK","À JUSTIFIER")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>
        <f>C445-C444</f>
        <v/>
      </c>
      <c r="G445" s="5">
        <f>B445-B444</f>
        <v/>
      </c>
      <c r="H445" s="2">
        <f>IF(AND(F445=1,G445=1),"OK","À JUSTIFIER")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>
        <f>C446-C445</f>
        <v/>
      </c>
      <c r="G446" s="5">
        <f>B446-B445</f>
        <v/>
      </c>
      <c r="H446" s="2">
        <f>IF(AND(F446=1,G446=1),"OK","À JUSTIFIER")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>
        <f>C447-C446</f>
        <v/>
      </c>
      <c r="G447" s="5">
        <f>B447-B446</f>
        <v/>
      </c>
      <c r="H447" s="2">
        <f>IF(AND(F447=1,G447=1),"OK","À JUSTIFIER")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>
        <f>C448-C447</f>
        <v/>
      </c>
      <c r="G448" s="5">
        <f>B448-B447</f>
        <v/>
      </c>
      <c r="H448" s="2">
        <f>IF(AND(F448=1,G448=1),"OK","À JUSTIFIER")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>
        <f>C449-C448</f>
        <v/>
      </c>
      <c r="G449" s="5">
        <f>B449-B448</f>
        <v/>
      </c>
      <c r="H449" s="2">
        <f>IF(AND(F449=1,G449=1),"OK","À JUSTIFIER")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>
        <f>C450-C449</f>
        <v/>
      </c>
      <c r="G450" s="5">
        <f>B450-B449</f>
        <v/>
      </c>
      <c r="H450" s="2">
        <f>IF(AND(F450=1,G450=1),"OK","À JUSTIFIER")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>
        <f>C451-C450</f>
        <v/>
      </c>
      <c r="G451" s="5">
        <f>B451-B450</f>
        <v/>
      </c>
      <c r="H451" s="2">
        <f>IF(AND(F451=1,G451=1),"OK","À JUSTIFIER")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>
        <f>C452-C451</f>
        <v/>
      </c>
      <c r="G452" s="5">
        <f>B452-B451</f>
        <v/>
      </c>
      <c r="H452" s="2">
        <f>IF(AND(F452=1,G452=1),"OK","À JUSTIFIER")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>
        <f>C453-C452</f>
        <v/>
      </c>
      <c r="G453" s="5">
        <f>B453-B452</f>
        <v/>
      </c>
      <c r="H453" s="2">
        <f>IF(AND(F453=1,G453=1),"OK","À JUSTIFIER")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>
        <f>C454-C453</f>
        <v/>
      </c>
      <c r="G454" s="5">
        <f>B454-B453</f>
        <v/>
      </c>
      <c r="H454" s="2">
        <f>IF(AND(F454=1,G454=1),"OK","À JUSTIFIER")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>
        <f>C455-C454</f>
        <v/>
      </c>
      <c r="G455" s="5">
        <f>B455-B454</f>
        <v/>
      </c>
      <c r="H455" s="2">
        <f>IF(AND(F455=1,G455=1),"OK","À JUSTIFIER")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>
        <f>C456-C455</f>
        <v/>
      </c>
      <c r="G456" s="5">
        <f>B456-B455</f>
        <v/>
      </c>
      <c r="H456" s="2">
        <f>IF(AND(F456=1,G456=1),"OK","À JUSTIFIER")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>
        <f>C457-C456</f>
        <v/>
      </c>
      <c r="G457" s="5">
        <f>B457-B456</f>
        <v/>
      </c>
      <c r="H457" s="2">
        <f>IF(AND(F457=1,G457=1),"OK","À JUSTIFIER")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>
        <f>C458-C457</f>
        <v/>
      </c>
      <c r="G458" s="5">
        <f>B458-B457</f>
        <v/>
      </c>
      <c r="H458" s="2">
        <f>IF(AND(F458=1,G458=1),"OK","À JUSTIFIER")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>
        <f>C459-C458</f>
        <v/>
      </c>
      <c r="G459" s="5">
        <f>B459-B458</f>
        <v/>
      </c>
      <c r="H459" s="2">
        <f>IF(AND(F459=1,G459=1),"OK","À JUSTIFIER")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>
        <f>C460-C459</f>
        <v/>
      </c>
      <c r="G460" s="5">
        <f>B460-B459</f>
        <v/>
      </c>
      <c r="H460" s="2">
        <f>IF(AND(F460=1,G460=1),"OK","À JUSTIFIER")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>
        <f>C461-C460</f>
        <v/>
      </c>
      <c r="G461" s="5">
        <f>B461-B460</f>
        <v/>
      </c>
      <c r="H461" s="2">
        <f>IF(AND(F461=1,G461=1),"OK","À JUSTIFIER")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>
        <f>C462-C461</f>
        <v/>
      </c>
      <c r="G462" s="5">
        <f>B462-B461</f>
        <v/>
      </c>
      <c r="H462" s="2">
        <f>IF(AND(F462=1,G462=1),"OK","À JUSTIFIER")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>
        <f>C463-C462</f>
        <v/>
      </c>
      <c r="G463" s="5">
        <f>B463-B462</f>
        <v/>
      </c>
      <c r="H463" s="2">
        <f>IF(AND(F463=1,G463=1),"OK","À JUSTIFIER")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>
        <f>C464-C463</f>
        <v/>
      </c>
      <c r="G464" s="5">
        <f>B464-B463</f>
        <v/>
      </c>
      <c r="H464" s="2">
        <f>IF(AND(F464=1,G464=1),"OK","À JUSTIFIER")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>
        <f>C465-C464</f>
        <v/>
      </c>
      <c r="G465" s="5">
        <f>B465-B464</f>
        <v/>
      </c>
      <c r="H465" s="2">
        <f>IF(AND(F465=1,G465=1),"OK","À JUSTIFIER")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>
        <f>C466-C465</f>
        <v/>
      </c>
      <c r="G466" s="5">
        <f>B466-B465</f>
        <v/>
      </c>
      <c r="H466" s="2">
        <f>IF(AND(F466=1,G466=1),"OK","À JUSTIFIER")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>
        <f>C467-C466</f>
        <v/>
      </c>
      <c r="G467" s="5">
        <f>B467-B466</f>
        <v/>
      </c>
      <c r="H467" s="2">
        <f>IF(AND(F467=1,G467=1),"OK","À JUSTIFIER")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>
        <f>C468-C467</f>
        <v/>
      </c>
      <c r="G468" s="5">
        <f>B468-B467</f>
        <v/>
      </c>
      <c r="H468" s="2">
        <f>IF(AND(F468=1,G468=1),"OK","À JUSTIFIER")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>
        <f>C469-C468</f>
        <v/>
      </c>
      <c r="G469" s="5">
        <f>B469-B468</f>
        <v/>
      </c>
      <c r="H469" s="2">
        <f>IF(AND(F469=1,G469=1),"OK","À JUSTIFIER")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>
        <f>C470-C469</f>
        <v/>
      </c>
      <c r="G470" s="5">
        <f>B470-B469</f>
        <v/>
      </c>
      <c r="H470" s="2">
        <f>IF(AND(F470=1,G470=1),"OK","À JUSTIFIER")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>
        <f>C471-C470</f>
        <v/>
      </c>
      <c r="G471" s="5">
        <f>B471-B470</f>
        <v/>
      </c>
      <c r="H471" s="2">
        <f>IF(AND(F471=1,G471=1),"OK","À JUSTIFIER")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>
        <f>C472-C471</f>
        <v/>
      </c>
      <c r="G472" s="5">
        <f>B472-B471</f>
        <v/>
      </c>
      <c r="H472" s="2">
        <f>IF(AND(F472=1,G472=1),"OK","À JUSTIFIER")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>
        <f>C473-C472</f>
        <v/>
      </c>
      <c r="G473" s="5">
        <f>B473-B472</f>
        <v/>
      </c>
      <c r="H473" s="2">
        <f>IF(AND(F473=1,G473=1),"OK","À JUSTIFIER")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>
        <f>C474-C473</f>
        <v/>
      </c>
      <c r="G474" s="5">
        <f>B474-B473</f>
        <v/>
      </c>
      <c r="H474" s="2">
        <f>IF(AND(F474=1,G474=1),"OK","À JUSTIFIER")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>
        <f>C475-C474</f>
        <v/>
      </c>
      <c r="G475" s="5">
        <f>B475-B474</f>
        <v/>
      </c>
      <c r="H475" s="2">
        <f>IF(AND(F475=1,G475=1),"OK","À JUSTIFIER")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>
        <f>C476-C475</f>
        <v/>
      </c>
      <c r="G476" s="5">
        <f>B476-B475</f>
        <v/>
      </c>
      <c r="H476" s="2">
        <f>IF(AND(F476=1,G476=1),"OK","À JUSTIFIER")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>
        <f>C477-C476</f>
        <v/>
      </c>
      <c r="G477" s="5">
        <f>B477-B476</f>
        <v/>
      </c>
      <c r="H477" s="2">
        <f>IF(AND(F477=1,G477=1),"OK","À JUSTIFIER")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>
        <f>C478-C477</f>
        <v/>
      </c>
      <c r="G478" s="5">
        <f>B478-B477</f>
        <v/>
      </c>
      <c r="H478" s="2">
        <f>IF(AND(F478=1,G478=1),"OK","À JUSTIFIER")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>
        <f>C479-C478</f>
        <v/>
      </c>
      <c r="G479" s="5">
        <f>B479-B478</f>
        <v/>
      </c>
      <c r="H479" s="2">
        <f>IF(AND(F479=1,G479=1),"OK","À JUSTIFIER")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>
        <f>C480-C479</f>
        <v/>
      </c>
      <c r="G480" s="5">
        <f>B480-B479</f>
        <v/>
      </c>
      <c r="H480" s="2">
        <f>IF(AND(F480=1,G480=1),"OK","À JUSTIFIER")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>
        <f>C481-C480</f>
        <v/>
      </c>
      <c r="G481" s="5">
        <f>B481-B480</f>
        <v/>
      </c>
      <c r="H481" s="2">
        <f>IF(AND(F481=1,G481=1),"OK","À JUSTIFIER")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>
        <f>C482-C481</f>
        <v/>
      </c>
      <c r="G482" s="5">
        <f>B482-B481</f>
        <v/>
      </c>
      <c r="H482" s="2">
        <f>IF(AND(F482=1,G482=1),"OK","À JUSTIFIER")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>
        <f>C483-C482</f>
        <v/>
      </c>
      <c r="G483" s="5">
        <f>B483-B482</f>
        <v/>
      </c>
      <c r="H483" s="2">
        <f>IF(AND(F483=1,G483=1),"OK","À JUSTIFIER")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>
        <f>C484-C483</f>
        <v/>
      </c>
      <c r="G484" s="5">
        <f>B484-B483</f>
        <v/>
      </c>
      <c r="H484" s="2">
        <f>IF(AND(F484=1,G484=1),"OK","À JUSTIFIER")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>
        <f>C485-C484</f>
        <v/>
      </c>
      <c r="G485" s="5">
        <f>B485-B484</f>
        <v/>
      </c>
      <c r="H485" s="2">
        <f>IF(AND(F485=1,G485=1),"OK","À JUSTIFIER")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>
        <f>C486-C485</f>
        <v/>
      </c>
      <c r="G486" s="5">
        <f>B486-B485</f>
        <v/>
      </c>
      <c r="H486" s="2">
        <f>IF(AND(F486=1,G486=1),"OK","À JUSTIFIER")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>
        <f>C487-C486</f>
        <v/>
      </c>
      <c r="G487" s="5">
        <f>B487-B486</f>
        <v/>
      </c>
      <c r="H487" s="2">
        <f>IF(AND(F487=1,G487=1),"OK","À JUSTIFIER")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>
        <f>C488-C487</f>
        <v/>
      </c>
      <c r="G488" s="5">
        <f>B488-B487</f>
        <v/>
      </c>
      <c r="H488" s="2">
        <f>IF(AND(F488=1,G488=1),"OK","À JUSTIFIER")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>
        <f>C489-C488</f>
        <v/>
      </c>
      <c r="G489" s="5">
        <f>B489-B488</f>
        <v/>
      </c>
      <c r="H489" s="2">
        <f>IF(AND(F489=1,G489=1),"OK","À JUSTIFIER")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>
        <f>C490-C489</f>
        <v/>
      </c>
      <c r="G490" s="5">
        <f>B490-B489</f>
        <v/>
      </c>
      <c r="H490" s="2">
        <f>IF(AND(F490=1,G490=1),"OK","À JUSTIFIER")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>
        <f>C491-C490</f>
        <v/>
      </c>
      <c r="G491" s="5">
        <f>B491-B490</f>
        <v/>
      </c>
      <c r="H491" s="2">
        <f>IF(AND(F491=1,G491=1),"OK","À JUSTIFIER")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>
        <f>C492-C491</f>
        <v/>
      </c>
      <c r="G492" s="5">
        <f>B492-B491</f>
        <v/>
      </c>
      <c r="H492" s="2">
        <f>IF(AND(F492=1,G492=1),"OK","À JUSTIFIER")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>
        <f>C493-C492</f>
        <v/>
      </c>
      <c r="G493" s="5">
        <f>B493-B492</f>
        <v/>
      </c>
      <c r="H493" s="2">
        <f>IF(AND(F493=1,G493=1),"OK","À JUSTIFIER")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>
        <f>C494-C493</f>
        <v/>
      </c>
      <c r="G494" s="5">
        <f>B494-B493</f>
        <v/>
      </c>
      <c r="H494" s="2">
        <f>IF(AND(F494=1,G494=1),"OK","À JUSTIFIER")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>
        <f>C495-C494</f>
        <v/>
      </c>
      <c r="G495" s="5">
        <f>B495-B494</f>
        <v/>
      </c>
      <c r="H495" s="2">
        <f>IF(AND(F495=1,G495=1),"OK","À JUSTIFIER")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>
        <f>C496-C495</f>
        <v/>
      </c>
      <c r="G496" s="5">
        <f>B496-B495</f>
        <v/>
      </c>
      <c r="H496" s="2">
        <f>IF(AND(F496=1,G496=1),"OK","À JUSTIFIER")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>
        <f>C497-C496</f>
        <v/>
      </c>
      <c r="G497" s="5">
        <f>B497-B496</f>
        <v/>
      </c>
      <c r="H497" s="2">
        <f>IF(AND(F497=1,G497=1),"OK","À JUSTIFIER")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>
        <f>C498-C497</f>
        <v/>
      </c>
      <c r="G498" s="5">
        <f>B498-B497</f>
        <v/>
      </c>
      <c r="H498" s="2">
        <f>IF(AND(F498=1,G498=1),"OK","À JUSTIFIER")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>
        <f>C499-C498</f>
        <v/>
      </c>
      <c r="G499" s="5">
        <f>B499-B498</f>
        <v/>
      </c>
      <c r="H499" s="2">
        <f>IF(AND(F499=1,G499=1),"OK","À JUSTIFIER")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>
        <f>C500-C499</f>
        <v/>
      </c>
      <c r="G500" s="5">
        <f>B500-B499</f>
        <v/>
      </c>
      <c r="H500" s="2">
        <f>IF(AND(F500=1,G500=1),"OK","À JUSTIFIER")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>
        <f>C501-C500</f>
        <v/>
      </c>
      <c r="G501" s="5">
        <f>B501-B500</f>
        <v/>
      </c>
      <c r="H501" s="2">
        <f>IF(AND(F501=1,G501=1),"OK","À JUSTIFIER")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>
        <f>C502-C501</f>
        <v/>
      </c>
      <c r="G502" s="5">
        <f>B502-B501</f>
        <v/>
      </c>
      <c r="H502" s="2">
        <f>IF(AND(F502=1,G502=1),"OK","À JUSTIFIER")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>
        <f>C503-C502</f>
        <v/>
      </c>
      <c r="G503" s="5">
        <f>B503-B502</f>
        <v/>
      </c>
      <c r="H503" s="2">
        <f>IF(AND(F503=1,G503=1),"OK","À JUSTIFIER")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>
        <f>C504-C503</f>
        <v/>
      </c>
      <c r="G504" s="5">
        <f>B504-B503</f>
        <v/>
      </c>
      <c r="H504" s="2">
        <f>IF(AND(F504=1,G504=1),"OK","À JUSTIFIER")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>
        <f>C505-C504</f>
        <v/>
      </c>
      <c r="G505" s="5">
        <f>B505-B504</f>
        <v/>
      </c>
      <c r="H505" s="2">
        <f>IF(AND(F505=1,G505=1),"OK","À JUSTIFIER")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>
        <f>C506-C505</f>
        <v/>
      </c>
      <c r="G506" s="5">
        <f>B506-B505</f>
        <v/>
      </c>
      <c r="H506" s="2">
        <f>IF(AND(F506=1,G506=1),"OK","À JUSTIFIER")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>
        <f>C507-C506</f>
        <v/>
      </c>
      <c r="G507" s="5">
        <f>B507-B506</f>
        <v/>
      </c>
      <c r="H507" s="2">
        <f>IF(AND(F507=1,G507=1),"OK","À JUSTIFIER")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>
        <f>C508-C507</f>
        <v/>
      </c>
      <c r="G508" s="5">
        <f>B508-B507</f>
        <v/>
      </c>
      <c r="H508" s="2">
        <f>IF(AND(F508=1,G508=1),"OK","À JUSTIFIER")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>
        <f>C509-C508</f>
        <v/>
      </c>
      <c r="G509" s="5">
        <f>B509-B508</f>
        <v/>
      </c>
      <c r="H509" s="2">
        <f>IF(AND(F509=1,G509=1),"OK","À JUSTIFIER")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>
        <f>C510-C509</f>
        <v/>
      </c>
      <c r="G510" s="5">
        <f>B510-B509</f>
        <v/>
      </c>
      <c r="H510" s="2">
        <f>IF(AND(F510=1,G510=1),"OK","À JUSTIFIER")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>
        <f>C511-C510</f>
        <v/>
      </c>
      <c r="G511" s="5">
        <f>B511-B510</f>
        <v/>
      </c>
      <c r="H511" s="2">
        <f>IF(AND(F511=1,G511=1),"OK","À JUSTIFIER")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>
        <f>C512-C511</f>
        <v/>
      </c>
      <c r="G512" s="5">
        <f>B512-B511</f>
        <v/>
      </c>
      <c r="H512" s="2">
        <f>IF(AND(F512=1,G512=1),"OK","À JUSTIFIER")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>
        <f>C513-C512</f>
        <v/>
      </c>
      <c r="G513" s="5">
        <f>B513-B512</f>
        <v/>
      </c>
      <c r="H513" s="2">
        <f>IF(AND(F513=1,G513=1),"OK","À JUSTIFIER")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>
        <f>C514-C513</f>
        <v/>
      </c>
      <c r="G514" s="5">
        <f>B514-B513</f>
        <v/>
      </c>
      <c r="H514" s="2">
        <f>IF(AND(F514=1,G514=1),"OK","À JUSTIFIER")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>
        <f>C515-C514</f>
        <v/>
      </c>
      <c r="G515" s="5">
        <f>B515-B514</f>
        <v/>
      </c>
      <c r="H515" s="2">
        <f>IF(AND(F515=1,G515=1),"OK","À JUSTIFIER")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>
        <f>C516-C515</f>
        <v/>
      </c>
      <c r="G516" s="5">
        <f>B516-B515</f>
        <v/>
      </c>
      <c r="H516" s="2">
        <f>IF(AND(F516=1,G516=1),"OK","À JUSTIFIER")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>
        <f>C517-C516</f>
        <v/>
      </c>
      <c r="G517" s="5">
        <f>B517-B516</f>
        <v/>
      </c>
      <c r="H517" s="2">
        <f>IF(AND(F517=1,G517=1),"OK","À JUSTIFIER")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>
        <f>C518-C517</f>
        <v/>
      </c>
      <c r="G518" s="5">
        <f>B518-B517</f>
        <v/>
      </c>
      <c r="H518" s="2">
        <f>IF(AND(F518=1,G518=1),"OK","À JUSTIFIER")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>
        <f>C519-C518</f>
        <v/>
      </c>
      <c r="G519" s="5">
        <f>B519-B518</f>
        <v/>
      </c>
      <c r="H519" s="2">
        <f>IF(AND(F519=1,G519=1),"OK","À JUSTIFIER")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>
        <f>C520-C519</f>
        <v/>
      </c>
      <c r="G520" s="5">
        <f>B520-B519</f>
        <v/>
      </c>
      <c r="H520" s="2">
        <f>IF(AND(F520=1,G520=1),"OK","À JUSTIFIER")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>
        <f>C521-C520</f>
        <v/>
      </c>
      <c r="G521" s="5">
        <f>B521-B520</f>
        <v/>
      </c>
      <c r="H521" s="2">
        <f>IF(AND(F521=1,G521=1),"OK","À JUSTIFIER")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>
        <f>C522-C521</f>
        <v/>
      </c>
      <c r="G522" s="5">
        <f>B522-B521</f>
        <v/>
      </c>
      <c r="H522" s="2">
        <f>IF(AND(F522=1,G522=1),"OK","À JUSTIFIER")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>
        <f>C523-C522</f>
        <v/>
      </c>
      <c r="G523" s="5">
        <f>B523-B522</f>
        <v/>
      </c>
      <c r="H523" s="2">
        <f>IF(AND(F523=1,G523=1),"OK","À JUSTIFIER")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>
        <f>C524-C523</f>
        <v/>
      </c>
      <c r="G524" s="5">
        <f>B524-B523</f>
        <v/>
      </c>
      <c r="H524" s="2">
        <f>IF(AND(F524=1,G524=1),"OK","À JUSTIFIER")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>
        <f>C525-C524</f>
        <v/>
      </c>
      <c r="G525" s="5">
        <f>B525-B524</f>
        <v/>
      </c>
      <c r="H525" s="2">
        <f>IF(AND(F525=1,G525=1),"OK","À JUSTIFIER")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>
        <f>C526-C525</f>
        <v/>
      </c>
      <c r="G526" s="5">
        <f>B526-B525</f>
        <v/>
      </c>
      <c r="H526" s="2">
        <f>IF(AND(F526=1,G526=1),"OK","À JUSTIFIER")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>
        <f>C527-C526</f>
        <v/>
      </c>
      <c r="G527" s="5">
        <f>B527-B526</f>
        <v/>
      </c>
      <c r="H527" s="2">
        <f>IF(AND(F527=1,G527=1),"OK","À JUSTIFIER")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>
        <f>C528-C527</f>
        <v/>
      </c>
      <c r="G528" s="5">
        <f>B528-B527</f>
        <v/>
      </c>
      <c r="H528" s="2">
        <f>IF(AND(F528=1,G528=1),"OK","À JUSTIFIER")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>
        <f>C529-C528</f>
        <v/>
      </c>
      <c r="G529" s="5">
        <f>B529-B528</f>
        <v/>
      </c>
      <c r="H529" s="2">
        <f>IF(AND(F529=1,G529=1),"OK","À JUSTIFIER")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>
        <f>C530-C529</f>
        <v/>
      </c>
      <c r="G530" s="5">
        <f>B530-B529</f>
        <v/>
      </c>
      <c r="H530" s="2">
        <f>IF(AND(F530=1,G530=1),"OK","À JUSTIFIER")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>
        <f>C531-C530</f>
        <v/>
      </c>
      <c r="G531" s="5">
        <f>B531-B530</f>
        <v/>
      </c>
      <c r="H531" s="2">
        <f>IF(AND(F531=1,G531=1),"OK","À JUSTIFIER")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>
        <f>C532-C531</f>
        <v/>
      </c>
      <c r="G532" s="5">
        <f>B532-B531</f>
        <v/>
      </c>
      <c r="H532" s="2">
        <f>IF(AND(F532=1,G532=1),"OK","À JUSTIFIER")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>
        <f>C533-C532</f>
        <v/>
      </c>
      <c r="G533" s="5">
        <f>B533-B532</f>
        <v/>
      </c>
      <c r="H533" s="2">
        <f>IF(AND(F533=1,G533=1),"OK","À JUSTIFIER")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>
        <f>C534-C533</f>
        <v/>
      </c>
      <c r="G534" s="5">
        <f>B534-B533</f>
        <v/>
      </c>
      <c r="H534" s="2">
        <f>IF(AND(F534=1,G534=1),"OK","À JUSTIFIER")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>
        <f>C535-C534</f>
        <v/>
      </c>
      <c r="G535" s="5">
        <f>B535-B534</f>
        <v/>
      </c>
      <c r="H535" s="2">
        <f>IF(AND(F535=1,G535=1),"OK","À JUSTIFIER")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>
        <f>C536-C535</f>
        <v/>
      </c>
      <c r="G536" s="5">
        <f>B536-B535</f>
        <v/>
      </c>
      <c r="H536" s="2">
        <f>IF(AND(F536=1,G536=1),"OK","À JUSTIFIER")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>
        <f>C537-C536</f>
        <v/>
      </c>
      <c r="G537" s="5">
        <f>B537-B536</f>
        <v/>
      </c>
      <c r="H537" s="2">
        <f>IF(AND(F537=1,G537=1),"OK","À JUSTIFIER")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>
        <f>C538-C537</f>
        <v/>
      </c>
      <c r="G538" s="5">
        <f>B538-B537</f>
        <v/>
      </c>
      <c r="H538" s="2">
        <f>IF(AND(F538=1,G538=1),"OK","À JUSTIFIER")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>
        <f>C539-C538</f>
        <v/>
      </c>
      <c r="G539" s="5">
        <f>B539-B538</f>
        <v/>
      </c>
      <c r="H539" s="2">
        <f>IF(AND(F539=1,G539=1),"OK","À JUSTIFIER")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>
        <f>C540-C539</f>
        <v/>
      </c>
      <c r="G540" s="5">
        <f>B540-B539</f>
        <v/>
      </c>
      <c r="H540" s="2">
        <f>IF(AND(F540=1,G540=1),"OK","À JUSTIFIER")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>
        <f>C541-C540</f>
        <v/>
      </c>
      <c r="G541" s="5">
        <f>B541-B540</f>
        <v/>
      </c>
      <c r="H541" s="2">
        <f>IF(AND(F541=1,G541=1),"OK","À JUSTIFIER")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>
        <f>C542-C541</f>
        <v/>
      </c>
      <c r="G542" s="5">
        <f>B542-B541</f>
        <v/>
      </c>
      <c r="H542" s="2">
        <f>IF(AND(F542=1,G542=1),"OK","À JUSTIFIER")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>
        <f>C543-C542</f>
        <v/>
      </c>
      <c r="G543" s="5">
        <f>B543-B542</f>
        <v/>
      </c>
      <c r="H543" s="2">
        <f>IF(AND(F543=1,G543=1),"OK","À JUSTIFIER")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>
        <f>C544-C543</f>
        <v/>
      </c>
      <c r="G544" s="5">
        <f>B544-B543</f>
        <v/>
      </c>
      <c r="H544" s="2">
        <f>IF(AND(F544=1,G544=1),"OK","À JUSTIFIER")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>
        <f>C545-C544</f>
        <v/>
      </c>
      <c r="G545" s="5">
        <f>B545-B544</f>
        <v/>
      </c>
      <c r="H545" s="2">
        <f>IF(AND(F545=1,G545=1),"OK","À JUSTIFIER")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>
        <f>C546-C545</f>
        <v/>
      </c>
      <c r="G546" s="5">
        <f>B546-B545</f>
        <v/>
      </c>
      <c r="H546" s="2">
        <f>IF(AND(F546=1,G546=1),"OK","À JUSTIFIER")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>
        <f>C547-C546</f>
        <v/>
      </c>
      <c r="G547" s="5">
        <f>B547-B546</f>
        <v/>
      </c>
      <c r="H547" s="2">
        <f>IF(AND(F547=1,G547=1),"OK","À JUSTIFIER")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>
        <f>C548-C547</f>
        <v/>
      </c>
      <c r="G548" s="5">
        <f>B548-B547</f>
        <v/>
      </c>
      <c r="H548" s="2">
        <f>IF(AND(F548=1,G548=1),"OK","À JUSTIFIER")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>
        <f>C549-C548</f>
        <v/>
      </c>
      <c r="G549" s="5">
        <f>B549-B548</f>
        <v/>
      </c>
      <c r="H549" s="2">
        <f>IF(AND(F549=1,G549=1),"OK","À JUSTIFIER")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>
        <f>C550-C549</f>
        <v/>
      </c>
      <c r="G550" s="5">
        <f>B550-B549</f>
        <v/>
      </c>
      <c r="H550" s="2">
        <f>IF(AND(F550=1,G550=1),"OK","À JUSTIFIER")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>
        <f>C551-C550</f>
        <v/>
      </c>
      <c r="G551" s="5">
        <f>B551-B550</f>
        <v/>
      </c>
      <c r="H551" s="2">
        <f>IF(AND(F551=1,G551=1),"OK","À JUSTIFIER")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>
        <f>C552-C551</f>
        <v/>
      </c>
      <c r="G552" s="5">
        <f>B552-B551</f>
        <v/>
      </c>
      <c r="H552" s="2">
        <f>IF(AND(F552=1,G552=1),"OK","À JUSTIFIER")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>
        <f>C553-C552</f>
        <v/>
      </c>
      <c r="G553" s="5">
        <f>B553-B552</f>
        <v/>
      </c>
      <c r="H553" s="2">
        <f>IF(AND(F553=1,G553=1),"OK","À JUSTIFIER")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>
        <f>C554-C553</f>
        <v/>
      </c>
      <c r="G554" s="5">
        <f>B554-B553</f>
        <v/>
      </c>
      <c r="H554" s="2">
        <f>IF(AND(F554=1,G554=1),"OK","À JUSTIFIER")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>
        <f>C555-C554</f>
        <v/>
      </c>
      <c r="G555" s="5">
        <f>B555-B554</f>
        <v/>
      </c>
      <c r="H555" s="2">
        <f>IF(AND(F555=1,G555=1),"OK","À JUSTIFIER")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>
        <f>C556-C555</f>
        <v/>
      </c>
      <c r="G556" s="5">
        <f>B556-B555</f>
        <v/>
      </c>
      <c r="H556" s="2">
        <f>IF(AND(F556=1,G556=1),"OK","À JUSTIFIER")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>
        <f>C557-C556</f>
        <v/>
      </c>
      <c r="G557" s="5">
        <f>B557-B556</f>
        <v/>
      </c>
      <c r="H557" s="2">
        <f>IF(AND(F557=1,G557=1),"OK","À JUSTIFIER")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>
        <f>C558-C557</f>
        <v/>
      </c>
      <c r="G558" s="5">
        <f>B558-B557</f>
        <v/>
      </c>
      <c r="H558" s="2">
        <f>IF(AND(F558=1,G558=1),"OK","À JUSTIFIER")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>
        <f>C559-C558</f>
        <v/>
      </c>
      <c r="G559" s="5">
        <f>B559-B558</f>
        <v/>
      </c>
      <c r="H559" s="2">
        <f>IF(AND(F559=1,G559=1),"OK","À JUSTIFIER")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>
        <f>C560-C559</f>
        <v/>
      </c>
      <c r="G560" s="5">
        <f>B560-B559</f>
        <v/>
      </c>
      <c r="H560" s="2">
        <f>IF(AND(F560=1,G560=1),"OK","À JUSTIFIER")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>
        <f>C561-C560</f>
        <v/>
      </c>
      <c r="G561" s="5">
        <f>B561-B560</f>
        <v/>
      </c>
      <c r="H561" s="2">
        <f>IF(AND(F561=1,G561=1),"OK","À JUSTIFIER")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>
        <f>C562-C561</f>
        <v/>
      </c>
      <c r="G562" s="5">
        <f>B562-B561</f>
        <v/>
      </c>
      <c r="H562" s="2">
        <f>IF(AND(F562=1,G562=1),"OK","À JUSTIFIER")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>
        <f>C563-C562</f>
        <v/>
      </c>
      <c r="G563" s="5">
        <f>B563-B562</f>
        <v/>
      </c>
      <c r="H563" s="2">
        <f>IF(AND(F563=1,G563=1),"OK","À JUSTIFIER")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>
        <f>C564-C563</f>
        <v/>
      </c>
      <c r="G564" s="5">
        <f>B564-B563</f>
        <v/>
      </c>
      <c r="H564" s="2">
        <f>IF(AND(F564=1,G564=1),"OK","À JUSTIFIER")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>
        <f>C565-C564</f>
        <v/>
      </c>
      <c r="G565" s="5">
        <f>B565-B564</f>
        <v/>
      </c>
      <c r="H565" s="2">
        <f>IF(AND(F565=1,G565=1),"OK","À JUSTIFIER")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>
        <f>C566-C565</f>
        <v/>
      </c>
      <c r="G566" s="5">
        <f>B566-B565</f>
        <v/>
      </c>
      <c r="H566" s="2">
        <f>IF(AND(F566=1,G566=1),"OK","À JUSTIFIER")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>
        <f>C567-C566</f>
        <v/>
      </c>
      <c r="G567" s="5">
        <f>B567-B566</f>
        <v/>
      </c>
      <c r="H567" s="2">
        <f>IF(AND(F567=1,G567=1),"OK","À JUSTIFIER")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>
        <f>C568-C567</f>
        <v/>
      </c>
      <c r="G568" s="5">
        <f>B568-B567</f>
        <v/>
      </c>
      <c r="H568" s="2">
        <f>IF(AND(F568=1,G568=1),"OK","À JUSTIFIER")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>
        <f>C569-C568</f>
        <v/>
      </c>
      <c r="G569" s="5">
        <f>B569-B568</f>
        <v/>
      </c>
      <c r="H569" s="2">
        <f>IF(AND(F569=1,G569=1),"OK","À JUSTIFIER")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>
        <f>C570-C569</f>
        <v/>
      </c>
      <c r="G570" s="5">
        <f>B570-B569</f>
        <v/>
      </c>
      <c r="H570" s="2">
        <f>IF(AND(F570=1,G570=1),"OK","À JUSTIFIER")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>
        <f>C571-C570</f>
        <v/>
      </c>
      <c r="G571" s="5">
        <f>B571-B570</f>
        <v/>
      </c>
      <c r="H571" s="2">
        <f>IF(AND(F571=1,G571=1),"OK","À JUSTIFIER")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>
        <f>C572-C571</f>
        <v/>
      </c>
      <c r="G572" s="5">
        <f>B572-B571</f>
        <v/>
      </c>
      <c r="H572" s="2">
        <f>IF(AND(F572=1,G572=1),"OK","À JUSTIFIER")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>
        <f>C573-C572</f>
        <v/>
      </c>
      <c r="G573" s="5">
        <f>B573-B572</f>
        <v/>
      </c>
      <c r="H573" s="2">
        <f>IF(AND(F573=1,G573=1),"OK","À JUSTIFIER")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>
        <f>C574-C573</f>
        <v/>
      </c>
      <c r="G574" s="5">
        <f>B574-B573</f>
        <v/>
      </c>
      <c r="H574" s="2">
        <f>IF(AND(F574=1,G574=1),"OK","À JUSTIFIER")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>
        <f>C575-C574</f>
        <v/>
      </c>
      <c r="G575" s="5">
        <f>B575-B574</f>
        <v/>
      </c>
      <c r="H575" s="2">
        <f>IF(AND(F575=1,G575=1),"OK","À JUSTIFIER")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>
        <f>C576-C575</f>
        <v/>
      </c>
      <c r="G576" s="5">
        <f>B576-B575</f>
        <v/>
      </c>
      <c r="H576" s="2">
        <f>IF(AND(F576=1,G576=1),"OK","À JUSTIFIER")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>
        <f>C577-C576</f>
        <v/>
      </c>
      <c r="G577" s="5">
        <f>B577-B576</f>
        <v/>
      </c>
      <c r="H577" s="2">
        <f>IF(AND(F577=1,G577=1),"OK","À JUSTIFIER")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>
        <f>C578-C577</f>
        <v/>
      </c>
      <c r="G578" s="5">
        <f>B578-B577</f>
        <v/>
      </c>
      <c r="H578" s="2">
        <f>IF(AND(F578=1,G578=1),"OK","À JUSTIFIER")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>
        <f>C579-C578</f>
        <v/>
      </c>
      <c r="G579" s="5">
        <f>B579-B578</f>
        <v/>
      </c>
      <c r="H579" s="2">
        <f>IF(AND(F579=1,G579=1),"OK","À JUSTIFIER")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>
        <f>C580-C579</f>
        <v/>
      </c>
      <c r="G580" s="5">
        <f>B580-B579</f>
        <v/>
      </c>
      <c r="H580" s="2">
        <f>IF(AND(F580=1,G580=1),"OK","À JUSTIFIER")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>
        <f>C581-C580</f>
        <v/>
      </c>
      <c r="G581" s="5">
        <f>B581-B580</f>
        <v/>
      </c>
      <c r="H581" s="2">
        <f>IF(AND(F581=1,G581=1),"OK","À JUSTIFIER")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>
        <f>C582-C581</f>
        <v/>
      </c>
      <c r="G582" s="5">
        <f>B582-B581</f>
        <v/>
      </c>
      <c r="H582" s="2">
        <f>IF(AND(F582=1,G582=1),"OK","À JUSTIFIER")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>
        <f>C583-C582</f>
        <v/>
      </c>
      <c r="G583" s="5">
        <f>B583-B582</f>
        <v/>
      </c>
      <c r="H583" s="2">
        <f>IF(AND(F583=1,G583=1),"OK","À JUSTIFIER")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>
        <f>C584-C583</f>
        <v/>
      </c>
      <c r="G584" s="5">
        <f>B584-B583</f>
        <v/>
      </c>
      <c r="H584" s="2">
        <f>IF(AND(F584=1,G584=1),"OK","À JUSTIFIER")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>
        <f>C585-C584</f>
        <v/>
      </c>
      <c r="G585" s="5">
        <f>B585-B584</f>
        <v/>
      </c>
      <c r="H585" s="2">
        <f>IF(AND(F585=1,G585=1),"OK","À JUSTIFIER")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>
        <f>C586-C585</f>
        <v/>
      </c>
      <c r="G586" s="5">
        <f>B586-B585</f>
        <v/>
      </c>
      <c r="H586" s="2">
        <f>IF(AND(F586=1,G586=1),"OK","À JUSTIFIER")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>
        <f>C587-C586</f>
        <v/>
      </c>
      <c r="G587" s="5">
        <f>B587-B586</f>
        <v/>
      </c>
      <c r="H587" s="2">
        <f>IF(AND(F587=1,G587=1),"OK","À JUSTIFIER")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>
        <f>C588-C587</f>
        <v/>
      </c>
      <c r="G588" s="5">
        <f>B588-B587</f>
        <v/>
      </c>
      <c r="H588" s="2">
        <f>IF(AND(F588=1,G588=1),"OK","À JUSTIFIER")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>
        <f>C589-C588</f>
        <v/>
      </c>
      <c r="G589" s="5">
        <f>B589-B588</f>
        <v/>
      </c>
      <c r="H589" s="2">
        <f>IF(AND(F589=1,G589=1),"OK","À JUSTIFIER")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>
        <f>C590-C589</f>
        <v/>
      </c>
      <c r="G590" s="5">
        <f>B590-B589</f>
        <v/>
      </c>
      <c r="H590" s="2">
        <f>IF(AND(F590=1,G590=1),"OK","À JUSTIFIER")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>
        <f>C591-C590</f>
        <v/>
      </c>
      <c r="G591" s="5">
        <f>B591-B590</f>
        <v/>
      </c>
      <c r="H591" s="2">
        <f>IF(AND(F591=1,G591=1),"OK","À JUSTIFIER")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>
        <f>C592-C591</f>
        <v/>
      </c>
      <c r="G592" s="5">
        <f>B592-B591</f>
        <v/>
      </c>
      <c r="H592" s="2">
        <f>IF(AND(F592=1,G592=1),"OK","À JUSTIFIER")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>
        <f>C593-C592</f>
        <v/>
      </c>
      <c r="G593" s="5">
        <f>B593-B592</f>
        <v/>
      </c>
      <c r="H593" s="2">
        <f>IF(AND(F593=1,G593=1),"OK","À JUSTIFIER")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>
        <f>C594-C593</f>
        <v/>
      </c>
      <c r="G594" s="5">
        <f>B594-B593</f>
        <v/>
      </c>
      <c r="H594" s="2">
        <f>IF(AND(F594=1,G594=1),"OK","À JUSTIFIER")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>
        <f>C595-C594</f>
        <v/>
      </c>
      <c r="G595" s="5">
        <f>B595-B594</f>
        <v/>
      </c>
      <c r="H595" s="2">
        <f>IF(AND(F595=1,G595=1),"OK","À JUSTIFIER")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>
        <f>C596-C595</f>
        <v/>
      </c>
      <c r="G596" s="5">
        <f>B596-B595</f>
        <v/>
      </c>
      <c r="H596" s="2">
        <f>IF(AND(F596=1,G596=1),"OK","À JUSTIFIER")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>
        <f>C597-C596</f>
        <v/>
      </c>
      <c r="G597" s="5">
        <f>B597-B596</f>
        <v/>
      </c>
      <c r="H597" s="2">
        <f>IF(AND(F597=1,G597=1),"OK","À JUSTIFIER")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>
        <f>C598-C597</f>
        <v/>
      </c>
      <c r="G598" s="5">
        <f>B598-B597</f>
        <v/>
      </c>
      <c r="H598" s="2">
        <f>IF(AND(F598=1,G598=1),"OK","À JUSTIFIER")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>
        <f>C599-C598</f>
        <v/>
      </c>
      <c r="G599" s="5">
        <f>B599-B598</f>
        <v/>
      </c>
      <c r="H599" s="2">
        <f>IF(AND(F599=1,G599=1),"OK","À JUSTIFIER")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>
        <f>C600-C599</f>
        <v/>
      </c>
      <c r="G600" s="5">
        <f>B600-B599</f>
        <v/>
      </c>
      <c r="H600" s="2">
        <f>IF(AND(F600=1,G600=1),"OK","À JUSTIFIER")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>
        <f>C601-C600</f>
        <v/>
      </c>
      <c r="G601" s="5">
        <f>B601-B600</f>
        <v/>
      </c>
      <c r="H601" s="2">
        <f>IF(AND(F601=1,G601=1),"OK","À JUSTIFIER")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>
        <f>C602-C601</f>
        <v/>
      </c>
      <c r="G602" s="5">
        <f>B602-B601</f>
        <v/>
      </c>
      <c r="H602" s="2">
        <f>IF(AND(F602=1,G602=1),"OK","À JUSTIFIER")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>
        <f>C603-C602</f>
        <v/>
      </c>
      <c r="G603" s="5">
        <f>B603-B602</f>
        <v/>
      </c>
      <c r="H603" s="2">
        <f>IF(AND(F603=1,G603=1),"OK","À JUSTIFIER")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>
        <f>C604-C603</f>
        <v/>
      </c>
      <c r="G604" s="5">
        <f>B604-B603</f>
        <v/>
      </c>
      <c r="H604" s="2">
        <f>IF(AND(F604=1,G604=1),"OK","À JUSTIFIER")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>
        <f>C605-C604</f>
        <v/>
      </c>
      <c r="G605" s="5">
        <f>B605-B604</f>
        <v/>
      </c>
      <c r="H605" s="2">
        <f>IF(AND(F605=1,G605=1),"OK","À JUSTIFIER")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>
        <f>C606-C605</f>
        <v/>
      </c>
      <c r="G606" s="5">
        <f>B606-B605</f>
        <v/>
      </c>
      <c r="H606" s="2">
        <f>IF(AND(F606=1,G606=1),"OK","À JUSTIFIER")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>
        <f>C607-C606</f>
        <v/>
      </c>
      <c r="G607" s="5">
        <f>B607-B606</f>
        <v/>
      </c>
      <c r="H607" s="2">
        <f>IF(AND(F607=1,G607=1),"OK","À JUSTIFIER")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>
        <f>C608-C607</f>
        <v/>
      </c>
      <c r="G608" s="5">
        <f>B608-B607</f>
        <v/>
      </c>
      <c r="H608" s="2">
        <f>IF(AND(F608=1,G608=1),"OK","À JUSTIFIER")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>
        <f>C609-C608</f>
        <v/>
      </c>
      <c r="G609" s="5">
        <f>B609-B608</f>
        <v/>
      </c>
      <c r="H609" s="2">
        <f>IF(AND(F609=1,G609=1),"OK","À JUSTIFIER")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>
        <f>C610-C609</f>
        <v/>
      </c>
      <c r="G610" s="5">
        <f>B610-B609</f>
        <v/>
      </c>
      <c r="H610" s="2">
        <f>IF(AND(F610=1,G610=1),"OK","À JUSTIFIER")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>
        <f>C611-C610</f>
        <v/>
      </c>
      <c r="G611" s="5">
        <f>B611-B610</f>
        <v/>
      </c>
      <c r="H611" s="2">
        <f>IF(AND(F611=1,G611=1),"OK","À JUSTIFIER")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>
        <f>C612-C611</f>
        <v/>
      </c>
      <c r="G612" s="5">
        <f>B612-B611</f>
        <v/>
      </c>
      <c r="H612" s="2">
        <f>IF(AND(F612=1,G612=1),"OK","À JUSTIFIER")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>
        <f>C613-C612</f>
        <v/>
      </c>
      <c r="G613" s="5">
        <f>B613-B612</f>
        <v/>
      </c>
      <c r="H613" s="2">
        <f>IF(AND(F613=1,G613=1),"OK","À JUSTIFIER")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>
        <f>C614-C613</f>
        <v/>
      </c>
      <c r="G614" s="5">
        <f>B614-B613</f>
        <v/>
      </c>
      <c r="H614" s="2">
        <f>IF(AND(F614=1,G614=1),"OK","À JUSTIFIER")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>
        <f>C615-C614</f>
        <v/>
      </c>
      <c r="G615" s="5">
        <f>B615-B614</f>
        <v/>
      </c>
      <c r="H615" s="2">
        <f>IF(AND(F615=1,G615=1),"OK","À JUSTIFIER")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>
        <f>C616-C615</f>
        <v/>
      </c>
      <c r="G616" s="5">
        <f>B616-B615</f>
        <v/>
      </c>
      <c r="H616" s="2">
        <f>IF(AND(F616=1,G616=1),"OK","À JUSTIFIER")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>
        <f>C617-C616</f>
        <v/>
      </c>
      <c r="G617" s="5">
        <f>B617-B616</f>
        <v/>
      </c>
      <c r="H617" s="2">
        <f>IF(AND(F617=1,G617=1),"OK","À JUSTIFIER")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>
        <f>C618-C617</f>
        <v/>
      </c>
      <c r="G618" s="5">
        <f>B618-B617</f>
        <v/>
      </c>
      <c r="H618" s="2">
        <f>IF(AND(F618=1,G618=1),"OK","À JUSTIFIER")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>
        <f>C619-C618</f>
        <v/>
      </c>
      <c r="G619" s="5">
        <f>B619-B618</f>
        <v/>
      </c>
      <c r="H619" s="2">
        <f>IF(AND(F619=1,G619=1),"OK","À JUSTIFIER")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>
        <f>C620-C619</f>
        <v/>
      </c>
      <c r="G620" s="5">
        <f>B620-B619</f>
        <v/>
      </c>
      <c r="H620" s="2">
        <f>IF(AND(F620=1,G620=1),"OK","À JUSTIFIER")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>
        <f>C621-C620</f>
        <v/>
      </c>
      <c r="G621" s="5">
        <f>B621-B620</f>
        <v/>
      </c>
      <c r="H621" s="2">
        <f>IF(AND(F621=1,G621=1),"OK","À JUSTIFIER")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>
        <f>C622-C621</f>
        <v/>
      </c>
      <c r="G622" s="5">
        <f>B622-B621</f>
        <v/>
      </c>
      <c r="H622" s="2">
        <f>IF(AND(F622=1,G622=1),"OK","À JUSTIFIER")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>
        <f>C623-C622</f>
        <v/>
      </c>
      <c r="G623" s="5">
        <f>B623-B622</f>
        <v/>
      </c>
      <c r="H623" s="2">
        <f>IF(AND(F623=1,G623=1),"OK","À JUSTIFIER")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>
        <f>C624-C623</f>
        <v/>
      </c>
      <c r="G624" s="5">
        <f>B624-B623</f>
        <v/>
      </c>
      <c r="H624" s="2">
        <f>IF(AND(F624=1,G624=1),"OK","À JUSTIFIER")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>
        <f>C625-C624</f>
        <v/>
      </c>
      <c r="G625" s="5">
        <f>B625-B624</f>
        <v/>
      </c>
      <c r="H625" s="2">
        <f>IF(AND(F625=1,G625=1),"OK","À JUSTIFIER")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>
        <f>C626-C625</f>
        <v/>
      </c>
      <c r="G626" s="5">
        <f>B626-B625</f>
        <v/>
      </c>
      <c r="H626" s="2">
        <f>IF(AND(F626=1,G626=1),"OK","À JUSTIFIER")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>
        <f>C627-C626</f>
        <v/>
      </c>
      <c r="G627" s="5">
        <f>B627-B626</f>
        <v/>
      </c>
      <c r="H627" s="2">
        <f>IF(AND(F627=1,G627=1),"OK","À JUSTIFIER")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>
        <f>C628-C627</f>
        <v/>
      </c>
      <c r="G628" s="5">
        <f>B628-B627</f>
        <v/>
      </c>
      <c r="H628" s="2">
        <f>IF(AND(F628=1,G628=1),"OK","À JUSTIFIER")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>
        <f>C629-C628</f>
        <v/>
      </c>
      <c r="G629" s="5">
        <f>B629-B628</f>
        <v/>
      </c>
      <c r="H629" s="2">
        <f>IF(AND(F629=1,G629=1),"OK","À JUSTIFIER")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>
        <f>C630-C629</f>
        <v/>
      </c>
      <c r="G630" s="5">
        <f>B630-B629</f>
        <v/>
      </c>
      <c r="H630" s="2">
        <f>IF(AND(F630=1,G630=1),"OK","À JUSTIFIER")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>
        <f>C631-C630</f>
        <v/>
      </c>
      <c r="G631" s="5">
        <f>B631-B630</f>
        <v/>
      </c>
      <c r="H631" s="2">
        <f>IF(AND(F631=1,G631=1),"OK","À JUSTIFIER")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>
        <f>C632-C631</f>
        <v/>
      </c>
      <c r="G632" s="5">
        <f>B632-B631</f>
        <v/>
      </c>
      <c r="H632" s="2">
        <f>IF(AND(F632=1,G632=1),"OK","À JUSTIFIER")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>
        <f>C633-C632</f>
        <v/>
      </c>
      <c r="G633" s="5">
        <f>B633-B632</f>
        <v/>
      </c>
      <c r="H633" s="2">
        <f>IF(AND(F633=1,G633=1),"OK","À JUSTIFIER")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>
        <f>C634-C633</f>
        <v/>
      </c>
      <c r="G634" s="5">
        <f>B634-B633</f>
        <v/>
      </c>
      <c r="H634" s="2">
        <f>IF(AND(F634=1,G634=1),"OK","À JUSTIFIER")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>
        <f>C635-C634</f>
        <v/>
      </c>
      <c r="G635" s="5">
        <f>B635-B634</f>
        <v/>
      </c>
      <c r="H635" s="2">
        <f>IF(AND(F635=1,G635=1),"OK","À JUSTIFIER")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>
        <f>C636-C635</f>
        <v/>
      </c>
      <c r="G636" s="5">
        <f>B636-B635</f>
        <v/>
      </c>
      <c r="H636" s="2">
        <f>IF(AND(F636=1,G636=1),"OK","À JUSTIFIER")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>
        <f>C637-C636</f>
        <v/>
      </c>
      <c r="G637" s="5">
        <f>B637-B636</f>
        <v/>
      </c>
      <c r="H637" s="2">
        <f>IF(AND(F637=1,G637=1),"OK","À JUSTIFIER")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>
        <f>C638-C637</f>
        <v/>
      </c>
      <c r="G638" s="5">
        <f>B638-B637</f>
        <v/>
      </c>
      <c r="H638" s="2">
        <f>IF(AND(F638=1,G638=1),"OK","À JUSTIFIER")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>
        <f>C639-C638</f>
        <v/>
      </c>
      <c r="G639" s="5">
        <f>B639-B638</f>
        <v/>
      </c>
      <c r="H639" s="2">
        <f>IF(AND(F639=1,G639=1),"OK","À JUSTIFIER")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>
        <f>C640-C639</f>
        <v/>
      </c>
      <c r="G640" s="5">
        <f>B640-B639</f>
        <v/>
      </c>
      <c r="H640" s="2">
        <f>IF(AND(F640=1,G640=1),"OK","À JUSTIFIER")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>
        <f>C641-C640</f>
        <v/>
      </c>
      <c r="G641" s="5">
        <f>B641-B640</f>
        <v/>
      </c>
      <c r="H641" s="2">
        <f>IF(AND(F641=1,G641=1),"OK","À JUSTIFIER")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>
        <f>C642-C641</f>
        <v/>
      </c>
      <c r="G642" s="5">
        <f>B642-B641</f>
        <v/>
      </c>
      <c r="H642" s="2">
        <f>IF(AND(F642=1,G642=1),"OK","À JUSTIFIER")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>
        <f>C643-C642</f>
        <v/>
      </c>
      <c r="G643" s="5">
        <f>B643-B642</f>
        <v/>
      </c>
      <c r="H643" s="2">
        <f>IF(AND(F643=1,G643=1),"OK","À JUSTIFIER")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>
        <f>C644-C643</f>
        <v/>
      </c>
      <c r="G644" s="5">
        <f>B644-B643</f>
        <v/>
      </c>
      <c r="H644" s="2">
        <f>IF(AND(F644=1,G644=1),"OK","À JUSTIFIER")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>
        <f>C645-C644</f>
        <v/>
      </c>
      <c r="G645" s="5">
        <f>B645-B644</f>
        <v/>
      </c>
      <c r="H645" s="2">
        <f>IF(AND(F645=1,G645=1),"OK","À JUSTIFIER")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>
        <f>C646-C645</f>
        <v/>
      </c>
      <c r="G646" s="5">
        <f>B646-B645</f>
        <v/>
      </c>
      <c r="H646" s="2">
        <f>IF(AND(F646=1,G646=1),"OK","À JUSTIFIER")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>
        <f>C647-C646</f>
        <v/>
      </c>
      <c r="G647" s="5">
        <f>B647-B646</f>
        <v/>
      </c>
      <c r="H647" s="2">
        <f>IF(AND(F647=1,G647=1),"OK","À JUSTIFIER")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>
        <f>C648-C647</f>
        <v/>
      </c>
      <c r="G648" s="5">
        <f>B648-B647</f>
        <v/>
      </c>
      <c r="H648" s="2">
        <f>IF(AND(F648=1,G648=1),"OK","À JUSTIFIER")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>
        <f>C649-C648</f>
        <v/>
      </c>
      <c r="G649" s="5">
        <f>B649-B648</f>
        <v/>
      </c>
      <c r="H649" s="2">
        <f>IF(AND(F649=1,G649=1),"OK","À JUSTIFIER")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>
        <f>C650-C649</f>
        <v/>
      </c>
      <c r="G650" s="5">
        <f>B650-B649</f>
        <v/>
      </c>
      <c r="H650" s="2">
        <f>IF(AND(F650=1,G650=1),"OK","À JUSTIFIER")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>
        <f>C651-C650</f>
        <v/>
      </c>
      <c r="G651" s="5">
        <f>B651-B650</f>
        <v/>
      </c>
      <c r="H651" s="2">
        <f>IF(AND(F651=1,G651=1),"OK","À JUSTIFIER")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>
        <f>C652-C651</f>
        <v/>
      </c>
      <c r="G652" s="5">
        <f>B652-B651</f>
        <v/>
      </c>
      <c r="H652" s="2">
        <f>IF(AND(F652=1,G652=1),"OK","À JUSTIFIER")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>
        <f>C653-C652</f>
        <v/>
      </c>
      <c r="G653" s="5">
        <f>B653-B652</f>
        <v/>
      </c>
      <c r="H653" s="2">
        <f>IF(AND(F653=1,G653=1),"OK","À JUSTIFIER")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>
        <f>C654-C653</f>
        <v/>
      </c>
      <c r="G654" s="5">
        <f>B654-B653</f>
        <v/>
      </c>
      <c r="H654" s="2">
        <f>IF(AND(F654=1,G654=1),"OK","À JUSTIFIER")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>
        <f>C655-C654</f>
        <v/>
      </c>
      <c r="G655" s="5">
        <f>B655-B654</f>
        <v/>
      </c>
      <c r="H655" s="2">
        <f>IF(AND(F655=1,G655=1),"OK","À JUSTIFIER")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>
        <f>C656-C655</f>
        <v/>
      </c>
      <c r="G656" s="5">
        <f>B656-B655</f>
        <v/>
      </c>
      <c r="H656" s="2">
        <f>IF(AND(F656=1,G656=1),"OK","À JUSTIFIER")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>
        <f>C657-C656</f>
        <v/>
      </c>
      <c r="G657" s="5">
        <f>B657-B656</f>
        <v/>
      </c>
      <c r="H657" s="2">
        <f>IF(AND(F657=1,G657=1),"OK","À JUSTIFIER")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>
        <f>C658-C657</f>
        <v/>
      </c>
      <c r="G658" s="5">
        <f>B658-B657</f>
        <v/>
      </c>
      <c r="H658" s="2">
        <f>IF(AND(F658=1,G658=1),"OK","À JUSTIFIER")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>
        <f>C659-C658</f>
        <v/>
      </c>
      <c r="G659" s="5">
        <f>B659-B658</f>
        <v/>
      </c>
      <c r="H659" s="2">
        <f>IF(AND(F659=1,G659=1),"OK","À JUSTIFIER")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>
        <f>C660-C659</f>
        <v/>
      </c>
      <c r="G660" s="5">
        <f>B660-B659</f>
        <v/>
      </c>
      <c r="H660" s="2">
        <f>IF(AND(F660=1,G660=1),"OK","À JUSTIFIER")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>
        <f>C661-C660</f>
        <v/>
      </c>
      <c r="G661" s="5">
        <f>B661-B660</f>
        <v/>
      </c>
      <c r="H661" s="2">
        <f>IF(AND(F661=1,G661=1),"OK","À JUSTIFIER")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>
        <f>C662-C661</f>
        <v/>
      </c>
      <c r="G662" s="5">
        <f>B662-B661</f>
        <v/>
      </c>
      <c r="H662" s="2">
        <f>IF(AND(F662=1,G662=1),"OK","À JUSTIFIER")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>
        <f>C663-C662</f>
        <v/>
      </c>
      <c r="G663" s="5">
        <f>B663-B662</f>
        <v/>
      </c>
      <c r="H663" s="2">
        <f>IF(AND(F663=1,G663=1),"OK","À JUSTIFIER")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>
        <f>C664-C663</f>
        <v/>
      </c>
      <c r="G664" s="5">
        <f>B664-B663</f>
        <v/>
      </c>
      <c r="H664" s="2">
        <f>IF(AND(F664=1,G664=1),"OK","À JUSTIFIER")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>
        <f>C665-C664</f>
        <v/>
      </c>
      <c r="G665" s="5">
        <f>B665-B664</f>
        <v/>
      </c>
      <c r="H665" s="2">
        <f>IF(AND(F665=1,G665=1),"OK","À JUSTIFIER")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>
        <f>C666-C665</f>
        <v/>
      </c>
      <c r="G666" s="5">
        <f>B666-B665</f>
        <v/>
      </c>
      <c r="H666" s="2">
        <f>IF(AND(F666=1,G666=1),"OK","À JUSTIFIER")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>
        <f>C667-C666</f>
        <v/>
      </c>
      <c r="G667" s="5">
        <f>B667-B666</f>
        <v/>
      </c>
      <c r="H667" s="2">
        <f>IF(AND(F667=1,G667=1),"OK","À JUSTIFIER")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>
        <f>C668-C667</f>
        <v/>
      </c>
      <c r="G668" s="5">
        <f>B668-B667</f>
        <v/>
      </c>
      <c r="H668" s="2">
        <f>IF(AND(F668=1,G668=1),"OK","À JUSTIFIER")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>
        <f>C669-C668</f>
        <v/>
      </c>
      <c r="G669" s="5">
        <f>B669-B668</f>
        <v/>
      </c>
      <c r="H669" s="2">
        <f>IF(AND(F669=1,G669=1),"OK","À JUSTIFIER")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>
        <f>C670-C669</f>
        <v/>
      </c>
      <c r="G670" s="5">
        <f>B670-B669</f>
        <v/>
      </c>
      <c r="H670" s="2">
        <f>IF(AND(F670=1,G670=1),"OK","À JUSTIFIER")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>
        <f>C671-C670</f>
        <v/>
      </c>
      <c r="G671" s="5">
        <f>B671-B670</f>
        <v/>
      </c>
      <c r="H671" s="2">
        <f>IF(AND(F671=1,G671=1),"OK","À JUSTIFIER")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>
        <f>C672-C671</f>
        <v/>
      </c>
      <c r="G672" s="5">
        <f>B672-B671</f>
        <v/>
      </c>
      <c r="H672" s="2">
        <f>IF(AND(F672=1,G672=1),"OK","À JUSTIFIER")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>
        <f>C673-C672</f>
        <v/>
      </c>
      <c r="G673" s="5">
        <f>B673-B672</f>
        <v/>
      </c>
      <c r="H673" s="2">
        <f>IF(AND(F673=1,G673=1),"OK","À JUSTIFIER")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>
        <f>C674-C673</f>
        <v/>
      </c>
      <c r="G674" s="5">
        <f>B674-B673</f>
        <v/>
      </c>
      <c r="H674" s="2">
        <f>IF(AND(F674=1,G674=1),"OK","À JUSTIFIER")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>
        <f>C675-C674</f>
        <v/>
      </c>
      <c r="G675" s="5">
        <f>B675-B674</f>
        <v/>
      </c>
      <c r="H675" s="2">
        <f>IF(AND(F675=1,G675=1),"OK","À JUSTIFIER")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>
        <f>C676-C675</f>
        <v/>
      </c>
      <c r="G676" s="5">
        <f>B676-B675</f>
        <v/>
      </c>
      <c r="H676" s="2">
        <f>IF(AND(F676=1,G676=1),"OK","À JUSTIFIER")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>
        <f>C677-C676</f>
        <v/>
      </c>
      <c r="G677" s="5">
        <f>B677-B676</f>
        <v/>
      </c>
      <c r="H677" s="2">
        <f>IF(AND(F677=1,G677=1),"OK","À JUSTIFIER")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>
        <f>C678-C677</f>
        <v/>
      </c>
      <c r="G678" s="5">
        <f>B678-B677</f>
        <v/>
      </c>
      <c r="H678" s="2">
        <f>IF(AND(F678=1,G678=1),"OK","À JUSTIFIER")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>
        <f>C679-C678</f>
        <v/>
      </c>
      <c r="G679" s="5">
        <f>B679-B678</f>
        <v/>
      </c>
      <c r="H679" s="2">
        <f>IF(AND(F679=1,G679=1),"OK","À JUSTIFIER")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>
        <f>C680-C679</f>
        <v/>
      </c>
      <c r="G680" s="5">
        <f>B680-B679</f>
        <v/>
      </c>
      <c r="H680" s="2">
        <f>IF(AND(F680=1,G680=1),"OK","À JUSTIFIER")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>
        <f>C681-C680</f>
        <v/>
      </c>
      <c r="G681" s="5">
        <f>B681-B680</f>
        <v/>
      </c>
      <c r="H681" s="2">
        <f>IF(AND(F681=1,G681=1),"OK","À JUSTIFIER")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>
        <f>C682-C681</f>
        <v/>
      </c>
      <c r="G682" s="5">
        <f>B682-B681</f>
        <v/>
      </c>
      <c r="H682" s="2">
        <f>IF(AND(F682=1,G682=1),"OK","À JUSTIFIER")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>
        <f>C683-C682</f>
        <v/>
      </c>
      <c r="G683" s="5">
        <f>B683-B682</f>
        <v/>
      </c>
      <c r="H683" s="2">
        <f>IF(AND(F683=1,G683=1),"OK","À JUSTIFIER")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>
        <f>C684-C683</f>
        <v/>
      </c>
      <c r="G684" s="5">
        <f>B684-B683</f>
        <v/>
      </c>
      <c r="H684" s="2">
        <f>IF(AND(F684=1,G684=1),"OK","À JUSTIFIER")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>
        <f>C685-C684</f>
        <v/>
      </c>
      <c r="G685" s="5">
        <f>B685-B684</f>
        <v/>
      </c>
      <c r="H685" s="2">
        <f>IF(AND(F685=1,G685=1),"OK","À JUSTIFIER")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>
        <f>C686-C685</f>
        <v/>
      </c>
      <c r="G686" s="5">
        <f>B686-B685</f>
        <v/>
      </c>
      <c r="H686" s="2">
        <f>IF(AND(F686=1,G686=1),"OK","À JUSTIFIER")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>
        <f>C687-C686</f>
        <v/>
      </c>
      <c r="G687" s="5">
        <f>B687-B686</f>
        <v/>
      </c>
      <c r="H687" s="2">
        <f>IF(AND(F687=1,G687=1),"OK","À JUSTIFIER")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>
        <f>C688-C687</f>
        <v/>
      </c>
      <c r="G688" s="5">
        <f>B688-B687</f>
        <v/>
      </c>
      <c r="H688" s="2">
        <f>IF(AND(F688=1,G688=1),"OK","À JUSTIFIER")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>
        <f>C689-C688</f>
        <v/>
      </c>
      <c r="G689" s="5">
        <f>B689-B688</f>
        <v/>
      </c>
      <c r="H689" s="2">
        <f>IF(AND(F689=1,G689=1),"OK","À JUSTIFIER")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>
        <f>C690-C689</f>
        <v/>
      </c>
      <c r="G690" s="5">
        <f>B690-B689</f>
        <v/>
      </c>
      <c r="H690" s="2">
        <f>IF(AND(F690=1,G690=1),"OK","À JUSTIFIER")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>
        <f>C691-C690</f>
        <v/>
      </c>
      <c r="G691" s="5">
        <f>B691-B690</f>
        <v/>
      </c>
      <c r="H691" s="2">
        <f>IF(AND(F691=1,G691=1),"OK","À JUSTIFIER")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>
        <f>C692-C691</f>
        <v/>
      </c>
      <c r="G692" s="5">
        <f>B692-B691</f>
        <v/>
      </c>
      <c r="H692" s="2">
        <f>IF(AND(F692=1,G692=1),"OK","À JUSTIFIER")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>
        <f>C693-C692</f>
        <v/>
      </c>
      <c r="G693" s="5">
        <f>B693-B692</f>
        <v/>
      </c>
      <c r="H693" s="2">
        <f>IF(AND(F693=1,G693=1),"OK","À JUSTIFIER")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>
        <f>C694-C693</f>
        <v/>
      </c>
      <c r="G694" s="5">
        <f>B694-B693</f>
        <v/>
      </c>
      <c r="H694" s="2">
        <f>IF(AND(F694=1,G694=1),"OK","À JUSTIFIER")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>
        <f>C695-C694</f>
        <v/>
      </c>
      <c r="G695" s="5">
        <f>B695-B694</f>
        <v/>
      </c>
      <c r="H695" s="2">
        <f>IF(AND(F695=1,G695=1),"OK","À JUSTIFIER")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>
        <f>C696-C695</f>
        <v/>
      </c>
      <c r="G696" s="5">
        <f>B696-B695</f>
        <v/>
      </c>
      <c r="H696" s="2">
        <f>IF(AND(F696=1,G696=1),"OK","À JUSTIFIER")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>
        <f>C697-C696</f>
        <v/>
      </c>
      <c r="G697" s="5">
        <f>B697-B696</f>
        <v/>
      </c>
      <c r="H697" s="2">
        <f>IF(AND(F697=1,G697=1),"OK","À JUSTIFIER")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>
        <f>C698-C697</f>
        <v/>
      </c>
      <c r="G698" s="5">
        <f>B698-B697</f>
        <v/>
      </c>
      <c r="H698" s="2">
        <f>IF(AND(F698=1,G698=1),"OK","À JUSTIFIER")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>
        <f>C699-C698</f>
        <v/>
      </c>
      <c r="G699" s="5">
        <f>B699-B698</f>
        <v/>
      </c>
      <c r="H699" s="2">
        <f>IF(AND(F699=1,G699=1),"OK","À JUSTIFIER")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>
        <f>C700-C699</f>
        <v/>
      </c>
      <c r="G700" s="5">
        <f>B700-B699</f>
        <v/>
      </c>
      <c r="H700" s="2">
        <f>IF(AND(F700=1,G700=1),"OK","À JUSTIFIER")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>
        <f>C701-C700</f>
        <v/>
      </c>
      <c r="G701" s="5">
        <f>B701-B700</f>
        <v/>
      </c>
      <c r="H701" s="2">
        <f>IF(AND(F701=1,G701=1),"OK","À JUSTIFIER")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>
        <f>C702-C701</f>
        <v/>
      </c>
      <c r="G702" s="5">
        <f>B702-B701</f>
        <v/>
      </c>
      <c r="H702" s="2">
        <f>IF(AND(F702=1,G702=1),"OK","À JUSTIFIER")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>
        <f>C703-C702</f>
        <v/>
      </c>
      <c r="G703" s="5">
        <f>B703-B702</f>
        <v/>
      </c>
      <c r="H703" s="2">
        <f>IF(AND(F703=1,G703=1),"OK","À JUSTIFIER")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>
        <f>C704-C703</f>
        <v/>
      </c>
      <c r="G704" s="5">
        <f>B704-B703</f>
        <v/>
      </c>
      <c r="H704" s="2">
        <f>IF(AND(F704=1,G704=1),"OK","À JUSTIFIER")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>
        <f>C705-C704</f>
        <v/>
      </c>
      <c r="G705" s="5">
        <f>B705-B704</f>
        <v/>
      </c>
      <c r="H705" s="2">
        <f>IF(AND(F705=1,G705=1),"OK","À JUSTIFIER")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>
        <f>C706-C705</f>
        <v/>
      </c>
      <c r="G706" s="5">
        <f>B706-B705</f>
        <v/>
      </c>
      <c r="H706" s="2">
        <f>IF(AND(F706=1,G706=1),"OK","À JUSTIFIER")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>
        <f>C707-C706</f>
        <v/>
      </c>
      <c r="G707" s="5">
        <f>B707-B706</f>
        <v/>
      </c>
      <c r="H707" s="2">
        <f>IF(AND(F707=1,G707=1),"OK","À JUSTIFIER")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>
        <f>C708-C707</f>
        <v/>
      </c>
      <c r="G708" s="5">
        <f>B708-B707</f>
        <v/>
      </c>
      <c r="H708" s="2">
        <f>IF(AND(F708=1,G708=1),"OK","À JUSTIFIER")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>
        <f>C709-C708</f>
        <v/>
      </c>
      <c r="G709" s="5">
        <f>B709-B708</f>
        <v/>
      </c>
      <c r="H709" s="2">
        <f>IF(AND(F709=1,G709=1),"OK","À JUSTIFIER")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>
        <f>C710-C709</f>
        <v/>
      </c>
      <c r="G710" s="5">
        <f>B710-B709</f>
        <v/>
      </c>
      <c r="H710" s="2">
        <f>IF(AND(F710=1,G710=1),"OK","À JUSTIFIER")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>
        <f>C711-C710</f>
        <v/>
      </c>
      <c r="G711" s="5">
        <f>B711-B710</f>
        <v/>
      </c>
      <c r="H711" s="2">
        <f>IF(AND(F711=1,G711=1),"OK","À JUSTIFIER")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>
        <f>C712-C711</f>
        <v/>
      </c>
      <c r="G712" s="5">
        <f>B712-B711</f>
        <v/>
      </c>
      <c r="H712" s="2">
        <f>IF(AND(F712=1,G712=1),"OK","À JUSTIFIER")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>
        <f>C713-C712</f>
        <v/>
      </c>
      <c r="G713" s="5">
        <f>B713-B712</f>
        <v/>
      </c>
      <c r="H713" s="2">
        <f>IF(AND(F713=1,G713=1),"OK","À JUSTIFIER")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>
        <f>C714-C713</f>
        <v/>
      </c>
      <c r="G714" s="5">
        <f>B714-B713</f>
        <v/>
      </c>
      <c r="H714" s="2">
        <f>IF(AND(F714=1,G714=1),"OK","À JUSTIFIER")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>
        <f>C715-C714</f>
        <v/>
      </c>
      <c r="G715" s="5">
        <f>B715-B714</f>
        <v/>
      </c>
      <c r="H715" s="2">
        <f>IF(AND(F715=1,G715=1),"OK","À JUSTIFIER")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>
        <f>C716-C715</f>
        <v/>
      </c>
      <c r="G716" s="5">
        <f>B716-B715</f>
        <v/>
      </c>
      <c r="H716" s="2">
        <f>IF(AND(F716=1,G716=1),"OK","À JUSTIFIER")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>
        <f>C717-C716</f>
        <v/>
      </c>
      <c r="G717" s="5">
        <f>B717-B716</f>
        <v/>
      </c>
      <c r="H717" s="2">
        <f>IF(AND(F717=1,G717=1),"OK","À JUSTIFIER")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>
        <f>C718-C717</f>
        <v/>
      </c>
      <c r="G718" s="5">
        <f>B718-B717</f>
        <v/>
      </c>
      <c r="H718" s="2">
        <f>IF(AND(F718=1,G718=1),"OK","À JUSTIFIER")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>
        <f>C719-C718</f>
        <v/>
      </c>
      <c r="G719" s="5">
        <f>B719-B718</f>
        <v/>
      </c>
      <c r="H719" s="2">
        <f>IF(AND(F719=1,G719=1),"OK","À JUSTIFIER")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>
        <f>C720-C719</f>
        <v/>
      </c>
      <c r="G720" s="5">
        <f>B720-B719</f>
        <v/>
      </c>
      <c r="H720" s="2">
        <f>IF(AND(F720=1,G720=1),"OK","À JUSTIFIER")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>
        <f>C721-C720</f>
        <v/>
      </c>
      <c r="G721" s="5">
        <f>B721-B720</f>
        <v/>
      </c>
      <c r="H721" s="2">
        <f>IF(AND(F721=1,G721=1),"OK","À JUSTIFIER")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>
        <f>C722-C721</f>
        <v/>
      </c>
      <c r="G722" s="5">
        <f>B722-B721</f>
        <v/>
      </c>
      <c r="H722" s="2">
        <f>IF(AND(F722=1,G722=1),"OK","À JUSTIFIER")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>
        <f>C723-C722</f>
        <v/>
      </c>
      <c r="G723" s="5">
        <f>B723-B722</f>
        <v/>
      </c>
      <c r="H723" s="2">
        <f>IF(AND(F723=1,G723=1),"OK","À JUSTIFIER")</f>
        <v/>
      </c>
    </row>
  </sheetData>
  <autoFilter ref="A1:H723"/>
  <conditionalFormatting sqref="H2:H723">
    <cfRule type="expression" priority="1" dxfId="1">
      <formula>ISNUMBER(SEARCH("JUSTIFIER",H2))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000977</t>
        </is>
      </c>
      <c r="B2" s="5">
        <f>COUNTIF('Entetes_TriNumInterne'!$B$2:$B$723,A2)</f>
        <v/>
      </c>
    </row>
    <row r="3">
      <c r="A3" s="3" t="inlineStr">
        <is>
          <t>000978</t>
        </is>
      </c>
      <c r="B3" s="5">
        <f>COUNTIF('Entetes_TriNumInterne'!$B$2:$B$723,A3)</f>
        <v/>
      </c>
    </row>
    <row r="4">
      <c r="A4" s="3" t="inlineStr">
        <is>
          <t>000979</t>
        </is>
      </c>
      <c r="B4" s="5">
        <f>COUNTIF('Entetes_TriNumInterne'!$B$2:$B$723,A4)</f>
        <v/>
      </c>
    </row>
    <row r="5">
      <c r="A5" s="3" t="inlineStr">
        <is>
          <t>000980</t>
        </is>
      </c>
      <c r="B5" s="5">
        <f>COUNTIF('Entetes_TriNumInterne'!$B$2:$B$723,A5)</f>
        <v/>
      </c>
    </row>
    <row r="6">
      <c r="A6" s="3" t="inlineStr">
        <is>
          <t>000981</t>
        </is>
      </c>
      <c r="B6" s="5">
        <f>COUNTIF('Entetes_TriNumInterne'!$B$2:$B$723,A6)</f>
        <v/>
      </c>
    </row>
    <row r="7">
      <c r="A7" s="3" t="inlineStr">
        <is>
          <t>000982</t>
        </is>
      </c>
      <c r="B7" s="5">
        <f>COUNTIF('Entetes_TriNumInterne'!$B$2:$B$723,A7)</f>
        <v/>
      </c>
    </row>
    <row r="8">
      <c r="A8" s="3" t="inlineStr">
        <is>
          <t>000983</t>
        </is>
      </c>
      <c r="B8" s="5">
        <f>COUNTIF('Entetes_TriNumInterne'!$B$2:$B$723,A8)</f>
        <v/>
      </c>
    </row>
    <row r="9">
      <c r="A9" s="3" t="inlineStr">
        <is>
          <t>000984</t>
        </is>
      </c>
      <c r="B9" s="5">
        <f>COUNTIF('Entetes_TriNumInterne'!$B$2:$B$723,A9)</f>
        <v/>
      </c>
    </row>
    <row r="10">
      <c r="A10" s="3" t="inlineStr">
        <is>
          <t>000985</t>
        </is>
      </c>
      <c r="B10" s="5">
        <f>COUNTIF('Entetes_TriNumInterne'!$B$2:$B$723,A10)</f>
        <v/>
      </c>
    </row>
    <row r="11">
      <c r="A11" s="3" t="inlineStr">
        <is>
          <t>000986</t>
        </is>
      </c>
      <c r="B11" s="5">
        <f>COUNTIF('Entetes_TriNumInterne'!$B$2:$B$723,A11)</f>
        <v/>
      </c>
    </row>
    <row r="12">
      <c r="A12" s="3" t="inlineStr">
        <is>
          <t>000987</t>
        </is>
      </c>
      <c r="B12" s="5">
        <f>COUNTIF('Entetes_TriNumInterne'!$B$2:$B$723,A12)</f>
        <v/>
      </c>
    </row>
    <row r="13">
      <c r="A13" s="3" t="inlineStr">
        <is>
          <t>000988</t>
        </is>
      </c>
      <c r="B13" s="5">
        <f>COUNTIF('Entetes_TriNumInterne'!$B$2:$B$723,A13)</f>
        <v/>
      </c>
    </row>
    <row r="14">
      <c r="A14" s="3" t="inlineStr">
        <is>
          <t>000989</t>
        </is>
      </c>
      <c r="B14" s="5">
        <f>COUNTIF('Entetes_TriNumInterne'!$B$2:$B$723,A14)</f>
        <v/>
      </c>
    </row>
    <row r="15">
      <c r="A15" s="3" t="inlineStr">
        <is>
          <t>000990</t>
        </is>
      </c>
      <c r="B15" s="5">
        <f>COUNTIF('Entetes_TriNumInterne'!$B$2:$B$723,A15)</f>
        <v/>
      </c>
    </row>
    <row r="16">
      <c r="A16" s="3" t="inlineStr">
        <is>
          <t>000991</t>
        </is>
      </c>
      <c r="B16" s="5">
        <f>COUNTIF('Entetes_TriNumInterne'!$B$2:$B$723,A16)</f>
        <v/>
      </c>
    </row>
    <row r="17">
      <c r="A17" s="3" t="inlineStr">
        <is>
          <t>000992</t>
        </is>
      </c>
      <c r="B17" s="5">
        <f>COUNTIF('Entetes_TriNumInterne'!$B$2:$B$723,A17)</f>
        <v/>
      </c>
    </row>
    <row r="18">
      <c r="A18" s="3" t="inlineStr">
        <is>
          <t>000993</t>
        </is>
      </c>
      <c r="B18" s="5">
        <f>COUNTIF('Entetes_TriNumInterne'!$B$2:$B$723,A18)</f>
        <v/>
      </c>
    </row>
    <row r="19">
      <c r="A19" s="3" t="inlineStr">
        <is>
          <t>000994</t>
        </is>
      </c>
      <c r="B19" s="5">
        <f>COUNTIF('Entetes_TriNumInterne'!$B$2:$B$723,A19)</f>
        <v/>
      </c>
    </row>
    <row r="20">
      <c r="A20" s="3" t="inlineStr">
        <is>
          <t>000995</t>
        </is>
      </c>
      <c r="B20" s="5">
        <f>COUNTIF('Entetes_TriNumInterne'!$B$2:$B$723,A20)</f>
        <v/>
      </c>
    </row>
    <row r="21">
      <c r="A21" s="3" t="inlineStr">
        <is>
          <t>000996</t>
        </is>
      </c>
      <c r="B21" s="5">
        <f>COUNTIF('Entetes_TriNumInterne'!$B$2:$B$723,A21)</f>
        <v/>
      </c>
    </row>
    <row r="22">
      <c r="A22" s="3" t="inlineStr">
        <is>
          <t>000997</t>
        </is>
      </c>
      <c r="B22" s="5">
        <f>COUNTIF('Entetes_TriNumInterne'!$B$2:$B$723,A22)</f>
        <v/>
      </c>
    </row>
    <row r="23">
      <c r="A23" s="3" t="inlineStr">
        <is>
          <t>000998</t>
        </is>
      </c>
      <c r="B23" s="5">
        <f>COUNTIF('Entetes_TriNumInterne'!$B$2:$B$723,A23)</f>
        <v/>
      </c>
    </row>
    <row r="24">
      <c r="A24" s="3" t="inlineStr">
        <is>
          <t>000999</t>
        </is>
      </c>
      <c r="B24" s="5">
        <f>COUNTIF('Entetes_TriNumInterne'!$B$2:$B$723,A24)</f>
        <v/>
      </c>
    </row>
    <row r="25">
      <c r="A25" s="3" t="inlineStr">
        <is>
          <t>001000</t>
        </is>
      </c>
      <c r="B25" s="5">
        <f>COUNTIF('Entetes_TriNumInterne'!$B$2:$B$723,A25)</f>
        <v/>
      </c>
    </row>
    <row r="26">
      <c r="A26" s="3" t="inlineStr">
        <is>
          <t>001001</t>
        </is>
      </c>
      <c r="B26" s="5">
        <f>COUNTIF('Entetes_TriNumInterne'!$B$2:$B$723,A26)</f>
        <v/>
      </c>
    </row>
    <row r="27">
      <c r="A27" s="3" t="inlineStr">
        <is>
          <t>001002</t>
        </is>
      </c>
      <c r="B27" s="5">
        <f>COUNTIF('Entetes_TriNumInterne'!$B$2:$B$723,A27)</f>
        <v/>
      </c>
    </row>
    <row r="28">
      <c r="A28" s="3" t="inlineStr">
        <is>
          <t>001003</t>
        </is>
      </c>
      <c r="B28" s="5">
        <f>COUNTIF('Entetes_TriNumInterne'!$B$2:$B$723,A28)</f>
        <v/>
      </c>
    </row>
    <row r="29">
      <c r="A29" s="3" t="inlineStr">
        <is>
          <t>001004</t>
        </is>
      </c>
      <c r="B29" s="5">
        <f>COUNTIF('Entetes_TriNumInterne'!$B$2:$B$723,A29)</f>
        <v/>
      </c>
    </row>
    <row r="30">
      <c r="A30" s="3" t="inlineStr">
        <is>
          <t>001005</t>
        </is>
      </c>
      <c r="B30" s="5">
        <f>COUNTIF('Entetes_TriNumInterne'!$B$2:$B$723,A30)</f>
        <v/>
      </c>
    </row>
    <row r="31">
      <c r="A31" s="3" t="inlineStr">
        <is>
          <t>001006</t>
        </is>
      </c>
      <c r="B31" s="5">
        <f>COUNTIF('Entetes_TriNumInterne'!$B$2:$B$723,A31)</f>
        <v/>
      </c>
    </row>
    <row r="32">
      <c r="A32" s="3" t="inlineStr">
        <is>
          <t>001007</t>
        </is>
      </c>
      <c r="B32" s="5">
        <f>COUNTIF('Entetes_TriNumInterne'!$B$2:$B$723,A32)</f>
        <v/>
      </c>
    </row>
    <row r="33">
      <c r="A33" s="3" t="inlineStr">
        <is>
          <t>001008</t>
        </is>
      </c>
      <c r="B33" s="5">
        <f>COUNTIF('Entetes_TriNumInterne'!$B$2:$B$723,A33)</f>
        <v/>
      </c>
    </row>
    <row r="34">
      <c r="A34" s="3" t="inlineStr">
        <is>
          <t>001015</t>
        </is>
      </c>
      <c r="B34" s="5">
        <f>COUNTIF('Entetes_TriNumInterne'!$B$2:$B$723,A34)</f>
        <v/>
      </c>
    </row>
    <row r="35">
      <c r="A35" s="3" t="inlineStr">
        <is>
          <t>001017</t>
        </is>
      </c>
      <c r="B35" s="5">
        <f>COUNTIF('Entetes_TriNumInterne'!$B$2:$B$723,A35)</f>
        <v/>
      </c>
    </row>
    <row r="36">
      <c r="A36" s="3" t="inlineStr">
        <is>
          <t>001020</t>
        </is>
      </c>
      <c r="B36" s="5">
        <f>COUNTIF('Entetes_TriNumInterne'!$B$2:$B$723,A36)</f>
        <v/>
      </c>
    </row>
    <row r="37">
      <c r="A37" s="3" t="inlineStr">
        <is>
          <t>001021</t>
        </is>
      </c>
      <c r="B37" s="5">
        <f>COUNTIF('Entetes_TriNumInterne'!$B$2:$B$723,A37)</f>
        <v/>
      </c>
    </row>
    <row r="38">
      <c r="A38" s="3" t="inlineStr">
        <is>
          <t>001022</t>
        </is>
      </c>
      <c r="B38" s="5">
        <f>COUNTIF('Entetes_TriNumInterne'!$B$2:$B$723,A38)</f>
        <v/>
      </c>
    </row>
    <row r="39">
      <c r="A39" s="3" t="inlineStr">
        <is>
          <t>001023</t>
        </is>
      </c>
      <c r="B39" s="5">
        <f>COUNTIF('Entetes_TriNumInterne'!$B$2:$B$723,A39)</f>
        <v/>
      </c>
    </row>
    <row r="40">
      <c r="A40" s="3" t="inlineStr">
        <is>
          <t>001024</t>
        </is>
      </c>
      <c r="B40" s="5">
        <f>COUNTIF('Entetes_TriNumInterne'!$B$2:$B$723,A40)</f>
        <v/>
      </c>
    </row>
    <row r="41">
      <c r="A41" s="3" t="inlineStr">
        <is>
          <t>001025</t>
        </is>
      </c>
      <c r="B41" s="5">
        <f>COUNTIF('Entetes_TriNumInterne'!$B$2:$B$723,A41)</f>
        <v/>
      </c>
    </row>
    <row r="42">
      <c r="A42" s="3" t="inlineStr">
        <is>
          <t>001026</t>
        </is>
      </c>
      <c r="B42" s="5">
        <f>COUNTIF('Entetes_TriNumInterne'!$B$2:$B$723,A42)</f>
        <v/>
      </c>
    </row>
    <row r="43">
      <c r="A43" s="3" t="inlineStr">
        <is>
          <t>001027</t>
        </is>
      </c>
      <c r="B43" s="5">
        <f>COUNTIF('Entetes_TriNumInterne'!$B$2:$B$723,A43)</f>
        <v/>
      </c>
    </row>
    <row r="44">
      <c r="A44" s="3" t="inlineStr">
        <is>
          <t>001029</t>
        </is>
      </c>
      <c r="B44" s="5">
        <f>COUNTIF('Entetes_TriNumInterne'!$B$2:$B$723,A44)</f>
        <v/>
      </c>
    </row>
    <row r="45">
      <c r="A45" s="3" t="inlineStr">
        <is>
          <t>001030</t>
        </is>
      </c>
      <c r="B45" s="5">
        <f>COUNTIF('Entetes_TriNumInterne'!$B$2:$B$723,A45)</f>
        <v/>
      </c>
    </row>
    <row r="46">
      <c r="A46" s="3" t="inlineStr">
        <is>
          <t>001031</t>
        </is>
      </c>
      <c r="B46" s="5">
        <f>COUNTIF('Entetes_TriNumInterne'!$B$2:$B$723,A46)</f>
        <v/>
      </c>
    </row>
    <row r="47">
      <c r="A47" s="3" t="inlineStr">
        <is>
          <t>001033</t>
        </is>
      </c>
      <c r="B47" s="5">
        <f>COUNTIF('Entetes_TriNumInterne'!$B$2:$B$723,A47)</f>
        <v/>
      </c>
    </row>
    <row r="48">
      <c r="A48" s="3" t="inlineStr">
        <is>
          <t>001034</t>
        </is>
      </c>
      <c r="B48" s="5">
        <f>COUNTIF('Entetes_TriNumInterne'!$B$2:$B$723,A48)</f>
        <v/>
      </c>
    </row>
    <row r="49">
      <c r="A49" s="3" t="inlineStr">
        <is>
          <t>001035</t>
        </is>
      </c>
      <c r="B49" s="5">
        <f>COUNTIF('Entetes_TriNumInterne'!$B$2:$B$723,A49)</f>
        <v/>
      </c>
    </row>
    <row r="50">
      <c r="A50" s="3" t="inlineStr">
        <is>
          <t>001038</t>
        </is>
      </c>
      <c r="B50" s="5">
        <f>COUNTIF('Entetes_TriNumInterne'!$B$2:$B$723,A50)</f>
        <v/>
      </c>
    </row>
    <row r="51">
      <c r="A51" s="3" t="inlineStr">
        <is>
          <t>001039</t>
        </is>
      </c>
      <c r="B51" s="5">
        <f>COUNTIF('Entetes_TriNumInterne'!$B$2:$B$723,A51)</f>
        <v/>
      </c>
    </row>
    <row r="52">
      <c r="A52" s="3" t="inlineStr">
        <is>
          <t>001040</t>
        </is>
      </c>
      <c r="B52" s="5">
        <f>COUNTIF('Entetes_TriNumInterne'!$B$2:$B$723,A52)</f>
        <v/>
      </c>
    </row>
    <row r="53">
      <c r="A53" s="3" t="inlineStr">
        <is>
          <t>001041</t>
        </is>
      </c>
      <c r="B53" s="5">
        <f>COUNTIF('Entetes_TriNumInterne'!$B$2:$B$723,A53)</f>
        <v/>
      </c>
    </row>
    <row r="54">
      <c r="A54" s="3" t="inlineStr">
        <is>
          <t>001042</t>
        </is>
      </c>
      <c r="B54" s="5">
        <f>COUNTIF('Entetes_TriNumInterne'!$B$2:$B$723,A54)</f>
        <v/>
      </c>
    </row>
    <row r="55">
      <c r="A55" s="3" t="inlineStr">
        <is>
          <t>001043</t>
        </is>
      </c>
      <c r="B55" s="5">
        <f>COUNTIF('Entetes_TriNumInterne'!$B$2:$B$723,A55)</f>
        <v/>
      </c>
    </row>
    <row r="56">
      <c r="A56" s="3" t="inlineStr">
        <is>
          <t>001044</t>
        </is>
      </c>
      <c r="B56" s="5">
        <f>COUNTIF('Entetes_TriNumInterne'!$B$2:$B$723,A56)</f>
        <v/>
      </c>
    </row>
    <row r="57">
      <c r="A57" s="3" t="inlineStr">
        <is>
          <t>001045</t>
        </is>
      </c>
      <c r="B57" s="5">
        <f>COUNTIF('Entetes_TriNumInterne'!$B$2:$B$723,A57)</f>
        <v/>
      </c>
    </row>
    <row r="58">
      <c r="A58" s="3" t="inlineStr">
        <is>
          <t>001046</t>
        </is>
      </c>
      <c r="B58" s="5">
        <f>COUNTIF('Entetes_TriNumInterne'!$B$2:$B$723,A58)</f>
        <v/>
      </c>
    </row>
    <row r="59">
      <c r="A59" s="3" t="inlineStr">
        <is>
          <t>001055</t>
        </is>
      </c>
      <c r="B59" s="5">
        <f>COUNTIF('Entetes_TriNumInterne'!$B$2:$B$723,A59)</f>
        <v/>
      </c>
    </row>
    <row r="60">
      <c r="A60" s="3" t="inlineStr">
        <is>
          <t>001056</t>
        </is>
      </c>
      <c r="B60" s="5">
        <f>COUNTIF('Entetes_TriNumInterne'!$B$2:$B$723,A60)</f>
        <v/>
      </c>
    </row>
    <row r="61">
      <c r="A61" s="3" t="inlineStr">
        <is>
          <t>001057</t>
        </is>
      </c>
      <c r="B61" s="5">
        <f>COUNTIF('Entetes_TriNumInterne'!$B$2:$B$723,A61)</f>
        <v/>
      </c>
    </row>
    <row r="62">
      <c r="A62" s="3" t="inlineStr">
        <is>
          <t>001058</t>
        </is>
      </c>
      <c r="B62" s="5">
        <f>COUNTIF('Entetes_TriNumInterne'!$B$2:$B$723,A62)</f>
        <v/>
      </c>
    </row>
    <row r="63">
      <c r="A63" s="3" t="inlineStr">
        <is>
          <t>001059</t>
        </is>
      </c>
      <c r="B63" s="5">
        <f>COUNTIF('Entetes_TriNumInterne'!$B$2:$B$723,A63)</f>
        <v/>
      </c>
    </row>
    <row r="64">
      <c r="A64" s="3" t="inlineStr">
        <is>
          <t>001060</t>
        </is>
      </c>
      <c r="B64" s="5">
        <f>COUNTIF('Entetes_TriNumInterne'!$B$2:$B$723,A64)</f>
        <v/>
      </c>
    </row>
    <row r="65">
      <c r="A65" s="3" t="inlineStr">
        <is>
          <t>001062</t>
        </is>
      </c>
      <c r="B65" s="5">
        <f>COUNTIF('Entetes_TriNumInterne'!$B$2:$B$723,A65)</f>
        <v/>
      </c>
    </row>
    <row r="66">
      <c r="A66" s="3" t="inlineStr">
        <is>
          <t>001063</t>
        </is>
      </c>
      <c r="B66" s="5">
        <f>COUNTIF('Entetes_TriNumInterne'!$B$2:$B$723,A66)</f>
        <v/>
      </c>
    </row>
    <row r="67">
      <c r="A67" s="3" t="inlineStr">
        <is>
          <t>001064</t>
        </is>
      </c>
      <c r="B67" s="5">
        <f>COUNTIF('Entetes_TriNumInterne'!$B$2:$B$723,A67)</f>
        <v/>
      </c>
    </row>
    <row r="68">
      <c r="A68" s="3" t="inlineStr">
        <is>
          <t>001066</t>
        </is>
      </c>
      <c r="B68" s="5">
        <f>COUNTIF('Entetes_TriNumInterne'!$B$2:$B$723,A68)</f>
        <v/>
      </c>
    </row>
    <row r="69">
      <c r="A69" s="3" t="inlineStr">
        <is>
          <t>001067</t>
        </is>
      </c>
      <c r="B69" s="5">
        <f>COUNTIF('Entetes_TriNumInterne'!$B$2:$B$723,A69)</f>
        <v/>
      </c>
    </row>
    <row r="70">
      <c r="A70" s="3" t="inlineStr">
        <is>
          <t>001070</t>
        </is>
      </c>
      <c r="B70" s="5">
        <f>COUNTIF('Entetes_TriNumInterne'!$B$2:$B$723,A70)</f>
        <v/>
      </c>
    </row>
    <row r="71">
      <c r="A71" s="3" t="inlineStr">
        <is>
          <t>001071</t>
        </is>
      </c>
      <c r="B71" s="5">
        <f>COUNTIF('Entetes_TriNumInterne'!$B$2:$B$723,A71)</f>
        <v/>
      </c>
    </row>
    <row r="72">
      <c r="A72" s="3" t="inlineStr">
        <is>
          <t>001072</t>
        </is>
      </c>
      <c r="B72" s="5">
        <f>COUNTIF('Entetes_TriNumInterne'!$B$2:$B$723,A72)</f>
        <v/>
      </c>
    </row>
    <row r="73">
      <c r="A73" s="3" t="inlineStr">
        <is>
          <t>001074</t>
        </is>
      </c>
      <c r="B73" s="5">
        <f>COUNTIF('Entetes_TriNumInterne'!$B$2:$B$723,A73)</f>
        <v/>
      </c>
    </row>
    <row r="74">
      <c r="A74" s="3" t="inlineStr">
        <is>
          <t>001075</t>
        </is>
      </c>
      <c r="B74" s="5">
        <f>COUNTIF('Entetes_TriNumInterne'!$B$2:$B$723,A74)</f>
        <v/>
      </c>
    </row>
    <row r="75">
      <c r="A75" s="3" t="inlineStr">
        <is>
          <t>001076</t>
        </is>
      </c>
      <c r="B75" s="5">
        <f>COUNTIF('Entetes_TriNumInterne'!$B$2:$B$723,A75)</f>
        <v/>
      </c>
    </row>
    <row r="76">
      <c r="A76" s="3" t="inlineStr">
        <is>
          <t>001077</t>
        </is>
      </c>
      <c r="B76" s="5">
        <f>COUNTIF('Entetes_TriNumInterne'!$B$2:$B$723,A76)</f>
        <v/>
      </c>
    </row>
    <row r="77">
      <c r="A77" s="3" t="inlineStr">
        <is>
          <t>001078</t>
        </is>
      </c>
      <c r="B77" s="5">
        <f>COUNTIF('Entetes_TriNumInterne'!$B$2:$B$723,A77)</f>
        <v/>
      </c>
    </row>
    <row r="78">
      <c r="A78" s="3" t="inlineStr">
        <is>
          <t>001079</t>
        </is>
      </c>
      <c r="B78" s="5">
        <f>COUNTIF('Entetes_TriNumInterne'!$B$2:$B$723,A78)</f>
        <v/>
      </c>
    </row>
    <row r="79">
      <c r="A79" s="3" t="inlineStr">
        <is>
          <t>001080</t>
        </is>
      </c>
      <c r="B79" s="5">
        <f>COUNTIF('Entetes_TriNumInterne'!$B$2:$B$723,A79)</f>
        <v/>
      </c>
    </row>
    <row r="80">
      <c r="A80" s="3" t="inlineStr">
        <is>
          <t>001081</t>
        </is>
      </c>
      <c r="B80" s="5">
        <f>COUNTIF('Entetes_TriNumInterne'!$B$2:$B$723,A80)</f>
        <v/>
      </c>
    </row>
    <row r="81">
      <c r="A81" s="3" t="inlineStr">
        <is>
          <t>001082</t>
        </is>
      </c>
      <c r="B81" s="5">
        <f>COUNTIF('Entetes_TriNumInterne'!$B$2:$B$723,A81)</f>
        <v/>
      </c>
    </row>
    <row r="82">
      <c r="A82" s="3" t="inlineStr">
        <is>
          <t>001083</t>
        </is>
      </c>
      <c r="B82" s="5">
        <f>COUNTIF('Entetes_TriNumInterne'!$B$2:$B$723,A82)</f>
        <v/>
      </c>
    </row>
    <row r="83">
      <c r="A83" s="3" t="inlineStr">
        <is>
          <t>001084</t>
        </is>
      </c>
      <c r="B83" s="5">
        <f>COUNTIF('Entetes_TriNumInterne'!$B$2:$B$723,A83)</f>
        <v/>
      </c>
    </row>
    <row r="84">
      <c r="A84" s="3" t="inlineStr">
        <is>
          <t>001092</t>
        </is>
      </c>
      <c r="B84" s="5">
        <f>COUNTIF('Entetes_TriNumInterne'!$B$2:$B$723,A84)</f>
        <v/>
      </c>
    </row>
    <row r="85">
      <c r="A85" s="3" t="inlineStr">
        <is>
          <t>001098</t>
        </is>
      </c>
      <c r="B85" s="5">
        <f>COUNTIF('Entetes_TriNumInterne'!$B$2:$B$723,A85)</f>
        <v/>
      </c>
    </row>
    <row r="86">
      <c r="A86" s="3" t="inlineStr">
        <is>
          <t>001099</t>
        </is>
      </c>
      <c r="B86" s="5">
        <f>COUNTIF('Entetes_TriNumInterne'!$B$2:$B$723,A86)</f>
        <v/>
      </c>
    </row>
    <row r="87">
      <c r="A87" s="3" t="inlineStr">
        <is>
          <t>001100</t>
        </is>
      </c>
      <c r="B87" s="5">
        <f>COUNTIF('Entetes_TriNumInterne'!$B$2:$B$723,A87)</f>
        <v/>
      </c>
    </row>
    <row r="88">
      <c r="A88" s="3" t="inlineStr">
        <is>
          <t>001107</t>
        </is>
      </c>
      <c r="B88" s="5">
        <f>COUNTIF('Entetes_TriNumInterne'!$B$2:$B$723,A88)</f>
        <v/>
      </c>
    </row>
    <row r="89">
      <c r="A89" s="3" t="inlineStr">
        <is>
          <t>001109</t>
        </is>
      </c>
      <c r="B89" s="5">
        <f>COUNTIF('Entetes_TriNumInterne'!$B$2:$B$723,A89)</f>
        <v/>
      </c>
    </row>
    <row r="90">
      <c r="A90" s="3" t="inlineStr">
        <is>
          <t>001110</t>
        </is>
      </c>
      <c r="B90" s="5">
        <f>COUNTIF('Entetes_TriNumInterne'!$B$2:$B$723,A90)</f>
        <v/>
      </c>
    </row>
    <row r="91">
      <c r="A91" s="3" t="inlineStr">
        <is>
          <t>001111</t>
        </is>
      </c>
      <c r="B91" s="5">
        <f>COUNTIF('Entetes_TriNumInterne'!$B$2:$B$723,A91)</f>
        <v/>
      </c>
    </row>
    <row r="92">
      <c r="A92" s="3" t="inlineStr">
        <is>
          <t>001112</t>
        </is>
      </c>
      <c r="B92" s="5">
        <f>COUNTIF('Entetes_TriNumInterne'!$B$2:$B$723,A92)</f>
        <v/>
      </c>
    </row>
    <row r="93">
      <c r="A93" s="3" t="inlineStr">
        <is>
          <t>001114</t>
        </is>
      </c>
      <c r="B93" s="5">
        <f>COUNTIF('Entetes_TriNumInterne'!$B$2:$B$723,A93)</f>
        <v/>
      </c>
    </row>
    <row r="94">
      <c r="A94" s="3" t="inlineStr">
        <is>
          <t>001115</t>
        </is>
      </c>
      <c r="B94" s="5">
        <f>COUNTIF('Entetes_TriNumInterne'!$B$2:$B$723,A94)</f>
        <v/>
      </c>
    </row>
    <row r="95">
      <c r="A95" s="3" t="inlineStr">
        <is>
          <t>001119</t>
        </is>
      </c>
      <c r="B95" s="5">
        <f>COUNTIF('Entetes_TriNumInterne'!$B$2:$B$723,A95)</f>
        <v/>
      </c>
    </row>
    <row r="96">
      <c r="A96" s="3" t="inlineStr">
        <is>
          <t>001120</t>
        </is>
      </c>
      <c r="B96" s="5">
        <f>COUNTIF('Entetes_TriNumInterne'!$B$2:$B$723,A96)</f>
        <v/>
      </c>
    </row>
    <row r="97">
      <c r="A97" s="3" t="inlineStr">
        <is>
          <t>001122</t>
        </is>
      </c>
      <c r="B97" s="5">
        <f>COUNTIF('Entetes_TriNumInterne'!$B$2:$B$723,A97)</f>
        <v/>
      </c>
    </row>
    <row r="98">
      <c r="A98" s="3" t="inlineStr">
        <is>
          <t>001123</t>
        </is>
      </c>
      <c r="B98" s="5">
        <f>COUNTIF('Entetes_TriNumInterne'!$B$2:$B$723,A98)</f>
        <v/>
      </c>
    </row>
    <row r="99">
      <c r="A99" s="3" t="inlineStr">
        <is>
          <t>001130</t>
        </is>
      </c>
      <c r="B99" s="5">
        <f>COUNTIF('Entetes_TriNumInterne'!$B$2:$B$723,A99)</f>
        <v/>
      </c>
    </row>
    <row r="100">
      <c r="A100" s="3" t="inlineStr">
        <is>
          <t>001131</t>
        </is>
      </c>
      <c r="B100" s="5">
        <f>COUNTIF('Entetes_TriNumInterne'!$B$2:$B$723,A100)</f>
        <v/>
      </c>
    </row>
    <row r="101">
      <c r="A101" s="3" t="inlineStr">
        <is>
          <t>001132</t>
        </is>
      </c>
      <c r="B101" s="5">
        <f>COUNTIF('Entetes_TriNumInterne'!$B$2:$B$723,A101)</f>
        <v/>
      </c>
    </row>
    <row r="102">
      <c r="A102" s="3" t="inlineStr">
        <is>
          <t>001134</t>
        </is>
      </c>
      <c r="B102" s="5">
        <f>COUNTIF('Entetes_TriNumInterne'!$B$2:$B$723,A102)</f>
        <v/>
      </c>
    </row>
    <row r="103">
      <c r="A103" s="3" t="inlineStr">
        <is>
          <t>001136</t>
        </is>
      </c>
      <c r="B103" s="5">
        <f>COUNTIF('Entetes_TriNumInterne'!$B$2:$B$723,A103)</f>
        <v/>
      </c>
    </row>
    <row r="104">
      <c r="A104" s="3" t="inlineStr">
        <is>
          <t>001137</t>
        </is>
      </c>
      <c r="B104" s="5">
        <f>COUNTIF('Entetes_TriNumInterne'!$B$2:$B$723,A104)</f>
        <v/>
      </c>
    </row>
    <row r="105">
      <c r="A105" s="3" t="inlineStr">
        <is>
          <t>001138</t>
        </is>
      </c>
      <c r="B105" s="5">
        <f>COUNTIF('Entetes_TriNumInterne'!$B$2:$B$723,A105)</f>
        <v/>
      </c>
    </row>
    <row r="106">
      <c r="A106" s="3" t="inlineStr">
        <is>
          <t>001139</t>
        </is>
      </c>
      <c r="B106" s="5">
        <f>COUNTIF('Entetes_TriNumInterne'!$B$2:$B$723,A106)</f>
        <v/>
      </c>
    </row>
    <row r="107">
      <c r="A107" s="3" t="inlineStr">
        <is>
          <t>001140</t>
        </is>
      </c>
      <c r="B107" s="5">
        <f>COUNTIF('Entetes_TriNumInterne'!$B$2:$B$723,A107)</f>
        <v/>
      </c>
    </row>
    <row r="108">
      <c r="A108" s="3" t="inlineStr">
        <is>
          <t>001141</t>
        </is>
      </c>
      <c r="B108" s="5">
        <f>COUNTIF('Entetes_TriNumInterne'!$B$2:$B$723,A108)</f>
        <v/>
      </c>
    </row>
    <row r="109">
      <c r="A109" s="3" t="inlineStr">
        <is>
          <t>001142</t>
        </is>
      </c>
      <c r="B109" s="5">
        <f>COUNTIF('Entetes_TriNumInterne'!$B$2:$B$723,A109)</f>
        <v/>
      </c>
    </row>
    <row r="110">
      <c r="A110" s="3" t="inlineStr">
        <is>
          <t>001144</t>
        </is>
      </c>
      <c r="B110" s="5">
        <f>COUNTIF('Entetes_TriNumInterne'!$B$2:$B$723,A110)</f>
        <v/>
      </c>
    </row>
    <row r="111">
      <c r="A111" s="3" t="inlineStr">
        <is>
          <t>001145</t>
        </is>
      </c>
      <c r="B111" s="5">
        <f>COUNTIF('Entetes_TriNumInterne'!$B$2:$B$723,A111)</f>
        <v/>
      </c>
    </row>
    <row r="112">
      <c r="A112" s="3" t="inlineStr">
        <is>
          <t>001146</t>
        </is>
      </c>
      <c r="B112" s="5">
        <f>COUNTIF('Entetes_TriNumInterne'!$B$2:$B$723,A112)</f>
        <v/>
      </c>
    </row>
    <row r="113">
      <c r="A113" s="3" t="inlineStr">
        <is>
          <t>001147</t>
        </is>
      </c>
      <c r="B113" s="5">
        <f>COUNTIF('Entetes_TriNumInterne'!$B$2:$B$723,A113)</f>
        <v/>
      </c>
    </row>
    <row r="114">
      <c r="A114" s="3" t="inlineStr">
        <is>
          <t>001148</t>
        </is>
      </c>
      <c r="B114" s="5">
        <f>COUNTIF('Entetes_TriNumInterne'!$B$2:$B$723,A114)</f>
        <v/>
      </c>
    </row>
    <row r="115">
      <c r="A115" s="3" t="inlineStr">
        <is>
          <t>001149</t>
        </is>
      </c>
      <c r="B115" s="5">
        <f>COUNTIF('Entetes_TriNumInterne'!$B$2:$B$723,A115)</f>
        <v/>
      </c>
    </row>
    <row r="116">
      <c r="A116" s="3" t="inlineStr">
        <is>
          <t>001150</t>
        </is>
      </c>
      <c r="B116" s="5">
        <f>COUNTIF('Entetes_TriNumInterne'!$B$2:$B$723,A116)</f>
        <v/>
      </c>
    </row>
    <row r="117">
      <c r="A117" s="3" t="inlineStr">
        <is>
          <t>001152</t>
        </is>
      </c>
      <c r="B117" s="5">
        <f>COUNTIF('Entetes_TriNumInterne'!$B$2:$B$723,A117)</f>
        <v/>
      </c>
    </row>
    <row r="118">
      <c r="A118" s="3" t="inlineStr">
        <is>
          <t>001153</t>
        </is>
      </c>
      <c r="B118" s="5">
        <f>COUNTIF('Entetes_TriNumInterne'!$B$2:$B$723,A118)</f>
        <v/>
      </c>
    </row>
    <row r="119">
      <c r="A119" s="3" t="inlineStr">
        <is>
          <t>001154</t>
        </is>
      </c>
      <c r="B119" s="5">
        <f>COUNTIF('Entetes_TriNumInterne'!$B$2:$B$723,A119)</f>
        <v/>
      </c>
    </row>
    <row r="120">
      <c r="A120" s="3" t="inlineStr">
        <is>
          <t>001155</t>
        </is>
      </c>
      <c r="B120" s="5">
        <f>COUNTIF('Entetes_TriNumInterne'!$B$2:$B$723,A120)</f>
        <v/>
      </c>
    </row>
    <row r="121">
      <c r="A121" s="3" t="inlineStr">
        <is>
          <t>001156</t>
        </is>
      </c>
      <c r="B121" s="5">
        <f>COUNTIF('Entetes_TriNumInterne'!$B$2:$B$723,A121)</f>
        <v/>
      </c>
    </row>
    <row r="122">
      <c r="A122" s="3" t="inlineStr">
        <is>
          <t>001157</t>
        </is>
      </c>
      <c r="B122" s="5">
        <f>COUNTIF('Entetes_TriNumInterne'!$B$2:$B$723,A122)</f>
        <v/>
      </c>
    </row>
    <row r="123">
      <c r="A123" s="3" t="inlineStr">
        <is>
          <t>001162</t>
        </is>
      </c>
      <c r="B123" s="5">
        <f>COUNTIF('Entetes_TriNumInterne'!$B$2:$B$723,A123)</f>
        <v/>
      </c>
    </row>
    <row r="124">
      <c r="A124" s="3" t="inlineStr">
        <is>
          <t>001164</t>
        </is>
      </c>
      <c r="B124" s="5">
        <f>COUNTIF('Entetes_TriNumInterne'!$B$2:$B$723,A124)</f>
        <v/>
      </c>
    </row>
    <row r="125">
      <c r="A125" s="3" t="inlineStr">
        <is>
          <t>001165</t>
        </is>
      </c>
      <c r="B125" s="5">
        <f>COUNTIF('Entetes_TriNumInterne'!$B$2:$B$723,A125)</f>
        <v/>
      </c>
    </row>
    <row r="126">
      <c r="A126" s="3" t="inlineStr">
        <is>
          <t>001166</t>
        </is>
      </c>
      <c r="B126" s="5">
        <f>COUNTIF('Entetes_TriNumInterne'!$B$2:$B$723,A126)</f>
        <v/>
      </c>
    </row>
    <row r="127">
      <c r="A127" s="3" t="inlineStr">
        <is>
          <t>001167</t>
        </is>
      </c>
      <c r="B127" s="5">
        <f>COUNTIF('Entetes_TriNumInterne'!$B$2:$B$723,A127)</f>
        <v/>
      </c>
    </row>
    <row r="128">
      <c r="A128" s="3" t="inlineStr">
        <is>
          <t>001168</t>
        </is>
      </c>
      <c r="B128" s="5">
        <f>COUNTIF('Entetes_TriNumInterne'!$B$2:$B$723,A128)</f>
        <v/>
      </c>
    </row>
    <row r="129">
      <c r="A129" s="3" t="inlineStr">
        <is>
          <t>001169</t>
        </is>
      </c>
      <c r="B129" s="5">
        <f>COUNTIF('Entetes_TriNumInterne'!$B$2:$B$723,A129)</f>
        <v/>
      </c>
    </row>
    <row r="130">
      <c r="A130" s="3" t="inlineStr">
        <is>
          <t>001170</t>
        </is>
      </c>
      <c r="B130" s="5">
        <f>COUNTIF('Entetes_TriNumInterne'!$B$2:$B$723,A130)</f>
        <v/>
      </c>
    </row>
    <row r="131">
      <c r="A131" s="3" t="inlineStr">
        <is>
          <t>001171</t>
        </is>
      </c>
      <c r="B131" s="5">
        <f>COUNTIF('Entetes_TriNumInterne'!$B$2:$B$723,A131)</f>
        <v/>
      </c>
    </row>
    <row r="132">
      <c r="A132" s="3" t="inlineStr">
        <is>
          <t>001172</t>
        </is>
      </c>
      <c r="B132" s="5">
        <f>COUNTIF('Entetes_TriNumInterne'!$B$2:$B$723,A132)</f>
        <v/>
      </c>
    </row>
    <row r="133">
      <c r="A133" s="3" t="inlineStr">
        <is>
          <t>001174</t>
        </is>
      </c>
      <c r="B133" s="5">
        <f>COUNTIF('Entetes_TriNumInterne'!$B$2:$B$723,A133)</f>
        <v/>
      </c>
    </row>
    <row r="134">
      <c r="A134" s="3" t="inlineStr">
        <is>
          <t>001175</t>
        </is>
      </c>
      <c r="B134" s="5">
        <f>COUNTIF('Entetes_TriNumInterne'!$B$2:$B$723,A134)</f>
        <v/>
      </c>
    </row>
    <row r="135">
      <c r="A135" s="3" t="inlineStr">
        <is>
          <t>001176</t>
        </is>
      </c>
      <c r="B135" s="5">
        <f>COUNTIF('Entetes_TriNumInterne'!$B$2:$B$723,A135)</f>
        <v/>
      </c>
    </row>
    <row r="136">
      <c r="A136" s="3" t="inlineStr">
        <is>
          <t>001177</t>
        </is>
      </c>
      <c r="B136" s="5">
        <f>COUNTIF('Entetes_TriNumInterne'!$B$2:$B$723,A136)</f>
        <v/>
      </c>
    </row>
    <row r="137">
      <c r="A137" s="3" t="inlineStr">
        <is>
          <t>001178</t>
        </is>
      </c>
      <c r="B137" s="5">
        <f>COUNTIF('Entetes_TriNumInterne'!$B$2:$B$723,A137)</f>
        <v/>
      </c>
    </row>
    <row r="138">
      <c r="A138" s="3" t="inlineStr">
        <is>
          <t>001179</t>
        </is>
      </c>
      <c r="B138" s="5">
        <f>COUNTIF('Entetes_TriNumInterne'!$B$2:$B$723,A138)</f>
        <v/>
      </c>
    </row>
    <row r="139">
      <c r="A139" s="3" t="inlineStr">
        <is>
          <t>001180</t>
        </is>
      </c>
      <c r="B139" s="5">
        <f>COUNTIF('Entetes_TriNumInterne'!$B$2:$B$723,A139)</f>
        <v/>
      </c>
    </row>
    <row r="140">
      <c r="A140" s="3" t="inlineStr">
        <is>
          <t>001181</t>
        </is>
      </c>
      <c r="B140" s="5">
        <f>COUNTIF('Entetes_TriNumInterne'!$B$2:$B$723,A140)</f>
        <v/>
      </c>
    </row>
    <row r="141">
      <c r="A141" s="3" t="inlineStr">
        <is>
          <t>001182</t>
        </is>
      </c>
      <c r="B141" s="5">
        <f>COUNTIF('Entetes_TriNumInterne'!$B$2:$B$723,A141)</f>
        <v/>
      </c>
    </row>
    <row r="142">
      <c r="A142" s="3" t="inlineStr">
        <is>
          <t>001184</t>
        </is>
      </c>
      <c r="B142" s="5">
        <f>COUNTIF('Entetes_TriNumInterne'!$B$2:$B$723,A142)</f>
        <v/>
      </c>
    </row>
    <row r="143">
      <c r="A143" s="3" t="inlineStr">
        <is>
          <t>001186</t>
        </is>
      </c>
      <c r="B143" s="5">
        <f>COUNTIF('Entetes_TriNumInterne'!$B$2:$B$723,A143)</f>
        <v/>
      </c>
    </row>
    <row r="144">
      <c r="A144" s="3" t="inlineStr">
        <is>
          <t>001187</t>
        </is>
      </c>
      <c r="B144" s="5">
        <f>COUNTIF('Entetes_TriNumInterne'!$B$2:$B$723,A144)</f>
        <v/>
      </c>
    </row>
    <row r="145">
      <c r="A145" s="3" t="inlineStr">
        <is>
          <t>001188</t>
        </is>
      </c>
      <c r="B145" s="5">
        <f>COUNTIF('Entetes_TriNumInterne'!$B$2:$B$723,A145)</f>
        <v/>
      </c>
    </row>
    <row r="146">
      <c r="A146" s="3" t="inlineStr">
        <is>
          <t>001189</t>
        </is>
      </c>
      <c r="B146" s="5">
        <f>COUNTIF('Entetes_TriNumInterne'!$B$2:$B$723,A146)</f>
        <v/>
      </c>
    </row>
    <row r="147">
      <c r="A147" s="3" t="inlineStr">
        <is>
          <t>001190</t>
        </is>
      </c>
      <c r="B147" s="5">
        <f>COUNTIF('Entetes_TriNumInterne'!$B$2:$B$723,A147)</f>
        <v/>
      </c>
    </row>
    <row r="148">
      <c r="A148" s="3" t="inlineStr">
        <is>
          <t>001194</t>
        </is>
      </c>
      <c r="B148" s="5">
        <f>COUNTIF('Entetes_TriNumInterne'!$B$2:$B$723,A148)</f>
        <v/>
      </c>
    </row>
    <row r="149">
      <c r="A149" s="3" t="inlineStr">
        <is>
          <t>001195</t>
        </is>
      </c>
      <c r="B149" s="5">
        <f>COUNTIF('Entetes_TriNumInterne'!$B$2:$B$723,A149)</f>
        <v/>
      </c>
    </row>
    <row r="150">
      <c r="A150" s="3" t="inlineStr">
        <is>
          <t>001196</t>
        </is>
      </c>
      <c r="B150" s="5">
        <f>COUNTIF('Entetes_TriNumInterne'!$B$2:$B$723,A150)</f>
        <v/>
      </c>
    </row>
    <row r="151">
      <c r="A151" s="3" t="inlineStr">
        <is>
          <t>001197</t>
        </is>
      </c>
      <c r="B151" s="5">
        <f>COUNTIF('Entetes_TriNumInterne'!$B$2:$B$723,A151)</f>
        <v/>
      </c>
    </row>
    <row r="152">
      <c r="A152" s="3" t="inlineStr">
        <is>
          <t>001198</t>
        </is>
      </c>
      <c r="B152" s="5">
        <f>COUNTIF('Entetes_TriNumInterne'!$B$2:$B$723,A152)</f>
        <v/>
      </c>
    </row>
    <row r="153">
      <c r="A153" s="3" t="inlineStr">
        <is>
          <t>001202</t>
        </is>
      </c>
      <c r="B153" s="5">
        <f>COUNTIF('Entetes_TriNumInterne'!$B$2:$B$723,A153)</f>
        <v/>
      </c>
    </row>
    <row r="154">
      <c r="A154" s="3" t="inlineStr">
        <is>
          <t>001203</t>
        </is>
      </c>
      <c r="B154" s="5">
        <f>COUNTIF('Entetes_TriNumInterne'!$B$2:$B$723,A154)</f>
        <v/>
      </c>
    </row>
    <row r="155">
      <c r="A155" s="3" t="inlineStr">
        <is>
          <t>001204</t>
        </is>
      </c>
      <c r="B155" s="5">
        <f>COUNTIF('Entetes_TriNumInterne'!$B$2:$B$723,A155)</f>
        <v/>
      </c>
    </row>
    <row r="156">
      <c r="A156" s="3" t="inlineStr">
        <is>
          <t>001205</t>
        </is>
      </c>
      <c r="B156" s="5">
        <f>COUNTIF('Entetes_TriNumInterne'!$B$2:$B$723,A156)</f>
        <v/>
      </c>
    </row>
    <row r="157">
      <c r="A157" s="3" t="inlineStr">
        <is>
          <t>001206</t>
        </is>
      </c>
      <c r="B157" s="5">
        <f>COUNTIF('Entetes_TriNumInterne'!$B$2:$B$723,A157)</f>
        <v/>
      </c>
    </row>
    <row r="158">
      <c r="A158" s="3" t="inlineStr">
        <is>
          <t>001207</t>
        </is>
      </c>
      <c r="B158" s="5">
        <f>COUNTIF('Entetes_TriNumInterne'!$B$2:$B$723,A158)</f>
        <v/>
      </c>
    </row>
    <row r="159">
      <c r="A159" s="3" t="inlineStr">
        <is>
          <t>001208</t>
        </is>
      </c>
      <c r="B159" s="5">
        <f>COUNTIF('Entetes_TriNumInterne'!$B$2:$B$723,A159)</f>
        <v/>
      </c>
    </row>
    <row r="160">
      <c r="A160" s="3" t="inlineStr">
        <is>
          <t>001209</t>
        </is>
      </c>
      <c r="B160" s="5">
        <f>COUNTIF('Entetes_TriNumInterne'!$B$2:$B$723,A160)</f>
        <v/>
      </c>
    </row>
    <row r="161">
      <c r="A161" s="3" t="inlineStr">
        <is>
          <t>001210</t>
        </is>
      </c>
      <c r="B161" s="5">
        <f>COUNTIF('Entetes_TriNumInterne'!$B$2:$B$723,A161)</f>
        <v/>
      </c>
    </row>
    <row r="162">
      <c r="A162" s="3" t="inlineStr">
        <is>
          <t>001211</t>
        </is>
      </c>
      <c r="B162" s="5">
        <f>COUNTIF('Entetes_TriNumInterne'!$B$2:$B$723,A162)</f>
        <v/>
      </c>
    </row>
    <row r="163">
      <c r="A163" s="3" t="inlineStr">
        <is>
          <t>001212</t>
        </is>
      </c>
      <c r="B163" s="5">
        <f>COUNTIF('Entetes_TriNumInterne'!$B$2:$B$723,A163)</f>
        <v/>
      </c>
    </row>
    <row r="164">
      <c r="A164" s="3" t="inlineStr">
        <is>
          <t>001213</t>
        </is>
      </c>
      <c r="B164" s="5">
        <f>COUNTIF('Entetes_TriNumInterne'!$B$2:$B$723,A164)</f>
        <v/>
      </c>
    </row>
    <row r="165">
      <c r="A165" s="3" t="inlineStr">
        <is>
          <t>001214</t>
        </is>
      </c>
      <c r="B165" s="5">
        <f>COUNTIF('Entetes_TriNumInterne'!$B$2:$B$723,A165)</f>
        <v/>
      </c>
    </row>
    <row r="166">
      <c r="A166" s="3" t="inlineStr">
        <is>
          <t>001215</t>
        </is>
      </c>
      <c r="B166" s="5">
        <f>COUNTIF('Entetes_TriNumInterne'!$B$2:$B$723,A166)</f>
        <v/>
      </c>
    </row>
    <row r="167">
      <c r="A167" s="3" t="inlineStr">
        <is>
          <t>001216</t>
        </is>
      </c>
      <c r="B167" s="5">
        <f>COUNTIF('Entetes_TriNumInterne'!$B$2:$B$723,A167)</f>
        <v/>
      </c>
    </row>
    <row r="168">
      <c r="A168" s="3" t="inlineStr">
        <is>
          <t>001217</t>
        </is>
      </c>
      <c r="B168" s="5">
        <f>COUNTIF('Entetes_TriNumInterne'!$B$2:$B$723,A168)</f>
        <v/>
      </c>
    </row>
    <row r="169">
      <c r="A169" s="3" t="inlineStr">
        <is>
          <t>001218</t>
        </is>
      </c>
      <c r="B169" s="5">
        <f>COUNTIF('Entetes_TriNumInterne'!$B$2:$B$723,A169)</f>
        <v/>
      </c>
    </row>
    <row r="170">
      <c r="A170" s="3" t="inlineStr">
        <is>
          <t>001219</t>
        </is>
      </c>
      <c r="B170" s="5">
        <f>COUNTIF('Entetes_TriNumInterne'!$B$2:$B$723,A170)</f>
        <v/>
      </c>
    </row>
    <row r="171">
      <c r="A171" s="3" t="inlineStr">
        <is>
          <t>001220</t>
        </is>
      </c>
      <c r="B171" s="5">
        <f>COUNTIF('Entetes_TriNumInterne'!$B$2:$B$723,A171)</f>
        <v/>
      </c>
    </row>
    <row r="172">
      <c r="A172" s="3" t="inlineStr">
        <is>
          <t>001222</t>
        </is>
      </c>
      <c r="B172" s="5">
        <f>COUNTIF('Entetes_TriNumInterne'!$B$2:$B$723,A172)</f>
        <v/>
      </c>
    </row>
    <row r="173">
      <c r="A173" s="3" t="inlineStr">
        <is>
          <t>001223</t>
        </is>
      </c>
      <c r="B173" s="5">
        <f>COUNTIF('Entetes_TriNumInterne'!$B$2:$B$723,A173)</f>
        <v/>
      </c>
    </row>
    <row r="174">
      <c r="A174" s="3" t="inlineStr">
        <is>
          <t>001224</t>
        </is>
      </c>
      <c r="B174" s="5">
        <f>COUNTIF('Entetes_TriNumInterne'!$B$2:$B$723,A174)</f>
        <v/>
      </c>
    </row>
    <row r="175">
      <c r="A175" s="3" t="inlineStr">
        <is>
          <t>001225</t>
        </is>
      </c>
      <c r="B175" s="5">
        <f>COUNTIF('Entetes_TriNumInterne'!$B$2:$B$723,A175)</f>
        <v/>
      </c>
    </row>
    <row r="176">
      <c r="A176" s="3" t="inlineStr">
        <is>
          <t>001226</t>
        </is>
      </c>
      <c r="B176" s="5">
        <f>COUNTIF('Entetes_TriNumInterne'!$B$2:$B$723,A176)</f>
        <v/>
      </c>
    </row>
    <row r="177">
      <c r="A177" s="3" t="inlineStr">
        <is>
          <t>001228</t>
        </is>
      </c>
      <c r="B177" s="5">
        <f>COUNTIF('Entetes_TriNumInterne'!$B$2:$B$723,A177)</f>
        <v/>
      </c>
    </row>
    <row r="178">
      <c r="A178" s="3" t="inlineStr">
        <is>
          <t>001229</t>
        </is>
      </c>
      <c r="B178" s="5">
        <f>COUNTIF('Entetes_TriNumInterne'!$B$2:$B$723,A178)</f>
        <v/>
      </c>
    </row>
    <row r="179">
      <c r="A179" s="3" t="inlineStr">
        <is>
          <t>001230</t>
        </is>
      </c>
      <c r="B179" s="5">
        <f>COUNTIF('Entetes_TriNumInterne'!$B$2:$B$723,A179)</f>
        <v/>
      </c>
    </row>
    <row r="180">
      <c r="A180" s="3" t="inlineStr">
        <is>
          <t>001234</t>
        </is>
      </c>
      <c r="B180" s="5">
        <f>COUNTIF('Entetes_TriNumInterne'!$B$2:$B$723,A180)</f>
        <v/>
      </c>
    </row>
    <row r="181">
      <c r="A181" s="3" t="inlineStr">
        <is>
          <t>001235</t>
        </is>
      </c>
      <c r="B181" s="5">
        <f>COUNTIF('Entetes_TriNumInterne'!$B$2:$B$723,A181)</f>
        <v/>
      </c>
    </row>
    <row r="182">
      <c r="A182" s="3" t="inlineStr">
        <is>
          <t>001236</t>
        </is>
      </c>
      <c r="B182" s="5">
        <f>COUNTIF('Entetes_TriNumInterne'!$B$2:$B$723,A182)</f>
        <v/>
      </c>
    </row>
    <row r="183">
      <c r="A183" s="3" t="inlineStr">
        <is>
          <t>001237</t>
        </is>
      </c>
      <c r="B183" s="5">
        <f>COUNTIF('Entetes_TriNumInterne'!$B$2:$B$723,A183)</f>
        <v/>
      </c>
    </row>
    <row r="184">
      <c r="A184" s="3" t="inlineStr">
        <is>
          <t>001238</t>
        </is>
      </c>
      <c r="B184" s="5">
        <f>COUNTIF('Entetes_TriNumInterne'!$B$2:$B$723,A184)</f>
        <v/>
      </c>
    </row>
    <row r="185">
      <c r="A185" s="3" t="inlineStr">
        <is>
          <t>001239</t>
        </is>
      </c>
      <c r="B185" s="5">
        <f>COUNTIF('Entetes_TriNumInterne'!$B$2:$B$723,A185)</f>
        <v/>
      </c>
    </row>
    <row r="186">
      <c r="A186" s="3" t="inlineStr">
        <is>
          <t>001240</t>
        </is>
      </c>
      <c r="B186" s="5">
        <f>COUNTIF('Entetes_TriNumInterne'!$B$2:$B$723,A186)</f>
        <v/>
      </c>
    </row>
    <row r="187">
      <c r="A187" s="3" t="inlineStr">
        <is>
          <t>001246</t>
        </is>
      </c>
      <c r="B187" s="5">
        <f>COUNTIF('Entetes_TriNumInterne'!$B$2:$B$723,A187)</f>
        <v/>
      </c>
    </row>
    <row r="188">
      <c r="A188" s="3" t="inlineStr">
        <is>
          <t>001249</t>
        </is>
      </c>
      <c r="B188" s="5">
        <f>COUNTIF('Entetes_TriNumInterne'!$B$2:$B$723,A188)</f>
        <v/>
      </c>
    </row>
    <row r="189">
      <c r="A189" s="3" t="inlineStr">
        <is>
          <t>001260</t>
        </is>
      </c>
      <c r="B189" s="5">
        <f>COUNTIF('Entetes_TriNumInterne'!$B$2:$B$723,A189)</f>
        <v/>
      </c>
    </row>
    <row r="190">
      <c r="A190" s="3" t="inlineStr">
        <is>
          <t>001261</t>
        </is>
      </c>
      <c r="B190" s="5">
        <f>COUNTIF('Entetes_TriNumInterne'!$B$2:$B$723,A190)</f>
        <v/>
      </c>
    </row>
    <row r="191">
      <c r="A191" s="3" t="inlineStr">
        <is>
          <t>001262</t>
        </is>
      </c>
      <c r="B191" s="5">
        <f>COUNTIF('Entetes_TriNumInterne'!$B$2:$B$723,A191)</f>
        <v/>
      </c>
    </row>
    <row r="192">
      <c r="A192" s="3" t="inlineStr">
        <is>
          <t>001263</t>
        </is>
      </c>
      <c r="B192" s="5">
        <f>COUNTIF('Entetes_TriNumInterne'!$B$2:$B$723,A192)</f>
        <v/>
      </c>
    </row>
    <row r="193">
      <c r="A193" s="3" t="inlineStr">
        <is>
          <t>001264</t>
        </is>
      </c>
      <c r="B193" s="5">
        <f>COUNTIF('Entetes_TriNumInterne'!$B$2:$B$723,A193)</f>
        <v/>
      </c>
    </row>
    <row r="194">
      <c r="A194" s="3" t="inlineStr">
        <is>
          <t>001265</t>
        </is>
      </c>
      <c r="B194" s="5">
        <f>COUNTIF('Entetes_TriNumInterne'!$B$2:$B$723,A194)</f>
        <v/>
      </c>
    </row>
    <row r="195">
      <c r="A195" s="3" t="inlineStr">
        <is>
          <t>001266</t>
        </is>
      </c>
      <c r="B195" s="5">
        <f>COUNTIF('Entetes_TriNumInterne'!$B$2:$B$723,A195)</f>
        <v/>
      </c>
    </row>
    <row r="196">
      <c r="A196" s="3" t="inlineStr">
        <is>
          <t>001269</t>
        </is>
      </c>
      <c r="B196" s="5">
        <f>COUNTIF('Entetes_TriNumInterne'!$B$2:$B$723,A196)</f>
        <v/>
      </c>
    </row>
    <row r="197">
      <c r="A197" s="3" t="inlineStr">
        <is>
          <t>001270</t>
        </is>
      </c>
      <c r="B197" s="5">
        <f>COUNTIF('Entetes_TriNumInterne'!$B$2:$B$723,A197)</f>
        <v/>
      </c>
    </row>
    <row r="198">
      <c r="A198" s="3" t="inlineStr">
        <is>
          <t>001271</t>
        </is>
      </c>
      <c r="B198" s="5">
        <f>COUNTIF('Entetes_TriNumInterne'!$B$2:$B$723,A198)</f>
        <v/>
      </c>
    </row>
    <row r="199">
      <c r="A199" s="3" t="inlineStr">
        <is>
          <t>001272</t>
        </is>
      </c>
      <c r="B199" s="5">
        <f>COUNTIF('Entetes_TriNumInterne'!$B$2:$B$723,A199)</f>
        <v/>
      </c>
    </row>
    <row r="200">
      <c r="A200" s="3" t="inlineStr">
        <is>
          <t>001273</t>
        </is>
      </c>
      <c r="B200" s="5">
        <f>COUNTIF('Entetes_TriNumInterne'!$B$2:$B$723,A200)</f>
        <v/>
      </c>
    </row>
    <row r="201">
      <c r="A201" s="3" t="inlineStr">
        <is>
          <t>001274</t>
        </is>
      </c>
      <c r="B201" s="5">
        <f>COUNTIF('Entetes_TriNumInterne'!$B$2:$B$723,A201)</f>
        <v/>
      </c>
    </row>
    <row r="202">
      <c r="A202" s="3" t="inlineStr">
        <is>
          <t>001275</t>
        </is>
      </c>
      <c r="B202" s="5">
        <f>COUNTIF('Entetes_TriNumInterne'!$B$2:$B$723,A202)</f>
        <v/>
      </c>
    </row>
    <row r="203">
      <c r="A203" s="3" t="inlineStr">
        <is>
          <t>001276</t>
        </is>
      </c>
      <c r="B203" s="5">
        <f>COUNTIF('Entetes_TriNumInterne'!$B$2:$B$723,A203)</f>
        <v/>
      </c>
    </row>
    <row r="204">
      <c r="A204" s="3" t="inlineStr">
        <is>
          <t>001277</t>
        </is>
      </c>
      <c r="B204" s="5">
        <f>COUNTIF('Entetes_TriNumInterne'!$B$2:$B$723,A204)</f>
        <v/>
      </c>
    </row>
    <row r="205">
      <c r="A205" s="3" t="inlineStr">
        <is>
          <t>001278</t>
        </is>
      </c>
      <c r="B205" s="5">
        <f>COUNTIF('Entetes_TriNumInterne'!$B$2:$B$723,A205)</f>
        <v/>
      </c>
    </row>
    <row r="206">
      <c r="A206" s="3" t="inlineStr">
        <is>
          <t>001283</t>
        </is>
      </c>
      <c r="B206" s="5">
        <f>COUNTIF('Entetes_TriNumInterne'!$B$2:$B$723,A206)</f>
        <v/>
      </c>
    </row>
    <row r="207">
      <c r="A207" s="3" t="inlineStr">
        <is>
          <t>001284</t>
        </is>
      </c>
      <c r="B207" s="5">
        <f>COUNTIF('Entetes_TriNumInterne'!$B$2:$B$723,A207)</f>
        <v/>
      </c>
    </row>
    <row r="208">
      <c r="A208" s="3" t="inlineStr">
        <is>
          <t>001285</t>
        </is>
      </c>
      <c r="B208" s="5">
        <f>COUNTIF('Entetes_TriNumInterne'!$B$2:$B$723,A208)</f>
        <v/>
      </c>
    </row>
    <row r="209">
      <c r="A209" s="3" t="inlineStr">
        <is>
          <t>001287</t>
        </is>
      </c>
      <c r="B209" s="5">
        <f>COUNTIF('Entetes_TriNumInterne'!$B$2:$B$723,A209)</f>
        <v/>
      </c>
    </row>
    <row r="210">
      <c r="A210" s="3" t="inlineStr">
        <is>
          <t>001288</t>
        </is>
      </c>
      <c r="B210" s="5">
        <f>COUNTIF('Entetes_TriNumInterne'!$B$2:$B$723,A210)</f>
        <v/>
      </c>
    </row>
    <row r="211">
      <c r="A211" s="3" t="inlineStr">
        <is>
          <t>001289</t>
        </is>
      </c>
      <c r="B211" s="5">
        <f>COUNTIF('Entetes_TriNumInterne'!$B$2:$B$723,A211)</f>
        <v/>
      </c>
    </row>
    <row r="212">
      <c r="A212" s="3" t="inlineStr">
        <is>
          <t>001293</t>
        </is>
      </c>
      <c r="B212" s="5">
        <f>COUNTIF('Entetes_TriNumInterne'!$B$2:$B$723,A212)</f>
        <v/>
      </c>
    </row>
    <row r="213">
      <c r="A213" s="3" t="inlineStr">
        <is>
          <t>001296</t>
        </is>
      </c>
      <c r="B213" s="5">
        <f>COUNTIF('Entetes_TriNumInterne'!$B$2:$B$723,A213)</f>
        <v/>
      </c>
    </row>
    <row r="214">
      <c r="A214" s="3" t="inlineStr">
        <is>
          <t>001297</t>
        </is>
      </c>
      <c r="B214" s="5">
        <f>COUNTIF('Entetes_TriNumInterne'!$B$2:$B$723,A214)</f>
        <v/>
      </c>
    </row>
    <row r="215">
      <c r="A215" s="3" t="inlineStr">
        <is>
          <t>001300</t>
        </is>
      </c>
      <c r="B215" s="5">
        <f>COUNTIF('Entetes_TriNumInterne'!$B$2:$B$723,A215)</f>
        <v/>
      </c>
    </row>
    <row r="216">
      <c r="A216" s="3" t="inlineStr">
        <is>
          <t>001301</t>
        </is>
      </c>
      <c r="B216" s="5">
        <f>COUNTIF('Entetes_TriNumInterne'!$B$2:$B$723,A216)</f>
        <v/>
      </c>
    </row>
    <row r="217">
      <c r="A217" s="3" t="inlineStr">
        <is>
          <t>001302</t>
        </is>
      </c>
      <c r="B217" s="5">
        <f>COUNTIF('Entetes_TriNumInterne'!$B$2:$B$723,A217)</f>
        <v/>
      </c>
    </row>
    <row r="218">
      <c r="A218" s="3" t="inlineStr">
        <is>
          <t>001304</t>
        </is>
      </c>
      <c r="B218" s="5">
        <f>COUNTIF('Entetes_TriNumInterne'!$B$2:$B$723,A218)</f>
        <v/>
      </c>
    </row>
    <row r="219">
      <c r="A219" s="3" t="inlineStr">
        <is>
          <t>001306</t>
        </is>
      </c>
      <c r="B219" s="5">
        <f>COUNTIF('Entetes_TriNumInterne'!$B$2:$B$723,A219)</f>
        <v/>
      </c>
    </row>
    <row r="220">
      <c r="A220" s="3" t="inlineStr">
        <is>
          <t>001307</t>
        </is>
      </c>
      <c r="B220" s="5">
        <f>COUNTIF('Entetes_TriNumInterne'!$B$2:$B$723,A220)</f>
        <v/>
      </c>
    </row>
    <row r="221">
      <c r="A221" s="3" t="inlineStr">
        <is>
          <t>001308</t>
        </is>
      </c>
      <c r="B221" s="5">
        <f>COUNTIF('Entetes_TriNumInterne'!$B$2:$B$723,A221)</f>
        <v/>
      </c>
    </row>
    <row r="222">
      <c r="A222" s="3" t="inlineStr">
        <is>
          <t>001310</t>
        </is>
      </c>
      <c r="B222" s="5">
        <f>COUNTIF('Entetes_TriNumInterne'!$B$2:$B$723,A222)</f>
        <v/>
      </c>
    </row>
    <row r="223">
      <c r="A223" s="3" t="inlineStr">
        <is>
          <t>001311</t>
        </is>
      </c>
      <c r="B223" s="5">
        <f>COUNTIF('Entetes_TriNumInterne'!$B$2:$B$723,A223)</f>
        <v/>
      </c>
    </row>
    <row r="224">
      <c r="A224" s="3" t="inlineStr">
        <is>
          <t>001312</t>
        </is>
      </c>
      <c r="B224" s="5">
        <f>COUNTIF('Entetes_TriNumInterne'!$B$2:$B$723,A224)</f>
        <v/>
      </c>
    </row>
    <row r="225">
      <c r="A225" s="3" t="inlineStr">
        <is>
          <t>001316</t>
        </is>
      </c>
      <c r="B225" s="5">
        <f>COUNTIF('Entetes_TriNumInterne'!$B$2:$B$723,A225)</f>
        <v/>
      </c>
    </row>
    <row r="226">
      <c r="A226" s="3" t="inlineStr">
        <is>
          <t>001319</t>
        </is>
      </c>
      <c r="B226" s="5">
        <f>COUNTIF('Entetes_TriNumInterne'!$B$2:$B$723,A226)</f>
        <v/>
      </c>
    </row>
    <row r="227">
      <c r="A227" s="3" t="inlineStr">
        <is>
          <t>001320</t>
        </is>
      </c>
      <c r="B227" s="5">
        <f>COUNTIF('Entetes_TriNumInterne'!$B$2:$B$723,A227)</f>
        <v/>
      </c>
    </row>
    <row r="228">
      <c r="A228" s="3" t="inlineStr">
        <is>
          <t>001322</t>
        </is>
      </c>
      <c r="B228" s="5">
        <f>COUNTIF('Entetes_TriNumInterne'!$B$2:$B$723,A228)</f>
        <v/>
      </c>
    </row>
    <row r="229">
      <c r="A229" s="3" t="inlineStr">
        <is>
          <t>001323</t>
        </is>
      </c>
      <c r="B229" s="5">
        <f>COUNTIF('Entetes_TriNumInterne'!$B$2:$B$723,A229)</f>
        <v/>
      </c>
    </row>
    <row r="230">
      <c r="A230" s="3" t="inlineStr">
        <is>
          <t>001324</t>
        </is>
      </c>
      <c r="B230" s="5">
        <f>COUNTIF('Entetes_TriNumInterne'!$B$2:$B$723,A230)</f>
        <v/>
      </c>
    </row>
    <row r="231">
      <c r="A231" s="3" t="inlineStr">
        <is>
          <t>001326</t>
        </is>
      </c>
      <c r="B231" s="5">
        <f>COUNTIF('Entetes_TriNumInterne'!$B$2:$B$723,A231)</f>
        <v/>
      </c>
    </row>
    <row r="232">
      <c r="A232" s="3" t="inlineStr">
        <is>
          <t>001327</t>
        </is>
      </c>
      <c r="B232" s="5">
        <f>COUNTIF('Entetes_TriNumInterne'!$B$2:$B$723,A232)</f>
        <v/>
      </c>
    </row>
    <row r="233">
      <c r="A233" s="3" t="inlineStr">
        <is>
          <t>001328</t>
        </is>
      </c>
      <c r="B233" s="5">
        <f>COUNTIF('Entetes_TriNumInterne'!$B$2:$B$723,A233)</f>
        <v/>
      </c>
    </row>
    <row r="234">
      <c r="A234" s="3" t="inlineStr">
        <is>
          <t>001329</t>
        </is>
      </c>
      <c r="B234" s="5">
        <f>COUNTIF('Entetes_TriNumInterne'!$B$2:$B$723,A234)</f>
        <v/>
      </c>
    </row>
    <row r="235">
      <c r="A235" s="3" t="inlineStr">
        <is>
          <t>001330</t>
        </is>
      </c>
      <c r="B235" s="5">
        <f>COUNTIF('Entetes_TriNumInterne'!$B$2:$B$723,A235)</f>
        <v/>
      </c>
    </row>
    <row r="236">
      <c r="A236" s="3" t="inlineStr">
        <is>
          <t>001331</t>
        </is>
      </c>
      <c r="B236" s="5">
        <f>COUNTIF('Entetes_TriNumInterne'!$B$2:$B$723,A236)</f>
        <v/>
      </c>
    </row>
    <row r="237">
      <c r="A237" s="3" t="inlineStr">
        <is>
          <t>001340</t>
        </is>
      </c>
      <c r="B237" s="5">
        <f>COUNTIF('Entetes_TriNumInterne'!$B$2:$B$723,A237)</f>
        <v/>
      </c>
    </row>
    <row r="238">
      <c r="A238" s="3" t="inlineStr">
        <is>
          <t>001342</t>
        </is>
      </c>
      <c r="B238" s="5">
        <f>COUNTIF('Entetes_TriNumInterne'!$B$2:$B$723,A238)</f>
        <v/>
      </c>
    </row>
    <row r="239">
      <c r="A239" s="3" t="inlineStr">
        <is>
          <t>001343</t>
        </is>
      </c>
      <c r="B239" s="5">
        <f>COUNTIF('Entetes_TriNumInterne'!$B$2:$B$723,A239)</f>
        <v/>
      </c>
    </row>
    <row r="240">
      <c r="A240" s="3" t="inlineStr">
        <is>
          <t>001344</t>
        </is>
      </c>
      <c r="B240" s="5">
        <f>COUNTIF('Entetes_TriNumInterne'!$B$2:$B$723,A240)</f>
        <v/>
      </c>
    </row>
    <row r="241">
      <c r="A241" s="3" t="inlineStr">
        <is>
          <t>001345</t>
        </is>
      </c>
      <c r="B241" s="5">
        <f>COUNTIF('Entetes_TriNumInterne'!$B$2:$B$723,A241)</f>
        <v/>
      </c>
    </row>
    <row r="242">
      <c r="A242" s="3" t="inlineStr">
        <is>
          <t>001346</t>
        </is>
      </c>
      <c r="B242" s="5">
        <f>COUNTIF('Entetes_TriNumInterne'!$B$2:$B$723,A242)</f>
        <v/>
      </c>
    </row>
    <row r="243">
      <c r="A243" s="3" t="inlineStr">
        <is>
          <t>001347</t>
        </is>
      </c>
      <c r="B243" s="5">
        <f>COUNTIF('Entetes_TriNumInterne'!$B$2:$B$723,A243)</f>
        <v/>
      </c>
    </row>
    <row r="244">
      <c r="A244" s="3" t="inlineStr">
        <is>
          <t>001348</t>
        </is>
      </c>
      <c r="B244" s="5">
        <f>COUNTIF('Entetes_TriNumInterne'!$B$2:$B$723,A244)</f>
        <v/>
      </c>
    </row>
    <row r="245">
      <c r="A245" s="3" t="inlineStr">
        <is>
          <t>001349</t>
        </is>
      </c>
      <c r="B245" s="5">
        <f>COUNTIF('Entetes_TriNumInterne'!$B$2:$B$723,A245)</f>
        <v/>
      </c>
    </row>
    <row r="246">
      <c r="A246" s="3" t="inlineStr">
        <is>
          <t>001350</t>
        </is>
      </c>
      <c r="B246" s="5">
        <f>COUNTIF('Entetes_TriNumInterne'!$B$2:$B$723,A246)</f>
        <v/>
      </c>
    </row>
    <row r="247">
      <c r="A247" s="3" t="inlineStr">
        <is>
          <t>001351</t>
        </is>
      </c>
      <c r="B247" s="5">
        <f>COUNTIF('Entetes_TriNumInterne'!$B$2:$B$723,A247)</f>
        <v/>
      </c>
    </row>
    <row r="248">
      <c r="A248" s="3" t="inlineStr">
        <is>
          <t>001352</t>
        </is>
      </c>
      <c r="B248" s="5">
        <f>COUNTIF('Entetes_TriNumInterne'!$B$2:$B$723,A248)</f>
        <v/>
      </c>
    </row>
    <row r="249">
      <c r="A249" s="3" t="inlineStr">
        <is>
          <t>001355</t>
        </is>
      </c>
      <c r="B249" s="5">
        <f>COUNTIF('Entetes_TriNumInterne'!$B$2:$B$723,A249)</f>
        <v/>
      </c>
    </row>
    <row r="250">
      <c r="A250" s="3" t="inlineStr">
        <is>
          <t>001356</t>
        </is>
      </c>
      <c r="B250" s="5">
        <f>COUNTIF('Entetes_TriNumInterne'!$B$2:$B$723,A250)</f>
        <v/>
      </c>
    </row>
    <row r="251">
      <c r="A251" s="3" t="inlineStr">
        <is>
          <t>001357</t>
        </is>
      </c>
      <c r="B251" s="5">
        <f>COUNTIF('Entetes_TriNumInterne'!$B$2:$B$723,A251)</f>
        <v/>
      </c>
    </row>
    <row r="252">
      <c r="A252" s="3" t="inlineStr">
        <is>
          <t>001358</t>
        </is>
      </c>
      <c r="B252" s="5">
        <f>COUNTIF('Entetes_TriNumInterne'!$B$2:$B$723,A252)</f>
        <v/>
      </c>
    </row>
    <row r="253">
      <c r="A253" s="3" t="inlineStr">
        <is>
          <t>001359</t>
        </is>
      </c>
      <c r="B253" s="5">
        <f>COUNTIF('Entetes_TriNumInterne'!$B$2:$B$723,A253)</f>
        <v/>
      </c>
    </row>
    <row r="254">
      <c r="A254" s="3" t="inlineStr">
        <is>
          <t>001360</t>
        </is>
      </c>
      <c r="B254" s="5">
        <f>COUNTIF('Entetes_TriNumInterne'!$B$2:$B$723,A254)</f>
        <v/>
      </c>
    </row>
    <row r="255">
      <c r="A255" s="3" t="inlineStr">
        <is>
          <t>001361</t>
        </is>
      </c>
      <c r="B255" s="5">
        <f>COUNTIF('Entetes_TriNumInterne'!$B$2:$B$723,A255)</f>
        <v/>
      </c>
    </row>
    <row r="256">
      <c r="A256" s="3" t="inlineStr">
        <is>
          <t>001362</t>
        </is>
      </c>
      <c r="B256" s="5">
        <f>COUNTIF('Entetes_TriNumInterne'!$B$2:$B$723,A256)</f>
        <v/>
      </c>
    </row>
    <row r="257">
      <c r="A257" s="3" t="inlineStr">
        <is>
          <t>001363</t>
        </is>
      </c>
      <c r="B257" s="5">
        <f>COUNTIF('Entetes_TriNumInterne'!$B$2:$B$723,A257)</f>
        <v/>
      </c>
    </row>
    <row r="258">
      <c r="A258" s="3" t="inlineStr">
        <is>
          <t>001366</t>
        </is>
      </c>
      <c r="B258" s="5">
        <f>COUNTIF('Entetes_TriNumInterne'!$B$2:$B$723,A258)</f>
        <v/>
      </c>
    </row>
    <row r="259">
      <c r="A259" s="3" t="inlineStr">
        <is>
          <t>001369</t>
        </is>
      </c>
      <c r="B259" s="5">
        <f>COUNTIF('Entetes_TriNumInterne'!$B$2:$B$723,A259)</f>
        <v/>
      </c>
    </row>
    <row r="260">
      <c r="A260" s="3" t="inlineStr">
        <is>
          <t>001370</t>
        </is>
      </c>
      <c r="B260" s="5">
        <f>COUNTIF('Entetes_TriNumInterne'!$B$2:$B$723,A260)</f>
        <v/>
      </c>
    </row>
    <row r="261">
      <c r="A261" s="3" t="inlineStr">
        <is>
          <t>001371</t>
        </is>
      </c>
      <c r="B261" s="5">
        <f>COUNTIF('Entetes_TriNumInterne'!$B$2:$B$723,A261)</f>
        <v/>
      </c>
    </row>
    <row r="262">
      <c r="A262" s="3" t="inlineStr">
        <is>
          <t>001375</t>
        </is>
      </c>
      <c r="B262" s="5">
        <f>COUNTIF('Entetes_TriNumInterne'!$B$2:$B$723,A262)</f>
        <v/>
      </c>
    </row>
    <row r="263">
      <c r="A263" s="3" t="inlineStr">
        <is>
          <t>001376</t>
        </is>
      </c>
      <c r="B263" s="5">
        <f>COUNTIF('Entetes_TriNumInterne'!$B$2:$B$723,A263)</f>
        <v/>
      </c>
    </row>
    <row r="264">
      <c r="A264" s="3" t="inlineStr">
        <is>
          <t>001377</t>
        </is>
      </c>
      <c r="B264" s="5">
        <f>COUNTIF('Entetes_TriNumInterne'!$B$2:$B$723,A264)</f>
        <v/>
      </c>
    </row>
    <row r="265">
      <c r="A265" s="3" t="inlineStr">
        <is>
          <t>001383</t>
        </is>
      </c>
      <c r="B265" s="5">
        <f>COUNTIF('Entetes_TriNumInterne'!$B$2:$B$723,A265)</f>
        <v/>
      </c>
    </row>
    <row r="266">
      <c r="A266" s="3" t="inlineStr">
        <is>
          <t>001384</t>
        </is>
      </c>
      <c r="B266" s="5">
        <f>COUNTIF('Entetes_TriNumInterne'!$B$2:$B$723,A266)</f>
        <v/>
      </c>
    </row>
    <row r="267">
      <c r="A267" s="3" t="inlineStr">
        <is>
          <t>001385</t>
        </is>
      </c>
      <c r="B267" s="5">
        <f>COUNTIF('Entetes_TriNumInterne'!$B$2:$B$723,A267)</f>
        <v/>
      </c>
    </row>
    <row r="268">
      <c r="A268" s="3" t="inlineStr">
        <is>
          <t>001386</t>
        </is>
      </c>
      <c r="B268" s="5">
        <f>COUNTIF('Entetes_TriNumInterne'!$B$2:$B$723,A268)</f>
        <v/>
      </c>
    </row>
    <row r="269">
      <c r="A269" s="3" t="inlineStr">
        <is>
          <t>001387</t>
        </is>
      </c>
      <c r="B269" s="5">
        <f>COUNTIF('Entetes_TriNumInterne'!$B$2:$B$723,A269)</f>
        <v/>
      </c>
    </row>
    <row r="270">
      <c r="A270" s="3" t="inlineStr">
        <is>
          <t>001393</t>
        </is>
      </c>
      <c r="B270" s="5">
        <f>COUNTIF('Entetes_TriNumInterne'!$B$2:$B$723,A270)</f>
        <v/>
      </c>
    </row>
    <row r="271">
      <c r="A271" s="3" t="inlineStr">
        <is>
          <t>001394</t>
        </is>
      </c>
      <c r="B271" s="5">
        <f>COUNTIF('Entetes_TriNumInterne'!$B$2:$B$723,A271)</f>
        <v/>
      </c>
    </row>
    <row r="272">
      <c r="A272" s="3" t="inlineStr">
        <is>
          <t>001395</t>
        </is>
      </c>
      <c r="B272" s="5">
        <f>COUNTIF('Entetes_TriNumInterne'!$B$2:$B$723,A272)</f>
        <v/>
      </c>
    </row>
    <row r="273">
      <c r="A273" s="3" t="inlineStr">
        <is>
          <t>001396</t>
        </is>
      </c>
      <c r="B273" s="5">
        <f>COUNTIF('Entetes_TriNumInterne'!$B$2:$B$723,A273)</f>
        <v/>
      </c>
    </row>
    <row r="274">
      <c r="A274" s="3" t="inlineStr">
        <is>
          <t>001397</t>
        </is>
      </c>
      <c r="B274" s="5">
        <f>COUNTIF('Entetes_TriNumInterne'!$B$2:$B$723,A274)</f>
        <v/>
      </c>
    </row>
    <row r="275">
      <c r="A275" s="3" t="inlineStr">
        <is>
          <t>001398</t>
        </is>
      </c>
      <c r="B275" s="5">
        <f>COUNTIF('Entetes_TriNumInterne'!$B$2:$B$723,A275)</f>
        <v/>
      </c>
    </row>
    <row r="276">
      <c r="A276" s="3" t="inlineStr">
        <is>
          <t>001399</t>
        </is>
      </c>
      <c r="B276" s="5">
        <f>COUNTIF('Entetes_TriNumInterne'!$B$2:$B$723,A276)</f>
        <v/>
      </c>
    </row>
    <row r="277">
      <c r="A277" s="3" t="inlineStr">
        <is>
          <t>001400</t>
        </is>
      </c>
      <c r="B277" s="5">
        <f>COUNTIF('Entetes_TriNumInterne'!$B$2:$B$723,A277)</f>
        <v/>
      </c>
    </row>
    <row r="278">
      <c r="A278" s="3" t="inlineStr">
        <is>
          <t>001402</t>
        </is>
      </c>
      <c r="B278" s="5">
        <f>COUNTIF('Entetes_TriNumInterne'!$B$2:$B$723,A278)</f>
        <v/>
      </c>
    </row>
    <row r="279">
      <c r="A279" s="3" t="inlineStr">
        <is>
          <t>001403</t>
        </is>
      </c>
      <c r="B279" s="5">
        <f>COUNTIF('Entetes_TriNumInterne'!$B$2:$B$723,A279)</f>
        <v/>
      </c>
    </row>
    <row r="280">
      <c r="A280" s="3" t="inlineStr">
        <is>
          <t>001404</t>
        </is>
      </c>
      <c r="B280" s="5">
        <f>COUNTIF('Entetes_TriNumInterne'!$B$2:$B$723,A280)</f>
        <v/>
      </c>
    </row>
    <row r="281">
      <c r="A281" s="3" t="inlineStr">
        <is>
          <t>001405</t>
        </is>
      </c>
      <c r="B281" s="5">
        <f>COUNTIF('Entetes_TriNumInterne'!$B$2:$B$723,A281)</f>
        <v/>
      </c>
    </row>
    <row r="282">
      <c r="A282" s="3" t="inlineStr">
        <is>
          <t>001406</t>
        </is>
      </c>
      <c r="B282" s="5">
        <f>COUNTIF('Entetes_TriNumInterne'!$B$2:$B$723,A282)</f>
        <v/>
      </c>
    </row>
    <row r="283">
      <c r="A283" s="3" t="inlineStr">
        <is>
          <t>001407</t>
        </is>
      </c>
      <c r="B283" s="5">
        <f>COUNTIF('Entetes_TriNumInterne'!$B$2:$B$723,A283)</f>
        <v/>
      </c>
    </row>
    <row r="284">
      <c r="A284" s="3" t="inlineStr">
        <is>
          <t>001408</t>
        </is>
      </c>
      <c r="B284" s="5">
        <f>COUNTIF('Entetes_TriNumInterne'!$B$2:$B$723,A284)</f>
        <v/>
      </c>
    </row>
    <row r="285">
      <c r="A285" s="3" t="inlineStr">
        <is>
          <t>001409</t>
        </is>
      </c>
      <c r="B285" s="5">
        <f>COUNTIF('Entetes_TriNumInterne'!$B$2:$B$723,A285)</f>
        <v/>
      </c>
    </row>
    <row r="286">
      <c r="A286" s="3" t="inlineStr">
        <is>
          <t>001410</t>
        </is>
      </c>
      <c r="B286" s="5">
        <f>COUNTIF('Entetes_TriNumInterne'!$B$2:$B$723,A286)</f>
        <v/>
      </c>
    </row>
    <row r="287">
      <c r="A287" s="3" t="inlineStr">
        <is>
          <t>001411</t>
        </is>
      </c>
      <c r="B287" s="5">
        <f>COUNTIF('Entetes_TriNumInterne'!$B$2:$B$723,A287)</f>
        <v/>
      </c>
    </row>
    <row r="288">
      <c r="A288" s="3" t="inlineStr">
        <is>
          <t>001412</t>
        </is>
      </c>
      <c r="B288" s="5">
        <f>COUNTIF('Entetes_TriNumInterne'!$B$2:$B$723,A288)</f>
        <v/>
      </c>
    </row>
    <row r="289">
      <c r="A289" s="3" t="inlineStr">
        <is>
          <t>001413</t>
        </is>
      </c>
      <c r="B289" s="5">
        <f>COUNTIF('Entetes_TriNumInterne'!$B$2:$B$723,A289)</f>
        <v/>
      </c>
    </row>
    <row r="290">
      <c r="A290" s="3" t="inlineStr">
        <is>
          <t>001414</t>
        </is>
      </c>
      <c r="B290" s="5">
        <f>COUNTIF('Entetes_TriNumInterne'!$B$2:$B$723,A290)</f>
        <v/>
      </c>
    </row>
    <row r="291">
      <c r="A291" s="3" t="inlineStr">
        <is>
          <t>001415</t>
        </is>
      </c>
      <c r="B291" s="5">
        <f>COUNTIF('Entetes_TriNumInterne'!$B$2:$B$723,A291)</f>
        <v/>
      </c>
    </row>
    <row r="292">
      <c r="A292" s="3" t="inlineStr">
        <is>
          <t>001416</t>
        </is>
      </c>
      <c r="B292" s="5">
        <f>COUNTIF('Entetes_TriNumInterne'!$B$2:$B$723,A292)</f>
        <v/>
      </c>
    </row>
    <row r="293">
      <c r="A293" s="3" t="inlineStr">
        <is>
          <t>001417</t>
        </is>
      </c>
      <c r="B293" s="5">
        <f>COUNTIF('Entetes_TriNumInterne'!$B$2:$B$723,A293)</f>
        <v/>
      </c>
    </row>
    <row r="294">
      <c r="A294" s="3" t="inlineStr">
        <is>
          <t>001418</t>
        </is>
      </c>
      <c r="B294" s="5">
        <f>COUNTIF('Entetes_TriNumInterne'!$B$2:$B$723,A294)</f>
        <v/>
      </c>
    </row>
    <row r="295">
      <c r="A295" s="3" t="inlineStr">
        <is>
          <t>001419</t>
        </is>
      </c>
      <c r="B295" s="5">
        <f>COUNTIF('Entetes_TriNumInterne'!$B$2:$B$723,A295)</f>
        <v/>
      </c>
    </row>
    <row r="296">
      <c r="A296" s="3" t="inlineStr">
        <is>
          <t>001420</t>
        </is>
      </c>
      <c r="B296" s="5">
        <f>COUNTIF('Entetes_TriNumInterne'!$B$2:$B$723,A296)</f>
        <v/>
      </c>
    </row>
    <row r="297">
      <c r="A297" s="3" t="inlineStr">
        <is>
          <t>001428</t>
        </is>
      </c>
      <c r="B297" s="5">
        <f>COUNTIF('Entetes_TriNumInterne'!$B$2:$B$723,A297)</f>
        <v/>
      </c>
    </row>
    <row r="298">
      <c r="A298" s="3" t="inlineStr">
        <is>
          <t>001429</t>
        </is>
      </c>
      <c r="B298" s="5">
        <f>COUNTIF('Entetes_TriNumInterne'!$B$2:$B$723,A298)</f>
        <v/>
      </c>
    </row>
    <row r="299">
      <c r="A299" s="3" t="inlineStr">
        <is>
          <t>001430</t>
        </is>
      </c>
      <c r="B299" s="5">
        <f>COUNTIF('Entetes_TriNumInterne'!$B$2:$B$723,A299)</f>
        <v/>
      </c>
    </row>
    <row r="300">
      <c r="A300" s="3" t="inlineStr">
        <is>
          <t>001431</t>
        </is>
      </c>
      <c r="B300" s="5">
        <f>COUNTIF('Entetes_TriNumInterne'!$B$2:$B$723,A300)</f>
        <v/>
      </c>
    </row>
    <row r="301">
      <c r="A301" s="3" t="inlineStr">
        <is>
          <t>001432</t>
        </is>
      </c>
      <c r="B301" s="5">
        <f>COUNTIF('Entetes_TriNumInterne'!$B$2:$B$723,A301)</f>
        <v/>
      </c>
    </row>
    <row r="302">
      <c r="A302" s="3" t="inlineStr">
        <is>
          <t>001433</t>
        </is>
      </c>
      <c r="B302" s="5">
        <f>COUNTIF('Entetes_TriNumInterne'!$B$2:$B$723,A302)</f>
        <v/>
      </c>
    </row>
    <row r="303">
      <c r="A303" s="3" t="inlineStr">
        <is>
          <t>001434</t>
        </is>
      </c>
      <c r="B303" s="5">
        <f>COUNTIF('Entetes_TriNumInterne'!$B$2:$B$723,A303)</f>
        <v/>
      </c>
    </row>
    <row r="304">
      <c r="A304" s="3" t="inlineStr">
        <is>
          <t>001435</t>
        </is>
      </c>
      <c r="B304" s="5">
        <f>COUNTIF('Entetes_TriNumInterne'!$B$2:$B$723,A304)</f>
        <v/>
      </c>
    </row>
    <row r="305">
      <c r="A305" s="3" t="inlineStr">
        <is>
          <t>001436</t>
        </is>
      </c>
      <c r="B305" s="5">
        <f>COUNTIF('Entetes_TriNumInterne'!$B$2:$B$723,A305)</f>
        <v/>
      </c>
    </row>
    <row r="306">
      <c r="A306" s="3" t="inlineStr">
        <is>
          <t>001437</t>
        </is>
      </c>
      <c r="B306" s="5">
        <f>COUNTIF('Entetes_TriNumInterne'!$B$2:$B$723,A306)</f>
        <v/>
      </c>
    </row>
    <row r="307">
      <c r="A307" s="3" t="inlineStr">
        <is>
          <t>001438</t>
        </is>
      </c>
      <c r="B307" s="5">
        <f>COUNTIF('Entetes_TriNumInterne'!$B$2:$B$723,A307)</f>
        <v/>
      </c>
    </row>
    <row r="308">
      <c r="A308" s="3" t="inlineStr">
        <is>
          <t>001439</t>
        </is>
      </c>
      <c r="B308" s="5">
        <f>COUNTIF('Entetes_TriNumInterne'!$B$2:$B$723,A308)</f>
        <v/>
      </c>
    </row>
    <row r="309">
      <c r="A309" s="3" t="inlineStr">
        <is>
          <t>001440</t>
        </is>
      </c>
      <c r="B309" s="5">
        <f>COUNTIF('Entetes_TriNumInterne'!$B$2:$B$723,A309)</f>
        <v/>
      </c>
    </row>
    <row r="310">
      <c r="A310" s="3" t="inlineStr">
        <is>
          <t>001441</t>
        </is>
      </c>
      <c r="B310" s="5">
        <f>COUNTIF('Entetes_TriNumInterne'!$B$2:$B$723,A310)</f>
        <v/>
      </c>
    </row>
    <row r="311">
      <c r="A311" s="3" t="inlineStr">
        <is>
          <t>001442</t>
        </is>
      </c>
      <c r="B311" s="5">
        <f>COUNTIF('Entetes_TriNumInterne'!$B$2:$B$723,A311)</f>
        <v/>
      </c>
    </row>
    <row r="312">
      <c r="A312" s="3" t="inlineStr">
        <is>
          <t>001443</t>
        </is>
      </c>
      <c r="B312" s="5">
        <f>COUNTIF('Entetes_TriNumInterne'!$B$2:$B$723,A312)</f>
        <v/>
      </c>
    </row>
    <row r="313">
      <c r="A313" s="3" t="inlineStr">
        <is>
          <t>001444</t>
        </is>
      </c>
      <c r="B313" s="5">
        <f>COUNTIF('Entetes_TriNumInterne'!$B$2:$B$723,A313)</f>
        <v/>
      </c>
    </row>
    <row r="314">
      <c r="A314" s="3" t="inlineStr">
        <is>
          <t>001445</t>
        </is>
      </c>
      <c r="B314" s="5">
        <f>COUNTIF('Entetes_TriNumInterne'!$B$2:$B$723,A314)</f>
        <v/>
      </c>
    </row>
    <row r="315">
      <c r="A315" s="3" t="inlineStr">
        <is>
          <t>001446</t>
        </is>
      </c>
      <c r="B315" s="5">
        <f>COUNTIF('Entetes_TriNumInterne'!$B$2:$B$723,A315)</f>
        <v/>
      </c>
    </row>
    <row r="316">
      <c r="A316" s="3" t="inlineStr">
        <is>
          <t>001447</t>
        </is>
      </c>
      <c r="B316" s="5">
        <f>COUNTIF('Entetes_TriNumInterne'!$B$2:$B$723,A316)</f>
        <v/>
      </c>
    </row>
    <row r="317">
      <c r="A317" s="3" t="inlineStr">
        <is>
          <t>001448</t>
        </is>
      </c>
      <c r="B317" s="5">
        <f>COUNTIF('Entetes_TriNumInterne'!$B$2:$B$723,A317)</f>
        <v/>
      </c>
    </row>
    <row r="318">
      <c r="A318" s="3" t="inlineStr">
        <is>
          <t>001449</t>
        </is>
      </c>
      <c r="B318" s="5">
        <f>COUNTIF('Entetes_TriNumInterne'!$B$2:$B$723,A318)</f>
        <v/>
      </c>
    </row>
    <row r="319">
      <c r="A319" s="3" t="inlineStr">
        <is>
          <t>001450</t>
        </is>
      </c>
      <c r="B319" s="5">
        <f>COUNTIF('Entetes_TriNumInterne'!$B$2:$B$723,A319)</f>
        <v/>
      </c>
    </row>
    <row r="320">
      <c r="A320" s="3" t="inlineStr">
        <is>
          <t>001451</t>
        </is>
      </c>
      <c r="B320" s="5">
        <f>COUNTIF('Entetes_TriNumInterne'!$B$2:$B$723,A320)</f>
        <v/>
      </c>
    </row>
    <row r="321">
      <c r="A321" s="3" t="inlineStr">
        <is>
          <t>001452</t>
        </is>
      </c>
      <c r="B321" s="5">
        <f>COUNTIF('Entetes_TriNumInterne'!$B$2:$B$723,A321)</f>
        <v/>
      </c>
    </row>
    <row r="322">
      <c r="A322" s="3" t="inlineStr">
        <is>
          <t>001453</t>
        </is>
      </c>
      <c r="B322" s="5">
        <f>COUNTIF('Entetes_TriNumInterne'!$B$2:$B$723,A322)</f>
        <v/>
      </c>
    </row>
    <row r="323">
      <c r="A323" s="3" t="inlineStr">
        <is>
          <t>001454</t>
        </is>
      </c>
      <c r="B323" s="5">
        <f>COUNTIF('Entetes_TriNumInterne'!$B$2:$B$723,A323)</f>
        <v/>
      </c>
    </row>
    <row r="324">
      <c r="A324" s="3" t="inlineStr">
        <is>
          <t>001456</t>
        </is>
      </c>
      <c r="B324" s="5">
        <f>COUNTIF('Entetes_TriNumInterne'!$B$2:$B$723,A324)</f>
        <v/>
      </c>
    </row>
    <row r="325">
      <c r="A325" s="3" t="inlineStr">
        <is>
          <t>001457</t>
        </is>
      </c>
      <c r="B325" s="5">
        <f>COUNTIF('Entetes_TriNumInterne'!$B$2:$B$723,A325)</f>
        <v/>
      </c>
    </row>
    <row r="326">
      <c r="A326" s="3" t="inlineStr">
        <is>
          <t>001458</t>
        </is>
      </c>
      <c r="B326" s="5">
        <f>COUNTIF('Entetes_TriNumInterne'!$B$2:$B$723,A326)</f>
        <v/>
      </c>
    </row>
    <row r="327">
      <c r="A327" s="3" t="inlineStr">
        <is>
          <t>001459</t>
        </is>
      </c>
      <c r="B327" s="5">
        <f>COUNTIF('Entetes_TriNumInterne'!$B$2:$B$723,A327)</f>
        <v/>
      </c>
    </row>
    <row r="328">
      <c r="A328" s="3" t="inlineStr">
        <is>
          <t>001460</t>
        </is>
      </c>
      <c r="B328" s="5">
        <f>COUNTIF('Entetes_TriNumInterne'!$B$2:$B$723,A328)</f>
        <v/>
      </c>
    </row>
    <row r="329">
      <c r="A329" s="3" t="inlineStr">
        <is>
          <t>001461</t>
        </is>
      </c>
      <c r="B329" s="5">
        <f>COUNTIF('Entetes_TriNumInterne'!$B$2:$B$723,A329)</f>
        <v/>
      </c>
    </row>
    <row r="330">
      <c r="A330" s="3" t="inlineStr">
        <is>
          <t>001462</t>
        </is>
      </c>
      <c r="B330" s="5">
        <f>COUNTIF('Entetes_TriNumInterne'!$B$2:$B$723,A330)</f>
        <v/>
      </c>
    </row>
    <row r="331">
      <c r="A331" s="3" t="inlineStr">
        <is>
          <t>001465</t>
        </is>
      </c>
      <c r="B331" s="5">
        <f>COUNTIF('Entetes_TriNumInterne'!$B$2:$B$723,A331)</f>
        <v/>
      </c>
    </row>
    <row r="332">
      <c r="A332" s="3" t="inlineStr">
        <is>
          <t>001473</t>
        </is>
      </c>
      <c r="B332" s="5">
        <f>COUNTIF('Entetes_TriNumInterne'!$B$2:$B$723,A332)</f>
        <v/>
      </c>
    </row>
    <row r="333">
      <c r="A333" s="3" t="inlineStr">
        <is>
          <t>001475</t>
        </is>
      </c>
      <c r="B333" s="5">
        <f>COUNTIF('Entetes_TriNumInterne'!$B$2:$B$723,A333)</f>
        <v/>
      </c>
    </row>
    <row r="334">
      <c r="A334" s="3" t="inlineStr">
        <is>
          <t>001476</t>
        </is>
      </c>
      <c r="B334" s="5">
        <f>COUNTIF('Entetes_TriNumInterne'!$B$2:$B$723,A334)</f>
        <v/>
      </c>
    </row>
    <row r="335">
      <c r="A335" s="3" t="inlineStr">
        <is>
          <t>001477</t>
        </is>
      </c>
      <c r="B335" s="5">
        <f>COUNTIF('Entetes_TriNumInterne'!$B$2:$B$723,A335)</f>
        <v/>
      </c>
    </row>
    <row r="336">
      <c r="A336" s="3" t="inlineStr">
        <is>
          <t>001478</t>
        </is>
      </c>
      <c r="B336" s="5">
        <f>COUNTIF('Entetes_TriNumInterne'!$B$2:$B$723,A336)</f>
        <v/>
      </c>
    </row>
    <row r="337">
      <c r="A337" s="3" t="inlineStr">
        <is>
          <t>001479</t>
        </is>
      </c>
      <c r="B337" s="5">
        <f>COUNTIF('Entetes_TriNumInterne'!$B$2:$B$723,A337)</f>
        <v/>
      </c>
    </row>
    <row r="338">
      <c r="A338" s="3" t="inlineStr">
        <is>
          <t>001480</t>
        </is>
      </c>
      <c r="B338" s="5">
        <f>COUNTIF('Entetes_TriNumInterne'!$B$2:$B$723,A338)</f>
        <v/>
      </c>
    </row>
    <row r="339">
      <c r="A339" s="3" t="inlineStr">
        <is>
          <t>001481</t>
        </is>
      </c>
      <c r="B339" s="5">
        <f>COUNTIF('Entetes_TriNumInterne'!$B$2:$B$723,A339)</f>
        <v/>
      </c>
    </row>
    <row r="340">
      <c r="A340" s="3" t="inlineStr">
        <is>
          <t>001482</t>
        </is>
      </c>
      <c r="B340" s="5">
        <f>COUNTIF('Entetes_TriNumInterne'!$B$2:$B$723,A340)</f>
        <v/>
      </c>
    </row>
    <row r="341">
      <c r="A341" s="3" t="inlineStr">
        <is>
          <t>001484</t>
        </is>
      </c>
      <c r="B341" s="5">
        <f>COUNTIF('Entetes_TriNumInterne'!$B$2:$B$723,A341)</f>
        <v/>
      </c>
    </row>
    <row r="342">
      <c r="A342" s="3" t="inlineStr">
        <is>
          <t>001485</t>
        </is>
      </c>
      <c r="B342" s="5">
        <f>COUNTIF('Entetes_TriNumInterne'!$B$2:$B$723,A342)</f>
        <v/>
      </c>
    </row>
    <row r="343">
      <c r="A343" s="3" t="inlineStr">
        <is>
          <t>001486</t>
        </is>
      </c>
      <c r="B343" s="5">
        <f>COUNTIF('Entetes_TriNumInterne'!$B$2:$B$723,A343)</f>
        <v/>
      </c>
    </row>
    <row r="344">
      <c r="A344" s="3" t="inlineStr">
        <is>
          <t>001487</t>
        </is>
      </c>
      <c r="B344" s="5">
        <f>COUNTIF('Entetes_TriNumInterne'!$B$2:$B$723,A344)</f>
        <v/>
      </c>
    </row>
    <row r="345">
      <c r="A345" s="3" t="inlineStr">
        <is>
          <t>001488</t>
        </is>
      </c>
      <c r="B345" s="5">
        <f>COUNTIF('Entetes_TriNumInterne'!$B$2:$B$723,A345)</f>
        <v/>
      </c>
    </row>
    <row r="346">
      <c r="A346" s="3" t="inlineStr">
        <is>
          <t>001489</t>
        </is>
      </c>
      <c r="B346" s="5">
        <f>COUNTIF('Entetes_TriNumInterne'!$B$2:$B$723,A346)</f>
        <v/>
      </c>
    </row>
    <row r="347">
      <c r="A347" s="3" t="inlineStr">
        <is>
          <t>001490</t>
        </is>
      </c>
      <c r="B347" s="5">
        <f>COUNTIF('Entetes_TriNumInterne'!$B$2:$B$723,A347)</f>
        <v/>
      </c>
    </row>
    <row r="348">
      <c r="A348" s="3" t="inlineStr">
        <is>
          <t>001491</t>
        </is>
      </c>
      <c r="B348" s="5">
        <f>COUNTIF('Entetes_TriNumInterne'!$B$2:$B$723,A348)</f>
        <v/>
      </c>
    </row>
    <row r="349">
      <c r="A349" s="3" t="inlineStr">
        <is>
          <t>001492</t>
        </is>
      </c>
      <c r="B349" s="5">
        <f>COUNTIF('Entetes_TriNumInterne'!$B$2:$B$723,A349)</f>
        <v/>
      </c>
    </row>
    <row r="350">
      <c r="A350" s="3" t="inlineStr">
        <is>
          <t>001493</t>
        </is>
      </c>
      <c r="B350" s="5">
        <f>COUNTIF('Entetes_TriNumInterne'!$B$2:$B$723,A350)</f>
        <v/>
      </c>
    </row>
    <row r="351">
      <c r="A351" s="3" t="inlineStr">
        <is>
          <t>001494</t>
        </is>
      </c>
      <c r="B351" s="5">
        <f>COUNTIF('Entetes_TriNumInterne'!$B$2:$B$723,A351)</f>
        <v/>
      </c>
    </row>
    <row r="352">
      <c r="A352" s="3" t="inlineStr">
        <is>
          <t>001495</t>
        </is>
      </c>
      <c r="B352" s="5">
        <f>COUNTIF('Entetes_TriNumInterne'!$B$2:$B$723,A352)</f>
        <v/>
      </c>
    </row>
    <row r="353">
      <c r="A353" s="3" t="inlineStr">
        <is>
          <t>001496</t>
        </is>
      </c>
      <c r="B353" s="5">
        <f>COUNTIF('Entetes_TriNumInterne'!$B$2:$B$723,A353)</f>
        <v/>
      </c>
    </row>
    <row r="354">
      <c r="A354" s="3" t="inlineStr">
        <is>
          <t>001497</t>
        </is>
      </c>
      <c r="B354" s="5">
        <f>COUNTIF('Entetes_TriNumInterne'!$B$2:$B$723,A354)</f>
        <v/>
      </c>
    </row>
    <row r="355">
      <c r="A355" s="3" t="inlineStr">
        <is>
          <t>001498</t>
        </is>
      </c>
      <c r="B355" s="5">
        <f>COUNTIF('Entetes_TriNumInterne'!$B$2:$B$723,A355)</f>
        <v/>
      </c>
    </row>
    <row r="356">
      <c r="A356" s="3" t="inlineStr">
        <is>
          <t>001499</t>
        </is>
      </c>
      <c r="B356" s="5">
        <f>COUNTIF('Entetes_TriNumInterne'!$B$2:$B$723,A356)</f>
        <v/>
      </c>
    </row>
    <row r="357">
      <c r="A357" s="3" t="inlineStr">
        <is>
          <t>001500</t>
        </is>
      </c>
      <c r="B357" s="5">
        <f>COUNTIF('Entetes_TriNumInterne'!$B$2:$B$723,A357)</f>
        <v/>
      </c>
    </row>
    <row r="358">
      <c r="A358" s="3" t="inlineStr">
        <is>
          <t>001503</t>
        </is>
      </c>
      <c r="B358" s="5">
        <f>COUNTIF('Entetes_TriNumInterne'!$B$2:$B$723,A358)</f>
        <v/>
      </c>
    </row>
    <row r="359">
      <c r="A359" s="3" t="inlineStr">
        <is>
          <t>001509</t>
        </is>
      </c>
      <c r="B359" s="5">
        <f>COUNTIF('Entetes_TriNumInterne'!$B$2:$B$723,A359)</f>
        <v/>
      </c>
    </row>
    <row r="360">
      <c r="A360" s="3" t="inlineStr">
        <is>
          <t>001510</t>
        </is>
      </c>
      <c r="B360" s="5">
        <f>COUNTIF('Entetes_TriNumInterne'!$B$2:$B$723,A360)</f>
        <v/>
      </c>
    </row>
    <row r="361">
      <c r="A361" s="3" t="inlineStr">
        <is>
          <t>001511</t>
        </is>
      </c>
      <c r="B361" s="5">
        <f>COUNTIF('Entetes_TriNumInterne'!$B$2:$B$723,A361)</f>
        <v/>
      </c>
    </row>
    <row r="362">
      <c r="A362" s="3" t="inlineStr">
        <is>
          <t>001515</t>
        </is>
      </c>
      <c r="B362" s="5">
        <f>COUNTIF('Entetes_TriNumInterne'!$B$2:$B$723,A362)</f>
        <v/>
      </c>
    </row>
    <row r="363">
      <c r="A363" s="3" t="inlineStr">
        <is>
          <t>001516</t>
        </is>
      </c>
      <c r="B363" s="5">
        <f>COUNTIF('Entetes_TriNumInterne'!$B$2:$B$723,A363)</f>
        <v/>
      </c>
    </row>
    <row r="364">
      <c r="A364" s="3" t="inlineStr">
        <is>
          <t>001517</t>
        </is>
      </c>
      <c r="B364" s="5">
        <f>COUNTIF('Entetes_TriNumInterne'!$B$2:$B$723,A364)</f>
        <v/>
      </c>
    </row>
    <row r="365">
      <c r="A365" s="3" t="inlineStr">
        <is>
          <t>001518</t>
        </is>
      </c>
      <c r="B365" s="5">
        <f>COUNTIF('Entetes_TriNumInterne'!$B$2:$B$723,A365)</f>
        <v/>
      </c>
    </row>
    <row r="366">
      <c r="A366" s="3" t="inlineStr">
        <is>
          <t>001520</t>
        </is>
      </c>
      <c r="B366" s="5">
        <f>COUNTIF('Entetes_TriNumInterne'!$B$2:$B$723,A366)</f>
        <v/>
      </c>
    </row>
    <row r="367">
      <c r="A367" s="3" t="inlineStr">
        <is>
          <t>001523</t>
        </is>
      </c>
      <c r="B367" s="5">
        <f>COUNTIF('Entetes_TriNumInterne'!$B$2:$B$723,A367)</f>
        <v/>
      </c>
    </row>
    <row r="368">
      <c r="A368" s="3" t="inlineStr">
        <is>
          <t>001524</t>
        </is>
      </c>
      <c r="B368" s="5">
        <f>COUNTIF('Entetes_TriNumInterne'!$B$2:$B$723,A368)</f>
        <v/>
      </c>
    </row>
    <row r="369">
      <c r="A369" s="3" t="inlineStr">
        <is>
          <t>001525</t>
        </is>
      </c>
      <c r="B369" s="5">
        <f>COUNTIF('Entetes_TriNumInterne'!$B$2:$B$723,A369)</f>
        <v/>
      </c>
    </row>
    <row r="370">
      <c r="A370" s="3" t="inlineStr">
        <is>
          <t>001526</t>
        </is>
      </c>
      <c r="B370" s="5">
        <f>COUNTIF('Entetes_TriNumInterne'!$B$2:$B$723,A370)</f>
        <v/>
      </c>
    </row>
    <row r="371">
      <c r="A371" s="3" t="inlineStr">
        <is>
          <t>001527</t>
        </is>
      </c>
      <c r="B371" s="5">
        <f>COUNTIF('Entetes_TriNumInterne'!$B$2:$B$723,A371)</f>
        <v/>
      </c>
    </row>
    <row r="372">
      <c r="A372" s="3" t="inlineStr">
        <is>
          <t>001528</t>
        </is>
      </c>
      <c r="B372" s="5">
        <f>COUNTIF('Entetes_TriNumInterne'!$B$2:$B$723,A372)</f>
        <v/>
      </c>
    </row>
    <row r="373">
      <c r="A373" s="3" t="inlineStr">
        <is>
          <t>001529</t>
        </is>
      </c>
      <c r="B373" s="5">
        <f>COUNTIF('Entetes_TriNumInterne'!$B$2:$B$723,A373)</f>
        <v/>
      </c>
    </row>
    <row r="374">
      <c r="A374" s="3" t="inlineStr">
        <is>
          <t>001530</t>
        </is>
      </c>
      <c r="B374" s="5">
        <f>COUNTIF('Entetes_TriNumInterne'!$B$2:$B$723,A374)</f>
        <v/>
      </c>
    </row>
    <row r="375">
      <c r="A375" s="3" t="inlineStr">
        <is>
          <t>001532</t>
        </is>
      </c>
      <c r="B375" s="5">
        <f>COUNTIF('Entetes_TriNumInterne'!$B$2:$B$723,A375)</f>
        <v/>
      </c>
    </row>
    <row r="376">
      <c r="A376" s="3" t="inlineStr">
        <is>
          <t>001533</t>
        </is>
      </c>
      <c r="B376" s="5">
        <f>COUNTIF('Entetes_TriNumInterne'!$B$2:$B$723,A376)</f>
        <v/>
      </c>
    </row>
    <row r="377">
      <c r="A377" s="3" t="inlineStr">
        <is>
          <t>001534</t>
        </is>
      </c>
      <c r="B377" s="5">
        <f>COUNTIF('Entetes_TriNumInterne'!$B$2:$B$723,A377)</f>
        <v/>
      </c>
    </row>
    <row r="378">
      <c r="A378" s="3" t="inlineStr">
        <is>
          <t>001536</t>
        </is>
      </c>
      <c r="B378" s="5">
        <f>COUNTIF('Entetes_TriNumInterne'!$B$2:$B$723,A378)</f>
        <v/>
      </c>
    </row>
    <row r="379">
      <c r="A379" s="3" t="inlineStr">
        <is>
          <t>001538</t>
        </is>
      </c>
      <c r="B379" s="5">
        <f>COUNTIF('Entetes_TriNumInterne'!$B$2:$B$723,A379)</f>
        <v/>
      </c>
    </row>
    <row r="380">
      <c r="A380" s="3" t="inlineStr">
        <is>
          <t>001539</t>
        </is>
      </c>
      <c r="B380" s="5">
        <f>COUNTIF('Entetes_TriNumInterne'!$B$2:$B$723,A380)</f>
        <v/>
      </c>
    </row>
    <row r="381">
      <c r="A381" s="3" t="inlineStr">
        <is>
          <t>001540</t>
        </is>
      </c>
      <c r="B381" s="5">
        <f>COUNTIF('Entetes_TriNumInterne'!$B$2:$B$723,A381)</f>
        <v/>
      </c>
    </row>
    <row r="382">
      <c r="A382" s="3" t="inlineStr">
        <is>
          <t>001541</t>
        </is>
      </c>
      <c r="B382" s="5">
        <f>COUNTIF('Entetes_TriNumInterne'!$B$2:$B$723,A382)</f>
        <v/>
      </c>
    </row>
    <row r="383">
      <c r="A383" s="3" t="inlineStr">
        <is>
          <t>001542</t>
        </is>
      </c>
      <c r="B383" s="5">
        <f>COUNTIF('Entetes_TriNumInterne'!$B$2:$B$723,A383)</f>
        <v/>
      </c>
    </row>
    <row r="384">
      <c r="A384" s="3" t="inlineStr">
        <is>
          <t>001543</t>
        </is>
      </c>
      <c r="B384" s="5">
        <f>COUNTIF('Entetes_TriNumInterne'!$B$2:$B$723,A384)</f>
        <v/>
      </c>
    </row>
    <row r="385">
      <c r="A385" s="3" t="inlineStr">
        <is>
          <t>001544</t>
        </is>
      </c>
      <c r="B385" s="5">
        <f>COUNTIF('Entetes_TriNumInterne'!$B$2:$B$723,A385)</f>
        <v/>
      </c>
    </row>
    <row r="386">
      <c r="A386" s="3" t="inlineStr">
        <is>
          <t>001545</t>
        </is>
      </c>
      <c r="B386" s="5">
        <f>COUNTIF('Entetes_TriNumInterne'!$B$2:$B$723,A386)</f>
        <v/>
      </c>
    </row>
    <row r="387">
      <c r="A387" s="3" t="inlineStr">
        <is>
          <t>001546</t>
        </is>
      </c>
      <c r="B387" s="5">
        <f>COUNTIF('Entetes_TriNumInterne'!$B$2:$B$723,A387)</f>
        <v/>
      </c>
    </row>
    <row r="388">
      <c r="A388" s="3" t="inlineStr">
        <is>
          <t>001548</t>
        </is>
      </c>
      <c r="B388" s="5">
        <f>COUNTIF('Entetes_TriNumInterne'!$B$2:$B$723,A388)</f>
        <v/>
      </c>
    </row>
    <row r="389">
      <c r="A389" s="3" t="inlineStr">
        <is>
          <t>001549</t>
        </is>
      </c>
      <c r="B389" s="5">
        <f>COUNTIF('Entetes_TriNumInterne'!$B$2:$B$723,A389)</f>
        <v/>
      </c>
    </row>
    <row r="390">
      <c r="A390" s="3" t="inlineStr">
        <is>
          <t>001550</t>
        </is>
      </c>
      <c r="B390" s="5">
        <f>COUNTIF('Entetes_TriNumInterne'!$B$2:$B$723,A390)</f>
        <v/>
      </c>
    </row>
    <row r="391">
      <c r="A391" s="3" t="inlineStr">
        <is>
          <t>001551</t>
        </is>
      </c>
      <c r="B391" s="5">
        <f>COUNTIF('Entetes_TriNumInterne'!$B$2:$B$723,A391)</f>
        <v/>
      </c>
    </row>
    <row r="392">
      <c r="A392" s="3" t="inlineStr">
        <is>
          <t>001552</t>
        </is>
      </c>
      <c r="B392" s="5">
        <f>COUNTIF('Entetes_TriNumInterne'!$B$2:$B$723,A392)</f>
        <v/>
      </c>
    </row>
    <row r="393">
      <c r="A393" s="3" t="inlineStr">
        <is>
          <t>001553</t>
        </is>
      </c>
      <c r="B393" s="5">
        <f>COUNTIF('Entetes_TriNumInterne'!$B$2:$B$723,A393)</f>
        <v/>
      </c>
    </row>
    <row r="394">
      <c r="A394" s="3" t="inlineStr">
        <is>
          <t>001555</t>
        </is>
      </c>
      <c r="B394" s="5">
        <f>COUNTIF('Entetes_TriNumInterne'!$B$2:$B$723,A394)</f>
        <v/>
      </c>
    </row>
    <row r="395">
      <c r="A395" s="3" t="inlineStr">
        <is>
          <t>001556</t>
        </is>
      </c>
      <c r="B395" s="5">
        <f>COUNTIF('Entetes_TriNumInterne'!$B$2:$B$723,A395)</f>
        <v/>
      </c>
    </row>
    <row r="396">
      <c r="A396" s="3" t="inlineStr">
        <is>
          <t>001560</t>
        </is>
      </c>
      <c r="B396" s="5">
        <f>COUNTIF('Entetes_TriNumInterne'!$B$2:$B$723,A396)</f>
        <v/>
      </c>
    </row>
    <row r="397">
      <c r="A397" s="3" t="inlineStr">
        <is>
          <t>001561</t>
        </is>
      </c>
      <c r="B397" s="5">
        <f>COUNTIF('Entetes_TriNumInterne'!$B$2:$B$723,A397)</f>
        <v/>
      </c>
    </row>
    <row r="398">
      <c r="A398" s="3" t="inlineStr">
        <is>
          <t>001562</t>
        </is>
      </c>
      <c r="B398" s="5">
        <f>COUNTIF('Entetes_TriNumInterne'!$B$2:$B$723,A398)</f>
        <v/>
      </c>
    </row>
    <row r="399">
      <c r="A399" s="3" t="inlineStr">
        <is>
          <t>001568</t>
        </is>
      </c>
      <c r="B399" s="5">
        <f>COUNTIF('Entetes_TriNumInterne'!$B$2:$B$723,A399)</f>
        <v/>
      </c>
    </row>
    <row r="400">
      <c r="A400" s="3" t="inlineStr">
        <is>
          <t>001569</t>
        </is>
      </c>
      <c r="B400" s="5">
        <f>COUNTIF('Entetes_TriNumInterne'!$B$2:$B$723,A400)</f>
        <v/>
      </c>
    </row>
    <row r="401">
      <c r="A401" s="3" t="inlineStr">
        <is>
          <t>001572</t>
        </is>
      </c>
      <c r="B401" s="5">
        <f>COUNTIF('Entetes_TriNumInterne'!$B$2:$B$723,A401)</f>
        <v/>
      </c>
    </row>
    <row r="402">
      <c r="A402" s="3" t="inlineStr">
        <is>
          <t>001573</t>
        </is>
      </c>
      <c r="B402" s="5">
        <f>COUNTIF('Entetes_TriNumInterne'!$B$2:$B$723,A402)</f>
        <v/>
      </c>
    </row>
    <row r="403">
      <c r="A403" s="3" t="inlineStr">
        <is>
          <t>001575</t>
        </is>
      </c>
      <c r="B403" s="5">
        <f>COUNTIF('Entetes_TriNumInterne'!$B$2:$B$723,A403)</f>
        <v/>
      </c>
    </row>
    <row r="404">
      <c r="A404" s="3" t="inlineStr">
        <is>
          <t>001576</t>
        </is>
      </c>
      <c r="B404" s="5">
        <f>COUNTIF('Entetes_TriNumInterne'!$B$2:$B$723,A404)</f>
        <v/>
      </c>
    </row>
    <row r="405">
      <c r="A405" s="3" t="inlineStr">
        <is>
          <t>001577</t>
        </is>
      </c>
      <c r="B405" s="5">
        <f>COUNTIF('Entetes_TriNumInterne'!$B$2:$B$723,A405)</f>
        <v/>
      </c>
    </row>
    <row r="406">
      <c r="A406" s="3" t="inlineStr">
        <is>
          <t>001578</t>
        </is>
      </c>
      <c r="B406" s="5">
        <f>COUNTIF('Entetes_TriNumInterne'!$B$2:$B$723,A406)</f>
        <v/>
      </c>
    </row>
    <row r="407">
      <c r="A407" s="3" t="inlineStr">
        <is>
          <t>001579</t>
        </is>
      </c>
      <c r="B407" s="5">
        <f>COUNTIF('Entetes_TriNumInterne'!$B$2:$B$723,A407)</f>
        <v/>
      </c>
    </row>
    <row r="408">
      <c r="A408" s="3" t="inlineStr">
        <is>
          <t>001580</t>
        </is>
      </c>
      <c r="B408" s="5">
        <f>COUNTIF('Entetes_TriNumInterne'!$B$2:$B$723,A408)</f>
        <v/>
      </c>
    </row>
    <row r="409">
      <c r="A409" s="3" t="inlineStr">
        <is>
          <t>001581</t>
        </is>
      </c>
      <c r="B409" s="5">
        <f>COUNTIF('Entetes_TriNumInterne'!$B$2:$B$723,A409)</f>
        <v/>
      </c>
    </row>
    <row r="410">
      <c r="A410" s="3" t="inlineStr">
        <is>
          <t>001582</t>
        </is>
      </c>
      <c r="B410" s="5">
        <f>COUNTIF('Entetes_TriNumInterne'!$B$2:$B$723,A410)</f>
        <v/>
      </c>
    </row>
    <row r="411">
      <c r="A411" s="3" t="inlineStr">
        <is>
          <t>001583</t>
        </is>
      </c>
      <c r="B411" s="5">
        <f>COUNTIF('Entetes_TriNumInterne'!$B$2:$B$723,A411)</f>
        <v/>
      </c>
    </row>
    <row r="412">
      <c r="A412" s="3" t="inlineStr">
        <is>
          <t>001584</t>
        </is>
      </c>
      <c r="B412" s="5">
        <f>COUNTIF('Entetes_TriNumInterne'!$B$2:$B$723,A412)</f>
        <v/>
      </c>
    </row>
    <row r="413">
      <c r="A413" s="3" t="inlineStr">
        <is>
          <t>001585</t>
        </is>
      </c>
      <c r="B413" s="5">
        <f>COUNTIF('Entetes_TriNumInterne'!$B$2:$B$723,A413)</f>
        <v/>
      </c>
    </row>
    <row r="414">
      <c r="A414" s="3" t="inlineStr">
        <is>
          <t>001586</t>
        </is>
      </c>
      <c r="B414" s="5">
        <f>COUNTIF('Entetes_TriNumInterne'!$B$2:$B$723,A414)</f>
        <v/>
      </c>
    </row>
    <row r="415">
      <c r="A415" s="3" t="inlineStr">
        <is>
          <t>001587</t>
        </is>
      </c>
      <c r="B415" s="5">
        <f>COUNTIF('Entetes_TriNumInterne'!$B$2:$B$723,A415)</f>
        <v/>
      </c>
    </row>
    <row r="416">
      <c r="A416" s="3" t="inlineStr">
        <is>
          <t>001588</t>
        </is>
      </c>
      <c r="B416" s="5">
        <f>COUNTIF('Entetes_TriNumInterne'!$B$2:$B$723,A416)</f>
        <v/>
      </c>
    </row>
    <row r="417">
      <c r="A417" s="3" t="inlineStr">
        <is>
          <t>001589</t>
        </is>
      </c>
      <c r="B417" s="5">
        <f>COUNTIF('Entetes_TriNumInterne'!$B$2:$B$723,A417)</f>
        <v/>
      </c>
    </row>
    <row r="418">
      <c r="A418" s="3" t="inlineStr">
        <is>
          <t>001590</t>
        </is>
      </c>
      <c r="B418" s="5">
        <f>COUNTIF('Entetes_TriNumInterne'!$B$2:$B$723,A418)</f>
        <v/>
      </c>
    </row>
    <row r="419">
      <c r="A419" s="3" t="inlineStr">
        <is>
          <t>001591</t>
        </is>
      </c>
      <c r="B419" s="5">
        <f>COUNTIF('Entetes_TriNumInterne'!$B$2:$B$723,A419)</f>
        <v/>
      </c>
    </row>
    <row r="420">
      <c r="A420" s="3" t="inlineStr">
        <is>
          <t>001592</t>
        </is>
      </c>
      <c r="B420" s="5">
        <f>COUNTIF('Entetes_TriNumInterne'!$B$2:$B$723,A420)</f>
        <v/>
      </c>
    </row>
    <row r="421">
      <c r="A421" s="3" t="inlineStr">
        <is>
          <t>001593</t>
        </is>
      </c>
      <c r="B421" s="5">
        <f>COUNTIF('Entetes_TriNumInterne'!$B$2:$B$723,A421)</f>
        <v/>
      </c>
    </row>
    <row r="422">
      <c r="A422" s="3" t="inlineStr">
        <is>
          <t>001594</t>
        </is>
      </c>
      <c r="B422" s="5">
        <f>COUNTIF('Entetes_TriNumInterne'!$B$2:$B$723,A422)</f>
        <v/>
      </c>
    </row>
    <row r="423">
      <c r="A423" s="3" t="inlineStr">
        <is>
          <t>001595</t>
        </is>
      </c>
      <c r="B423" s="5">
        <f>COUNTIF('Entetes_TriNumInterne'!$B$2:$B$723,A423)</f>
        <v/>
      </c>
    </row>
    <row r="424">
      <c r="A424" s="3" t="inlineStr">
        <is>
          <t>001596</t>
        </is>
      </c>
      <c r="B424" s="5">
        <f>COUNTIF('Entetes_TriNumInterne'!$B$2:$B$723,A424)</f>
        <v/>
      </c>
    </row>
    <row r="425">
      <c r="A425" s="3" t="inlineStr">
        <is>
          <t>001597</t>
        </is>
      </c>
      <c r="B425" s="5">
        <f>COUNTIF('Entetes_TriNumInterne'!$B$2:$B$723,A425)</f>
        <v/>
      </c>
    </row>
    <row r="426">
      <c r="A426" s="3" t="inlineStr">
        <is>
          <t>001598</t>
        </is>
      </c>
      <c r="B426" s="5">
        <f>COUNTIF('Entetes_TriNumInterne'!$B$2:$B$723,A426)</f>
        <v/>
      </c>
    </row>
    <row r="427">
      <c r="A427" s="3" t="inlineStr">
        <is>
          <t>001599</t>
        </is>
      </c>
      <c r="B427" s="5">
        <f>COUNTIF('Entetes_TriNumInterne'!$B$2:$B$723,A427)</f>
        <v/>
      </c>
    </row>
    <row r="428">
      <c r="A428" s="3" t="inlineStr">
        <is>
          <t>001600</t>
        </is>
      </c>
      <c r="B428" s="5">
        <f>COUNTIF('Entetes_TriNumInterne'!$B$2:$B$723,A428)</f>
        <v/>
      </c>
    </row>
    <row r="429">
      <c r="A429" s="3" t="inlineStr">
        <is>
          <t>001605</t>
        </is>
      </c>
      <c r="B429" s="5">
        <f>COUNTIF('Entetes_TriNumInterne'!$B$2:$B$723,A429)</f>
        <v/>
      </c>
    </row>
    <row r="430">
      <c r="A430" s="3" t="inlineStr">
        <is>
          <t>001606</t>
        </is>
      </c>
      <c r="B430" s="5">
        <f>COUNTIF('Entetes_TriNumInterne'!$B$2:$B$723,A430)</f>
        <v/>
      </c>
    </row>
    <row r="431">
      <c r="A431" s="3" t="inlineStr">
        <is>
          <t>001612</t>
        </is>
      </c>
      <c r="B431" s="5">
        <f>COUNTIF('Entetes_TriNumInterne'!$B$2:$B$723,A431)</f>
        <v/>
      </c>
    </row>
    <row r="432">
      <c r="A432" s="3" t="inlineStr">
        <is>
          <t>001613</t>
        </is>
      </c>
      <c r="B432" s="5">
        <f>COUNTIF('Entetes_TriNumInterne'!$B$2:$B$723,A432)</f>
        <v/>
      </c>
    </row>
    <row r="433">
      <c r="A433" s="3" t="inlineStr">
        <is>
          <t>001614</t>
        </is>
      </c>
      <c r="B433" s="5">
        <f>COUNTIF('Entetes_TriNumInterne'!$B$2:$B$723,A433)</f>
        <v/>
      </c>
    </row>
    <row r="434">
      <c r="A434" s="3" t="inlineStr">
        <is>
          <t>001617</t>
        </is>
      </c>
      <c r="B434" s="5">
        <f>COUNTIF('Entetes_TriNumInterne'!$B$2:$B$723,A434)</f>
        <v/>
      </c>
    </row>
    <row r="435">
      <c r="A435" s="3" t="inlineStr">
        <is>
          <t>001618</t>
        </is>
      </c>
      <c r="B435" s="5">
        <f>COUNTIF('Entetes_TriNumInterne'!$B$2:$B$723,A435)</f>
        <v/>
      </c>
    </row>
    <row r="436">
      <c r="A436" s="3" t="inlineStr">
        <is>
          <t>001619</t>
        </is>
      </c>
      <c r="B436" s="5">
        <f>COUNTIF('Entetes_TriNumInterne'!$B$2:$B$723,A436)</f>
        <v/>
      </c>
    </row>
    <row r="437">
      <c r="A437" s="3" t="inlineStr">
        <is>
          <t>001620</t>
        </is>
      </c>
      <c r="B437" s="5">
        <f>COUNTIF('Entetes_TriNumInterne'!$B$2:$B$723,A437)</f>
        <v/>
      </c>
    </row>
    <row r="438">
      <c r="A438" s="3" t="inlineStr">
        <is>
          <t>001621</t>
        </is>
      </c>
      <c r="B438" s="5">
        <f>COUNTIF('Entetes_TriNumInterne'!$B$2:$B$723,A438)</f>
        <v/>
      </c>
    </row>
    <row r="439">
      <c r="A439" s="3" t="inlineStr">
        <is>
          <t>001622</t>
        </is>
      </c>
      <c r="B439" s="5">
        <f>COUNTIF('Entetes_TriNumInterne'!$B$2:$B$723,A439)</f>
        <v/>
      </c>
    </row>
    <row r="440">
      <c r="A440" s="3" t="inlineStr">
        <is>
          <t>001623</t>
        </is>
      </c>
      <c r="B440" s="5">
        <f>COUNTIF('Entetes_TriNumInterne'!$B$2:$B$723,A440)</f>
        <v/>
      </c>
    </row>
    <row r="441">
      <c r="A441" s="3" t="inlineStr">
        <is>
          <t>001625</t>
        </is>
      </c>
      <c r="B441" s="5">
        <f>COUNTIF('Entetes_TriNumInterne'!$B$2:$B$723,A441)</f>
        <v/>
      </c>
    </row>
    <row r="442">
      <c r="A442" s="3" t="inlineStr">
        <is>
          <t>001627</t>
        </is>
      </c>
      <c r="B442" s="5">
        <f>COUNTIF('Entetes_TriNumInterne'!$B$2:$B$723,A442)</f>
        <v/>
      </c>
    </row>
    <row r="443">
      <c r="A443" s="3" t="inlineStr">
        <is>
          <t>001628</t>
        </is>
      </c>
      <c r="B443" s="5">
        <f>COUNTIF('Entetes_TriNumInterne'!$B$2:$B$723,A443)</f>
        <v/>
      </c>
    </row>
    <row r="444">
      <c r="A444" s="3" t="inlineStr">
        <is>
          <t>001629</t>
        </is>
      </c>
      <c r="B444" s="5">
        <f>COUNTIF('Entetes_TriNumInterne'!$B$2:$B$723,A444)</f>
        <v/>
      </c>
    </row>
    <row r="445">
      <c r="A445" s="3" t="inlineStr">
        <is>
          <t>001630</t>
        </is>
      </c>
      <c r="B445" s="5">
        <f>COUNTIF('Entetes_TriNumInterne'!$B$2:$B$723,A445)</f>
        <v/>
      </c>
    </row>
    <row r="446">
      <c r="A446" s="3" t="inlineStr">
        <is>
          <t>001632</t>
        </is>
      </c>
      <c r="B446" s="5">
        <f>COUNTIF('Entetes_TriNumInterne'!$B$2:$B$723,A446)</f>
        <v/>
      </c>
    </row>
    <row r="447">
      <c r="A447" s="3" t="inlineStr">
        <is>
          <t>001633</t>
        </is>
      </c>
      <c r="B447" s="5">
        <f>COUNTIF('Entetes_TriNumInterne'!$B$2:$B$723,A447)</f>
        <v/>
      </c>
    </row>
    <row r="448">
      <c r="A448" s="3" t="inlineStr">
        <is>
          <t>001634</t>
        </is>
      </c>
      <c r="B448" s="5">
        <f>COUNTIF('Entetes_TriNumInterne'!$B$2:$B$723,A448)</f>
        <v/>
      </c>
    </row>
    <row r="449">
      <c r="A449" s="3" t="inlineStr">
        <is>
          <t>001635</t>
        </is>
      </c>
      <c r="B449" s="5">
        <f>COUNTIF('Entetes_TriNumInterne'!$B$2:$B$723,A449)</f>
        <v/>
      </c>
    </row>
    <row r="450">
      <c r="A450" s="3" t="inlineStr">
        <is>
          <t>001637</t>
        </is>
      </c>
      <c r="B450" s="5">
        <f>COUNTIF('Entetes_TriNumInterne'!$B$2:$B$723,A450)</f>
        <v/>
      </c>
    </row>
    <row r="451">
      <c r="A451" s="3" t="inlineStr">
        <is>
          <t>001638</t>
        </is>
      </c>
      <c r="B451" s="5">
        <f>COUNTIF('Entetes_TriNumInterne'!$B$2:$B$723,A451)</f>
        <v/>
      </c>
    </row>
    <row r="452">
      <c r="A452" s="3" t="inlineStr">
        <is>
          <t>001639</t>
        </is>
      </c>
      <c r="B452" s="5">
        <f>COUNTIF('Entetes_TriNumInterne'!$B$2:$B$723,A452)</f>
        <v/>
      </c>
    </row>
    <row r="453">
      <c r="A453" s="3" t="inlineStr">
        <is>
          <t>001644</t>
        </is>
      </c>
      <c r="B453" s="5">
        <f>COUNTIF('Entetes_TriNumInterne'!$B$2:$B$723,A453)</f>
        <v/>
      </c>
    </row>
    <row r="454">
      <c r="A454" s="3" t="inlineStr">
        <is>
          <t>001645</t>
        </is>
      </c>
      <c r="B454" s="5">
        <f>COUNTIF('Entetes_TriNumInterne'!$B$2:$B$723,A454)</f>
        <v/>
      </c>
    </row>
    <row r="455">
      <c r="A455" s="3" t="inlineStr">
        <is>
          <t>001646</t>
        </is>
      </c>
      <c r="B455" s="5">
        <f>COUNTIF('Entetes_TriNumInterne'!$B$2:$B$723,A455)</f>
        <v/>
      </c>
    </row>
    <row r="456">
      <c r="A456" s="3" t="inlineStr">
        <is>
          <t>001647</t>
        </is>
      </c>
      <c r="B456" s="5">
        <f>COUNTIF('Entetes_TriNumInterne'!$B$2:$B$723,A456)</f>
        <v/>
      </c>
    </row>
    <row r="457">
      <c r="A457" s="3" t="inlineStr">
        <is>
          <t>001648</t>
        </is>
      </c>
      <c r="B457" s="5">
        <f>COUNTIF('Entetes_TriNumInterne'!$B$2:$B$723,A457)</f>
        <v/>
      </c>
    </row>
    <row r="458">
      <c r="A458" s="3" t="inlineStr">
        <is>
          <t>001655</t>
        </is>
      </c>
      <c r="B458" s="5">
        <f>COUNTIF('Entetes_TriNumInterne'!$B$2:$B$723,A458)</f>
        <v/>
      </c>
    </row>
    <row r="459">
      <c r="A459" s="3" t="inlineStr">
        <is>
          <t>001658</t>
        </is>
      </c>
      <c r="B459" s="5">
        <f>COUNTIF('Entetes_TriNumInterne'!$B$2:$B$723,A459)</f>
        <v/>
      </c>
    </row>
    <row r="460">
      <c r="A460" s="3" t="inlineStr">
        <is>
          <t>001659</t>
        </is>
      </c>
      <c r="B460" s="5">
        <f>COUNTIF('Entetes_TriNumInterne'!$B$2:$B$723,A460)</f>
        <v/>
      </c>
    </row>
    <row r="461">
      <c r="A461" s="3" t="inlineStr">
        <is>
          <t>001661</t>
        </is>
      </c>
      <c r="B461" s="5">
        <f>COUNTIF('Entetes_TriNumInterne'!$B$2:$B$723,A461)</f>
        <v/>
      </c>
    </row>
    <row r="462">
      <c r="A462" s="3" t="inlineStr">
        <is>
          <t>001662</t>
        </is>
      </c>
      <c r="B462" s="5">
        <f>COUNTIF('Entetes_TriNumInterne'!$B$2:$B$723,A462)</f>
        <v/>
      </c>
    </row>
    <row r="463">
      <c r="A463" s="3" t="inlineStr">
        <is>
          <t>001663</t>
        </is>
      </c>
      <c r="B463" s="5">
        <f>COUNTIF('Entetes_TriNumInterne'!$B$2:$B$723,A463)</f>
        <v/>
      </c>
    </row>
    <row r="464">
      <c r="A464" s="3" t="inlineStr">
        <is>
          <t>001664</t>
        </is>
      </c>
      <c r="B464" s="5">
        <f>COUNTIF('Entetes_TriNumInterne'!$B$2:$B$723,A464)</f>
        <v/>
      </c>
    </row>
    <row r="465">
      <c r="A465" s="3" t="inlineStr">
        <is>
          <t>001665</t>
        </is>
      </c>
      <c r="B465" s="5">
        <f>COUNTIF('Entetes_TriNumInterne'!$B$2:$B$723,A465)</f>
        <v/>
      </c>
    </row>
    <row r="466">
      <c r="A466" s="3" t="inlineStr">
        <is>
          <t>001667</t>
        </is>
      </c>
      <c r="B466" s="5">
        <f>COUNTIF('Entetes_TriNumInterne'!$B$2:$B$723,A466)</f>
        <v/>
      </c>
    </row>
    <row r="467">
      <c r="A467" s="3" t="inlineStr">
        <is>
          <t>001668</t>
        </is>
      </c>
      <c r="B467" s="5">
        <f>COUNTIF('Entetes_TriNumInterne'!$B$2:$B$723,A467)</f>
        <v/>
      </c>
    </row>
    <row r="468">
      <c r="A468" s="3" t="inlineStr">
        <is>
          <t>001669</t>
        </is>
      </c>
      <c r="B468" s="5">
        <f>COUNTIF('Entetes_TriNumInterne'!$B$2:$B$723,A468)</f>
        <v/>
      </c>
    </row>
    <row r="469">
      <c r="A469" s="3" t="inlineStr">
        <is>
          <t>001670</t>
        </is>
      </c>
      <c r="B469" s="5">
        <f>COUNTIF('Entetes_TriNumInterne'!$B$2:$B$723,A469)</f>
        <v/>
      </c>
    </row>
    <row r="470">
      <c r="A470" s="3" t="inlineStr">
        <is>
          <t>001671</t>
        </is>
      </c>
      <c r="B470" s="5">
        <f>COUNTIF('Entetes_TriNumInterne'!$B$2:$B$723,A470)</f>
        <v/>
      </c>
    </row>
    <row r="471">
      <c r="A471" s="3" t="inlineStr">
        <is>
          <t>001673</t>
        </is>
      </c>
      <c r="B471" s="5">
        <f>COUNTIF('Entetes_TriNumInterne'!$B$2:$B$723,A471)</f>
        <v/>
      </c>
    </row>
    <row r="472">
      <c r="A472" s="3" t="inlineStr">
        <is>
          <t>001674</t>
        </is>
      </c>
      <c r="B472" s="5">
        <f>COUNTIF('Entetes_TriNumInterne'!$B$2:$B$723,A472)</f>
        <v/>
      </c>
    </row>
    <row r="473">
      <c r="A473" s="3" t="inlineStr">
        <is>
          <t>001675</t>
        </is>
      </c>
      <c r="B473" s="5">
        <f>COUNTIF('Entetes_TriNumInterne'!$B$2:$B$723,A473)</f>
        <v/>
      </c>
    </row>
    <row r="474">
      <c r="A474" s="3" t="inlineStr">
        <is>
          <t>001676</t>
        </is>
      </c>
      <c r="B474" s="5">
        <f>COUNTIF('Entetes_TriNumInterne'!$B$2:$B$723,A474)</f>
        <v/>
      </c>
    </row>
    <row r="475">
      <c r="A475" s="3" t="inlineStr">
        <is>
          <t>001677</t>
        </is>
      </c>
      <c r="B475" s="5">
        <f>COUNTIF('Entetes_TriNumInterne'!$B$2:$B$723,A475)</f>
        <v/>
      </c>
    </row>
    <row r="476">
      <c r="A476" s="3" t="inlineStr">
        <is>
          <t>001678</t>
        </is>
      </c>
      <c r="B476" s="5">
        <f>COUNTIF('Entetes_TriNumInterne'!$B$2:$B$723,A476)</f>
        <v/>
      </c>
    </row>
    <row r="477">
      <c r="A477" s="3" t="inlineStr">
        <is>
          <t>001679</t>
        </is>
      </c>
      <c r="B477" s="5">
        <f>COUNTIF('Entetes_TriNumInterne'!$B$2:$B$723,A477)</f>
        <v/>
      </c>
    </row>
    <row r="478">
      <c r="A478" s="3" t="inlineStr">
        <is>
          <t>001681</t>
        </is>
      </c>
      <c r="B478" s="5">
        <f>COUNTIF('Entetes_TriNumInterne'!$B$2:$B$723,A478)</f>
        <v/>
      </c>
    </row>
    <row r="479">
      <c r="A479" s="3" t="inlineStr">
        <is>
          <t>001683</t>
        </is>
      </c>
      <c r="B479" s="5">
        <f>COUNTIF('Entetes_TriNumInterne'!$B$2:$B$723,A479)</f>
        <v/>
      </c>
    </row>
    <row r="480">
      <c r="A480" s="3" t="inlineStr">
        <is>
          <t>001684</t>
        </is>
      </c>
      <c r="B480" s="5">
        <f>COUNTIF('Entetes_TriNumInterne'!$B$2:$B$723,A480)</f>
        <v/>
      </c>
    </row>
    <row r="481">
      <c r="A481" s="3" t="inlineStr">
        <is>
          <t>001685</t>
        </is>
      </c>
      <c r="B481" s="5">
        <f>COUNTIF('Entetes_TriNumInterne'!$B$2:$B$723,A481)</f>
        <v/>
      </c>
    </row>
    <row r="482">
      <c r="A482" s="3" t="inlineStr">
        <is>
          <t>001686</t>
        </is>
      </c>
      <c r="B482" s="5">
        <f>COUNTIF('Entetes_TriNumInterne'!$B$2:$B$723,A482)</f>
        <v/>
      </c>
    </row>
    <row r="483">
      <c r="A483" s="3" t="inlineStr">
        <is>
          <t>001690</t>
        </is>
      </c>
      <c r="B483" s="5">
        <f>COUNTIF('Entetes_TriNumInterne'!$B$2:$B$723,A483)</f>
        <v/>
      </c>
    </row>
    <row r="484">
      <c r="A484" s="3" t="inlineStr">
        <is>
          <t>001691</t>
        </is>
      </c>
      <c r="B484" s="5">
        <f>COUNTIF('Entetes_TriNumInterne'!$B$2:$B$723,A484)</f>
        <v/>
      </c>
    </row>
    <row r="485">
      <c r="A485" s="3" t="inlineStr">
        <is>
          <t>001692</t>
        </is>
      </c>
      <c r="B485" s="5">
        <f>COUNTIF('Entetes_TriNumInterne'!$B$2:$B$723,A485)</f>
        <v/>
      </c>
    </row>
    <row r="486">
      <c r="A486" s="3" t="inlineStr">
        <is>
          <t>001696</t>
        </is>
      </c>
      <c r="B486" s="5">
        <f>COUNTIF('Entetes_TriNumInterne'!$B$2:$B$723,A486)</f>
        <v/>
      </c>
    </row>
    <row r="487">
      <c r="A487" s="3" t="inlineStr">
        <is>
          <t>001701</t>
        </is>
      </c>
      <c r="B487" s="5">
        <f>COUNTIF('Entetes_TriNumInterne'!$B$2:$B$723,A487)</f>
        <v/>
      </c>
    </row>
    <row r="488">
      <c r="A488" s="3" t="inlineStr">
        <is>
          <t>001706</t>
        </is>
      </c>
      <c r="B488" s="5">
        <f>COUNTIF('Entetes_TriNumInterne'!$B$2:$B$723,A488)</f>
        <v/>
      </c>
    </row>
    <row r="489">
      <c r="A489" s="3" t="inlineStr">
        <is>
          <t>001707</t>
        </is>
      </c>
      <c r="B489" s="5">
        <f>COUNTIF('Entetes_TriNumInterne'!$B$2:$B$723,A489)</f>
        <v/>
      </c>
    </row>
    <row r="490">
      <c r="A490" s="3" t="inlineStr">
        <is>
          <t>001708</t>
        </is>
      </c>
      <c r="B490" s="5">
        <f>COUNTIF('Entetes_TriNumInterne'!$B$2:$B$723,A490)</f>
        <v/>
      </c>
    </row>
    <row r="491">
      <c r="A491" s="3" t="inlineStr">
        <is>
          <t>001709</t>
        </is>
      </c>
      <c r="B491" s="5">
        <f>COUNTIF('Entetes_TriNumInterne'!$B$2:$B$723,A491)</f>
        <v/>
      </c>
    </row>
    <row r="492">
      <c r="A492" s="3" t="inlineStr">
        <is>
          <t>001710</t>
        </is>
      </c>
      <c r="B492" s="5">
        <f>COUNTIF('Entetes_TriNumInterne'!$B$2:$B$723,A492)</f>
        <v/>
      </c>
    </row>
    <row r="493">
      <c r="A493" s="3" t="inlineStr">
        <is>
          <t>001711</t>
        </is>
      </c>
      <c r="B493" s="5">
        <f>COUNTIF('Entetes_TriNumInterne'!$B$2:$B$723,A493)</f>
        <v/>
      </c>
    </row>
    <row r="494">
      <c r="A494" s="3" t="inlineStr">
        <is>
          <t>001713</t>
        </is>
      </c>
      <c r="B494" s="5">
        <f>COUNTIF('Entetes_TriNumInterne'!$B$2:$B$723,A494)</f>
        <v/>
      </c>
    </row>
    <row r="495">
      <c r="A495" s="3" t="inlineStr">
        <is>
          <t>001714</t>
        </is>
      </c>
      <c r="B495" s="5">
        <f>COUNTIF('Entetes_TriNumInterne'!$B$2:$B$723,A495)</f>
        <v/>
      </c>
    </row>
    <row r="496">
      <c r="A496" s="3" t="inlineStr">
        <is>
          <t>001715</t>
        </is>
      </c>
      <c r="B496" s="5">
        <f>COUNTIF('Entetes_TriNumInterne'!$B$2:$B$723,A496)</f>
        <v/>
      </c>
    </row>
    <row r="497">
      <c r="A497" s="3" t="inlineStr">
        <is>
          <t>001717</t>
        </is>
      </c>
      <c r="B497" s="5">
        <f>COUNTIF('Entetes_TriNumInterne'!$B$2:$B$723,A497)</f>
        <v/>
      </c>
    </row>
    <row r="498">
      <c r="A498" s="3" t="inlineStr">
        <is>
          <t>001718</t>
        </is>
      </c>
      <c r="B498" s="5">
        <f>COUNTIF('Entetes_TriNumInterne'!$B$2:$B$723,A498)</f>
        <v/>
      </c>
    </row>
    <row r="499">
      <c r="A499" s="3" t="inlineStr">
        <is>
          <t>001719</t>
        </is>
      </c>
      <c r="B499" s="5">
        <f>COUNTIF('Entetes_TriNumInterne'!$B$2:$B$723,A499)</f>
        <v/>
      </c>
    </row>
    <row r="500">
      <c r="A500" s="3" t="inlineStr">
        <is>
          <t>001720</t>
        </is>
      </c>
      <c r="B500" s="5">
        <f>COUNTIF('Entetes_TriNumInterne'!$B$2:$B$723,A500)</f>
        <v/>
      </c>
    </row>
    <row r="501">
      <c r="A501" s="3" t="inlineStr">
        <is>
          <t>001721</t>
        </is>
      </c>
      <c r="B501" s="5">
        <f>COUNTIF('Entetes_TriNumInterne'!$B$2:$B$723,A501)</f>
        <v/>
      </c>
    </row>
    <row r="502">
      <c r="A502" s="3" t="inlineStr">
        <is>
          <t>001722</t>
        </is>
      </c>
      <c r="B502" s="5">
        <f>COUNTIF('Entetes_TriNumInterne'!$B$2:$B$723,A502)</f>
        <v/>
      </c>
    </row>
    <row r="503">
      <c r="A503" s="3" t="inlineStr">
        <is>
          <t>001724</t>
        </is>
      </c>
      <c r="B503" s="5">
        <f>COUNTIF('Entetes_TriNumInterne'!$B$2:$B$723,A503)</f>
        <v/>
      </c>
    </row>
    <row r="504">
      <c r="A504" s="3" t="inlineStr">
        <is>
          <t>001725</t>
        </is>
      </c>
      <c r="B504" s="5">
        <f>COUNTIF('Entetes_TriNumInterne'!$B$2:$B$723,A504)</f>
        <v/>
      </c>
    </row>
    <row r="505">
      <c r="A505" s="3" t="inlineStr">
        <is>
          <t>001726</t>
        </is>
      </c>
      <c r="B505" s="5">
        <f>COUNTIF('Entetes_TriNumInterne'!$B$2:$B$723,A505)</f>
        <v/>
      </c>
    </row>
    <row r="506">
      <c r="A506" s="3" t="inlineStr">
        <is>
          <t>001732</t>
        </is>
      </c>
      <c r="B506" s="5">
        <f>COUNTIF('Entetes_TriNumInterne'!$B$2:$B$723,A506)</f>
        <v/>
      </c>
    </row>
    <row r="507">
      <c r="A507" s="3" t="inlineStr">
        <is>
          <t>001733</t>
        </is>
      </c>
      <c r="B507" s="5">
        <f>COUNTIF('Entetes_TriNumInterne'!$B$2:$B$723,A507)</f>
        <v/>
      </c>
    </row>
    <row r="508">
      <c r="A508" s="3" t="inlineStr">
        <is>
          <t>001734</t>
        </is>
      </c>
      <c r="B508" s="5">
        <f>COUNTIF('Entetes_TriNumInterne'!$B$2:$B$723,A508)</f>
        <v/>
      </c>
    </row>
    <row r="509">
      <c r="A509" s="3" t="inlineStr">
        <is>
          <t>001735</t>
        </is>
      </c>
      <c r="B509" s="5">
        <f>COUNTIF('Entetes_TriNumInterne'!$B$2:$B$723,A509)</f>
        <v/>
      </c>
    </row>
    <row r="510">
      <c r="A510" s="3" t="inlineStr">
        <is>
          <t>001736</t>
        </is>
      </c>
      <c r="B510" s="5">
        <f>COUNTIF('Entetes_TriNumInterne'!$B$2:$B$723,A510)</f>
        <v/>
      </c>
    </row>
    <row r="511">
      <c r="A511" s="3" t="inlineStr">
        <is>
          <t>001737</t>
        </is>
      </c>
      <c r="B511" s="5">
        <f>COUNTIF('Entetes_TriNumInterne'!$B$2:$B$723,A511)</f>
        <v/>
      </c>
    </row>
    <row r="512">
      <c r="A512" s="3" t="inlineStr">
        <is>
          <t>001738</t>
        </is>
      </c>
      <c r="B512" s="5">
        <f>COUNTIF('Entetes_TriNumInterne'!$B$2:$B$723,A512)</f>
        <v/>
      </c>
    </row>
    <row r="513">
      <c r="A513" s="3" t="inlineStr">
        <is>
          <t>001741</t>
        </is>
      </c>
      <c r="B513" s="5">
        <f>COUNTIF('Entetes_TriNumInterne'!$B$2:$B$723,A513)</f>
        <v/>
      </c>
    </row>
    <row r="514">
      <c r="A514" s="3" t="inlineStr">
        <is>
          <t>001742</t>
        </is>
      </c>
      <c r="B514" s="5">
        <f>COUNTIF('Entetes_TriNumInterne'!$B$2:$B$723,A514)</f>
        <v/>
      </c>
    </row>
    <row r="515">
      <c r="A515" s="3" t="inlineStr">
        <is>
          <t>001746</t>
        </is>
      </c>
      <c r="B515" s="5">
        <f>COUNTIF('Entetes_TriNumInterne'!$B$2:$B$723,A515)</f>
        <v/>
      </c>
    </row>
    <row r="516">
      <c r="A516" s="3" t="inlineStr">
        <is>
          <t>001747</t>
        </is>
      </c>
      <c r="B516" s="5">
        <f>COUNTIF('Entetes_TriNumInterne'!$B$2:$B$723,A516)</f>
        <v/>
      </c>
    </row>
    <row r="517">
      <c r="A517" s="3" t="inlineStr">
        <is>
          <t>001748</t>
        </is>
      </c>
      <c r="B517" s="5">
        <f>COUNTIF('Entetes_TriNumInterne'!$B$2:$B$723,A517)</f>
        <v/>
      </c>
    </row>
    <row r="518">
      <c r="A518" s="3" t="inlineStr">
        <is>
          <t>001750</t>
        </is>
      </c>
      <c r="B518" s="5">
        <f>COUNTIF('Entetes_TriNumInterne'!$B$2:$B$723,A518)</f>
        <v/>
      </c>
    </row>
    <row r="519">
      <c r="A519" s="3" t="inlineStr">
        <is>
          <t>001751</t>
        </is>
      </c>
      <c r="B519" s="5">
        <f>COUNTIF('Entetes_TriNumInterne'!$B$2:$B$723,A519)</f>
        <v/>
      </c>
    </row>
    <row r="520">
      <c r="A520" s="3" t="inlineStr">
        <is>
          <t>001752</t>
        </is>
      </c>
      <c r="B520" s="5">
        <f>COUNTIF('Entetes_TriNumInterne'!$B$2:$B$723,A520)</f>
        <v/>
      </c>
    </row>
    <row r="521">
      <c r="A521" s="3" t="inlineStr">
        <is>
          <t>001753</t>
        </is>
      </c>
      <c r="B521" s="5">
        <f>COUNTIF('Entetes_TriNumInterne'!$B$2:$B$723,A521)</f>
        <v/>
      </c>
    </row>
    <row r="522">
      <c r="A522" s="3" t="inlineStr">
        <is>
          <t>001754</t>
        </is>
      </c>
      <c r="B522" s="5">
        <f>COUNTIF('Entetes_TriNumInterne'!$B$2:$B$723,A522)</f>
        <v/>
      </c>
    </row>
    <row r="523">
      <c r="A523" s="3" t="inlineStr">
        <is>
          <t>001755</t>
        </is>
      </c>
      <c r="B523" s="5">
        <f>COUNTIF('Entetes_TriNumInterne'!$B$2:$B$723,A523)</f>
        <v/>
      </c>
    </row>
    <row r="524">
      <c r="A524" s="3" t="inlineStr">
        <is>
          <t>001759</t>
        </is>
      </c>
      <c r="B524" s="5">
        <f>COUNTIF('Entetes_TriNumInterne'!$B$2:$B$723,A524)</f>
        <v/>
      </c>
    </row>
    <row r="525">
      <c r="A525" s="3" t="inlineStr">
        <is>
          <t>001764</t>
        </is>
      </c>
      <c r="B525" s="5">
        <f>COUNTIF('Entetes_TriNumInterne'!$B$2:$B$723,A525)</f>
        <v/>
      </c>
    </row>
    <row r="526">
      <c r="A526" s="3" t="inlineStr">
        <is>
          <t>001765</t>
        </is>
      </c>
      <c r="B526" s="5">
        <f>COUNTIF('Entetes_TriNumInterne'!$B$2:$B$723,A526)</f>
        <v/>
      </c>
    </row>
    <row r="527">
      <c r="A527" s="3" t="inlineStr">
        <is>
          <t>001766</t>
        </is>
      </c>
      <c r="B527" s="5">
        <f>COUNTIF('Entetes_TriNumInterne'!$B$2:$B$723,A527)</f>
        <v/>
      </c>
    </row>
    <row r="528">
      <c r="A528" s="3" t="inlineStr">
        <is>
          <t>001767</t>
        </is>
      </c>
      <c r="B528" s="5">
        <f>COUNTIF('Entetes_TriNumInterne'!$B$2:$B$723,A528)</f>
        <v/>
      </c>
    </row>
    <row r="529">
      <c r="A529" s="3" t="inlineStr">
        <is>
          <t>001768</t>
        </is>
      </c>
      <c r="B529" s="5">
        <f>COUNTIF('Entetes_TriNumInterne'!$B$2:$B$723,A529)</f>
        <v/>
      </c>
    </row>
    <row r="530">
      <c r="A530" s="3" t="inlineStr">
        <is>
          <t>001769</t>
        </is>
      </c>
      <c r="B530" s="5">
        <f>COUNTIF('Entetes_TriNumInterne'!$B$2:$B$723,A530)</f>
        <v/>
      </c>
    </row>
    <row r="531">
      <c r="A531" s="3" t="inlineStr">
        <is>
          <t>001770</t>
        </is>
      </c>
      <c r="B531" s="5">
        <f>COUNTIF('Entetes_TriNumInterne'!$B$2:$B$723,A531)</f>
        <v/>
      </c>
    </row>
    <row r="532">
      <c r="A532" s="3" t="inlineStr">
        <is>
          <t>001771</t>
        </is>
      </c>
      <c r="B532" s="5">
        <f>COUNTIF('Entetes_TriNumInterne'!$B$2:$B$723,A532)</f>
        <v/>
      </c>
    </row>
    <row r="533">
      <c r="A533" s="3" t="inlineStr">
        <is>
          <t>001773</t>
        </is>
      </c>
      <c r="B533" s="5">
        <f>COUNTIF('Entetes_TriNumInterne'!$B$2:$B$723,A533)</f>
        <v/>
      </c>
    </row>
    <row r="534">
      <c r="A534" s="3" t="inlineStr">
        <is>
          <t>001775</t>
        </is>
      </c>
      <c r="B534" s="5">
        <f>COUNTIF('Entetes_TriNumInterne'!$B$2:$B$723,A534)</f>
        <v/>
      </c>
    </row>
    <row r="535">
      <c r="A535" s="3" t="inlineStr">
        <is>
          <t>001783</t>
        </is>
      </c>
      <c r="B535" s="5">
        <f>COUNTIF('Entetes_TriNumInterne'!$B$2:$B$723,A535)</f>
        <v/>
      </c>
    </row>
    <row r="536">
      <c r="A536" s="3" t="inlineStr">
        <is>
          <t>001784</t>
        </is>
      </c>
      <c r="B536" s="5">
        <f>COUNTIF('Entetes_TriNumInterne'!$B$2:$B$723,A536)</f>
        <v/>
      </c>
    </row>
    <row r="537">
      <c r="A537" s="3" t="inlineStr">
        <is>
          <t>001785</t>
        </is>
      </c>
      <c r="B537" s="5">
        <f>COUNTIF('Entetes_TriNumInterne'!$B$2:$B$723,A537)</f>
        <v/>
      </c>
    </row>
    <row r="538">
      <c r="A538" s="3" t="inlineStr">
        <is>
          <t>001787</t>
        </is>
      </c>
      <c r="B538" s="5">
        <f>COUNTIF('Entetes_TriNumInterne'!$B$2:$B$723,A538)</f>
        <v/>
      </c>
    </row>
    <row r="539">
      <c r="A539" s="3" t="inlineStr">
        <is>
          <t>001788</t>
        </is>
      </c>
      <c r="B539" s="5">
        <f>COUNTIF('Entetes_TriNumInterne'!$B$2:$B$723,A539)</f>
        <v/>
      </c>
    </row>
    <row r="540">
      <c r="A540" s="3" t="inlineStr">
        <is>
          <t>001790</t>
        </is>
      </c>
      <c r="B540" s="5">
        <f>COUNTIF('Entetes_TriNumInterne'!$B$2:$B$723,A540)</f>
        <v/>
      </c>
    </row>
    <row r="541">
      <c r="A541" s="3" t="inlineStr">
        <is>
          <t>001791</t>
        </is>
      </c>
      <c r="B541" s="5">
        <f>COUNTIF('Entetes_TriNumInterne'!$B$2:$B$723,A541)</f>
        <v/>
      </c>
    </row>
    <row r="542">
      <c r="A542" s="3" t="inlineStr">
        <is>
          <t>001792</t>
        </is>
      </c>
      <c r="B542" s="5">
        <f>COUNTIF('Entetes_TriNumInterne'!$B$2:$B$723,A542)</f>
        <v/>
      </c>
    </row>
    <row r="543">
      <c r="A543" s="3" t="inlineStr">
        <is>
          <t>001793</t>
        </is>
      </c>
      <c r="B543" s="5">
        <f>COUNTIF('Entetes_TriNumInterne'!$B$2:$B$723,A543)</f>
        <v/>
      </c>
    </row>
    <row r="544">
      <c r="A544" s="3" t="inlineStr">
        <is>
          <t>001795</t>
        </is>
      </c>
      <c r="B544" s="5">
        <f>COUNTIF('Entetes_TriNumInterne'!$B$2:$B$723,A544)</f>
        <v/>
      </c>
    </row>
    <row r="545">
      <c r="A545" s="3" t="inlineStr">
        <is>
          <t>001798</t>
        </is>
      </c>
      <c r="B545" s="5">
        <f>COUNTIF('Entetes_TriNumInterne'!$B$2:$B$723,A545)</f>
        <v/>
      </c>
    </row>
    <row r="546">
      <c r="A546" s="3" t="inlineStr">
        <is>
          <t>001799</t>
        </is>
      </c>
      <c r="B546" s="5">
        <f>COUNTIF('Entetes_TriNumInterne'!$B$2:$B$723,A546)</f>
        <v/>
      </c>
    </row>
    <row r="547">
      <c r="A547" s="3" t="inlineStr">
        <is>
          <t>001801</t>
        </is>
      </c>
      <c r="B547" s="5">
        <f>COUNTIF('Entetes_TriNumInterne'!$B$2:$B$723,A547)</f>
        <v/>
      </c>
    </row>
    <row r="548">
      <c r="A548" s="3" t="inlineStr">
        <is>
          <t>001802</t>
        </is>
      </c>
      <c r="B548" s="5">
        <f>COUNTIF('Entetes_TriNumInterne'!$B$2:$B$723,A548)</f>
        <v/>
      </c>
    </row>
    <row r="549">
      <c r="A549" s="3" t="inlineStr">
        <is>
          <t>001803</t>
        </is>
      </c>
      <c r="B549" s="5">
        <f>COUNTIF('Entetes_TriNumInterne'!$B$2:$B$723,A549)</f>
        <v/>
      </c>
    </row>
    <row r="550">
      <c r="A550" s="3" t="inlineStr">
        <is>
          <t>001804</t>
        </is>
      </c>
      <c r="B550" s="5">
        <f>COUNTIF('Entetes_TriNumInterne'!$B$2:$B$723,A550)</f>
        <v/>
      </c>
    </row>
    <row r="551">
      <c r="A551" s="3" t="inlineStr">
        <is>
          <t>001806</t>
        </is>
      </c>
      <c r="B551" s="5">
        <f>COUNTIF('Entetes_TriNumInterne'!$B$2:$B$723,A551)</f>
        <v/>
      </c>
    </row>
    <row r="552">
      <c r="A552" s="3" t="inlineStr">
        <is>
          <t>001807</t>
        </is>
      </c>
      <c r="B552" s="5">
        <f>COUNTIF('Entetes_TriNumInterne'!$B$2:$B$723,A552)</f>
        <v/>
      </c>
    </row>
    <row r="553">
      <c r="A553" s="3" t="inlineStr">
        <is>
          <t>001808</t>
        </is>
      </c>
      <c r="B553" s="5">
        <f>COUNTIF('Entetes_TriNumInterne'!$B$2:$B$723,A553)</f>
        <v/>
      </c>
    </row>
    <row r="554">
      <c r="A554" s="3" t="inlineStr">
        <is>
          <t>001809</t>
        </is>
      </c>
      <c r="B554" s="5">
        <f>COUNTIF('Entetes_TriNumInterne'!$B$2:$B$723,A554)</f>
        <v/>
      </c>
    </row>
    <row r="555">
      <c r="A555" s="3" t="inlineStr">
        <is>
          <t>001810</t>
        </is>
      </c>
      <c r="B555" s="5">
        <f>COUNTIF('Entetes_TriNumInterne'!$B$2:$B$723,A555)</f>
        <v/>
      </c>
    </row>
    <row r="556">
      <c r="A556" s="3" t="inlineStr">
        <is>
          <t>001811</t>
        </is>
      </c>
      <c r="B556" s="5">
        <f>COUNTIF('Entetes_TriNumInterne'!$B$2:$B$723,A556)</f>
        <v/>
      </c>
    </row>
    <row r="557">
      <c r="A557" s="3" t="inlineStr">
        <is>
          <t>001812</t>
        </is>
      </c>
      <c r="B557" s="5">
        <f>COUNTIF('Entetes_TriNumInterne'!$B$2:$B$723,A557)</f>
        <v/>
      </c>
    </row>
    <row r="558">
      <c r="A558" s="3" t="inlineStr">
        <is>
          <t>001814</t>
        </is>
      </c>
      <c r="B558" s="5">
        <f>COUNTIF('Entetes_TriNumInterne'!$B$2:$B$723,A558)</f>
        <v/>
      </c>
    </row>
    <row r="559">
      <c r="A559" s="3" t="inlineStr">
        <is>
          <t>001822</t>
        </is>
      </c>
      <c r="B559" s="5">
        <f>COUNTIF('Entetes_TriNumInterne'!$B$2:$B$723,A559)</f>
        <v/>
      </c>
    </row>
    <row r="560">
      <c r="A560" s="3" t="inlineStr">
        <is>
          <t>001825</t>
        </is>
      </c>
      <c r="B560" s="5">
        <f>COUNTIF('Entetes_TriNumInterne'!$B$2:$B$723,A560)</f>
        <v/>
      </c>
    </row>
    <row r="561">
      <c r="A561" s="3" t="inlineStr">
        <is>
          <t>001826</t>
        </is>
      </c>
      <c r="B561" s="5">
        <f>COUNTIF('Entetes_TriNumInterne'!$B$2:$B$723,A561)</f>
        <v/>
      </c>
    </row>
    <row r="562">
      <c r="A562" s="3" t="inlineStr">
        <is>
          <t>001829</t>
        </is>
      </c>
      <c r="B562" s="5">
        <f>COUNTIF('Entetes_TriNumInterne'!$B$2:$B$723,A562)</f>
        <v/>
      </c>
    </row>
    <row r="563">
      <c r="A563" s="3" t="inlineStr">
        <is>
          <t>001830</t>
        </is>
      </c>
      <c r="B563" s="5">
        <f>COUNTIF('Entetes_TriNumInterne'!$B$2:$B$723,A563)</f>
        <v/>
      </c>
    </row>
    <row r="564">
      <c r="A564" s="3" t="inlineStr">
        <is>
          <t>001831</t>
        </is>
      </c>
      <c r="B564" s="5">
        <f>COUNTIF('Entetes_TriNumInterne'!$B$2:$B$723,A564)</f>
        <v/>
      </c>
    </row>
    <row r="565">
      <c r="A565" s="3" t="inlineStr">
        <is>
          <t>001832</t>
        </is>
      </c>
      <c r="B565" s="5">
        <f>COUNTIF('Entetes_TriNumInterne'!$B$2:$B$723,A565)</f>
        <v/>
      </c>
    </row>
    <row r="566">
      <c r="A566" s="3" t="inlineStr">
        <is>
          <t>001833</t>
        </is>
      </c>
      <c r="B566" s="5">
        <f>COUNTIF('Entetes_TriNumInterne'!$B$2:$B$723,A566)</f>
        <v/>
      </c>
    </row>
    <row r="567">
      <c r="A567" s="3" t="inlineStr">
        <is>
          <t>001834</t>
        </is>
      </c>
      <c r="B567" s="5">
        <f>COUNTIF('Entetes_TriNumInterne'!$B$2:$B$723,A567)</f>
        <v/>
      </c>
    </row>
    <row r="568">
      <c r="A568" s="3" t="inlineStr">
        <is>
          <t>001835</t>
        </is>
      </c>
      <c r="B568" s="5">
        <f>COUNTIF('Entetes_TriNumInterne'!$B$2:$B$723,A568)</f>
        <v/>
      </c>
    </row>
    <row r="569">
      <c r="A569" s="3" t="inlineStr">
        <is>
          <t>001837</t>
        </is>
      </c>
      <c r="B569" s="5">
        <f>COUNTIF('Entetes_TriNumInterne'!$B$2:$B$723,A569)</f>
        <v/>
      </c>
    </row>
    <row r="570">
      <c r="A570" s="3" t="inlineStr">
        <is>
          <t>001838</t>
        </is>
      </c>
      <c r="B570" s="5">
        <f>COUNTIF('Entetes_TriNumInterne'!$B$2:$B$723,A570)</f>
        <v/>
      </c>
    </row>
    <row r="571">
      <c r="A571" s="3" t="inlineStr">
        <is>
          <t>001839</t>
        </is>
      </c>
      <c r="B571" s="5">
        <f>COUNTIF('Entetes_TriNumInterne'!$B$2:$B$723,A571)</f>
        <v/>
      </c>
    </row>
    <row r="572">
      <c r="A572" s="3" t="inlineStr">
        <is>
          <t>001840</t>
        </is>
      </c>
      <c r="B572" s="5">
        <f>COUNTIF('Entetes_TriNumInterne'!$B$2:$B$723,A572)</f>
        <v/>
      </c>
    </row>
    <row r="573">
      <c r="A573" s="3" t="inlineStr">
        <is>
          <t>001841</t>
        </is>
      </c>
      <c r="B573" s="5">
        <f>COUNTIF('Entetes_TriNumInterne'!$B$2:$B$723,A573)</f>
        <v/>
      </c>
    </row>
    <row r="574">
      <c r="A574" s="3" t="inlineStr">
        <is>
          <t>001843</t>
        </is>
      </c>
      <c r="B574" s="5">
        <f>COUNTIF('Entetes_TriNumInterne'!$B$2:$B$723,A574)</f>
        <v/>
      </c>
    </row>
    <row r="575">
      <c r="A575" s="3" t="inlineStr">
        <is>
          <t>001844</t>
        </is>
      </c>
      <c r="B575" s="5">
        <f>COUNTIF('Entetes_TriNumInterne'!$B$2:$B$723,A575)</f>
        <v/>
      </c>
    </row>
    <row r="576">
      <c r="A576" s="3" t="inlineStr">
        <is>
          <t>001845</t>
        </is>
      </c>
      <c r="B576" s="5">
        <f>COUNTIF('Entetes_TriNumInterne'!$B$2:$B$723,A576)</f>
        <v/>
      </c>
    </row>
    <row r="577">
      <c r="A577" s="3" t="inlineStr">
        <is>
          <t>001846</t>
        </is>
      </c>
      <c r="B577" s="5">
        <f>COUNTIF('Entetes_TriNumInterne'!$B$2:$B$723,A577)</f>
        <v/>
      </c>
    </row>
    <row r="578">
      <c r="A578" s="3" t="inlineStr">
        <is>
          <t>001847</t>
        </is>
      </c>
      <c r="B578" s="5">
        <f>COUNTIF('Entetes_TriNumInterne'!$B$2:$B$723,A578)</f>
        <v/>
      </c>
    </row>
    <row r="579">
      <c r="A579" s="3" t="inlineStr">
        <is>
          <t>001849</t>
        </is>
      </c>
      <c r="B579" s="5">
        <f>COUNTIF('Entetes_TriNumInterne'!$B$2:$B$723,A579)</f>
        <v/>
      </c>
    </row>
    <row r="580">
      <c r="A580" s="3" t="inlineStr">
        <is>
          <t>001850</t>
        </is>
      </c>
      <c r="B580" s="5">
        <f>COUNTIF('Entetes_TriNumInterne'!$B$2:$B$723,A580)</f>
        <v/>
      </c>
    </row>
    <row r="581">
      <c r="A581" s="3" t="inlineStr">
        <is>
          <t>001856</t>
        </is>
      </c>
      <c r="B581" s="5">
        <f>COUNTIF('Entetes_TriNumInterne'!$B$2:$B$723,A581)</f>
        <v/>
      </c>
    </row>
    <row r="582">
      <c r="A582" s="3" t="inlineStr">
        <is>
          <t>001857</t>
        </is>
      </c>
      <c r="B582" s="5">
        <f>COUNTIF('Entetes_TriNumInterne'!$B$2:$B$723,A582)</f>
        <v/>
      </c>
    </row>
    <row r="583">
      <c r="A583" s="3" t="inlineStr">
        <is>
          <t>001860</t>
        </is>
      </c>
      <c r="B583" s="5">
        <f>COUNTIF('Entetes_TriNumInterne'!$B$2:$B$723,A583)</f>
        <v/>
      </c>
    </row>
    <row r="584">
      <c r="A584" s="3" t="inlineStr">
        <is>
          <t>001861</t>
        </is>
      </c>
      <c r="B584" s="5">
        <f>COUNTIF('Entetes_TriNumInterne'!$B$2:$B$723,A584)</f>
        <v/>
      </c>
    </row>
    <row r="585">
      <c r="A585" s="3" t="inlineStr">
        <is>
          <t>001862</t>
        </is>
      </c>
      <c r="B585" s="5">
        <f>COUNTIF('Entetes_TriNumInterne'!$B$2:$B$723,A585)</f>
        <v/>
      </c>
    </row>
    <row r="586">
      <c r="A586" s="3" t="inlineStr">
        <is>
          <t>001863</t>
        </is>
      </c>
      <c r="B586" s="5">
        <f>COUNTIF('Entetes_TriNumInterne'!$B$2:$B$723,A586)</f>
        <v/>
      </c>
    </row>
    <row r="587">
      <c r="A587" s="3" t="inlineStr">
        <is>
          <t>001867</t>
        </is>
      </c>
      <c r="B587" s="5">
        <f>COUNTIF('Entetes_TriNumInterne'!$B$2:$B$723,A587)</f>
        <v/>
      </c>
    </row>
    <row r="588">
      <c r="A588" s="3" t="inlineStr">
        <is>
          <t>001868</t>
        </is>
      </c>
      <c r="B588" s="5">
        <f>COUNTIF('Entetes_TriNumInterne'!$B$2:$B$723,A588)</f>
        <v/>
      </c>
    </row>
    <row r="589">
      <c r="A589" s="3" t="inlineStr">
        <is>
          <t>001869</t>
        </is>
      </c>
      <c r="B589" s="5">
        <f>COUNTIF('Entetes_TriNumInterne'!$B$2:$B$723,A589)</f>
        <v/>
      </c>
    </row>
    <row r="590">
      <c r="A590" s="3" t="inlineStr">
        <is>
          <t>001870</t>
        </is>
      </c>
      <c r="B590" s="5">
        <f>COUNTIF('Entetes_TriNumInterne'!$B$2:$B$723,A590)</f>
        <v/>
      </c>
    </row>
    <row r="591">
      <c r="A591" s="3" t="inlineStr">
        <is>
          <t>001871</t>
        </is>
      </c>
      <c r="B591" s="5">
        <f>COUNTIF('Entetes_TriNumInterne'!$B$2:$B$723,A591)</f>
        <v/>
      </c>
    </row>
    <row r="592">
      <c r="A592" s="3" t="inlineStr">
        <is>
          <t>001872</t>
        </is>
      </c>
      <c r="B592" s="5">
        <f>COUNTIF('Entetes_TriNumInterne'!$B$2:$B$723,A592)</f>
        <v/>
      </c>
    </row>
    <row r="593">
      <c r="A593" s="3" t="inlineStr">
        <is>
          <t>001873</t>
        </is>
      </c>
      <c r="B593" s="5">
        <f>COUNTIF('Entetes_TriNumInterne'!$B$2:$B$723,A593)</f>
        <v/>
      </c>
    </row>
    <row r="594">
      <c r="A594" s="3" t="inlineStr">
        <is>
          <t>001874</t>
        </is>
      </c>
      <c r="B594" s="5">
        <f>COUNTIF('Entetes_TriNumInterne'!$B$2:$B$723,A594)</f>
        <v/>
      </c>
    </row>
    <row r="595">
      <c r="A595" s="3" t="inlineStr">
        <is>
          <t>001881</t>
        </is>
      </c>
      <c r="B595" s="5">
        <f>COUNTIF('Entetes_TriNumInterne'!$B$2:$B$723,A595)</f>
        <v/>
      </c>
    </row>
    <row r="596">
      <c r="A596" s="3" t="inlineStr">
        <is>
          <t>001885</t>
        </is>
      </c>
      <c r="B596" s="5">
        <f>COUNTIF('Entetes_TriNumInterne'!$B$2:$B$723,A596)</f>
        <v/>
      </c>
    </row>
    <row r="597">
      <c r="A597" s="3" t="inlineStr">
        <is>
          <t>001886</t>
        </is>
      </c>
      <c r="B597" s="5">
        <f>COUNTIF('Entetes_TriNumInterne'!$B$2:$B$723,A597)</f>
        <v/>
      </c>
    </row>
    <row r="598">
      <c r="A598" s="3" t="inlineStr">
        <is>
          <t>001887</t>
        </is>
      </c>
      <c r="B598" s="5">
        <f>COUNTIF('Entetes_TriNumInterne'!$B$2:$B$723,A598)</f>
        <v/>
      </c>
    </row>
    <row r="599">
      <c r="A599" s="3" t="inlineStr">
        <is>
          <t>001888</t>
        </is>
      </c>
      <c r="B599" s="5">
        <f>COUNTIF('Entetes_TriNumInterne'!$B$2:$B$723,A599)</f>
        <v/>
      </c>
    </row>
    <row r="600">
      <c r="A600" s="3" t="inlineStr">
        <is>
          <t>001889</t>
        </is>
      </c>
      <c r="B600" s="5">
        <f>COUNTIF('Entetes_TriNumInterne'!$B$2:$B$723,A600)</f>
        <v/>
      </c>
    </row>
    <row r="601">
      <c r="A601" s="3" t="inlineStr">
        <is>
          <t>001891</t>
        </is>
      </c>
      <c r="B601" s="5">
        <f>COUNTIF('Entetes_TriNumInterne'!$B$2:$B$723,A601)</f>
        <v/>
      </c>
    </row>
    <row r="602">
      <c r="A602" s="3" t="inlineStr">
        <is>
          <t>001900</t>
        </is>
      </c>
      <c r="B602" s="5">
        <f>COUNTIF('Entetes_TriNumInterne'!$B$2:$B$723,A602)</f>
        <v/>
      </c>
    </row>
    <row r="603">
      <c r="A603" s="3" t="inlineStr">
        <is>
          <t>001901</t>
        </is>
      </c>
      <c r="B603" s="5">
        <f>COUNTIF('Entetes_TriNumInterne'!$B$2:$B$723,A603)</f>
        <v/>
      </c>
    </row>
    <row r="604">
      <c r="A604" s="3" t="inlineStr">
        <is>
          <t>001902</t>
        </is>
      </c>
      <c r="B604" s="5">
        <f>COUNTIF('Entetes_TriNumInterne'!$B$2:$B$723,A604)</f>
        <v/>
      </c>
    </row>
    <row r="605">
      <c r="A605" s="3" t="inlineStr">
        <is>
          <t>001903</t>
        </is>
      </c>
      <c r="B605" s="5">
        <f>COUNTIF('Entetes_TriNumInterne'!$B$2:$B$723,A605)</f>
        <v/>
      </c>
    </row>
    <row r="606">
      <c r="A606" s="3" t="inlineStr">
        <is>
          <t>001904</t>
        </is>
      </c>
      <c r="B606" s="5">
        <f>COUNTIF('Entetes_TriNumInterne'!$B$2:$B$723,A606)</f>
        <v/>
      </c>
    </row>
    <row r="607">
      <c r="A607" s="3" t="inlineStr">
        <is>
          <t>001905</t>
        </is>
      </c>
      <c r="B607" s="5">
        <f>COUNTIF('Entetes_TriNumInterne'!$B$2:$B$723,A607)</f>
        <v/>
      </c>
    </row>
    <row r="608">
      <c r="A608" s="3" t="inlineStr">
        <is>
          <t>001906</t>
        </is>
      </c>
      <c r="B608" s="5">
        <f>COUNTIF('Entetes_TriNumInterne'!$B$2:$B$723,A608)</f>
        <v/>
      </c>
    </row>
    <row r="609">
      <c r="A609" s="3" t="inlineStr">
        <is>
          <t>001907</t>
        </is>
      </c>
      <c r="B609" s="5">
        <f>COUNTIF('Entetes_TriNumInterne'!$B$2:$B$723,A609)</f>
        <v/>
      </c>
    </row>
    <row r="610">
      <c r="A610" s="3" t="inlineStr">
        <is>
          <t>001908</t>
        </is>
      </c>
      <c r="B610" s="5">
        <f>COUNTIF('Entetes_TriNumInterne'!$B$2:$B$723,A610)</f>
        <v/>
      </c>
    </row>
    <row r="611">
      <c r="A611" s="3" t="inlineStr">
        <is>
          <t>001909</t>
        </is>
      </c>
      <c r="B611" s="5">
        <f>COUNTIF('Entetes_TriNumInterne'!$B$2:$B$723,A611)</f>
        <v/>
      </c>
    </row>
    <row r="612">
      <c r="A612" s="3" t="inlineStr">
        <is>
          <t>001910</t>
        </is>
      </c>
      <c r="B612" s="5">
        <f>COUNTIF('Entetes_TriNumInterne'!$B$2:$B$723,A612)</f>
        <v/>
      </c>
    </row>
    <row r="613">
      <c r="A613" s="3" t="inlineStr">
        <is>
          <t>001911</t>
        </is>
      </c>
      <c r="B613" s="5">
        <f>COUNTIF('Entetes_TriNumInterne'!$B$2:$B$723,A613)</f>
        <v/>
      </c>
    </row>
    <row r="614">
      <c r="A614" s="3" t="inlineStr">
        <is>
          <t>001912</t>
        </is>
      </c>
      <c r="B614" s="5">
        <f>COUNTIF('Entetes_TriNumInterne'!$B$2:$B$723,A614)</f>
        <v/>
      </c>
    </row>
    <row r="615">
      <c r="A615" s="3" t="inlineStr">
        <is>
          <t>001913</t>
        </is>
      </c>
      <c r="B615" s="5">
        <f>COUNTIF('Entetes_TriNumInterne'!$B$2:$B$723,A615)</f>
        <v/>
      </c>
    </row>
    <row r="616">
      <c r="A616" s="3" t="inlineStr">
        <is>
          <t>001914</t>
        </is>
      </c>
      <c r="B616" s="5">
        <f>COUNTIF('Entetes_TriNumInterne'!$B$2:$B$723,A616)</f>
        <v/>
      </c>
    </row>
    <row r="617">
      <c r="A617" s="3" t="inlineStr">
        <is>
          <t>001915</t>
        </is>
      </c>
      <c r="B617" s="5">
        <f>COUNTIF('Entetes_TriNumInterne'!$B$2:$B$723,A617)</f>
        <v/>
      </c>
    </row>
    <row r="618">
      <c r="A618" s="3" t="inlineStr">
        <is>
          <t>001917</t>
        </is>
      </c>
      <c r="B618" s="5">
        <f>COUNTIF('Entetes_TriNumInterne'!$B$2:$B$723,A618)</f>
        <v/>
      </c>
    </row>
    <row r="619">
      <c r="A619" s="3" t="inlineStr">
        <is>
          <t>001925</t>
        </is>
      </c>
      <c r="B619" s="5">
        <f>COUNTIF('Entetes_TriNumInterne'!$B$2:$B$723,A619)</f>
        <v/>
      </c>
    </row>
    <row r="620">
      <c r="A620" s="3" t="inlineStr">
        <is>
          <t>001926</t>
        </is>
      </c>
      <c r="B620" s="5">
        <f>COUNTIF('Entetes_TriNumInterne'!$B$2:$B$723,A620)</f>
        <v/>
      </c>
    </row>
    <row r="621">
      <c r="A621" s="3" t="inlineStr">
        <is>
          <t>001927</t>
        </is>
      </c>
      <c r="B621" s="5">
        <f>COUNTIF('Entetes_TriNumInterne'!$B$2:$B$723,A621)</f>
        <v/>
      </c>
    </row>
    <row r="622">
      <c r="A622" s="3" t="inlineStr">
        <is>
          <t>001928</t>
        </is>
      </c>
      <c r="B622" s="5">
        <f>COUNTIF('Entetes_TriNumInterne'!$B$2:$B$723,A622)</f>
        <v/>
      </c>
    </row>
    <row r="623">
      <c r="A623" s="3" t="inlineStr">
        <is>
          <t>001929</t>
        </is>
      </c>
      <c r="B623" s="5">
        <f>COUNTIF('Entetes_TriNumInterne'!$B$2:$B$723,A623)</f>
        <v/>
      </c>
    </row>
    <row r="624">
      <c r="A624" s="3" t="inlineStr">
        <is>
          <t>001931</t>
        </is>
      </c>
      <c r="B624" s="5">
        <f>COUNTIF('Entetes_TriNumInterne'!$B$2:$B$723,A624)</f>
        <v/>
      </c>
    </row>
    <row r="625">
      <c r="A625" s="3" t="inlineStr">
        <is>
          <t>001932</t>
        </is>
      </c>
      <c r="B625" s="5">
        <f>COUNTIF('Entetes_TriNumInterne'!$B$2:$B$723,A625)</f>
        <v/>
      </c>
    </row>
    <row r="626">
      <c r="A626" s="3" t="inlineStr">
        <is>
          <t>001933</t>
        </is>
      </c>
      <c r="B626" s="5">
        <f>COUNTIF('Entetes_TriNumInterne'!$B$2:$B$723,A626)</f>
        <v/>
      </c>
    </row>
    <row r="627">
      <c r="A627" s="3" t="inlineStr">
        <is>
          <t>001935</t>
        </is>
      </c>
      <c r="B627" s="5">
        <f>COUNTIF('Entetes_TriNumInterne'!$B$2:$B$723,A627)</f>
        <v/>
      </c>
    </row>
    <row r="628">
      <c r="A628" s="3" t="inlineStr">
        <is>
          <t>001937</t>
        </is>
      </c>
      <c r="B628" s="5">
        <f>COUNTIF('Entetes_TriNumInterne'!$B$2:$B$723,A628)</f>
        <v/>
      </c>
    </row>
    <row r="629">
      <c r="A629" s="3" t="inlineStr">
        <is>
          <t>001938</t>
        </is>
      </c>
      <c r="B629" s="5">
        <f>COUNTIF('Entetes_TriNumInterne'!$B$2:$B$723,A629)</f>
        <v/>
      </c>
    </row>
    <row r="630">
      <c r="A630" s="3" t="inlineStr">
        <is>
          <t>001939</t>
        </is>
      </c>
      <c r="B630" s="5">
        <f>COUNTIF('Entetes_TriNumInterne'!$B$2:$B$723,A630)</f>
        <v/>
      </c>
    </row>
    <row r="631">
      <c r="A631" s="3" t="inlineStr">
        <is>
          <t>001940</t>
        </is>
      </c>
      <c r="B631" s="5">
        <f>COUNTIF('Entetes_TriNumInterne'!$B$2:$B$723,A631)</f>
        <v/>
      </c>
    </row>
    <row r="632">
      <c r="A632" s="3" t="inlineStr">
        <is>
          <t>001941</t>
        </is>
      </c>
      <c r="B632" s="5">
        <f>COUNTIF('Entetes_TriNumInterne'!$B$2:$B$723,A632)</f>
        <v/>
      </c>
    </row>
    <row r="633">
      <c r="A633" s="3" t="inlineStr">
        <is>
          <t>001942</t>
        </is>
      </c>
      <c r="B633" s="5">
        <f>COUNTIF('Entetes_TriNumInterne'!$B$2:$B$723,A633)</f>
        <v/>
      </c>
    </row>
    <row r="634">
      <c r="A634" s="3" t="inlineStr">
        <is>
          <t>001945</t>
        </is>
      </c>
      <c r="B634" s="5">
        <f>COUNTIF('Entetes_TriNumInterne'!$B$2:$B$723,A634)</f>
        <v/>
      </c>
    </row>
    <row r="635">
      <c r="A635" s="3" t="inlineStr">
        <is>
          <t>001946</t>
        </is>
      </c>
      <c r="B635" s="5">
        <f>COUNTIF('Entetes_TriNumInterne'!$B$2:$B$723,A635)</f>
        <v/>
      </c>
    </row>
    <row r="636">
      <c r="A636" s="3" t="inlineStr">
        <is>
          <t>001950</t>
        </is>
      </c>
      <c r="B636" s="5">
        <f>COUNTIF('Entetes_TriNumInterne'!$B$2:$B$723,A636)</f>
        <v/>
      </c>
    </row>
    <row r="637">
      <c r="A637" s="3" t="inlineStr">
        <is>
          <t>001951</t>
        </is>
      </c>
      <c r="B637" s="5">
        <f>COUNTIF('Entetes_TriNumInterne'!$B$2:$B$723,A637)</f>
        <v/>
      </c>
    </row>
    <row r="638">
      <c r="A638" s="3" t="inlineStr">
        <is>
          <t>001960</t>
        </is>
      </c>
      <c r="B638" s="5">
        <f>COUNTIF('Entetes_TriNumInterne'!$B$2:$B$723,A638)</f>
        <v/>
      </c>
    </row>
    <row r="639">
      <c r="A639" s="3" t="inlineStr">
        <is>
          <t>001962</t>
        </is>
      </c>
      <c r="B639" s="5">
        <f>COUNTIF('Entetes_TriNumInterne'!$B$2:$B$723,A639)</f>
        <v/>
      </c>
    </row>
    <row r="640">
      <c r="A640" s="3" t="inlineStr">
        <is>
          <t>001963</t>
        </is>
      </c>
      <c r="B640" s="5">
        <f>COUNTIF('Entetes_TriNumInterne'!$B$2:$B$723,A640)</f>
        <v/>
      </c>
    </row>
    <row r="641">
      <c r="A641" s="3" t="inlineStr">
        <is>
          <t>001964</t>
        </is>
      </c>
      <c r="B641" s="5">
        <f>COUNTIF('Entetes_TriNumInterne'!$B$2:$B$723,A641)</f>
        <v/>
      </c>
    </row>
    <row r="642">
      <c r="A642" s="3" t="inlineStr">
        <is>
          <t>001965</t>
        </is>
      </c>
      <c r="B642" s="5">
        <f>COUNTIF('Entetes_TriNumInterne'!$B$2:$B$723,A642)</f>
        <v/>
      </c>
    </row>
    <row r="643">
      <c r="A643" s="3" t="inlineStr">
        <is>
          <t>001968</t>
        </is>
      </c>
      <c r="B643" s="5">
        <f>COUNTIF('Entetes_TriNumInterne'!$B$2:$B$723,A643)</f>
        <v/>
      </c>
    </row>
    <row r="644">
      <c r="A644" s="3" t="inlineStr">
        <is>
          <t>001969</t>
        </is>
      </c>
      <c r="B644" s="5">
        <f>COUNTIF('Entetes_TriNumInterne'!$B$2:$B$723,A644)</f>
        <v/>
      </c>
    </row>
    <row r="645">
      <c r="A645" s="3" t="inlineStr">
        <is>
          <t>001971</t>
        </is>
      </c>
      <c r="B645" s="5">
        <f>COUNTIF('Entetes_TriNumInterne'!$B$2:$B$723,A645)</f>
        <v/>
      </c>
    </row>
    <row r="646">
      <c r="A646" s="3" t="inlineStr">
        <is>
          <t>001973</t>
        </is>
      </c>
      <c r="B646" s="5">
        <f>COUNTIF('Entetes_TriNumInterne'!$B$2:$B$723,A646)</f>
        <v/>
      </c>
    </row>
    <row r="647">
      <c r="A647" s="3" t="inlineStr">
        <is>
          <t>001974</t>
        </is>
      </c>
      <c r="B647" s="5">
        <f>COUNTIF('Entetes_TriNumInterne'!$B$2:$B$723,A647)</f>
        <v/>
      </c>
    </row>
    <row r="648">
      <c r="A648" s="3" t="inlineStr">
        <is>
          <t>001975</t>
        </is>
      </c>
      <c r="B648" s="5">
        <f>COUNTIF('Entetes_TriNumInterne'!$B$2:$B$723,A648)</f>
        <v/>
      </c>
    </row>
    <row r="649">
      <c r="A649" s="3" t="inlineStr">
        <is>
          <t>001976</t>
        </is>
      </c>
      <c r="B649" s="5">
        <f>COUNTIF('Entetes_TriNumInterne'!$B$2:$B$723,A649)</f>
        <v/>
      </c>
    </row>
    <row r="650">
      <c r="A650" s="3" t="inlineStr">
        <is>
          <t>001979</t>
        </is>
      </c>
      <c r="B650" s="5">
        <f>COUNTIF('Entetes_TriNumInterne'!$B$2:$B$723,A650)</f>
        <v/>
      </c>
    </row>
    <row r="651">
      <c r="A651" s="3" t="inlineStr">
        <is>
          <t>001991</t>
        </is>
      </c>
      <c r="B651" s="5">
        <f>COUNTIF('Entetes_TriNumInterne'!$B$2:$B$723,A651)</f>
        <v/>
      </c>
    </row>
    <row r="652">
      <c r="A652" s="3" t="inlineStr">
        <is>
          <t>001992</t>
        </is>
      </c>
      <c r="B652" s="5">
        <f>COUNTIF('Entetes_TriNumInterne'!$B$2:$B$723,A652)</f>
        <v/>
      </c>
    </row>
    <row r="653">
      <c r="A653" s="3" t="inlineStr">
        <is>
          <t>001993</t>
        </is>
      </c>
      <c r="B653" s="5">
        <f>COUNTIF('Entetes_TriNumInterne'!$B$2:$B$723,A653)</f>
        <v/>
      </c>
    </row>
    <row r="654">
      <c r="A654" s="3" t="inlineStr">
        <is>
          <t>001994</t>
        </is>
      </c>
      <c r="B654" s="5">
        <f>COUNTIF('Entetes_TriNumInterne'!$B$2:$B$723,A654)</f>
        <v/>
      </c>
    </row>
    <row r="655">
      <c r="A655" s="3" t="inlineStr">
        <is>
          <t>001995</t>
        </is>
      </c>
      <c r="B655" s="5">
        <f>COUNTIF('Entetes_TriNumInterne'!$B$2:$B$723,A655)</f>
        <v/>
      </c>
    </row>
    <row r="656">
      <c r="A656" s="3" t="inlineStr">
        <is>
          <t>001997</t>
        </is>
      </c>
      <c r="B656" s="5">
        <f>COUNTIF('Entetes_TriNumInterne'!$B$2:$B$723,A656)</f>
        <v/>
      </c>
    </row>
    <row r="657">
      <c r="A657" s="3" t="inlineStr">
        <is>
          <t>001998</t>
        </is>
      </c>
      <c r="B657" s="5">
        <f>COUNTIF('Entetes_TriNumInterne'!$B$2:$B$723,A657)</f>
        <v/>
      </c>
    </row>
    <row r="658">
      <c r="A658" s="3" t="inlineStr">
        <is>
          <t>001999</t>
        </is>
      </c>
      <c r="B658" s="5">
        <f>COUNTIF('Entetes_TriNumInterne'!$B$2:$B$723,A658)</f>
        <v/>
      </c>
    </row>
    <row r="659">
      <c r="A659" s="3" t="inlineStr">
        <is>
          <t>002000</t>
        </is>
      </c>
      <c r="B659" s="5">
        <f>COUNTIF('Entetes_TriNumInterne'!$B$2:$B$723,A659)</f>
        <v/>
      </c>
    </row>
    <row r="660">
      <c r="A660" s="3" t="inlineStr">
        <is>
          <t>002001</t>
        </is>
      </c>
      <c r="B660" s="5">
        <f>COUNTIF('Entetes_TriNumInterne'!$B$2:$B$723,A660)</f>
        <v/>
      </c>
    </row>
    <row r="661">
      <c r="A661" s="3" t="inlineStr">
        <is>
          <t>002002</t>
        </is>
      </c>
      <c r="B661" s="5">
        <f>COUNTIF('Entetes_TriNumInterne'!$B$2:$B$723,A661)</f>
        <v/>
      </c>
    </row>
    <row r="662">
      <c r="A662" s="3" t="inlineStr">
        <is>
          <t>002003</t>
        </is>
      </c>
      <c r="B662" s="5">
        <f>COUNTIF('Entetes_TriNumInterne'!$B$2:$B$723,A662)</f>
        <v/>
      </c>
    </row>
    <row r="663">
      <c r="A663" s="3" t="inlineStr">
        <is>
          <t>002007</t>
        </is>
      </c>
      <c r="B663" s="5">
        <f>COUNTIF('Entetes_TriNumInterne'!$B$2:$B$723,A663)</f>
        <v/>
      </c>
    </row>
    <row r="664">
      <c r="A664" s="3" t="inlineStr">
        <is>
          <t>002012</t>
        </is>
      </c>
      <c r="B664" s="5">
        <f>COUNTIF('Entetes_TriNumInterne'!$B$2:$B$723,A664)</f>
        <v/>
      </c>
    </row>
    <row r="665">
      <c r="A665" s="3" t="inlineStr">
        <is>
          <t>002014</t>
        </is>
      </c>
      <c r="B665" s="5">
        <f>COUNTIF('Entetes_TriNumInterne'!$B$2:$B$723,A665)</f>
        <v/>
      </c>
    </row>
    <row r="666">
      <c r="A666" s="3" t="inlineStr">
        <is>
          <t>002017</t>
        </is>
      </c>
      <c r="B666" s="5">
        <f>COUNTIF('Entetes_TriNumInterne'!$B$2:$B$723,A666)</f>
        <v/>
      </c>
    </row>
    <row r="667">
      <c r="A667" s="3" t="inlineStr">
        <is>
          <t>002018</t>
        </is>
      </c>
      <c r="B667" s="5">
        <f>COUNTIF('Entetes_TriNumInterne'!$B$2:$B$723,A667)</f>
        <v/>
      </c>
    </row>
    <row r="668">
      <c r="A668" s="3" t="inlineStr">
        <is>
          <t>002019</t>
        </is>
      </c>
      <c r="B668" s="5">
        <f>COUNTIF('Entetes_TriNumInterne'!$B$2:$B$723,A668)</f>
        <v/>
      </c>
    </row>
    <row r="669">
      <c r="A669" s="3" t="inlineStr">
        <is>
          <t>002021</t>
        </is>
      </c>
      <c r="B669" s="5">
        <f>COUNTIF('Entetes_TriNumInterne'!$B$2:$B$723,A669)</f>
        <v/>
      </c>
    </row>
    <row r="670">
      <c r="A670" s="3" t="inlineStr">
        <is>
          <t>002022</t>
        </is>
      </c>
      <c r="B670" s="5">
        <f>COUNTIF('Entetes_TriNumInterne'!$B$2:$B$723,A670)</f>
        <v/>
      </c>
    </row>
    <row r="671">
      <c r="A671" s="3" t="inlineStr">
        <is>
          <t>002023</t>
        </is>
      </c>
      <c r="B671" s="5">
        <f>COUNTIF('Entetes_TriNumInterne'!$B$2:$B$723,A671)</f>
        <v/>
      </c>
    </row>
    <row r="672">
      <c r="A672" s="3" t="inlineStr">
        <is>
          <t>002024</t>
        </is>
      </c>
      <c r="B672" s="5">
        <f>COUNTIF('Entetes_TriNumInterne'!$B$2:$B$723,A672)</f>
        <v/>
      </c>
    </row>
    <row r="673">
      <c r="A673" s="3" t="inlineStr">
        <is>
          <t>002025</t>
        </is>
      </c>
      <c r="B673" s="5">
        <f>COUNTIF('Entetes_TriNumInterne'!$B$2:$B$723,A673)</f>
        <v/>
      </c>
    </row>
    <row r="674">
      <c r="A674" s="3" t="inlineStr">
        <is>
          <t>002028</t>
        </is>
      </c>
      <c r="B674" s="5">
        <f>COUNTIF('Entetes_TriNumInterne'!$B$2:$B$723,A674)</f>
        <v/>
      </c>
    </row>
    <row r="675">
      <c r="A675" s="3" t="inlineStr">
        <is>
          <t>002029</t>
        </is>
      </c>
      <c r="B675" s="5">
        <f>COUNTIF('Entetes_TriNumInterne'!$B$2:$B$723,A675)</f>
        <v/>
      </c>
    </row>
    <row r="676">
      <c r="A676" s="3" t="inlineStr">
        <is>
          <t>002031</t>
        </is>
      </c>
      <c r="B676" s="5">
        <f>COUNTIF('Entetes_TriNumInterne'!$B$2:$B$723,A676)</f>
        <v/>
      </c>
    </row>
    <row r="677">
      <c r="A677" s="3" t="inlineStr">
        <is>
          <t>002032</t>
        </is>
      </c>
      <c r="B677" s="5">
        <f>COUNTIF('Entetes_TriNumInterne'!$B$2:$B$723,A677)</f>
        <v/>
      </c>
    </row>
    <row r="678">
      <c r="A678" s="3" t="inlineStr">
        <is>
          <t>002036</t>
        </is>
      </c>
      <c r="B678" s="5">
        <f>COUNTIF('Entetes_TriNumInterne'!$B$2:$B$723,A678)</f>
        <v/>
      </c>
    </row>
    <row r="679">
      <c r="A679" s="3" t="inlineStr">
        <is>
          <t>002037</t>
        </is>
      </c>
      <c r="B679" s="5">
        <f>COUNTIF('Entetes_TriNumInterne'!$B$2:$B$723,A679)</f>
        <v/>
      </c>
    </row>
    <row r="680">
      <c r="A680" s="3" t="inlineStr">
        <is>
          <t>002038</t>
        </is>
      </c>
      <c r="B680" s="5">
        <f>COUNTIF('Entetes_TriNumInterne'!$B$2:$B$723,A680)</f>
        <v/>
      </c>
    </row>
    <row r="681">
      <c r="A681" s="3" t="inlineStr">
        <is>
          <t>002039</t>
        </is>
      </c>
      <c r="B681" s="5">
        <f>COUNTIF('Entetes_TriNumInterne'!$B$2:$B$723,A681)</f>
        <v/>
      </c>
    </row>
    <row r="682">
      <c r="A682" s="3" t="inlineStr">
        <is>
          <t>002040</t>
        </is>
      </c>
      <c r="B682" s="5">
        <f>COUNTIF('Entetes_TriNumInterne'!$B$2:$B$723,A682)</f>
        <v/>
      </c>
    </row>
    <row r="683">
      <c r="A683" s="3" t="inlineStr">
        <is>
          <t>002045</t>
        </is>
      </c>
      <c r="B683" s="5">
        <f>COUNTIF('Entetes_TriNumInterne'!$B$2:$B$723,A683)</f>
        <v/>
      </c>
    </row>
    <row r="684">
      <c r="A684" s="3" t="inlineStr">
        <is>
          <t>002047</t>
        </is>
      </c>
      <c r="B684" s="5">
        <f>COUNTIF('Entetes_TriNumInterne'!$B$2:$B$723,A684)</f>
        <v/>
      </c>
    </row>
    <row r="685">
      <c r="A685" s="3" t="inlineStr">
        <is>
          <t>002048</t>
        </is>
      </c>
      <c r="B685" s="5">
        <f>COUNTIF('Entetes_TriNumInterne'!$B$2:$B$723,A685)</f>
        <v/>
      </c>
    </row>
    <row r="686">
      <c r="A686" s="3" t="inlineStr">
        <is>
          <t>002049</t>
        </is>
      </c>
      <c r="B686" s="5">
        <f>COUNTIF('Entetes_TriNumInterne'!$B$2:$B$723,A686)</f>
        <v/>
      </c>
    </row>
    <row r="687">
      <c r="A687" s="3" t="inlineStr">
        <is>
          <t>002057</t>
        </is>
      </c>
      <c r="B687" s="5">
        <f>COUNTIF('Entetes_TriNumInterne'!$B$2:$B$723,A687)</f>
        <v/>
      </c>
    </row>
    <row r="688">
      <c r="A688" s="3" t="inlineStr">
        <is>
          <t>002058</t>
        </is>
      </c>
      <c r="B688" s="5">
        <f>COUNTIF('Entetes_TriNumInterne'!$B$2:$B$723,A688)</f>
        <v/>
      </c>
    </row>
    <row r="689">
      <c r="A689" s="3" t="inlineStr">
        <is>
          <t>002059</t>
        </is>
      </c>
      <c r="B689" s="5">
        <f>COUNTIF('Entetes_TriNumInterne'!$B$2:$B$723,A689)</f>
        <v/>
      </c>
    </row>
    <row r="690">
      <c r="A690" s="3" t="inlineStr">
        <is>
          <t>002060</t>
        </is>
      </c>
      <c r="B690" s="5">
        <f>COUNTIF('Entetes_TriNumInterne'!$B$2:$B$723,A690)</f>
        <v/>
      </c>
    </row>
    <row r="691">
      <c r="A691" s="3" t="inlineStr">
        <is>
          <t>002062</t>
        </is>
      </c>
      <c r="B691" s="5">
        <f>COUNTIF('Entetes_TriNumInterne'!$B$2:$B$723,A691)</f>
        <v/>
      </c>
    </row>
    <row r="692">
      <c r="A692" s="3" t="inlineStr">
        <is>
          <t>002063</t>
        </is>
      </c>
      <c r="B692" s="5">
        <f>COUNTIF('Entetes_TriNumInterne'!$B$2:$B$723,A692)</f>
        <v/>
      </c>
    </row>
    <row r="693">
      <c r="A693" s="3" t="inlineStr">
        <is>
          <t>002064</t>
        </is>
      </c>
      <c r="B693" s="5">
        <f>COUNTIF('Entetes_TriNumInterne'!$B$2:$B$723,A693)</f>
        <v/>
      </c>
    </row>
    <row r="694">
      <c r="A694" s="3" t="inlineStr">
        <is>
          <t>002067</t>
        </is>
      </c>
      <c r="B694" s="5">
        <f>COUNTIF('Entetes_TriNumInterne'!$B$2:$B$723,A694)</f>
        <v/>
      </c>
    </row>
    <row r="695">
      <c r="A695" s="3" t="inlineStr">
        <is>
          <t>002068</t>
        </is>
      </c>
      <c r="B695" s="5">
        <f>COUNTIF('Entetes_TriNumInterne'!$B$2:$B$723,A695)</f>
        <v/>
      </c>
    </row>
    <row r="696">
      <c r="A696" s="3" t="inlineStr">
        <is>
          <t>002069</t>
        </is>
      </c>
      <c r="B696" s="5">
        <f>COUNTIF('Entetes_TriNumInterne'!$B$2:$B$723,A696)</f>
        <v/>
      </c>
    </row>
    <row r="697">
      <c r="A697" s="3" t="inlineStr">
        <is>
          <t>002078</t>
        </is>
      </c>
      <c r="B697" s="5">
        <f>COUNTIF('Entetes_TriNumInterne'!$B$2:$B$723,A697)</f>
        <v/>
      </c>
    </row>
    <row r="698">
      <c r="A698" s="3" t="inlineStr">
        <is>
          <t>002079</t>
        </is>
      </c>
      <c r="B698" s="5">
        <f>COUNTIF('Entetes_TriNumInterne'!$B$2:$B$723,A698)</f>
        <v/>
      </c>
    </row>
    <row r="699">
      <c r="A699" s="3" t="inlineStr">
        <is>
          <t>002080</t>
        </is>
      </c>
      <c r="B699" s="5">
        <f>COUNTIF('Entetes_TriNumInterne'!$B$2:$B$723,A699)</f>
        <v/>
      </c>
    </row>
    <row r="700">
      <c r="A700" s="3" t="inlineStr">
        <is>
          <t>002081</t>
        </is>
      </c>
      <c r="B700" s="5">
        <f>COUNTIF('Entetes_TriNumInterne'!$B$2:$B$723,A700)</f>
        <v/>
      </c>
    </row>
    <row r="701">
      <c r="A701" s="3" t="inlineStr">
        <is>
          <t>002082</t>
        </is>
      </c>
      <c r="B701" s="5">
        <f>COUNTIF('Entetes_TriNumInterne'!$B$2:$B$723,A701)</f>
        <v/>
      </c>
    </row>
    <row r="702">
      <c r="A702" s="3" t="inlineStr">
        <is>
          <t>002083</t>
        </is>
      </c>
      <c r="B702" s="5">
        <f>COUNTIF('Entetes_TriNumInterne'!$B$2:$B$723,A702)</f>
        <v/>
      </c>
    </row>
    <row r="703">
      <c r="A703" s="3" t="inlineStr">
        <is>
          <t>002084</t>
        </is>
      </c>
      <c r="B703" s="5">
        <f>COUNTIF('Entetes_TriNumInterne'!$B$2:$B$723,A703)</f>
        <v/>
      </c>
    </row>
    <row r="704">
      <c r="A704" s="3" t="inlineStr">
        <is>
          <t>002085</t>
        </is>
      </c>
      <c r="B704" s="5">
        <f>COUNTIF('Entetes_TriNumInterne'!$B$2:$B$723,A704)</f>
        <v/>
      </c>
    </row>
    <row r="705">
      <c r="A705" s="3" t="inlineStr">
        <is>
          <t>002086</t>
        </is>
      </c>
      <c r="B705" s="5">
        <f>COUNTIF('Entetes_TriNumInterne'!$B$2:$B$723,A705)</f>
        <v/>
      </c>
    </row>
    <row r="706">
      <c r="A706" s="3" t="inlineStr">
        <is>
          <t>002088</t>
        </is>
      </c>
      <c r="B706" s="5">
        <f>COUNTIF('Entetes_TriNumInterne'!$B$2:$B$723,A706)</f>
        <v/>
      </c>
    </row>
    <row r="707">
      <c r="A707" s="3" t="inlineStr">
        <is>
          <t>002089</t>
        </is>
      </c>
      <c r="B707" s="5">
        <f>COUNTIF('Entetes_TriNumInterne'!$B$2:$B$723,A707)</f>
        <v/>
      </c>
    </row>
    <row r="708">
      <c r="A708" s="3" t="inlineStr">
        <is>
          <t>002090</t>
        </is>
      </c>
      <c r="B708" s="5">
        <f>COUNTIF('Entetes_TriNumInterne'!$B$2:$B$723,A708)</f>
        <v/>
      </c>
    </row>
    <row r="709">
      <c r="A709" s="3" t="inlineStr">
        <is>
          <t>002092</t>
        </is>
      </c>
      <c r="B709" s="5">
        <f>COUNTIF('Entetes_TriNumInterne'!$B$2:$B$723,A709)</f>
        <v/>
      </c>
    </row>
    <row r="710">
      <c r="A710" s="3" t="inlineStr">
        <is>
          <t>002093</t>
        </is>
      </c>
      <c r="B710" s="5">
        <f>COUNTIF('Entetes_TriNumInterne'!$B$2:$B$723,A710)</f>
        <v/>
      </c>
    </row>
    <row r="711">
      <c r="A711" s="3" t="inlineStr">
        <is>
          <t>002094</t>
        </is>
      </c>
      <c r="B711" s="5">
        <f>COUNTIF('Entetes_TriNumInterne'!$B$2:$B$723,A711)</f>
        <v/>
      </c>
    </row>
    <row r="712">
      <c r="A712" s="3" t="inlineStr">
        <is>
          <t>002095</t>
        </is>
      </c>
      <c r="B712" s="5">
        <f>COUNTIF('Entetes_TriNumInterne'!$B$2:$B$723,A712)</f>
        <v/>
      </c>
    </row>
    <row r="713">
      <c r="A713" s="3" t="inlineStr">
        <is>
          <t>002096</t>
        </is>
      </c>
      <c r="B713" s="5">
        <f>COUNTIF('Entetes_TriNumInterne'!$B$2:$B$723,A713)</f>
        <v/>
      </c>
    </row>
    <row r="714">
      <c r="A714" s="3" t="inlineStr">
        <is>
          <t>002097</t>
        </is>
      </c>
      <c r="B714" s="5">
        <f>COUNTIF('Entetes_TriNumInterne'!$B$2:$B$723,A714)</f>
        <v/>
      </c>
    </row>
    <row r="715">
      <c r="A715" s="3" t="inlineStr">
        <is>
          <t>002098</t>
        </is>
      </c>
      <c r="B715" s="5">
        <f>COUNTIF('Entetes_TriNumInterne'!$B$2:$B$723,A715)</f>
        <v/>
      </c>
    </row>
    <row r="716">
      <c r="A716" s="3" t="inlineStr">
        <is>
          <t>002100</t>
        </is>
      </c>
      <c r="B716" s="5">
        <f>COUNTIF('Entetes_TriNumInterne'!$B$2:$B$723,A716)</f>
        <v/>
      </c>
    </row>
    <row r="717">
      <c r="A717" s="3" t="inlineStr">
        <is>
          <t>002102</t>
        </is>
      </c>
      <c r="B717" s="5">
        <f>COUNTIF('Entetes_TriNumInterne'!$B$2:$B$723,A717)</f>
        <v/>
      </c>
    </row>
    <row r="718">
      <c r="A718" s="3" t="inlineStr">
        <is>
          <t>002106</t>
        </is>
      </c>
      <c r="B718" s="5">
        <f>COUNTIF('Entetes_TriNumInterne'!$B$2:$B$723,A718)</f>
        <v/>
      </c>
    </row>
    <row r="719">
      <c r="A719" s="3" t="inlineStr">
        <is>
          <t>002107</t>
        </is>
      </c>
      <c r="B719" s="5">
        <f>COUNTIF('Entetes_TriNumInterne'!$B$2:$B$723,A719)</f>
        <v/>
      </c>
    </row>
    <row r="720">
      <c r="A720" s="3" t="inlineStr">
        <is>
          <t>002108</t>
        </is>
      </c>
      <c r="B720" s="5">
        <f>COUNTIF('Entetes_TriNumInterne'!$B$2:$B$723,A720)</f>
        <v/>
      </c>
    </row>
    <row r="721">
      <c r="A721" s="3" t="inlineStr">
        <is>
          <t>002109</t>
        </is>
      </c>
      <c r="B721" s="5">
        <f>COUNTIF('Entetes_TriNumInterne'!$B$2:$B$723,A721)</f>
        <v/>
      </c>
    </row>
    <row r="722">
      <c r="A722" s="3" t="inlineStr">
        <is>
          <t>002110</t>
        </is>
      </c>
      <c r="B722" s="5">
        <f>COUNTIF('Entetes_TriNumInterne'!$B$2:$B$723,A722)</f>
        <v/>
      </c>
    </row>
    <row r="723">
      <c r="A723" s="3" t="inlineStr">
        <is>
          <t>002113</t>
        </is>
      </c>
      <c r="B723" s="5">
        <f>COUNTIF('Entetes_TriNumInterne'!$B$2:$B$723,A723)</f>
        <v/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AUCUN</t>
        </is>
      </c>
      <c r="B2" s="5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000609</t>
        </is>
      </c>
      <c r="B2" s="5">
        <f>COUNTIF('Entetes_TriNumInterne'!$C$2:$C$723,A2)</f>
        <v/>
      </c>
    </row>
    <row r="3">
      <c r="A3" s="3" t="inlineStr">
        <is>
          <t>000610</t>
        </is>
      </c>
      <c r="B3" s="5">
        <f>COUNTIF('Entetes_TriNumInterne'!$C$2:$C$723,A3)</f>
        <v/>
      </c>
    </row>
    <row r="4">
      <c r="A4" s="3" t="inlineStr">
        <is>
          <t>000611</t>
        </is>
      </c>
      <c r="B4" s="5">
        <f>COUNTIF('Entetes_TriNumInterne'!$C$2:$C$723,A4)</f>
        <v/>
      </c>
    </row>
    <row r="5">
      <c r="A5" s="3" t="inlineStr">
        <is>
          <t>000612</t>
        </is>
      </c>
      <c r="B5" s="5">
        <f>COUNTIF('Entetes_TriNumInterne'!$C$2:$C$723,A5)</f>
        <v/>
      </c>
    </row>
    <row r="6">
      <c r="A6" s="3" t="inlineStr">
        <is>
          <t>000613</t>
        </is>
      </c>
      <c r="B6" s="5">
        <f>COUNTIF('Entetes_TriNumInterne'!$C$2:$C$723,A6)</f>
        <v/>
      </c>
    </row>
    <row r="7">
      <c r="A7" s="3" t="inlineStr">
        <is>
          <t>000614</t>
        </is>
      </c>
      <c r="B7" s="5">
        <f>COUNTIF('Entetes_TriNumInterne'!$C$2:$C$723,A7)</f>
        <v/>
      </c>
    </row>
    <row r="8">
      <c r="A8" s="3" t="inlineStr">
        <is>
          <t>000615</t>
        </is>
      </c>
      <c r="B8" s="5">
        <f>COUNTIF('Entetes_TriNumInterne'!$C$2:$C$723,A8)</f>
        <v/>
      </c>
    </row>
    <row r="9">
      <c r="A9" s="3" t="inlineStr">
        <is>
          <t>000616</t>
        </is>
      </c>
      <c r="B9" s="5">
        <f>COUNTIF('Entetes_TriNumInterne'!$C$2:$C$723,A9)</f>
        <v/>
      </c>
    </row>
    <row r="10">
      <c r="A10" s="3" t="inlineStr">
        <is>
          <t>000617</t>
        </is>
      </c>
      <c r="B10" s="5">
        <f>COUNTIF('Entetes_TriNumInterne'!$C$2:$C$723,A10)</f>
        <v/>
      </c>
    </row>
    <row r="11">
      <c r="A11" s="3" t="inlineStr">
        <is>
          <t>000618</t>
        </is>
      </c>
      <c r="B11" s="5">
        <f>COUNTIF('Entetes_TriNumInterne'!$C$2:$C$723,A11)</f>
        <v/>
      </c>
    </row>
    <row r="12">
      <c r="A12" s="3" t="inlineStr">
        <is>
          <t>000619</t>
        </is>
      </c>
      <c r="B12" s="5">
        <f>COUNTIF('Entetes_TriNumInterne'!$C$2:$C$723,A12)</f>
        <v/>
      </c>
    </row>
    <row r="13">
      <c r="A13" s="3" t="inlineStr">
        <is>
          <t>000620</t>
        </is>
      </c>
      <c r="B13" s="5">
        <f>COUNTIF('Entetes_TriNumInterne'!$C$2:$C$723,A13)</f>
        <v/>
      </c>
    </row>
    <row r="14">
      <c r="A14" s="3" t="inlineStr">
        <is>
          <t>000621</t>
        </is>
      </c>
      <c r="B14" s="5">
        <f>COUNTIF('Entetes_TriNumInterne'!$C$2:$C$723,A14)</f>
        <v/>
      </c>
    </row>
    <row r="15">
      <c r="A15" s="3" t="inlineStr">
        <is>
          <t>000622</t>
        </is>
      </c>
      <c r="B15" s="5">
        <f>COUNTIF('Entetes_TriNumInterne'!$C$2:$C$723,A15)</f>
        <v/>
      </c>
    </row>
    <row r="16">
      <c r="A16" s="3" t="inlineStr">
        <is>
          <t>000623</t>
        </is>
      </c>
      <c r="B16" s="5">
        <f>COUNTIF('Entetes_TriNumInterne'!$C$2:$C$723,A16)</f>
        <v/>
      </c>
    </row>
    <row r="17">
      <c r="A17" s="3" t="inlineStr">
        <is>
          <t>000624</t>
        </is>
      </c>
      <c r="B17" s="5">
        <f>COUNTIF('Entetes_TriNumInterne'!$C$2:$C$723,A17)</f>
        <v/>
      </c>
    </row>
    <row r="18">
      <c r="A18" s="3" t="inlineStr">
        <is>
          <t>000625</t>
        </is>
      </c>
      <c r="B18" s="5">
        <f>COUNTIF('Entetes_TriNumInterne'!$C$2:$C$723,A18)</f>
        <v/>
      </c>
    </row>
    <row r="19">
      <c r="A19" s="3" t="inlineStr">
        <is>
          <t>000626</t>
        </is>
      </c>
      <c r="B19" s="5">
        <f>COUNTIF('Entetes_TriNumInterne'!$C$2:$C$723,A19)</f>
        <v/>
      </c>
    </row>
    <row r="20">
      <c r="A20" s="3" t="inlineStr">
        <is>
          <t>000627</t>
        </is>
      </c>
      <c r="B20" s="5">
        <f>COUNTIF('Entetes_TriNumInterne'!$C$2:$C$723,A20)</f>
        <v/>
      </c>
    </row>
    <row r="21">
      <c r="A21" s="3" t="inlineStr">
        <is>
          <t>000628</t>
        </is>
      </c>
      <c r="B21" s="5">
        <f>COUNTIF('Entetes_TriNumInterne'!$C$2:$C$723,A21)</f>
        <v/>
      </c>
    </row>
    <row r="22">
      <c r="A22" s="3" t="inlineStr">
        <is>
          <t>000629</t>
        </is>
      </c>
      <c r="B22" s="5">
        <f>COUNTIF('Entetes_TriNumInterne'!$C$2:$C$723,A22)</f>
        <v/>
      </c>
    </row>
    <row r="23">
      <c r="A23" s="3" t="inlineStr">
        <is>
          <t>000630</t>
        </is>
      </c>
      <c r="B23" s="5">
        <f>COUNTIF('Entetes_TriNumInterne'!$C$2:$C$723,A23)</f>
        <v/>
      </c>
    </row>
    <row r="24">
      <c r="A24" s="3" t="inlineStr">
        <is>
          <t>000631</t>
        </is>
      </c>
      <c r="B24" s="5">
        <f>COUNTIF('Entetes_TriNumInterne'!$C$2:$C$723,A24)</f>
        <v/>
      </c>
    </row>
    <row r="25">
      <c r="A25" s="3" t="inlineStr">
        <is>
          <t>000632</t>
        </is>
      </c>
      <c r="B25" s="5">
        <f>COUNTIF('Entetes_TriNumInterne'!$C$2:$C$723,A25)</f>
        <v/>
      </c>
    </row>
    <row r="26">
      <c r="A26" s="3" t="inlineStr">
        <is>
          <t>000633</t>
        </is>
      </c>
      <c r="B26" s="5">
        <f>COUNTIF('Entetes_TriNumInterne'!$C$2:$C$723,A26)</f>
        <v/>
      </c>
    </row>
    <row r="27">
      <c r="A27" s="3" t="inlineStr">
        <is>
          <t>000634</t>
        </is>
      </c>
      <c r="B27" s="5">
        <f>COUNTIF('Entetes_TriNumInterne'!$C$2:$C$723,A27)</f>
        <v/>
      </c>
    </row>
    <row r="28">
      <c r="A28" s="3" t="inlineStr">
        <is>
          <t>000635</t>
        </is>
      </c>
      <c r="B28" s="5">
        <f>COUNTIF('Entetes_TriNumInterne'!$C$2:$C$723,A28)</f>
        <v/>
      </c>
    </row>
    <row r="29">
      <c r="A29" s="3" t="inlineStr">
        <is>
          <t>000636</t>
        </is>
      </c>
      <c r="B29" s="5">
        <f>COUNTIF('Entetes_TriNumInterne'!$C$2:$C$723,A29)</f>
        <v/>
      </c>
    </row>
    <row r="30">
      <c r="A30" s="3" t="inlineStr">
        <is>
          <t>000637</t>
        </is>
      </c>
      <c r="B30" s="5">
        <f>COUNTIF('Entetes_TriNumInterne'!$C$2:$C$723,A30)</f>
        <v/>
      </c>
    </row>
    <row r="31">
      <c r="A31" s="3" t="inlineStr">
        <is>
          <t>000638</t>
        </is>
      </c>
      <c r="B31" s="5">
        <f>COUNTIF('Entetes_TriNumInterne'!$C$2:$C$723,A31)</f>
        <v/>
      </c>
    </row>
    <row r="32">
      <c r="A32" s="3" t="inlineStr">
        <is>
          <t>000639</t>
        </is>
      </c>
      <c r="B32" s="5">
        <f>COUNTIF('Entetes_TriNumInterne'!$C$2:$C$723,A32)</f>
        <v/>
      </c>
    </row>
    <row r="33">
      <c r="A33" s="3" t="inlineStr">
        <is>
          <t>000640</t>
        </is>
      </c>
      <c r="B33" s="5">
        <f>COUNTIF('Entetes_TriNumInterne'!$C$2:$C$723,A33)</f>
        <v/>
      </c>
    </row>
    <row r="34">
      <c r="A34" s="3" t="inlineStr">
        <is>
          <t>000641</t>
        </is>
      </c>
      <c r="B34" s="5">
        <f>COUNTIF('Entetes_TriNumInterne'!$C$2:$C$723,A34)</f>
        <v/>
      </c>
    </row>
    <row r="35">
      <c r="A35" s="3" t="inlineStr">
        <is>
          <t>000642</t>
        </is>
      </c>
      <c r="B35" s="5">
        <f>COUNTIF('Entetes_TriNumInterne'!$C$2:$C$723,A35)</f>
        <v/>
      </c>
    </row>
    <row r="36">
      <c r="A36" s="3" t="inlineStr">
        <is>
          <t>000643</t>
        </is>
      </c>
      <c r="B36" s="5">
        <f>COUNTIF('Entetes_TriNumInterne'!$C$2:$C$723,A36)</f>
        <v/>
      </c>
    </row>
    <row r="37">
      <c r="A37" s="3" t="inlineStr">
        <is>
          <t>000644</t>
        </is>
      </c>
      <c r="B37" s="5">
        <f>COUNTIF('Entetes_TriNumInterne'!$C$2:$C$723,A37)</f>
        <v/>
      </c>
    </row>
    <row r="38">
      <c r="A38" s="3" t="inlineStr">
        <is>
          <t>000645</t>
        </is>
      </c>
      <c r="B38" s="5">
        <f>COUNTIF('Entetes_TriNumInterne'!$C$2:$C$723,A38)</f>
        <v/>
      </c>
    </row>
    <row r="39">
      <c r="A39" s="3" t="inlineStr">
        <is>
          <t>000646</t>
        </is>
      </c>
      <c r="B39" s="5">
        <f>COUNTIF('Entetes_TriNumInterne'!$C$2:$C$723,A39)</f>
        <v/>
      </c>
    </row>
    <row r="40">
      <c r="A40" s="3" t="inlineStr">
        <is>
          <t>000647</t>
        </is>
      </c>
      <c r="B40" s="5">
        <f>COUNTIF('Entetes_TriNumInterne'!$C$2:$C$723,A40)</f>
        <v/>
      </c>
    </row>
    <row r="41">
      <c r="A41" s="3" t="inlineStr">
        <is>
          <t>000648</t>
        </is>
      </c>
      <c r="B41" s="5">
        <f>COUNTIF('Entetes_TriNumInterne'!$C$2:$C$723,A41)</f>
        <v/>
      </c>
    </row>
    <row r="42">
      <c r="A42" s="3" t="inlineStr">
        <is>
          <t>000649</t>
        </is>
      </c>
      <c r="B42" s="5">
        <f>COUNTIF('Entetes_TriNumInterne'!$C$2:$C$723,A42)</f>
        <v/>
      </c>
    </row>
    <row r="43">
      <c r="A43" s="3" t="inlineStr">
        <is>
          <t>000650</t>
        </is>
      </c>
      <c r="B43" s="5">
        <f>COUNTIF('Entetes_TriNumInterne'!$C$2:$C$723,A43)</f>
        <v/>
      </c>
    </row>
    <row r="44">
      <c r="A44" s="3" t="inlineStr">
        <is>
          <t>000651</t>
        </is>
      </c>
      <c r="B44" s="5">
        <f>COUNTIF('Entetes_TriNumInterne'!$C$2:$C$723,A44)</f>
        <v/>
      </c>
    </row>
    <row r="45">
      <c r="A45" s="3" t="inlineStr">
        <is>
          <t>000652</t>
        </is>
      </c>
      <c r="B45" s="5">
        <f>COUNTIF('Entetes_TriNumInterne'!$C$2:$C$723,A45)</f>
        <v/>
      </c>
    </row>
    <row r="46">
      <c r="A46" s="3" t="inlineStr">
        <is>
          <t>000653</t>
        </is>
      </c>
      <c r="B46" s="5">
        <f>COUNTIF('Entetes_TriNumInterne'!$C$2:$C$723,A46)</f>
        <v/>
      </c>
    </row>
    <row r="47">
      <c r="A47" s="3" t="inlineStr">
        <is>
          <t>000654</t>
        </is>
      </c>
      <c r="B47" s="5">
        <f>COUNTIF('Entetes_TriNumInterne'!$C$2:$C$723,A47)</f>
        <v/>
      </c>
    </row>
    <row r="48">
      <c r="A48" s="3" t="inlineStr">
        <is>
          <t>000655</t>
        </is>
      </c>
      <c r="B48" s="5">
        <f>COUNTIF('Entetes_TriNumInterne'!$C$2:$C$723,A48)</f>
        <v/>
      </c>
    </row>
    <row r="49">
      <c r="A49" s="3" t="inlineStr">
        <is>
          <t>000656</t>
        </is>
      </c>
      <c r="B49" s="5">
        <f>COUNTIF('Entetes_TriNumInterne'!$C$2:$C$723,A49)</f>
        <v/>
      </c>
    </row>
    <row r="50">
      <c r="A50" s="3" t="inlineStr">
        <is>
          <t>000657</t>
        </is>
      </c>
      <c r="B50" s="5">
        <f>COUNTIF('Entetes_TriNumInterne'!$C$2:$C$723,A50)</f>
        <v/>
      </c>
    </row>
    <row r="51">
      <c r="A51" s="3" t="inlineStr">
        <is>
          <t>000658</t>
        </is>
      </c>
      <c r="B51" s="5">
        <f>COUNTIF('Entetes_TriNumInterne'!$C$2:$C$723,A51)</f>
        <v/>
      </c>
    </row>
    <row r="52">
      <c r="A52" s="3" t="inlineStr">
        <is>
          <t>000659</t>
        </is>
      </c>
      <c r="B52" s="5">
        <f>COUNTIF('Entetes_TriNumInterne'!$C$2:$C$723,A52)</f>
        <v/>
      </c>
    </row>
    <row r="53">
      <c r="A53" s="3" t="inlineStr">
        <is>
          <t>000660</t>
        </is>
      </c>
      <c r="B53" s="5">
        <f>COUNTIF('Entetes_TriNumInterne'!$C$2:$C$723,A53)</f>
        <v/>
      </c>
    </row>
    <row r="54">
      <c r="A54" s="3" t="inlineStr">
        <is>
          <t>000661</t>
        </is>
      </c>
      <c r="B54" s="5">
        <f>COUNTIF('Entetes_TriNumInterne'!$C$2:$C$723,A54)</f>
        <v/>
      </c>
    </row>
    <row r="55">
      <c r="A55" s="3" t="inlineStr">
        <is>
          <t>000662</t>
        </is>
      </c>
      <c r="B55" s="5">
        <f>COUNTIF('Entetes_TriNumInterne'!$C$2:$C$723,A55)</f>
        <v/>
      </c>
    </row>
    <row r="56">
      <c r="A56" s="3" t="inlineStr">
        <is>
          <t>000663</t>
        </is>
      </c>
      <c r="B56" s="5">
        <f>COUNTIF('Entetes_TriNumInterne'!$C$2:$C$723,A56)</f>
        <v/>
      </c>
    </row>
    <row r="57">
      <c r="A57" s="3" t="inlineStr">
        <is>
          <t>000664</t>
        </is>
      </c>
      <c r="B57" s="5">
        <f>COUNTIF('Entetes_TriNumInterne'!$C$2:$C$723,A57)</f>
        <v/>
      </c>
    </row>
    <row r="58">
      <c r="A58" s="3" t="inlineStr">
        <is>
          <t>000665</t>
        </is>
      </c>
      <c r="B58" s="5">
        <f>COUNTIF('Entetes_TriNumInterne'!$C$2:$C$723,A58)</f>
        <v/>
      </c>
    </row>
    <row r="59">
      <c r="A59" s="3" t="inlineStr">
        <is>
          <t>000666</t>
        </is>
      </c>
      <c r="B59" s="5">
        <f>COUNTIF('Entetes_TriNumInterne'!$C$2:$C$723,A59)</f>
        <v/>
      </c>
    </row>
    <row r="60">
      <c r="A60" s="3" t="inlineStr">
        <is>
          <t>000667</t>
        </is>
      </c>
      <c r="B60" s="5">
        <f>COUNTIF('Entetes_TriNumInterne'!$C$2:$C$723,A60)</f>
        <v/>
      </c>
    </row>
    <row r="61">
      <c r="A61" s="3" t="inlineStr">
        <is>
          <t>000668</t>
        </is>
      </c>
      <c r="B61" s="5">
        <f>COUNTIF('Entetes_TriNumInterne'!$C$2:$C$723,A61)</f>
        <v/>
      </c>
    </row>
    <row r="62">
      <c r="A62" s="3" t="inlineStr">
        <is>
          <t>000669</t>
        </is>
      </c>
      <c r="B62" s="5">
        <f>COUNTIF('Entetes_TriNumInterne'!$C$2:$C$723,A62)</f>
        <v/>
      </c>
    </row>
    <row r="63">
      <c r="A63" s="3" t="inlineStr">
        <is>
          <t>000670</t>
        </is>
      </c>
      <c r="B63" s="5">
        <f>COUNTIF('Entetes_TriNumInterne'!$C$2:$C$723,A63)</f>
        <v/>
      </c>
    </row>
    <row r="64">
      <c r="A64" s="3" t="inlineStr">
        <is>
          <t>000671</t>
        </is>
      </c>
      <c r="B64" s="5">
        <f>COUNTIF('Entetes_TriNumInterne'!$C$2:$C$723,A64)</f>
        <v/>
      </c>
    </row>
    <row r="65">
      <c r="A65" s="3" t="inlineStr">
        <is>
          <t>000672</t>
        </is>
      </c>
      <c r="B65" s="5">
        <f>COUNTIF('Entetes_TriNumInterne'!$C$2:$C$723,A65)</f>
        <v/>
      </c>
    </row>
    <row r="66">
      <c r="A66" s="3" t="inlineStr">
        <is>
          <t>000673</t>
        </is>
      </c>
      <c r="B66" s="5">
        <f>COUNTIF('Entetes_TriNumInterne'!$C$2:$C$723,A66)</f>
        <v/>
      </c>
    </row>
    <row r="67">
      <c r="A67" s="3" t="inlineStr">
        <is>
          <t>000674</t>
        </is>
      </c>
      <c r="B67" s="5">
        <f>COUNTIF('Entetes_TriNumInterne'!$C$2:$C$723,A67)</f>
        <v/>
      </c>
    </row>
    <row r="68">
      <c r="A68" s="3" t="inlineStr">
        <is>
          <t>000675</t>
        </is>
      </c>
      <c r="B68" s="5">
        <f>COUNTIF('Entetes_TriNumInterne'!$C$2:$C$723,A68)</f>
        <v/>
      </c>
    </row>
    <row r="69">
      <c r="A69" s="3" t="inlineStr">
        <is>
          <t>000676</t>
        </is>
      </c>
      <c r="B69" s="5">
        <f>COUNTIF('Entetes_TriNumInterne'!$C$2:$C$723,A69)</f>
        <v/>
      </c>
    </row>
    <row r="70">
      <c r="A70" s="3" t="inlineStr">
        <is>
          <t>000677</t>
        </is>
      </c>
      <c r="B70" s="5">
        <f>COUNTIF('Entetes_TriNumInterne'!$C$2:$C$723,A70)</f>
        <v/>
      </c>
    </row>
    <row r="71">
      <c r="A71" s="3" t="inlineStr">
        <is>
          <t>000678</t>
        </is>
      </c>
      <c r="B71" s="5">
        <f>COUNTIF('Entetes_TriNumInterne'!$C$2:$C$723,A71)</f>
        <v/>
      </c>
    </row>
    <row r="72">
      <c r="A72" s="3" t="inlineStr">
        <is>
          <t>000679</t>
        </is>
      </c>
      <c r="B72" s="5">
        <f>COUNTIF('Entetes_TriNumInterne'!$C$2:$C$723,A72)</f>
        <v/>
      </c>
    </row>
    <row r="73">
      <c r="A73" s="3" t="inlineStr">
        <is>
          <t>000680</t>
        </is>
      </c>
      <c r="B73" s="5">
        <f>COUNTIF('Entetes_TriNumInterne'!$C$2:$C$723,A73)</f>
        <v/>
      </c>
    </row>
    <row r="74">
      <c r="A74" s="3" t="inlineStr">
        <is>
          <t>000681</t>
        </is>
      </c>
      <c r="B74" s="5">
        <f>COUNTIF('Entetes_TriNumInterne'!$C$2:$C$723,A74)</f>
        <v/>
      </c>
    </row>
    <row r="75">
      <c r="A75" s="3" t="inlineStr">
        <is>
          <t>000682</t>
        </is>
      </c>
      <c r="B75" s="5">
        <f>COUNTIF('Entetes_TriNumInterne'!$C$2:$C$723,A75)</f>
        <v/>
      </c>
    </row>
    <row r="76">
      <c r="A76" s="3" t="inlineStr">
        <is>
          <t>000683</t>
        </is>
      </c>
      <c r="B76" s="5">
        <f>COUNTIF('Entetes_TriNumInterne'!$C$2:$C$723,A76)</f>
        <v/>
      </c>
    </row>
    <row r="77">
      <c r="A77" s="3" t="inlineStr">
        <is>
          <t>000684</t>
        </is>
      </c>
      <c r="B77" s="5">
        <f>COUNTIF('Entetes_TriNumInterne'!$C$2:$C$723,A77)</f>
        <v/>
      </c>
    </row>
    <row r="78">
      <c r="A78" s="3" t="inlineStr">
        <is>
          <t>000685</t>
        </is>
      </c>
      <c r="B78" s="5">
        <f>COUNTIF('Entetes_TriNumInterne'!$C$2:$C$723,A78)</f>
        <v/>
      </c>
    </row>
    <row r="79">
      <c r="A79" s="3" t="inlineStr">
        <is>
          <t>000686</t>
        </is>
      </c>
      <c r="B79" s="5">
        <f>COUNTIF('Entetes_TriNumInterne'!$C$2:$C$723,A79)</f>
        <v/>
      </c>
    </row>
    <row r="80">
      <c r="A80" s="3" t="inlineStr">
        <is>
          <t>000687</t>
        </is>
      </c>
      <c r="B80" s="5">
        <f>COUNTIF('Entetes_TriNumInterne'!$C$2:$C$723,A80)</f>
        <v/>
      </c>
    </row>
    <row r="81">
      <c r="A81" s="3" t="inlineStr">
        <is>
          <t>000688</t>
        </is>
      </c>
      <c r="B81" s="5">
        <f>COUNTIF('Entetes_TriNumInterne'!$C$2:$C$723,A81)</f>
        <v/>
      </c>
    </row>
    <row r="82">
      <c r="A82" s="3" t="inlineStr">
        <is>
          <t>000689</t>
        </is>
      </c>
      <c r="B82" s="5">
        <f>COUNTIF('Entetes_TriNumInterne'!$C$2:$C$723,A82)</f>
        <v/>
      </c>
    </row>
    <row r="83">
      <c r="A83" s="3" t="inlineStr">
        <is>
          <t>000690</t>
        </is>
      </c>
      <c r="B83" s="5">
        <f>COUNTIF('Entetes_TriNumInterne'!$C$2:$C$723,A83)</f>
        <v/>
      </c>
    </row>
    <row r="84">
      <c r="A84" s="3" t="inlineStr">
        <is>
          <t>000691</t>
        </is>
      </c>
      <c r="B84" s="5">
        <f>COUNTIF('Entetes_TriNumInterne'!$C$2:$C$723,A84)</f>
        <v/>
      </c>
    </row>
    <row r="85">
      <c r="A85" s="3" t="inlineStr">
        <is>
          <t>000692</t>
        </is>
      </c>
      <c r="B85" s="5">
        <f>COUNTIF('Entetes_TriNumInterne'!$C$2:$C$723,A85)</f>
        <v/>
      </c>
    </row>
    <row r="86">
      <c r="A86" s="3" t="inlineStr">
        <is>
          <t>000693</t>
        </is>
      </c>
      <c r="B86" s="5">
        <f>COUNTIF('Entetes_TriNumInterne'!$C$2:$C$723,A86)</f>
        <v/>
      </c>
    </row>
    <row r="87">
      <c r="A87" s="3" t="inlineStr">
        <is>
          <t>000694</t>
        </is>
      </c>
      <c r="B87" s="5">
        <f>COUNTIF('Entetes_TriNumInterne'!$C$2:$C$723,A87)</f>
        <v/>
      </c>
    </row>
    <row r="88">
      <c r="A88" s="3" t="inlineStr">
        <is>
          <t>000695</t>
        </is>
      </c>
      <c r="B88" s="5">
        <f>COUNTIF('Entetes_TriNumInterne'!$C$2:$C$723,A88)</f>
        <v/>
      </c>
    </row>
    <row r="89">
      <c r="A89" s="3" t="inlineStr">
        <is>
          <t>000696</t>
        </is>
      </c>
      <c r="B89" s="5">
        <f>COUNTIF('Entetes_TriNumInterne'!$C$2:$C$723,A89)</f>
        <v/>
      </c>
    </row>
    <row r="90">
      <c r="A90" s="3" t="inlineStr">
        <is>
          <t>000697</t>
        </is>
      </c>
      <c r="B90" s="5">
        <f>COUNTIF('Entetes_TriNumInterne'!$C$2:$C$723,A90)</f>
        <v/>
      </c>
    </row>
    <row r="91">
      <c r="A91" s="3" t="inlineStr">
        <is>
          <t>000698</t>
        </is>
      </c>
      <c r="B91" s="5">
        <f>COUNTIF('Entetes_TriNumInterne'!$C$2:$C$723,A91)</f>
        <v/>
      </c>
    </row>
    <row r="92">
      <c r="A92" s="3" t="inlineStr">
        <is>
          <t>000699</t>
        </is>
      </c>
      <c r="B92" s="5">
        <f>COUNTIF('Entetes_TriNumInterne'!$C$2:$C$723,A92)</f>
        <v/>
      </c>
    </row>
    <row r="93">
      <c r="A93" s="3" t="inlineStr">
        <is>
          <t>000700</t>
        </is>
      </c>
      <c r="B93" s="5">
        <f>COUNTIF('Entetes_TriNumInterne'!$C$2:$C$723,A93)</f>
        <v/>
      </c>
    </row>
    <row r="94">
      <c r="A94" s="3" t="inlineStr">
        <is>
          <t>000701</t>
        </is>
      </c>
      <c r="B94" s="5">
        <f>COUNTIF('Entetes_TriNumInterne'!$C$2:$C$723,A94)</f>
        <v/>
      </c>
    </row>
    <row r="95">
      <c r="A95" s="3" t="inlineStr">
        <is>
          <t>000702</t>
        </is>
      </c>
      <c r="B95" s="5">
        <f>COUNTIF('Entetes_TriNumInterne'!$C$2:$C$723,A95)</f>
        <v/>
      </c>
    </row>
    <row r="96">
      <c r="A96" s="3" t="inlineStr">
        <is>
          <t>000703</t>
        </is>
      </c>
      <c r="B96" s="5">
        <f>COUNTIF('Entetes_TriNumInterne'!$C$2:$C$723,A96)</f>
        <v/>
      </c>
    </row>
    <row r="97">
      <c r="A97" s="3" t="inlineStr">
        <is>
          <t>000704</t>
        </is>
      </c>
      <c r="B97" s="5">
        <f>COUNTIF('Entetes_TriNumInterne'!$C$2:$C$723,A97)</f>
        <v/>
      </c>
    </row>
    <row r="98">
      <c r="A98" s="3" t="inlineStr">
        <is>
          <t>000705</t>
        </is>
      </c>
      <c r="B98" s="5">
        <f>COUNTIF('Entetes_TriNumInterne'!$C$2:$C$723,A98)</f>
        <v/>
      </c>
    </row>
    <row r="99">
      <c r="A99" s="3" t="inlineStr">
        <is>
          <t>000706</t>
        </is>
      </c>
      <c r="B99" s="5">
        <f>COUNTIF('Entetes_TriNumInterne'!$C$2:$C$723,A99)</f>
        <v/>
      </c>
    </row>
    <row r="100">
      <c r="A100" s="3" t="inlineStr">
        <is>
          <t>000707</t>
        </is>
      </c>
      <c r="B100" s="5">
        <f>COUNTIF('Entetes_TriNumInterne'!$C$2:$C$723,A100)</f>
        <v/>
      </c>
    </row>
    <row r="101">
      <c r="A101" s="3" t="inlineStr">
        <is>
          <t>000708</t>
        </is>
      </c>
      <c r="B101" s="5">
        <f>COUNTIF('Entetes_TriNumInterne'!$C$2:$C$723,A101)</f>
        <v/>
      </c>
    </row>
    <row r="102">
      <c r="A102" s="3" t="inlineStr">
        <is>
          <t>000709</t>
        </is>
      </c>
      <c r="B102" s="5">
        <f>COUNTIF('Entetes_TriNumInterne'!$C$2:$C$723,A102)</f>
        <v/>
      </c>
    </row>
    <row r="103">
      <c r="A103" s="3" t="inlineStr">
        <is>
          <t>000710</t>
        </is>
      </c>
      <c r="B103" s="5">
        <f>COUNTIF('Entetes_TriNumInterne'!$C$2:$C$723,A103)</f>
        <v/>
      </c>
    </row>
    <row r="104">
      <c r="A104" s="3" t="inlineStr">
        <is>
          <t>000711</t>
        </is>
      </c>
      <c r="B104" s="5">
        <f>COUNTIF('Entetes_TriNumInterne'!$C$2:$C$723,A104)</f>
        <v/>
      </c>
    </row>
    <row r="105">
      <c r="A105" s="3" t="inlineStr">
        <is>
          <t>000712</t>
        </is>
      </c>
      <c r="B105" s="5">
        <f>COUNTIF('Entetes_TriNumInterne'!$C$2:$C$723,A105)</f>
        <v/>
      </c>
    </row>
    <row r="106">
      <c r="A106" s="3" t="inlineStr">
        <is>
          <t>000713</t>
        </is>
      </c>
      <c r="B106" s="5">
        <f>COUNTIF('Entetes_TriNumInterne'!$C$2:$C$723,A106)</f>
        <v/>
      </c>
    </row>
    <row r="107">
      <c r="A107" s="3" t="inlineStr">
        <is>
          <t>000714</t>
        </is>
      </c>
      <c r="B107" s="5">
        <f>COUNTIF('Entetes_TriNumInterne'!$C$2:$C$723,A107)</f>
        <v/>
      </c>
    </row>
    <row r="108">
      <c r="A108" s="3" t="inlineStr">
        <is>
          <t>000715</t>
        </is>
      </c>
      <c r="B108" s="5">
        <f>COUNTIF('Entetes_TriNumInterne'!$C$2:$C$723,A108)</f>
        <v/>
      </c>
    </row>
    <row r="109">
      <c r="A109" s="3" t="inlineStr">
        <is>
          <t>000716</t>
        </is>
      </c>
      <c r="B109" s="5">
        <f>COUNTIF('Entetes_TriNumInterne'!$C$2:$C$723,A109)</f>
        <v/>
      </c>
    </row>
    <row r="110">
      <c r="A110" s="3" t="inlineStr">
        <is>
          <t>000717</t>
        </is>
      </c>
      <c r="B110" s="5">
        <f>COUNTIF('Entetes_TriNumInterne'!$C$2:$C$723,A110)</f>
        <v/>
      </c>
    </row>
    <row r="111">
      <c r="A111" s="3" t="inlineStr">
        <is>
          <t>000718</t>
        </is>
      </c>
      <c r="B111" s="5">
        <f>COUNTIF('Entetes_TriNumInterne'!$C$2:$C$723,A111)</f>
        <v/>
      </c>
    </row>
    <row r="112">
      <c r="A112" s="3" t="inlineStr">
        <is>
          <t>000719</t>
        </is>
      </c>
      <c r="B112" s="5">
        <f>COUNTIF('Entetes_TriNumInterne'!$C$2:$C$723,A112)</f>
        <v/>
      </c>
    </row>
    <row r="113">
      <c r="A113" s="3" t="inlineStr">
        <is>
          <t>000720</t>
        </is>
      </c>
      <c r="B113" s="5">
        <f>COUNTIF('Entetes_TriNumInterne'!$C$2:$C$723,A113)</f>
        <v/>
      </c>
    </row>
    <row r="114">
      <c r="A114" s="3" t="inlineStr">
        <is>
          <t>000721</t>
        </is>
      </c>
      <c r="B114" s="5">
        <f>COUNTIF('Entetes_TriNumInterne'!$C$2:$C$723,A114)</f>
        <v/>
      </c>
    </row>
    <row r="115">
      <c r="A115" s="3" t="inlineStr">
        <is>
          <t>000722</t>
        </is>
      </c>
      <c r="B115" s="5">
        <f>COUNTIF('Entetes_TriNumInterne'!$C$2:$C$723,A115)</f>
        <v/>
      </c>
    </row>
    <row r="116">
      <c r="A116" s="3" t="inlineStr">
        <is>
          <t>000723</t>
        </is>
      </c>
      <c r="B116" s="5">
        <f>COUNTIF('Entetes_TriNumInterne'!$C$2:$C$723,A116)</f>
        <v/>
      </c>
    </row>
    <row r="117">
      <c r="A117" s="3" t="inlineStr">
        <is>
          <t>000724</t>
        </is>
      </c>
      <c r="B117" s="5">
        <f>COUNTIF('Entetes_TriNumInterne'!$C$2:$C$723,A117)</f>
        <v/>
      </c>
    </row>
    <row r="118">
      <c r="A118" s="3" t="inlineStr">
        <is>
          <t>000725</t>
        </is>
      </c>
      <c r="B118" s="5">
        <f>COUNTIF('Entetes_TriNumInterne'!$C$2:$C$723,A118)</f>
        <v/>
      </c>
    </row>
    <row r="119">
      <c r="A119" s="3" t="inlineStr">
        <is>
          <t>000726</t>
        </is>
      </c>
      <c r="B119" s="5">
        <f>COUNTIF('Entetes_TriNumInterne'!$C$2:$C$723,A119)</f>
        <v/>
      </c>
    </row>
    <row r="120">
      <c r="A120" s="3" t="inlineStr">
        <is>
          <t>000727</t>
        </is>
      </c>
      <c r="B120" s="5">
        <f>COUNTIF('Entetes_TriNumInterne'!$C$2:$C$723,A120)</f>
        <v/>
      </c>
    </row>
    <row r="121">
      <c r="A121" s="3" t="inlineStr">
        <is>
          <t>000728</t>
        </is>
      </c>
      <c r="B121" s="5">
        <f>COUNTIF('Entetes_TriNumInterne'!$C$2:$C$723,A121)</f>
        <v/>
      </c>
    </row>
    <row r="122">
      <c r="A122" s="3" t="inlineStr">
        <is>
          <t>000729</t>
        </is>
      </c>
      <c r="B122" s="5">
        <f>COUNTIF('Entetes_TriNumInterne'!$C$2:$C$723,A122)</f>
        <v/>
      </c>
    </row>
    <row r="123">
      <c r="A123" s="3" t="inlineStr">
        <is>
          <t>000730</t>
        </is>
      </c>
      <c r="B123" s="5">
        <f>COUNTIF('Entetes_TriNumInterne'!$C$2:$C$723,A123)</f>
        <v/>
      </c>
    </row>
    <row r="124">
      <c r="A124" s="3" t="inlineStr">
        <is>
          <t>000731</t>
        </is>
      </c>
      <c r="B124" s="5">
        <f>COUNTIF('Entetes_TriNumInterne'!$C$2:$C$723,A124)</f>
        <v/>
      </c>
    </row>
    <row r="125">
      <c r="A125" s="3" t="inlineStr">
        <is>
          <t>000732</t>
        </is>
      </c>
      <c r="B125" s="5">
        <f>COUNTIF('Entetes_TriNumInterne'!$C$2:$C$723,A125)</f>
        <v/>
      </c>
    </row>
    <row r="126">
      <c r="A126" s="3" t="inlineStr">
        <is>
          <t>000733</t>
        </is>
      </c>
      <c r="B126" s="5">
        <f>COUNTIF('Entetes_TriNumInterne'!$C$2:$C$723,A126)</f>
        <v/>
      </c>
    </row>
    <row r="127">
      <c r="A127" s="3" t="inlineStr">
        <is>
          <t>000734</t>
        </is>
      </c>
      <c r="B127" s="5">
        <f>COUNTIF('Entetes_TriNumInterne'!$C$2:$C$723,A127)</f>
        <v/>
      </c>
    </row>
    <row r="128">
      <c r="A128" s="3" t="inlineStr">
        <is>
          <t>000735</t>
        </is>
      </c>
      <c r="B128" s="5">
        <f>COUNTIF('Entetes_TriNumInterne'!$C$2:$C$723,A128)</f>
        <v/>
      </c>
    </row>
    <row r="129">
      <c r="A129" s="3" t="inlineStr">
        <is>
          <t>000736</t>
        </is>
      </c>
      <c r="B129" s="5">
        <f>COUNTIF('Entetes_TriNumInterne'!$C$2:$C$723,A129)</f>
        <v/>
      </c>
    </row>
    <row r="130">
      <c r="A130" s="3" t="inlineStr">
        <is>
          <t>000737</t>
        </is>
      </c>
      <c r="B130" s="5">
        <f>COUNTIF('Entetes_TriNumInterne'!$C$2:$C$723,A130)</f>
        <v/>
      </c>
    </row>
    <row r="131">
      <c r="A131" s="3" t="inlineStr">
        <is>
          <t>000738</t>
        </is>
      </c>
      <c r="B131" s="5">
        <f>COUNTIF('Entetes_TriNumInterne'!$C$2:$C$723,A131)</f>
        <v/>
      </c>
    </row>
    <row r="132">
      <c r="A132" s="3" t="inlineStr">
        <is>
          <t>000739</t>
        </is>
      </c>
      <c r="B132" s="5">
        <f>COUNTIF('Entetes_TriNumInterne'!$C$2:$C$723,A132)</f>
        <v/>
      </c>
    </row>
    <row r="133">
      <c r="A133" s="3" t="inlineStr">
        <is>
          <t>000740</t>
        </is>
      </c>
      <c r="B133" s="5">
        <f>COUNTIF('Entetes_TriNumInterne'!$C$2:$C$723,A133)</f>
        <v/>
      </c>
    </row>
    <row r="134">
      <c r="A134" s="3" t="inlineStr">
        <is>
          <t>000741</t>
        </is>
      </c>
      <c r="B134" s="5">
        <f>COUNTIF('Entetes_TriNumInterne'!$C$2:$C$723,A134)</f>
        <v/>
      </c>
    </row>
    <row r="135">
      <c r="A135" s="3" t="inlineStr">
        <is>
          <t>000742</t>
        </is>
      </c>
      <c r="B135" s="5">
        <f>COUNTIF('Entetes_TriNumInterne'!$C$2:$C$723,A135)</f>
        <v/>
      </c>
    </row>
    <row r="136">
      <c r="A136" s="3" t="inlineStr">
        <is>
          <t>000743</t>
        </is>
      </c>
      <c r="B136" s="5">
        <f>COUNTIF('Entetes_TriNumInterne'!$C$2:$C$723,A136)</f>
        <v/>
      </c>
    </row>
    <row r="137">
      <c r="A137" s="3" t="inlineStr">
        <is>
          <t>000744</t>
        </is>
      </c>
      <c r="B137" s="5">
        <f>COUNTIF('Entetes_TriNumInterne'!$C$2:$C$723,A137)</f>
        <v/>
      </c>
    </row>
    <row r="138">
      <c r="A138" s="3" t="inlineStr">
        <is>
          <t>000745</t>
        </is>
      </c>
      <c r="B138" s="5">
        <f>COUNTIF('Entetes_TriNumInterne'!$C$2:$C$723,A138)</f>
        <v/>
      </c>
    </row>
    <row r="139">
      <c r="A139" s="3" t="inlineStr">
        <is>
          <t>000746</t>
        </is>
      </c>
      <c r="B139" s="5">
        <f>COUNTIF('Entetes_TriNumInterne'!$C$2:$C$723,A139)</f>
        <v/>
      </c>
    </row>
    <row r="140">
      <c r="A140" s="3" t="inlineStr">
        <is>
          <t>000747</t>
        </is>
      </c>
      <c r="B140" s="5">
        <f>COUNTIF('Entetes_TriNumInterne'!$C$2:$C$723,A140)</f>
        <v/>
      </c>
    </row>
    <row r="141">
      <c r="A141" s="3" t="inlineStr">
        <is>
          <t>000748</t>
        </is>
      </c>
      <c r="B141" s="5">
        <f>COUNTIF('Entetes_TriNumInterne'!$C$2:$C$723,A141)</f>
        <v/>
      </c>
    </row>
    <row r="142">
      <c r="A142" s="3" t="inlineStr">
        <is>
          <t>000749</t>
        </is>
      </c>
      <c r="B142" s="5">
        <f>COUNTIF('Entetes_TriNumInterne'!$C$2:$C$723,A142)</f>
        <v/>
      </c>
    </row>
    <row r="143">
      <c r="A143" s="3" t="inlineStr">
        <is>
          <t>000750</t>
        </is>
      </c>
      <c r="B143" s="5">
        <f>COUNTIF('Entetes_TriNumInterne'!$C$2:$C$723,A143)</f>
        <v/>
      </c>
    </row>
    <row r="144">
      <c r="A144" s="3" t="inlineStr">
        <is>
          <t>000751</t>
        </is>
      </c>
      <c r="B144" s="5">
        <f>COUNTIF('Entetes_TriNumInterne'!$C$2:$C$723,A144)</f>
        <v/>
      </c>
    </row>
    <row r="145">
      <c r="A145" s="3" t="inlineStr">
        <is>
          <t>000752</t>
        </is>
      </c>
      <c r="B145" s="5">
        <f>COUNTIF('Entetes_TriNumInterne'!$C$2:$C$723,A145)</f>
        <v/>
      </c>
    </row>
    <row r="146">
      <c r="A146" s="3" t="inlineStr">
        <is>
          <t>000753</t>
        </is>
      </c>
      <c r="B146" s="5">
        <f>COUNTIF('Entetes_TriNumInterne'!$C$2:$C$723,A146)</f>
        <v/>
      </c>
    </row>
    <row r="147">
      <c r="A147" s="3" t="inlineStr">
        <is>
          <t>000754</t>
        </is>
      </c>
      <c r="B147" s="5">
        <f>COUNTIF('Entetes_TriNumInterne'!$C$2:$C$723,A147)</f>
        <v/>
      </c>
    </row>
    <row r="148">
      <c r="A148" s="3" t="inlineStr">
        <is>
          <t>000755</t>
        </is>
      </c>
      <c r="B148" s="5">
        <f>COUNTIF('Entetes_TriNumInterne'!$C$2:$C$723,A148)</f>
        <v/>
      </c>
    </row>
    <row r="149">
      <c r="A149" s="3" t="inlineStr">
        <is>
          <t>000756</t>
        </is>
      </c>
      <c r="B149" s="5">
        <f>COUNTIF('Entetes_TriNumInterne'!$C$2:$C$723,A149)</f>
        <v/>
      </c>
    </row>
    <row r="150">
      <c r="A150" s="3" t="inlineStr">
        <is>
          <t>000757</t>
        </is>
      </c>
      <c r="B150" s="5">
        <f>COUNTIF('Entetes_TriNumInterne'!$C$2:$C$723,A150)</f>
        <v/>
      </c>
    </row>
    <row r="151">
      <c r="A151" s="3" t="inlineStr">
        <is>
          <t>000758</t>
        </is>
      </c>
      <c r="B151" s="5">
        <f>COUNTIF('Entetes_TriNumInterne'!$C$2:$C$723,A151)</f>
        <v/>
      </c>
    </row>
    <row r="152">
      <c r="A152" s="3" t="inlineStr">
        <is>
          <t>000759</t>
        </is>
      </c>
      <c r="B152" s="5">
        <f>COUNTIF('Entetes_TriNumInterne'!$C$2:$C$723,A152)</f>
        <v/>
      </c>
    </row>
    <row r="153">
      <c r="A153" s="3" t="inlineStr">
        <is>
          <t>000760</t>
        </is>
      </c>
      <c r="B153" s="5">
        <f>COUNTIF('Entetes_TriNumInterne'!$C$2:$C$723,A153)</f>
        <v/>
      </c>
    </row>
    <row r="154">
      <c r="A154" s="3" t="inlineStr">
        <is>
          <t>000761</t>
        </is>
      </c>
      <c r="B154" s="5">
        <f>COUNTIF('Entetes_TriNumInterne'!$C$2:$C$723,A154)</f>
        <v/>
      </c>
    </row>
    <row r="155">
      <c r="A155" s="3" t="inlineStr">
        <is>
          <t>000762</t>
        </is>
      </c>
      <c r="B155" s="5">
        <f>COUNTIF('Entetes_TriNumInterne'!$C$2:$C$723,A155)</f>
        <v/>
      </c>
    </row>
    <row r="156">
      <c r="A156" s="3" t="inlineStr">
        <is>
          <t>000763</t>
        </is>
      </c>
      <c r="B156" s="5">
        <f>COUNTIF('Entetes_TriNumInterne'!$C$2:$C$723,A156)</f>
        <v/>
      </c>
    </row>
    <row r="157">
      <c r="A157" s="3" t="inlineStr">
        <is>
          <t>000764</t>
        </is>
      </c>
      <c r="B157" s="5">
        <f>COUNTIF('Entetes_TriNumInterne'!$C$2:$C$723,A157)</f>
        <v/>
      </c>
    </row>
    <row r="158">
      <c r="A158" s="3" t="inlineStr">
        <is>
          <t>000765</t>
        </is>
      </c>
      <c r="B158" s="5">
        <f>COUNTIF('Entetes_TriNumInterne'!$C$2:$C$723,A158)</f>
        <v/>
      </c>
    </row>
    <row r="159">
      <c r="A159" s="3" t="inlineStr">
        <is>
          <t>000766</t>
        </is>
      </c>
      <c r="B159" s="5">
        <f>COUNTIF('Entetes_TriNumInterne'!$C$2:$C$723,A159)</f>
        <v/>
      </c>
    </row>
    <row r="160">
      <c r="A160" s="3" t="inlineStr">
        <is>
          <t>000767</t>
        </is>
      </c>
      <c r="B160" s="5">
        <f>COUNTIF('Entetes_TriNumInterne'!$C$2:$C$723,A160)</f>
        <v/>
      </c>
    </row>
    <row r="161">
      <c r="A161" s="3" t="inlineStr">
        <is>
          <t>000768</t>
        </is>
      </c>
      <c r="B161" s="5">
        <f>COUNTIF('Entetes_TriNumInterne'!$C$2:$C$723,A161)</f>
        <v/>
      </c>
    </row>
    <row r="162">
      <c r="A162" s="3" t="inlineStr">
        <is>
          <t>000769</t>
        </is>
      </c>
      <c r="B162" s="5">
        <f>COUNTIF('Entetes_TriNumInterne'!$C$2:$C$723,A162)</f>
        <v/>
      </c>
    </row>
    <row r="163">
      <c r="A163" s="3" t="inlineStr">
        <is>
          <t>000770</t>
        </is>
      </c>
      <c r="B163" s="5">
        <f>COUNTIF('Entetes_TriNumInterne'!$C$2:$C$723,A163)</f>
        <v/>
      </c>
    </row>
    <row r="164">
      <c r="A164" s="3" t="inlineStr">
        <is>
          <t>000771</t>
        </is>
      </c>
      <c r="B164" s="5">
        <f>COUNTIF('Entetes_TriNumInterne'!$C$2:$C$723,A164)</f>
        <v/>
      </c>
    </row>
    <row r="165">
      <c r="A165" s="3" t="inlineStr">
        <is>
          <t>000772</t>
        </is>
      </c>
      <c r="B165" s="5">
        <f>COUNTIF('Entetes_TriNumInterne'!$C$2:$C$723,A165)</f>
        <v/>
      </c>
    </row>
    <row r="166">
      <c r="A166" s="3" t="inlineStr">
        <is>
          <t>000773</t>
        </is>
      </c>
      <c r="B166" s="5">
        <f>COUNTIF('Entetes_TriNumInterne'!$C$2:$C$723,A166)</f>
        <v/>
      </c>
    </row>
    <row r="167">
      <c r="A167" s="3" t="inlineStr">
        <is>
          <t>000774</t>
        </is>
      </c>
      <c r="B167" s="5">
        <f>COUNTIF('Entetes_TriNumInterne'!$C$2:$C$723,A167)</f>
        <v/>
      </c>
    </row>
    <row r="168">
      <c r="A168" s="3" t="inlineStr">
        <is>
          <t>000775</t>
        </is>
      </c>
      <c r="B168" s="5">
        <f>COUNTIF('Entetes_TriNumInterne'!$C$2:$C$723,A168)</f>
        <v/>
      </c>
    </row>
    <row r="169">
      <c r="A169" s="3" t="inlineStr">
        <is>
          <t>000776</t>
        </is>
      </c>
      <c r="B169" s="5">
        <f>COUNTIF('Entetes_TriNumInterne'!$C$2:$C$723,A169)</f>
        <v/>
      </c>
    </row>
    <row r="170">
      <c r="A170" s="3" t="inlineStr">
        <is>
          <t>000777</t>
        </is>
      </c>
      <c r="B170" s="5">
        <f>COUNTIF('Entetes_TriNumInterne'!$C$2:$C$723,A170)</f>
        <v/>
      </c>
    </row>
    <row r="171">
      <c r="A171" s="3" t="inlineStr">
        <is>
          <t>000778</t>
        </is>
      </c>
      <c r="B171" s="5">
        <f>COUNTIF('Entetes_TriNumInterne'!$C$2:$C$723,A171)</f>
        <v/>
      </c>
    </row>
    <row r="172">
      <c r="A172" s="3" t="inlineStr">
        <is>
          <t>000779</t>
        </is>
      </c>
      <c r="B172" s="5">
        <f>COUNTIF('Entetes_TriNumInterne'!$C$2:$C$723,A172)</f>
        <v/>
      </c>
    </row>
    <row r="173">
      <c r="A173" s="3" t="inlineStr">
        <is>
          <t>000780</t>
        </is>
      </c>
      <c r="B173" s="5">
        <f>COUNTIF('Entetes_TriNumInterne'!$C$2:$C$723,A173)</f>
        <v/>
      </c>
    </row>
    <row r="174">
      <c r="A174" s="3" t="inlineStr">
        <is>
          <t>000781</t>
        </is>
      </c>
      <c r="B174" s="5">
        <f>COUNTIF('Entetes_TriNumInterne'!$C$2:$C$723,A174)</f>
        <v/>
      </c>
    </row>
    <row r="175">
      <c r="A175" s="3" t="inlineStr">
        <is>
          <t>000782</t>
        </is>
      </c>
      <c r="B175" s="5">
        <f>COUNTIF('Entetes_TriNumInterne'!$C$2:$C$723,A175)</f>
        <v/>
      </c>
    </row>
    <row r="176">
      <c r="A176" s="3" t="inlineStr">
        <is>
          <t>000783</t>
        </is>
      </c>
      <c r="B176" s="5">
        <f>COUNTIF('Entetes_TriNumInterne'!$C$2:$C$723,A176)</f>
        <v/>
      </c>
    </row>
    <row r="177">
      <c r="A177" s="3" t="inlineStr">
        <is>
          <t>000784</t>
        </is>
      </c>
      <c r="B177" s="5">
        <f>COUNTIF('Entetes_TriNumInterne'!$C$2:$C$723,A177)</f>
        <v/>
      </c>
    </row>
    <row r="178">
      <c r="A178" s="3" t="inlineStr">
        <is>
          <t>000785</t>
        </is>
      </c>
      <c r="B178" s="5">
        <f>COUNTIF('Entetes_TriNumInterne'!$C$2:$C$723,A178)</f>
        <v/>
      </c>
    </row>
    <row r="179">
      <c r="A179" s="3" t="inlineStr">
        <is>
          <t>000786</t>
        </is>
      </c>
      <c r="B179" s="5">
        <f>COUNTIF('Entetes_TriNumInterne'!$C$2:$C$723,A179)</f>
        <v/>
      </c>
    </row>
    <row r="180">
      <c r="A180" s="3" t="inlineStr">
        <is>
          <t>000787</t>
        </is>
      </c>
      <c r="B180" s="5">
        <f>COUNTIF('Entetes_TriNumInterne'!$C$2:$C$723,A180)</f>
        <v/>
      </c>
    </row>
    <row r="181">
      <c r="A181" s="3" t="inlineStr">
        <is>
          <t>000788</t>
        </is>
      </c>
      <c r="B181" s="5">
        <f>COUNTIF('Entetes_TriNumInterne'!$C$2:$C$723,A181)</f>
        <v/>
      </c>
    </row>
    <row r="182">
      <c r="A182" s="3" t="inlineStr">
        <is>
          <t>000789</t>
        </is>
      </c>
      <c r="B182" s="5">
        <f>COUNTIF('Entetes_TriNumInterne'!$C$2:$C$723,A182)</f>
        <v/>
      </c>
    </row>
    <row r="183">
      <c r="A183" s="3" t="inlineStr">
        <is>
          <t>000790</t>
        </is>
      </c>
      <c r="B183" s="5">
        <f>COUNTIF('Entetes_TriNumInterne'!$C$2:$C$723,A183)</f>
        <v/>
      </c>
    </row>
    <row r="184">
      <c r="A184" s="3" t="inlineStr">
        <is>
          <t>000791</t>
        </is>
      </c>
      <c r="B184" s="5">
        <f>COUNTIF('Entetes_TriNumInterne'!$C$2:$C$723,A184)</f>
        <v/>
      </c>
    </row>
    <row r="185">
      <c r="A185" s="3" t="inlineStr">
        <is>
          <t>000792</t>
        </is>
      </c>
      <c r="B185" s="5">
        <f>COUNTIF('Entetes_TriNumInterne'!$C$2:$C$723,A185)</f>
        <v/>
      </c>
    </row>
    <row r="186">
      <c r="A186" s="3" t="inlineStr">
        <is>
          <t>000793</t>
        </is>
      </c>
      <c r="B186" s="5">
        <f>COUNTIF('Entetes_TriNumInterne'!$C$2:$C$723,A186)</f>
        <v/>
      </c>
    </row>
    <row r="187">
      <c r="A187" s="3" t="inlineStr">
        <is>
          <t>000794</t>
        </is>
      </c>
      <c r="B187" s="5">
        <f>COUNTIF('Entetes_TriNumInterne'!$C$2:$C$723,A187)</f>
        <v/>
      </c>
    </row>
    <row r="188">
      <c r="A188" s="3" t="inlineStr">
        <is>
          <t>000795</t>
        </is>
      </c>
      <c r="B188" s="5">
        <f>COUNTIF('Entetes_TriNumInterne'!$C$2:$C$723,A188)</f>
        <v/>
      </c>
    </row>
    <row r="189">
      <c r="A189" s="3" t="inlineStr">
        <is>
          <t>000796</t>
        </is>
      </c>
      <c r="B189" s="5">
        <f>COUNTIF('Entetes_TriNumInterne'!$C$2:$C$723,A189)</f>
        <v/>
      </c>
    </row>
    <row r="190">
      <c r="A190" s="3" t="inlineStr">
        <is>
          <t>000797</t>
        </is>
      </c>
      <c r="B190" s="5">
        <f>COUNTIF('Entetes_TriNumInterne'!$C$2:$C$723,A190)</f>
        <v/>
      </c>
    </row>
    <row r="191">
      <c r="A191" s="3" t="inlineStr">
        <is>
          <t>000798</t>
        </is>
      </c>
      <c r="B191" s="5">
        <f>COUNTIF('Entetes_TriNumInterne'!$C$2:$C$723,A191)</f>
        <v/>
      </c>
    </row>
    <row r="192">
      <c r="A192" s="3" t="inlineStr">
        <is>
          <t>000799</t>
        </is>
      </c>
      <c r="B192" s="5">
        <f>COUNTIF('Entetes_TriNumInterne'!$C$2:$C$723,A192)</f>
        <v/>
      </c>
    </row>
    <row r="193">
      <c r="A193" s="3" t="inlineStr">
        <is>
          <t>000800</t>
        </is>
      </c>
      <c r="B193" s="5">
        <f>COUNTIF('Entetes_TriNumInterne'!$C$2:$C$723,A193)</f>
        <v/>
      </c>
    </row>
    <row r="194">
      <c r="A194" s="3" t="inlineStr">
        <is>
          <t>000801</t>
        </is>
      </c>
      <c r="B194" s="5">
        <f>COUNTIF('Entetes_TriNumInterne'!$C$2:$C$723,A194)</f>
        <v/>
      </c>
    </row>
    <row r="195">
      <c r="A195" s="3" t="inlineStr">
        <is>
          <t>000802</t>
        </is>
      </c>
      <c r="B195" s="5">
        <f>COUNTIF('Entetes_TriNumInterne'!$C$2:$C$723,A195)</f>
        <v/>
      </c>
    </row>
    <row r="196">
      <c r="A196" s="3" t="inlineStr">
        <is>
          <t>000803</t>
        </is>
      </c>
      <c r="B196" s="5">
        <f>COUNTIF('Entetes_TriNumInterne'!$C$2:$C$723,A196)</f>
        <v/>
      </c>
    </row>
    <row r="197">
      <c r="A197" s="3" t="inlineStr">
        <is>
          <t>000804</t>
        </is>
      </c>
      <c r="B197" s="5">
        <f>COUNTIF('Entetes_TriNumInterne'!$C$2:$C$723,A197)</f>
        <v/>
      </c>
    </row>
    <row r="198">
      <c r="A198" s="3" t="inlineStr">
        <is>
          <t>000805</t>
        </is>
      </c>
      <c r="B198" s="5">
        <f>COUNTIF('Entetes_TriNumInterne'!$C$2:$C$723,A198)</f>
        <v/>
      </c>
    </row>
    <row r="199">
      <c r="A199" s="3" t="inlineStr">
        <is>
          <t>000806</t>
        </is>
      </c>
      <c r="B199" s="5">
        <f>COUNTIF('Entetes_TriNumInterne'!$C$2:$C$723,A199)</f>
        <v/>
      </c>
    </row>
    <row r="200">
      <c r="A200" s="3" t="inlineStr">
        <is>
          <t>000807</t>
        </is>
      </c>
      <c r="B200" s="5">
        <f>COUNTIF('Entetes_TriNumInterne'!$C$2:$C$723,A200)</f>
        <v/>
      </c>
    </row>
    <row r="201">
      <c r="A201" s="3" t="inlineStr">
        <is>
          <t>000808</t>
        </is>
      </c>
      <c r="B201" s="5">
        <f>COUNTIF('Entetes_TriNumInterne'!$C$2:$C$723,A201)</f>
        <v/>
      </c>
    </row>
    <row r="202">
      <c r="A202" s="3" t="inlineStr">
        <is>
          <t>000809</t>
        </is>
      </c>
      <c r="B202" s="5">
        <f>COUNTIF('Entetes_TriNumInterne'!$C$2:$C$723,A202)</f>
        <v/>
      </c>
    </row>
    <row r="203">
      <c r="A203" s="3" t="inlineStr">
        <is>
          <t>000810</t>
        </is>
      </c>
      <c r="B203" s="5">
        <f>COUNTIF('Entetes_TriNumInterne'!$C$2:$C$723,A203)</f>
        <v/>
      </c>
    </row>
    <row r="204">
      <c r="A204" s="3" t="inlineStr">
        <is>
          <t>000811</t>
        </is>
      </c>
      <c r="B204" s="5">
        <f>COUNTIF('Entetes_TriNumInterne'!$C$2:$C$723,A204)</f>
        <v/>
      </c>
    </row>
    <row r="205">
      <c r="A205" s="3" t="inlineStr">
        <is>
          <t>000812</t>
        </is>
      </c>
      <c r="B205" s="5">
        <f>COUNTIF('Entetes_TriNumInterne'!$C$2:$C$723,A205)</f>
        <v/>
      </c>
    </row>
    <row r="206">
      <c r="A206" s="3" t="inlineStr">
        <is>
          <t>000813</t>
        </is>
      </c>
      <c r="B206" s="5">
        <f>COUNTIF('Entetes_TriNumInterne'!$C$2:$C$723,A206)</f>
        <v/>
      </c>
    </row>
    <row r="207">
      <c r="A207" s="3" t="inlineStr">
        <is>
          <t>000814</t>
        </is>
      </c>
      <c r="B207" s="5">
        <f>COUNTIF('Entetes_TriNumInterne'!$C$2:$C$723,A207)</f>
        <v/>
      </c>
    </row>
    <row r="208">
      <c r="A208" s="3" t="inlineStr">
        <is>
          <t>000815</t>
        </is>
      </c>
      <c r="B208" s="5">
        <f>COUNTIF('Entetes_TriNumInterne'!$C$2:$C$723,A208)</f>
        <v/>
      </c>
    </row>
    <row r="209">
      <c r="A209" s="3" t="inlineStr">
        <is>
          <t>000816</t>
        </is>
      </c>
      <c r="B209" s="5">
        <f>COUNTIF('Entetes_TriNumInterne'!$C$2:$C$723,A209)</f>
        <v/>
      </c>
    </row>
    <row r="210">
      <c r="A210" s="3" t="inlineStr">
        <is>
          <t>000817</t>
        </is>
      </c>
      <c r="B210" s="5">
        <f>COUNTIF('Entetes_TriNumInterne'!$C$2:$C$723,A210)</f>
        <v/>
      </c>
    </row>
    <row r="211">
      <c r="A211" s="3" t="inlineStr">
        <is>
          <t>000818</t>
        </is>
      </c>
      <c r="B211" s="5">
        <f>COUNTIF('Entetes_TriNumInterne'!$C$2:$C$723,A211)</f>
        <v/>
      </c>
    </row>
    <row r="212">
      <c r="A212" s="3" t="inlineStr">
        <is>
          <t>000819</t>
        </is>
      </c>
      <c r="B212" s="5">
        <f>COUNTIF('Entetes_TriNumInterne'!$C$2:$C$723,A212)</f>
        <v/>
      </c>
    </row>
    <row r="213">
      <c r="A213" s="3" t="inlineStr">
        <is>
          <t>000820</t>
        </is>
      </c>
      <c r="B213" s="5">
        <f>COUNTIF('Entetes_TriNumInterne'!$C$2:$C$723,A213)</f>
        <v/>
      </c>
    </row>
    <row r="214">
      <c r="A214" s="3" t="inlineStr">
        <is>
          <t>000821</t>
        </is>
      </c>
      <c r="B214" s="5">
        <f>COUNTIF('Entetes_TriNumInterne'!$C$2:$C$723,A214)</f>
        <v/>
      </c>
    </row>
    <row r="215">
      <c r="A215" s="3" t="inlineStr">
        <is>
          <t>000822</t>
        </is>
      </c>
      <c r="B215" s="5">
        <f>COUNTIF('Entetes_TriNumInterne'!$C$2:$C$723,A215)</f>
        <v/>
      </c>
    </row>
    <row r="216">
      <c r="A216" s="3" t="inlineStr">
        <is>
          <t>000823</t>
        </is>
      </c>
      <c r="B216" s="5">
        <f>COUNTIF('Entetes_TriNumInterne'!$C$2:$C$723,A216)</f>
        <v/>
      </c>
    </row>
    <row r="217">
      <c r="A217" s="3" t="inlineStr">
        <is>
          <t>000824</t>
        </is>
      </c>
      <c r="B217" s="5">
        <f>COUNTIF('Entetes_TriNumInterne'!$C$2:$C$723,A217)</f>
        <v/>
      </c>
    </row>
    <row r="218">
      <c r="A218" s="3" t="inlineStr">
        <is>
          <t>000825</t>
        </is>
      </c>
      <c r="B218" s="5">
        <f>COUNTIF('Entetes_TriNumInterne'!$C$2:$C$723,A218)</f>
        <v/>
      </c>
    </row>
    <row r="219">
      <c r="A219" s="3" t="inlineStr">
        <is>
          <t>000826</t>
        </is>
      </c>
      <c r="B219" s="5">
        <f>COUNTIF('Entetes_TriNumInterne'!$C$2:$C$723,A219)</f>
        <v/>
      </c>
    </row>
    <row r="220">
      <c r="A220" s="3" t="inlineStr">
        <is>
          <t>000827</t>
        </is>
      </c>
      <c r="B220" s="5">
        <f>COUNTIF('Entetes_TriNumInterne'!$C$2:$C$723,A220)</f>
        <v/>
      </c>
    </row>
    <row r="221">
      <c r="A221" s="3" t="inlineStr">
        <is>
          <t>000828</t>
        </is>
      </c>
      <c r="B221" s="5">
        <f>COUNTIF('Entetes_TriNumInterne'!$C$2:$C$723,A221)</f>
        <v/>
      </c>
    </row>
    <row r="222">
      <c r="A222" s="3" t="inlineStr">
        <is>
          <t>000829</t>
        </is>
      </c>
      <c r="B222" s="5">
        <f>COUNTIF('Entetes_TriNumInterne'!$C$2:$C$723,A222)</f>
        <v/>
      </c>
    </row>
    <row r="223">
      <c r="A223" s="3" t="inlineStr">
        <is>
          <t>000830</t>
        </is>
      </c>
      <c r="B223" s="5">
        <f>COUNTIF('Entetes_TriNumInterne'!$C$2:$C$723,A223)</f>
        <v/>
      </c>
    </row>
    <row r="224">
      <c r="A224" s="3" t="inlineStr">
        <is>
          <t>000831</t>
        </is>
      </c>
      <c r="B224" s="5">
        <f>COUNTIF('Entetes_TriNumInterne'!$C$2:$C$723,A224)</f>
        <v/>
      </c>
    </row>
    <row r="225">
      <c r="A225" s="3" t="inlineStr">
        <is>
          <t>000832</t>
        </is>
      </c>
      <c r="B225" s="5">
        <f>COUNTIF('Entetes_TriNumInterne'!$C$2:$C$723,A225)</f>
        <v/>
      </c>
    </row>
    <row r="226">
      <c r="A226" s="3" t="inlineStr">
        <is>
          <t>000833</t>
        </is>
      </c>
      <c r="B226" s="5">
        <f>COUNTIF('Entetes_TriNumInterne'!$C$2:$C$723,A226)</f>
        <v/>
      </c>
    </row>
    <row r="227">
      <c r="A227" s="3" t="inlineStr">
        <is>
          <t>000834</t>
        </is>
      </c>
      <c r="B227" s="5">
        <f>COUNTIF('Entetes_TriNumInterne'!$C$2:$C$723,A227)</f>
        <v/>
      </c>
    </row>
    <row r="228">
      <c r="A228" s="3" t="inlineStr">
        <is>
          <t>000835</t>
        </is>
      </c>
      <c r="B228" s="5">
        <f>COUNTIF('Entetes_TriNumInterne'!$C$2:$C$723,A228)</f>
        <v/>
      </c>
    </row>
    <row r="229">
      <c r="A229" s="3" t="inlineStr">
        <is>
          <t>000836</t>
        </is>
      </c>
      <c r="B229" s="5">
        <f>COUNTIF('Entetes_TriNumInterne'!$C$2:$C$723,A229)</f>
        <v/>
      </c>
    </row>
    <row r="230">
      <c r="A230" s="3" t="inlineStr">
        <is>
          <t>000837</t>
        </is>
      </c>
      <c r="B230" s="5">
        <f>COUNTIF('Entetes_TriNumInterne'!$C$2:$C$723,A230)</f>
        <v/>
      </c>
    </row>
    <row r="231">
      <c r="A231" s="3" t="inlineStr">
        <is>
          <t>000838</t>
        </is>
      </c>
      <c r="B231" s="5">
        <f>COUNTIF('Entetes_TriNumInterne'!$C$2:$C$723,A231)</f>
        <v/>
      </c>
    </row>
    <row r="232">
      <c r="A232" s="3" t="inlineStr">
        <is>
          <t>000839</t>
        </is>
      </c>
      <c r="B232" s="5">
        <f>COUNTIF('Entetes_TriNumInterne'!$C$2:$C$723,A232)</f>
        <v/>
      </c>
    </row>
    <row r="233">
      <c r="A233" s="3" t="inlineStr">
        <is>
          <t>000840</t>
        </is>
      </c>
      <c r="B233" s="5">
        <f>COUNTIF('Entetes_TriNumInterne'!$C$2:$C$723,A233)</f>
        <v/>
      </c>
    </row>
    <row r="234">
      <c r="A234" s="3" t="inlineStr">
        <is>
          <t>000841</t>
        </is>
      </c>
      <c r="B234" s="5">
        <f>COUNTIF('Entetes_TriNumInterne'!$C$2:$C$723,A234)</f>
        <v/>
      </c>
    </row>
    <row r="235">
      <c r="A235" s="3" t="inlineStr">
        <is>
          <t>000842</t>
        </is>
      </c>
      <c r="B235" s="5">
        <f>COUNTIF('Entetes_TriNumInterne'!$C$2:$C$723,A235)</f>
        <v/>
      </c>
    </row>
    <row r="236">
      <c r="A236" s="3" t="inlineStr">
        <is>
          <t>000843</t>
        </is>
      </c>
      <c r="B236" s="5">
        <f>COUNTIF('Entetes_TriNumInterne'!$C$2:$C$723,A236)</f>
        <v/>
      </c>
    </row>
    <row r="237">
      <c r="A237" s="3" t="inlineStr">
        <is>
          <t>000844</t>
        </is>
      </c>
      <c r="B237" s="5">
        <f>COUNTIF('Entetes_TriNumInterne'!$C$2:$C$723,A237)</f>
        <v/>
      </c>
    </row>
    <row r="238">
      <c r="A238" s="3" t="inlineStr">
        <is>
          <t>000845</t>
        </is>
      </c>
      <c r="B238" s="5">
        <f>COUNTIF('Entetes_TriNumInterne'!$C$2:$C$723,A238)</f>
        <v/>
      </c>
    </row>
    <row r="239">
      <c r="A239" s="3" t="inlineStr">
        <is>
          <t>000846</t>
        </is>
      </c>
      <c r="B239" s="5">
        <f>COUNTIF('Entetes_TriNumInterne'!$C$2:$C$723,A239)</f>
        <v/>
      </c>
    </row>
    <row r="240">
      <c r="A240" s="3" t="inlineStr">
        <is>
          <t>000847</t>
        </is>
      </c>
      <c r="B240" s="5">
        <f>COUNTIF('Entetes_TriNumInterne'!$C$2:$C$723,A240)</f>
        <v/>
      </c>
    </row>
    <row r="241">
      <c r="A241" s="3" t="inlineStr">
        <is>
          <t>000848</t>
        </is>
      </c>
      <c r="B241" s="5">
        <f>COUNTIF('Entetes_TriNumInterne'!$C$2:$C$723,A241)</f>
        <v/>
      </c>
    </row>
    <row r="242">
      <c r="A242" s="3" t="inlineStr">
        <is>
          <t>000849</t>
        </is>
      </c>
      <c r="B242" s="5">
        <f>COUNTIF('Entetes_TriNumInterne'!$C$2:$C$723,A242)</f>
        <v/>
      </c>
    </row>
    <row r="243">
      <c r="A243" s="3" t="inlineStr">
        <is>
          <t>000850</t>
        </is>
      </c>
      <c r="B243" s="5">
        <f>COUNTIF('Entetes_TriNumInterne'!$C$2:$C$723,A243)</f>
        <v/>
      </c>
    </row>
    <row r="244">
      <c r="A244" s="3" t="inlineStr">
        <is>
          <t>000851</t>
        </is>
      </c>
      <c r="B244" s="5">
        <f>COUNTIF('Entetes_TriNumInterne'!$C$2:$C$723,A244)</f>
        <v/>
      </c>
    </row>
    <row r="245">
      <c r="A245" s="3" t="inlineStr">
        <is>
          <t>000852</t>
        </is>
      </c>
      <c r="B245" s="5">
        <f>COUNTIF('Entetes_TriNumInterne'!$C$2:$C$723,A245)</f>
        <v/>
      </c>
    </row>
    <row r="246">
      <c r="A246" s="3" t="inlineStr">
        <is>
          <t>000853</t>
        </is>
      </c>
      <c r="B246" s="5">
        <f>COUNTIF('Entetes_TriNumInterne'!$C$2:$C$723,A246)</f>
        <v/>
      </c>
    </row>
    <row r="247">
      <c r="A247" s="3" t="inlineStr">
        <is>
          <t>000854</t>
        </is>
      </c>
      <c r="B247" s="5">
        <f>COUNTIF('Entetes_TriNumInterne'!$C$2:$C$723,A247)</f>
        <v/>
      </c>
    </row>
    <row r="248">
      <c r="A248" s="3" t="inlineStr">
        <is>
          <t>000855</t>
        </is>
      </c>
      <c r="B248" s="5">
        <f>COUNTIF('Entetes_TriNumInterne'!$C$2:$C$723,A248)</f>
        <v/>
      </c>
    </row>
    <row r="249">
      <c r="A249" s="3" t="inlineStr">
        <is>
          <t>000856</t>
        </is>
      </c>
      <c r="B249" s="5">
        <f>COUNTIF('Entetes_TriNumInterne'!$C$2:$C$723,A249)</f>
        <v/>
      </c>
    </row>
    <row r="250">
      <c r="A250" s="3" t="inlineStr">
        <is>
          <t>000857</t>
        </is>
      </c>
      <c r="B250" s="5">
        <f>COUNTIF('Entetes_TriNumInterne'!$C$2:$C$723,A250)</f>
        <v/>
      </c>
    </row>
    <row r="251">
      <c r="A251" s="3" t="inlineStr">
        <is>
          <t>000858</t>
        </is>
      </c>
      <c r="B251" s="5">
        <f>COUNTIF('Entetes_TriNumInterne'!$C$2:$C$723,A251)</f>
        <v/>
      </c>
    </row>
    <row r="252">
      <c r="A252" s="3" t="inlineStr">
        <is>
          <t>000859</t>
        </is>
      </c>
      <c r="B252" s="5">
        <f>COUNTIF('Entetes_TriNumInterne'!$C$2:$C$723,A252)</f>
        <v/>
      </c>
    </row>
    <row r="253">
      <c r="A253" s="3" t="inlineStr">
        <is>
          <t>000860</t>
        </is>
      </c>
      <c r="B253" s="5">
        <f>COUNTIF('Entetes_TriNumInterne'!$C$2:$C$723,A253)</f>
        <v/>
      </c>
    </row>
    <row r="254">
      <c r="A254" s="3" t="inlineStr">
        <is>
          <t>000861</t>
        </is>
      </c>
      <c r="B254" s="5">
        <f>COUNTIF('Entetes_TriNumInterne'!$C$2:$C$723,A254)</f>
        <v/>
      </c>
    </row>
    <row r="255">
      <c r="A255" s="3" t="inlineStr">
        <is>
          <t>000862</t>
        </is>
      </c>
      <c r="B255" s="5">
        <f>COUNTIF('Entetes_TriNumInterne'!$C$2:$C$723,A255)</f>
        <v/>
      </c>
    </row>
    <row r="256">
      <c r="A256" s="3" t="inlineStr">
        <is>
          <t>000863</t>
        </is>
      </c>
      <c r="B256" s="5">
        <f>COUNTIF('Entetes_TriNumInterne'!$C$2:$C$723,A256)</f>
        <v/>
      </c>
    </row>
    <row r="257">
      <c r="A257" s="3" t="inlineStr">
        <is>
          <t>000864</t>
        </is>
      </c>
      <c r="B257" s="5">
        <f>COUNTIF('Entetes_TriNumInterne'!$C$2:$C$723,A257)</f>
        <v/>
      </c>
    </row>
    <row r="258">
      <c r="A258" s="3" t="inlineStr">
        <is>
          <t>000865</t>
        </is>
      </c>
      <c r="B258" s="5">
        <f>COUNTIF('Entetes_TriNumInterne'!$C$2:$C$723,A258)</f>
        <v/>
      </c>
    </row>
    <row r="259">
      <c r="A259" s="3" t="inlineStr">
        <is>
          <t>000866</t>
        </is>
      </c>
      <c r="B259" s="5">
        <f>COUNTIF('Entetes_TriNumInterne'!$C$2:$C$723,A259)</f>
        <v/>
      </c>
    </row>
    <row r="260">
      <c r="A260" s="3" t="inlineStr">
        <is>
          <t>000867</t>
        </is>
      </c>
      <c r="B260" s="5">
        <f>COUNTIF('Entetes_TriNumInterne'!$C$2:$C$723,A260)</f>
        <v/>
      </c>
    </row>
    <row r="261">
      <c r="A261" s="3" t="inlineStr">
        <is>
          <t>000868</t>
        </is>
      </c>
      <c r="B261" s="5">
        <f>COUNTIF('Entetes_TriNumInterne'!$C$2:$C$723,A261)</f>
        <v/>
      </c>
    </row>
    <row r="262">
      <c r="A262" s="3" t="inlineStr">
        <is>
          <t>000869</t>
        </is>
      </c>
      <c r="B262" s="5">
        <f>COUNTIF('Entetes_TriNumInterne'!$C$2:$C$723,A262)</f>
        <v/>
      </c>
    </row>
    <row r="263">
      <c r="A263" s="3" t="inlineStr">
        <is>
          <t>000870</t>
        </is>
      </c>
      <c r="B263" s="5">
        <f>COUNTIF('Entetes_TriNumInterne'!$C$2:$C$723,A263)</f>
        <v/>
      </c>
    </row>
    <row r="264">
      <c r="A264" s="3" t="inlineStr">
        <is>
          <t>000871</t>
        </is>
      </c>
      <c r="B264" s="5">
        <f>COUNTIF('Entetes_TriNumInterne'!$C$2:$C$723,A264)</f>
        <v/>
      </c>
    </row>
    <row r="265">
      <c r="A265" s="3" t="inlineStr">
        <is>
          <t>000872</t>
        </is>
      </c>
      <c r="B265" s="5">
        <f>COUNTIF('Entetes_TriNumInterne'!$C$2:$C$723,A265)</f>
        <v/>
      </c>
    </row>
    <row r="266">
      <c r="A266" s="3" t="inlineStr">
        <is>
          <t>000873</t>
        </is>
      </c>
      <c r="B266" s="5">
        <f>COUNTIF('Entetes_TriNumInterne'!$C$2:$C$723,A266)</f>
        <v/>
      </c>
    </row>
    <row r="267">
      <c r="A267" s="3" t="inlineStr">
        <is>
          <t>000874</t>
        </is>
      </c>
      <c r="B267" s="5">
        <f>COUNTIF('Entetes_TriNumInterne'!$C$2:$C$723,A267)</f>
        <v/>
      </c>
    </row>
    <row r="268">
      <c r="A268" s="3" t="inlineStr">
        <is>
          <t>000875</t>
        </is>
      </c>
      <c r="B268" s="5">
        <f>COUNTIF('Entetes_TriNumInterne'!$C$2:$C$723,A268)</f>
        <v/>
      </c>
    </row>
    <row r="269">
      <c r="A269" s="3" t="inlineStr">
        <is>
          <t>000876</t>
        </is>
      </c>
      <c r="B269" s="5">
        <f>COUNTIF('Entetes_TriNumInterne'!$C$2:$C$723,A269)</f>
        <v/>
      </c>
    </row>
    <row r="270">
      <c r="A270" s="3" t="inlineStr">
        <is>
          <t>000877</t>
        </is>
      </c>
      <c r="B270" s="5">
        <f>COUNTIF('Entetes_TriNumInterne'!$C$2:$C$723,A270)</f>
        <v/>
      </c>
    </row>
    <row r="271">
      <c r="A271" s="3" t="inlineStr">
        <is>
          <t>000878</t>
        </is>
      </c>
      <c r="B271" s="5">
        <f>COUNTIF('Entetes_TriNumInterne'!$C$2:$C$723,A271)</f>
        <v/>
      </c>
    </row>
    <row r="272">
      <c r="A272" s="3" t="inlineStr">
        <is>
          <t>000879</t>
        </is>
      </c>
      <c r="B272" s="5">
        <f>COUNTIF('Entetes_TriNumInterne'!$C$2:$C$723,A272)</f>
        <v/>
      </c>
    </row>
    <row r="273">
      <c r="A273" s="3" t="inlineStr">
        <is>
          <t>000880</t>
        </is>
      </c>
      <c r="B273" s="5">
        <f>COUNTIF('Entetes_TriNumInterne'!$C$2:$C$723,A273)</f>
        <v/>
      </c>
    </row>
    <row r="274">
      <c r="A274" s="3" t="inlineStr">
        <is>
          <t>000881</t>
        </is>
      </c>
      <c r="B274" s="5">
        <f>COUNTIF('Entetes_TriNumInterne'!$C$2:$C$723,A274)</f>
        <v/>
      </c>
    </row>
    <row r="275">
      <c r="A275" s="3" t="inlineStr">
        <is>
          <t>000882</t>
        </is>
      </c>
      <c r="B275" s="5">
        <f>COUNTIF('Entetes_TriNumInterne'!$C$2:$C$723,A275)</f>
        <v/>
      </c>
    </row>
    <row r="276">
      <c r="A276" s="3" t="inlineStr">
        <is>
          <t>000883</t>
        </is>
      </c>
      <c r="B276" s="5">
        <f>COUNTIF('Entetes_TriNumInterne'!$C$2:$C$723,A276)</f>
        <v/>
      </c>
    </row>
    <row r="277">
      <c r="A277" s="3" t="inlineStr">
        <is>
          <t>000884</t>
        </is>
      </c>
      <c r="B277" s="5">
        <f>COUNTIF('Entetes_TriNumInterne'!$C$2:$C$723,A277)</f>
        <v/>
      </c>
    </row>
    <row r="278">
      <c r="A278" s="3" t="inlineStr">
        <is>
          <t>000885</t>
        </is>
      </c>
      <c r="B278" s="5">
        <f>COUNTIF('Entetes_TriNumInterne'!$C$2:$C$723,A278)</f>
        <v/>
      </c>
    </row>
    <row r="279">
      <c r="A279" s="3" t="inlineStr">
        <is>
          <t>000886</t>
        </is>
      </c>
      <c r="B279" s="5">
        <f>COUNTIF('Entetes_TriNumInterne'!$C$2:$C$723,A279)</f>
        <v/>
      </c>
    </row>
    <row r="280">
      <c r="A280" s="3" t="inlineStr">
        <is>
          <t>000887</t>
        </is>
      </c>
      <c r="B280" s="5">
        <f>COUNTIF('Entetes_TriNumInterne'!$C$2:$C$723,A280)</f>
        <v/>
      </c>
    </row>
    <row r="281">
      <c r="A281" s="3" t="inlineStr">
        <is>
          <t>000888</t>
        </is>
      </c>
      <c r="B281" s="5">
        <f>COUNTIF('Entetes_TriNumInterne'!$C$2:$C$723,A281)</f>
        <v/>
      </c>
    </row>
    <row r="282">
      <c r="A282" s="3" t="inlineStr">
        <is>
          <t>000889</t>
        </is>
      </c>
      <c r="B282" s="5">
        <f>COUNTIF('Entetes_TriNumInterne'!$C$2:$C$723,A282)</f>
        <v/>
      </c>
    </row>
    <row r="283">
      <c r="A283" s="3" t="inlineStr">
        <is>
          <t>000890</t>
        </is>
      </c>
      <c r="B283" s="5">
        <f>COUNTIF('Entetes_TriNumInterne'!$C$2:$C$723,A283)</f>
        <v/>
      </c>
    </row>
    <row r="284">
      <c r="A284" s="3" t="inlineStr">
        <is>
          <t>000891</t>
        </is>
      </c>
      <c r="B284" s="5">
        <f>COUNTIF('Entetes_TriNumInterne'!$C$2:$C$723,A284)</f>
        <v/>
      </c>
    </row>
    <row r="285">
      <c r="A285" s="3" t="inlineStr">
        <is>
          <t>000892</t>
        </is>
      </c>
      <c r="B285" s="5">
        <f>COUNTIF('Entetes_TriNumInterne'!$C$2:$C$723,A285)</f>
        <v/>
      </c>
    </row>
    <row r="286">
      <c r="A286" s="3" t="inlineStr">
        <is>
          <t>000893</t>
        </is>
      </c>
      <c r="B286" s="5">
        <f>COUNTIF('Entetes_TriNumInterne'!$C$2:$C$723,A286)</f>
        <v/>
      </c>
    </row>
    <row r="287">
      <c r="A287" s="3" t="inlineStr">
        <is>
          <t>000894</t>
        </is>
      </c>
      <c r="B287" s="5">
        <f>COUNTIF('Entetes_TriNumInterne'!$C$2:$C$723,A287)</f>
        <v/>
      </c>
    </row>
    <row r="288">
      <c r="A288" s="3" t="inlineStr">
        <is>
          <t>000895</t>
        </is>
      </c>
      <c r="B288" s="5">
        <f>COUNTIF('Entetes_TriNumInterne'!$C$2:$C$723,A288)</f>
        <v/>
      </c>
    </row>
    <row r="289">
      <c r="A289" s="3" t="inlineStr">
        <is>
          <t>000896</t>
        </is>
      </c>
      <c r="B289" s="5">
        <f>COUNTIF('Entetes_TriNumInterne'!$C$2:$C$723,A289)</f>
        <v/>
      </c>
    </row>
    <row r="290">
      <c r="A290" s="3" t="inlineStr">
        <is>
          <t>000897</t>
        </is>
      </c>
      <c r="B290" s="5">
        <f>COUNTIF('Entetes_TriNumInterne'!$C$2:$C$723,A290)</f>
        <v/>
      </c>
    </row>
    <row r="291">
      <c r="A291" s="3" t="inlineStr">
        <is>
          <t>000898</t>
        </is>
      </c>
      <c r="B291" s="5">
        <f>COUNTIF('Entetes_TriNumInterne'!$C$2:$C$723,A291)</f>
        <v/>
      </c>
    </row>
    <row r="292">
      <c r="A292" s="3" t="inlineStr">
        <is>
          <t>000899</t>
        </is>
      </c>
      <c r="B292" s="5">
        <f>COUNTIF('Entetes_TriNumInterne'!$C$2:$C$723,A292)</f>
        <v/>
      </c>
    </row>
    <row r="293">
      <c r="A293" s="3" t="inlineStr">
        <is>
          <t>000900</t>
        </is>
      </c>
      <c r="B293" s="5">
        <f>COUNTIF('Entetes_TriNumInterne'!$C$2:$C$723,A293)</f>
        <v/>
      </c>
    </row>
    <row r="294">
      <c r="A294" s="3" t="inlineStr">
        <is>
          <t>000901</t>
        </is>
      </c>
      <c r="B294" s="5">
        <f>COUNTIF('Entetes_TriNumInterne'!$C$2:$C$723,A294)</f>
        <v/>
      </c>
    </row>
    <row r="295">
      <c r="A295" s="3" t="inlineStr">
        <is>
          <t>000902</t>
        </is>
      </c>
      <c r="B295" s="5">
        <f>COUNTIF('Entetes_TriNumInterne'!$C$2:$C$723,A295)</f>
        <v/>
      </c>
    </row>
    <row r="296">
      <c r="A296" s="3" t="inlineStr">
        <is>
          <t>000903</t>
        </is>
      </c>
      <c r="B296" s="5">
        <f>COUNTIF('Entetes_TriNumInterne'!$C$2:$C$723,A296)</f>
        <v/>
      </c>
    </row>
    <row r="297">
      <c r="A297" s="3" t="inlineStr">
        <is>
          <t>000904</t>
        </is>
      </c>
      <c r="B297" s="5">
        <f>COUNTIF('Entetes_TriNumInterne'!$C$2:$C$723,A297)</f>
        <v/>
      </c>
    </row>
    <row r="298">
      <c r="A298" s="3" t="inlineStr">
        <is>
          <t>000905</t>
        </is>
      </c>
      <c r="B298" s="5">
        <f>COUNTIF('Entetes_TriNumInterne'!$C$2:$C$723,A298)</f>
        <v/>
      </c>
    </row>
    <row r="299">
      <c r="A299" s="3" t="inlineStr">
        <is>
          <t>000906</t>
        </is>
      </c>
      <c r="B299" s="5">
        <f>COUNTIF('Entetes_TriNumInterne'!$C$2:$C$723,A299)</f>
        <v/>
      </c>
    </row>
    <row r="300">
      <c r="A300" s="3" t="inlineStr">
        <is>
          <t>000907</t>
        </is>
      </c>
      <c r="B300" s="5">
        <f>COUNTIF('Entetes_TriNumInterne'!$C$2:$C$723,A300)</f>
        <v/>
      </c>
    </row>
    <row r="301">
      <c r="A301" s="3" t="inlineStr">
        <is>
          <t>000908</t>
        </is>
      </c>
      <c r="B301" s="5">
        <f>COUNTIF('Entetes_TriNumInterne'!$C$2:$C$723,A301)</f>
        <v/>
      </c>
    </row>
    <row r="302">
      <c r="A302" s="3" t="inlineStr">
        <is>
          <t>000909</t>
        </is>
      </c>
      <c r="B302" s="5">
        <f>COUNTIF('Entetes_TriNumInterne'!$C$2:$C$723,A302)</f>
        <v/>
      </c>
    </row>
    <row r="303">
      <c r="A303" s="3" t="inlineStr">
        <is>
          <t>000910</t>
        </is>
      </c>
      <c r="B303" s="5">
        <f>COUNTIF('Entetes_TriNumInterne'!$C$2:$C$723,A303)</f>
        <v/>
      </c>
    </row>
    <row r="304">
      <c r="A304" s="3" t="inlineStr">
        <is>
          <t>000911</t>
        </is>
      </c>
      <c r="B304" s="5">
        <f>COUNTIF('Entetes_TriNumInterne'!$C$2:$C$723,A304)</f>
        <v/>
      </c>
    </row>
    <row r="305">
      <c r="A305" s="3" t="inlineStr">
        <is>
          <t>000912</t>
        </is>
      </c>
      <c r="B305" s="5">
        <f>COUNTIF('Entetes_TriNumInterne'!$C$2:$C$723,A305)</f>
        <v/>
      </c>
    </row>
    <row r="306">
      <c r="A306" s="3" t="inlineStr">
        <is>
          <t>000913</t>
        </is>
      </c>
      <c r="B306" s="5">
        <f>COUNTIF('Entetes_TriNumInterne'!$C$2:$C$723,A306)</f>
        <v/>
      </c>
    </row>
    <row r="307">
      <c r="A307" s="3" t="inlineStr">
        <is>
          <t>000914</t>
        </is>
      </c>
      <c r="B307" s="5">
        <f>COUNTIF('Entetes_TriNumInterne'!$C$2:$C$723,A307)</f>
        <v/>
      </c>
    </row>
    <row r="308">
      <c r="A308" s="3" t="inlineStr">
        <is>
          <t>000915</t>
        </is>
      </c>
      <c r="B308" s="5">
        <f>COUNTIF('Entetes_TriNumInterne'!$C$2:$C$723,A308)</f>
        <v/>
      </c>
    </row>
    <row r="309">
      <c r="A309" s="3" t="inlineStr">
        <is>
          <t>000916</t>
        </is>
      </c>
      <c r="B309" s="5">
        <f>COUNTIF('Entetes_TriNumInterne'!$C$2:$C$723,A309)</f>
        <v/>
      </c>
    </row>
    <row r="310">
      <c r="A310" s="3" t="inlineStr">
        <is>
          <t>000917</t>
        </is>
      </c>
      <c r="B310" s="5">
        <f>COUNTIF('Entetes_TriNumInterne'!$C$2:$C$723,A310)</f>
        <v/>
      </c>
    </row>
    <row r="311">
      <c r="A311" s="3" t="inlineStr">
        <is>
          <t>000918</t>
        </is>
      </c>
      <c r="B311" s="5">
        <f>COUNTIF('Entetes_TriNumInterne'!$C$2:$C$723,A311)</f>
        <v/>
      </c>
    </row>
    <row r="312">
      <c r="A312" s="3" t="inlineStr">
        <is>
          <t>000919</t>
        </is>
      </c>
      <c r="B312" s="5">
        <f>COUNTIF('Entetes_TriNumInterne'!$C$2:$C$723,A312)</f>
        <v/>
      </c>
    </row>
    <row r="313">
      <c r="A313" s="3" t="inlineStr">
        <is>
          <t>000920</t>
        </is>
      </c>
      <c r="B313" s="5">
        <f>COUNTIF('Entetes_TriNumInterne'!$C$2:$C$723,A313)</f>
        <v/>
      </c>
    </row>
    <row r="314">
      <c r="A314" s="3" t="inlineStr">
        <is>
          <t>000921</t>
        </is>
      </c>
      <c r="B314" s="5">
        <f>COUNTIF('Entetes_TriNumInterne'!$C$2:$C$723,A314)</f>
        <v/>
      </c>
    </row>
    <row r="315">
      <c r="A315" s="3" t="inlineStr">
        <is>
          <t>000922</t>
        </is>
      </c>
      <c r="B315" s="5">
        <f>COUNTIF('Entetes_TriNumInterne'!$C$2:$C$723,A315)</f>
        <v/>
      </c>
    </row>
    <row r="316">
      <c r="A316" s="3" t="inlineStr">
        <is>
          <t>000923</t>
        </is>
      </c>
      <c r="B316" s="5">
        <f>COUNTIF('Entetes_TriNumInterne'!$C$2:$C$723,A316)</f>
        <v/>
      </c>
    </row>
    <row r="317">
      <c r="A317" s="3" t="inlineStr">
        <is>
          <t>000924</t>
        </is>
      </c>
      <c r="B317" s="5">
        <f>COUNTIF('Entetes_TriNumInterne'!$C$2:$C$723,A317)</f>
        <v/>
      </c>
    </row>
    <row r="318">
      <c r="A318" s="3" t="inlineStr">
        <is>
          <t>000925</t>
        </is>
      </c>
      <c r="B318" s="5">
        <f>COUNTIF('Entetes_TriNumInterne'!$C$2:$C$723,A318)</f>
        <v/>
      </c>
    </row>
    <row r="319">
      <c r="A319" s="3" t="inlineStr">
        <is>
          <t>000926</t>
        </is>
      </c>
      <c r="B319" s="5">
        <f>COUNTIF('Entetes_TriNumInterne'!$C$2:$C$723,A319)</f>
        <v/>
      </c>
    </row>
    <row r="320">
      <c r="A320" s="3" t="inlineStr">
        <is>
          <t>000927</t>
        </is>
      </c>
      <c r="B320" s="5">
        <f>COUNTIF('Entetes_TriNumInterne'!$C$2:$C$723,A320)</f>
        <v/>
      </c>
    </row>
    <row r="321">
      <c r="A321" s="3" t="inlineStr">
        <is>
          <t>000928</t>
        </is>
      </c>
      <c r="B321" s="5">
        <f>COUNTIF('Entetes_TriNumInterne'!$C$2:$C$723,A321)</f>
        <v/>
      </c>
    </row>
    <row r="322">
      <c r="A322" s="3" t="inlineStr">
        <is>
          <t>000929</t>
        </is>
      </c>
      <c r="B322" s="5">
        <f>COUNTIF('Entetes_TriNumInterne'!$C$2:$C$723,A322)</f>
        <v/>
      </c>
    </row>
    <row r="323">
      <c r="A323" s="3" t="inlineStr">
        <is>
          <t>000930</t>
        </is>
      </c>
      <c r="B323" s="5">
        <f>COUNTIF('Entetes_TriNumInterne'!$C$2:$C$723,A323)</f>
        <v/>
      </c>
    </row>
    <row r="324">
      <c r="A324" s="3" t="inlineStr">
        <is>
          <t>000931</t>
        </is>
      </c>
      <c r="B324" s="5">
        <f>COUNTIF('Entetes_TriNumInterne'!$C$2:$C$723,A324)</f>
        <v/>
      </c>
    </row>
    <row r="325">
      <c r="A325" s="3" t="inlineStr">
        <is>
          <t>000932</t>
        </is>
      </c>
      <c r="B325" s="5">
        <f>COUNTIF('Entetes_TriNumInterne'!$C$2:$C$723,A325)</f>
        <v/>
      </c>
    </row>
    <row r="326">
      <c r="A326" s="3" t="inlineStr">
        <is>
          <t>000933</t>
        </is>
      </c>
      <c r="B326" s="5">
        <f>COUNTIF('Entetes_TriNumInterne'!$C$2:$C$723,A326)</f>
        <v/>
      </c>
    </row>
    <row r="327">
      <c r="A327" s="3" t="inlineStr">
        <is>
          <t>000934</t>
        </is>
      </c>
      <c r="B327" s="5">
        <f>COUNTIF('Entetes_TriNumInterne'!$C$2:$C$723,A327)</f>
        <v/>
      </c>
    </row>
    <row r="328">
      <c r="A328" s="3" t="inlineStr">
        <is>
          <t>000935</t>
        </is>
      </c>
      <c r="B328" s="5">
        <f>COUNTIF('Entetes_TriNumInterne'!$C$2:$C$723,A328)</f>
        <v/>
      </c>
    </row>
    <row r="329">
      <c r="A329" s="3" t="inlineStr">
        <is>
          <t>000936</t>
        </is>
      </c>
      <c r="B329" s="5">
        <f>COUNTIF('Entetes_TriNumInterne'!$C$2:$C$723,A329)</f>
        <v/>
      </c>
    </row>
    <row r="330">
      <c r="A330" s="3" t="inlineStr">
        <is>
          <t>000937</t>
        </is>
      </c>
      <c r="B330" s="5">
        <f>COUNTIF('Entetes_TriNumInterne'!$C$2:$C$723,A330)</f>
        <v/>
      </c>
    </row>
    <row r="331">
      <c r="A331" s="3" t="inlineStr">
        <is>
          <t>000938</t>
        </is>
      </c>
      <c r="B331" s="5">
        <f>COUNTIF('Entetes_TriNumInterne'!$C$2:$C$723,A331)</f>
        <v/>
      </c>
    </row>
    <row r="332">
      <c r="A332" s="3" t="inlineStr">
        <is>
          <t>000939</t>
        </is>
      </c>
      <c r="B332" s="5">
        <f>COUNTIF('Entetes_TriNumInterne'!$C$2:$C$723,A332)</f>
        <v/>
      </c>
    </row>
    <row r="333">
      <c r="A333" s="3" t="inlineStr">
        <is>
          <t>000940</t>
        </is>
      </c>
      <c r="B333" s="5">
        <f>COUNTIF('Entetes_TriNumInterne'!$C$2:$C$723,A333)</f>
        <v/>
      </c>
    </row>
    <row r="334">
      <c r="A334" s="3" t="inlineStr">
        <is>
          <t>000941</t>
        </is>
      </c>
      <c r="B334" s="5">
        <f>COUNTIF('Entetes_TriNumInterne'!$C$2:$C$723,A334)</f>
        <v/>
      </c>
    </row>
    <row r="335">
      <c r="A335" s="3" t="inlineStr">
        <is>
          <t>000942</t>
        </is>
      </c>
      <c r="B335" s="5">
        <f>COUNTIF('Entetes_TriNumInterne'!$C$2:$C$723,A335)</f>
        <v/>
      </c>
    </row>
    <row r="336">
      <c r="A336" s="3" t="inlineStr">
        <is>
          <t>000943</t>
        </is>
      </c>
      <c r="B336" s="5">
        <f>COUNTIF('Entetes_TriNumInterne'!$C$2:$C$723,A336)</f>
        <v/>
      </c>
    </row>
    <row r="337">
      <c r="A337" s="3" t="inlineStr">
        <is>
          <t>000944</t>
        </is>
      </c>
      <c r="B337" s="5">
        <f>COUNTIF('Entetes_TriNumInterne'!$C$2:$C$723,A337)</f>
        <v/>
      </c>
    </row>
    <row r="338">
      <c r="A338" s="3" t="inlineStr">
        <is>
          <t>000945</t>
        </is>
      </c>
      <c r="B338" s="5">
        <f>COUNTIF('Entetes_TriNumInterne'!$C$2:$C$723,A338)</f>
        <v/>
      </c>
    </row>
    <row r="339">
      <c r="A339" s="3" t="inlineStr">
        <is>
          <t>000946</t>
        </is>
      </c>
      <c r="B339" s="5">
        <f>COUNTIF('Entetes_TriNumInterne'!$C$2:$C$723,A339)</f>
        <v/>
      </c>
    </row>
    <row r="340">
      <c r="A340" s="3" t="inlineStr">
        <is>
          <t>000947</t>
        </is>
      </c>
      <c r="B340" s="5">
        <f>COUNTIF('Entetes_TriNumInterne'!$C$2:$C$723,A340)</f>
        <v/>
      </c>
    </row>
    <row r="341">
      <c r="A341" s="3" t="inlineStr">
        <is>
          <t>000948</t>
        </is>
      </c>
      <c r="B341" s="5">
        <f>COUNTIF('Entetes_TriNumInterne'!$C$2:$C$723,A341)</f>
        <v/>
      </c>
    </row>
    <row r="342">
      <c r="A342" s="3" t="inlineStr">
        <is>
          <t>000949</t>
        </is>
      </c>
      <c r="B342" s="5">
        <f>COUNTIF('Entetes_TriNumInterne'!$C$2:$C$723,A342)</f>
        <v/>
      </c>
    </row>
    <row r="343">
      <c r="A343" s="3" t="inlineStr">
        <is>
          <t>000950</t>
        </is>
      </c>
      <c r="B343" s="5">
        <f>COUNTIF('Entetes_TriNumInterne'!$C$2:$C$723,A343)</f>
        <v/>
      </c>
    </row>
    <row r="344">
      <c r="A344" s="3" t="inlineStr">
        <is>
          <t>000951</t>
        </is>
      </c>
      <c r="B344" s="5">
        <f>COUNTIF('Entetes_TriNumInterne'!$C$2:$C$723,A344)</f>
        <v/>
      </c>
    </row>
    <row r="345">
      <c r="A345" s="3" t="inlineStr">
        <is>
          <t>000952</t>
        </is>
      </c>
      <c r="B345" s="5">
        <f>COUNTIF('Entetes_TriNumInterne'!$C$2:$C$723,A345)</f>
        <v/>
      </c>
    </row>
    <row r="346">
      <c r="A346" s="3" t="inlineStr">
        <is>
          <t>000953</t>
        </is>
      </c>
      <c r="B346" s="5">
        <f>COUNTIF('Entetes_TriNumInterne'!$C$2:$C$723,A346)</f>
        <v/>
      </c>
    </row>
    <row r="347">
      <c r="A347" s="3" t="inlineStr">
        <is>
          <t>000954</t>
        </is>
      </c>
      <c r="B347" s="5">
        <f>COUNTIF('Entetes_TriNumInterne'!$C$2:$C$723,A347)</f>
        <v/>
      </c>
    </row>
    <row r="348">
      <c r="A348" s="3" t="inlineStr">
        <is>
          <t>000955</t>
        </is>
      </c>
      <c r="B348" s="5">
        <f>COUNTIF('Entetes_TriNumInterne'!$C$2:$C$723,A348)</f>
        <v/>
      </c>
    </row>
    <row r="349">
      <c r="A349" s="3" t="inlineStr">
        <is>
          <t>000956</t>
        </is>
      </c>
      <c r="B349" s="5">
        <f>COUNTIF('Entetes_TriNumInterne'!$C$2:$C$723,A349)</f>
        <v/>
      </c>
    </row>
    <row r="350">
      <c r="A350" s="3" t="inlineStr">
        <is>
          <t>000957</t>
        </is>
      </c>
      <c r="B350" s="5">
        <f>COUNTIF('Entetes_TriNumInterne'!$C$2:$C$723,A350)</f>
        <v/>
      </c>
    </row>
    <row r="351">
      <c r="A351" s="3" t="inlineStr">
        <is>
          <t>000958</t>
        </is>
      </c>
      <c r="B351" s="5">
        <f>COUNTIF('Entetes_TriNumInterne'!$C$2:$C$723,A351)</f>
        <v/>
      </c>
    </row>
    <row r="352">
      <c r="A352" s="3" t="inlineStr">
        <is>
          <t>000959</t>
        </is>
      </c>
      <c r="B352" s="5">
        <f>COUNTIF('Entetes_TriNumInterne'!$C$2:$C$723,A352)</f>
        <v/>
      </c>
    </row>
    <row r="353">
      <c r="A353" s="3" t="inlineStr">
        <is>
          <t>000960</t>
        </is>
      </c>
      <c r="B353" s="5">
        <f>COUNTIF('Entetes_TriNumInterne'!$C$2:$C$723,A353)</f>
        <v/>
      </c>
    </row>
    <row r="354">
      <c r="A354" s="3" t="inlineStr">
        <is>
          <t>000961</t>
        </is>
      </c>
      <c r="B354" s="5">
        <f>COUNTIF('Entetes_TriNumInterne'!$C$2:$C$723,A354)</f>
        <v/>
      </c>
    </row>
    <row r="355">
      <c r="A355" s="3" t="inlineStr">
        <is>
          <t>000962</t>
        </is>
      </c>
      <c r="B355" s="5">
        <f>COUNTIF('Entetes_TriNumInterne'!$C$2:$C$723,A355)</f>
        <v/>
      </c>
    </row>
    <row r="356">
      <c r="A356" s="3" t="inlineStr">
        <is>
          <t>000963</t>
        </is>
      </c>
      <c r="B356" s="5">
        <f>COUNTIF('Entetes_TriNumInterne'!$C$2:$C$723,A356)</f>
        <v/>
      </c>
    </row>
    <row r="357">
      <c r="A357" s="3" t="inlineStr">
        <is>
          <t>000964</t>
        </is>
      </c>
      <c r="B357" s="5">
        <f>COUNTIF('Entetes_TriNumInterne'!$C$2:$C$723,A357)</f>
        <v/>
      </c>
    </row>
    <row r="358">
      <c r="A358" s="3" t="inlineStr">
        <is>
          <t>000965</t>
        </is>
      </c>
      <c r="B358" s="5">
        <f>COUNTIF('Entetes_TriNumInterne'!$C$2:$C$723,A358)</f>
        <v/>
      </c>
    </row>
    <row r="359">
      <c r="A359" s="3" t="inlineStr">
        <is>
          <t>000966</t>
        </is>
      </c>
      <c r="B359" s="5">
        <f>COUNTIF('Entetes_TriNumInterne'!$C$2:$C$723,A359)</f>
        <v/>
      </c>
    </row>
    <row r="360">
      <c r="A360" s="3" t="inlineStr">
        <is>
          <t>000967</t>
        </is>
      </c>
      <c r="B360" s="5">
        <f>COUNTIF('Entetes_TriNumInterne'!$C$2:$C$723,A360)</f>
        <v/>
      </c>
    </row>
    <row r="361">
      <c r="A361" s="3" t="inlineStr">
        <is>
          <t>000968</t>
        </is>
      </c>
      <c r="B361" s="5">
        <f>COUNTIF('Entetes_TriNumInterne'!$C$2:$C$723,A361)</f>
        <v/>
      </c>
    </row>
    <row r="362">
      <c r="A362" s="3" t="inlineStr">
        <is>
          <t>000969</t>
        </is>
      </c>
      <c r="B362" s="5">
        <f>COUNTIF('Entetes_TriNumInterne'!$C$2:$C$723,A362)</f>
        <v/>
      </c>
    </row>
    <row r="363">
      <c r="A363" s="3" t="inlineStr">
        <is>
          <t>000970</t>
        </is>
      </c>
      <c r="B363" s="5">
        <f>COUNTIF('Entetes_TriNumInterne'!$C$2:$C$723,A363)</f>
        <v/>
      </c>
    </row>
    <row r="364">
      <c r="A364" s="3" t="inlineStr">
        <is>
          <t>000971</t>
        </is>
      </c>
      <c r="B364" s="5">
        <f>COUNTIF('Entetes_TriNumInterne'!$C$2:$C$723,A364)</f>
        <v/>
      </c>
    </row>
    <row r="365">
      <c r="A365" s="3" t="inlineStr">
        <is>
          <t>000972</t>
        </is>
      </c>
      <c r="B365" s="5">
        <f>COUNTIF('Entetes_TriNumInterne'!$C$2:$C$723,A365)</f>
        <v/>
      </c>
    </row>
    <row r="366">
      <c r="A366" s="3" t="inlineStr">
        <is>
          <t>000973</t>
        </is>
      </c>
      <c r="B366" s="5">
        <f>COUNTIF('Entetes_TriNumInterne'!$C$2:$C$723,A366)</f>
        <v/>
      </c>
    </row>
    <row r="367">
      <c r="A367" s="3" t="inlineStr">
        <is>
          <t>000974</t>
        </is>
      </c>
      <c r="B367" s="5">
        <f>COUNTIF('Entetes_TriNumInterne'!$C$2:$C$723,A367)</f>
        <v/>
      </c>
    </row>
    <row r="368">
      <c r="A368" s="3" t="inlineStr">
        <is>
          <t>000975</t>
        </is>
      </c>
      <c r="B368" s="5">
        <f>COUNTIF('Entetes_TriNumInterne'!$C$2:$C$723,A368)</f>
        <v/>
      </c>
    </row>
    <row r="369">
      <c r="A369" s="3" t="inlineStr">
        <is>
          <t>000976</t>
        </is>
      </c>
      <c r="B369" s="5">
        <f>COUNTIF('Entetes_TriNumInterne'!$C$2:$C$723,A369)</f>
        <v/>
      </c>
    </row>
    <row r="370">
      <c r="A370" s="3" t="inlineStr">
        <is>
          <t>000977</t>
        </is>
      </c>
      <c r="B370" s="5">
        <f>COUNTIF('Entetes_TriNumInterne'!$C$2:$C$723,A370)</f>
        <v/>
      </c>
    </row>
    <row r="371">
      <c r="A371" s="3" t="inlineStr">
        <is>
          <t>000978</t>
        </is>
      </c>
      <c r="B371" s="5">
        <f>COUNTIF('Entetes_TriNumInterne'!$C$2:$C$723,A371)</f>
        <v/>
      </c>
    </row>
    <row r="372">
      <c r="A372" s="3" t="inlineStr">
        <is>
          <t>000979</t>
        </is>
      </c>
      <c r="B372" s="5">
        <f>COUNTIF('Entetes_TriNumInterne'!$C$2:$C$723,A372)</f>
        <v/>
      </c>
    </row>
    <row r="373">
      <c r="A373" s="3" t="inlineStr">
        <is>
          <t>000980</t>
        </is>
      </c>
      <c r="B373" s="5">
        <f>COUNTIF('Entetes_TriNumInterne'!$C$2:$C$723,A373)</f>
        <v/>
      </c>
    </row>
    <row r="374">
      <c r="A374" s="3" t="inlineStr">
        <is>
          <t>000981</t>
        </is>
      </c>
      <c r="B374" s="5">
        <f>COUNTIF('Entetes_TriNumInterne'!$C$2:$C$723,A374)</f>
        <v/>
      </c>
    </row>
    <row r="375">
      <c r="A375" s="3" t="inlineStr">
        <is>
          <t>000982</t>
        </is>
      </c>
      <c r="B375" s="5">
        <f>COUNTIF('Entetes_TriNumInterne'!$C$2:$C$723,A375)</f>
        <v/>
      </c>
    </row>
    <row r="376">
      <c r="A376" s="3" t="inlineStr">
        <is>
          <t>000983</t>
        </is>
      </c>
      <c r="B376" s="5">
        <f>COUNTIF('Entetes_TriNumInterne'!$C$2:$C$723,A376)</f>
        <v/>
      </c>
    </row>
    <row r="377">
      <c r="A377" s="3" t="inlineStr">
        <is>
          <t>000984</t>
        </is>
      </c>
      <c r="B377" s="5">
        <f>COUNTIF('Entetes_TriNumInterne'!$C$2:$C$723,A377)</f>
        <v/>
      </c>
    </row>
    <row r="378">
      <c r="A378" s="3" t="inlineStr">
        <is>
          <t>000985</t>
        </is>
      </c>
      <c r="B378" s="5">
        <f>COUNTIF('Entetes_TriNumInterne'!$C$2:$C$723,A378)</f>
        <v/>
      </c>
    </row>
    <row r="379">
      <c r="A379" s="3" t="inlineStr">
        <is>
          <t>000986</t>
        </is>
      </c>
      <c r="B379" s="5">
        <f>COUNTIF('Entetes_TriNumInterne'!$C$2:$C$723,A379)</f>
        <v/>
      </c>
    </row>
    <row r="380">
      <c r="A380" s="3" t="inlineStr">
        <is>
          <t>000987</t>
        </is>
      </c>
      <c r="B380" s="5">
        <f>COUNTIF('Entetes_TriNumInterne'!$C$2:$C$723,A380)</f>
        <v/>
      </c>
    </row>
    <row r="381">
      <c r="A381" s="3" t="inlineStr">
        <is>
          <t>000988</t>
        </is>
      </c>
      <c r="B381" s="5">
        <f>COUNTIF('Entetes_TriNumInterne'!$C$2:$C$723,A381)</f>
        <v/>
      </c>
    </row>
    <row r="382">
      <c r="A382" s="3" t="inlineStr">
        <is>
          <t>000989</t>
        </is>
      </c>
      <c r="B382" s="5">
        <f>COUNTIF('Entetes_TriNumInterne'!$C$2:$C$723,A382)</f>
        <v/>
      </c>
    </row>
    <row r="383">
      <c r="A383" s="3" t="inlineStr">
        <is>
          <t>000990</t>
        </is>
      </c>
      <c r="B383" s="5">
        <f>COUNTIF('Entetes_TriNumInterne'!$C$2:$C$723,A383)</f>
        <v/>
      </c>
    </row>
    <row r="384">
      <c r="A384" s="3" t="inlineStr">
        <is>
          <t>000991</t>
        </is>
      </c>
      <c r="B384" s="5">
        <f>COUNTIF('Entetes_TriNumInterne'!$C$2:$C$723,A384)</f>
        <v/>
      </c>
    </row>
    <row r="385">
      <c r="A385" s="3" t="inlineStr">
        <is>
          <t>000992</t>
        </is>
      </c>
      <c r="B385" s="5">
        <f>COUNTIF('Entetes_TriNumInterne'!$C$2:$C$723,A385)</f>
        <v/>
      </c>
    </row>
    <row r="386">
      <c r="A386" s="3" t="inlineStr">
        <is>
          <t>000993</t>
        </is>
      </c>
      <c r="B386" s="5">
        <f>COUNTIF('Entetes_TriNumInterne'!$C$2:$C$723,A386)</f>
        <v/>
      </c>
    </row>
    <row r="387">
      <c r="A387" s="3" t="inlineStr">
        <is>
          <t>000994</t>
        </is>
      </c>
      <c r="B387" s="5">
        <f>COUNTIF('Entetes_TriNumInterne'!$C$2:$C$723,A387)</f>
        <v/>
      </c>
    </row>
    <row r="388">
      <c r="A388" s="3" t="inlineStr">
        <is>
          <t>000995</t>
        </is>
      </c>
      <c r="B388" s="5">
        <f>COUNTIF('Entetes_TriNumInterne'!$C$2:$C$723,A388)</f>
        <v/>
      </c>
    </row>
    <row r="389">
      <c r="A389" s="3" t="inlineStr">
        <is>
          <t>000996</t>
        </is>
      </c>
      <c r="B389" s="5">
        <f>COUNTIF('Entetes_TriNumInterne'!$C$2:$C$723,A389)</f>
        <v/>
      </c>
    </row>
    <row r="390">
      <c r="A390" s="3" t="inlineStr">
        <is>
          <t>000997</t>
        </is>
      </c>
      <c r="B390" s="5">
        <f>COUNTIF('Entetes_TriNumInterne'!$C$2:$C$723,A390)</f>
        <v/>
      </c>
    </row>
    <row r="391">
      <c r="A391" s="3" t="inlineStr">
        <is>
          <t>000998</t>
        </is>
      </c>
      <c r="B391" s="5">
        <f>COUNTIF('Entetes_TriNumInterne'!$C$2:$C$723,A391)</f>
        <v/>
      </c>
    </row>
    <row r="392">
      <c r="A392" s="3" t="inlineStr">
        <is>
          <t>000999</t>
        </is>
      </c>
      <c r="B392" s="5">
        <f>COUNTIF('Entetes_TriNumInterne'!$C$2:$C$723,A392)</f>
        <v/>
      </c>
    </row>
    <row r="393">
      <c r="A393" s="3" t="inlineStr">
        <is>
          <t>001000</t>
        </is>
      </c>
      <c r="B393" s="5">
        <f>COUNTIF('Entetes_TriNumInterne'!$C$2:$C$723,A393)</f>
        <v/>
      </c>
    </row>
    <row r="394">
      <c r="A394" s="3" t="inlineStr">
        <is>
          <t>001001</t>
        </is>
      </c>
      <c r="B394" s="5">
        <f>COUNTIF('Entetes_TriNumInterne'!$C$2:$C$723,A394)</f>
        <v/>
      </c>
    </row>
    <row r="395">
      <c r="A395" s="3" t="inlineStr">
        <is>
          <t>001002</t>
        </is>
      </c>
      <c r="B395" s="5">
        <f>COUNTIF('Entetes_TriNumInterne'!$C$2:$C$723,A395)</f>
        <v/>
      </c>
    </row>
    <row r="396">
      <c r="A396" s="3" t="inlineStr">
        <is>
          <t>001003</t>
        </is>
      </c>
      <c r="B396" s="5">
        <f>COUNTIF('Entetes_TriNumInterne'!$C$2:$C$723,A396)</f>
        <v/>
      </c>
    </row>
    <row r="397">
      <c r="A397" s="3" t="inlineStr">
        <is>
          <t>001004</t>
        </is>
      </c>
      <c r="B397" s="5">
        <f>COUNTIF('Entetes_TriNumInterne'!$C$2:$C$723,A397)</f>
        <v/>
      </c>
    </row>
    <row r="398">
      <c r="A398" s="3" t="inlineStr">
        <is>
          <t>001005</t>
        </is>
      </c>
      <c r="B398" s="5">
        <f>COUNTIF('Entetes_TriNumInterne'!$C$2:$C$723,A398)</f>
        <v/>
      </c>
    </row>
    <row r="399">
      <c r="A399" s="3" t="inlineStr">
        <is>
          <t>001006</t>
        </is>
      </c>
      <c r="B399" s="5">
        <f>COUNTIF('Entetes_TriNumInterne'!$C$2:$C$723,A399)</f>
        <v/>
      </c>
    </row>
    <row r="400">
      <c r="A400" s="3" t="inlineStr">
        <is>
          <t>001007</t>
        </is>
      </c>
      <c r="B400" s="5">
        <f>COUNTIF('Entetes_TriNumInterne'!$C$2:$C$723,A400)</f>
        <v/>
      </c>
    </row>
    <row r="401">
      <c r="A401" s="3" t="inlineStr">
        <is>
          <t>001008</t>
        </is>
      </c>
      <c r="B401" s="5">
        <f>COUNTIF('Entetes_TriNumInterne'!$C$2:$C$723,A401)</f>
        <v/>
      </c>
    </row>
    <row r="402">
      <c r="A402" s="3" t="inlineStr">
        <is>
          <t>001009</t>
        </is>
      </c>
      <c r="B402" s="5">
        <f>COUNTIF('Entetes_TriNumInterne'!$C$2:$C$723,A402)</f>
        <v/>
      </c>
    </row>
    <row r="403">
      <c r="A403" s="3" t="inlineStr">
        <is>
          <t>001010</t>
        </is>
      </c>
      <c r="B403" s="5">
        <f>COUNTIF('Entetes_TriNumInterne'!$C$2:$C$723,A403)</f>
        <v/>
      </c>
    </row>
    <row r="404">
      <c r="A404" s="3" t="inlineStr">
        <is>
          <t>001011</t>
        </is>
      </c>
      <c r="B404" s="5">
        <f>COUNTIF('Entetes_TriNumInterne'!$C$2:$C$723,A404)</f>
        <v/>
      </c>
    </row>
    <row r="405">
      <c r="A405" s="3" t="inlineStr">
        <is>
          <t>001012</t>
        </is>
      </c>
      <c r="B405" s="5">
        <f>COUNTIF('Entetes_TriNumInterne'!$C$2:$C$723,A405)</f>
        <v/>
      </c>
    </row>
    <row r="406">
      <c r="A406" s="3" t="inlineStr">
        <is>
          <t>001013</t>
        </is>
      </c>
      <c r="B406" s="5">
        <f>COUNTIF('Entetes_TriNumInterne'!$C$2:$C$723,A406)</f>
        <v/>
      </c>
    </row>
    <row r="407">
      <c r="A407" s="3" t="inlineStr">
        <is>
          <t>001014</t>
        </is>
      </c>
      <c r="B407" s="5">
        <f>COUNTIF('Entetes_TriNumInterne'!$C$2:$C$723,A407)</f>
        <v/>
      </c>
    </row>
    <row r="408">
      <c r="A408" s="3" t="inlineStr">
        <is>
          <t>001015</t>
        </is>
      </c>
      <c r="B408" s="5">
        <f>COUNTIF('Entetes_TriNumInterne'!$C$2:$C$723,A408)</f>
        <v/>
      </c>
    </row>
    <row r="409">
      <c r="A409" s="3" t="inlineStr">
        <is>
          <t>001016</t>
        </is>
      </c>
      <c r="B409" s="5">
        <f>COUNTIF('Entetes_TriNumInterne'!$C$2:$C$723,A409)</f>
        <v/>
      </c>
    </row>
    <row r="410">
      <c r="A410" s="3" t="inlineStr">
        <is>
          <t>001017</t>
        </is>
      </c>
      <c r="B410" s="5">
        <f>COUNTIF('Entetes_TriNumInterne'!$C$2:$C$723,A410)</f>
        <v/>
      </c>
    </row>
    <row r="411">
      <c r="A411" s="3" t="inlineStr">
        <is>
          <t>001018</t>
        </is>
      </c>
      <c r="B411" s="5">
        <f>COUNTIF('Entetes_TriNumInterne'!$C$2:$C$723,A411)</f>
        <v/>
      </c>
    </row>
    <row r="412">
      <c r="A412" s="3" t="inlineStr">
        <is>
          <t>001019</t>
        </is>
      </c>
      <c r="B412" s="5">
        <f>COUNTIF('Entetes_TriNumInterne'!$C$2:$C$723,A412)</f>
        <v/>
      </c>
    </row>
    <row r="413">
      <c r="A413" s="3" t="inlineStr">
        <is>
          <t>001020</t>
        </is>
      </c>
      <c r="B413" s="5">
        <f>COUNTIF('Entetes_TriNumInterne'!$C$2:$C$723,A413)</f>
        <v/>
      </c>
    </row>
    <row r="414">
      <c r="A414" s="3" t="inlineStr">
        <is>
          <t>001021</t>
        </is>
      </c>
      <c r="B414" s="5">
        <f>COUNTIF('Entetes_TriNumInterne'!$C$2:$C$723,A414)</f>
        <v/>
      </c>
    </row>
    <row r="415">
      <c r="A415" s="3" t="inlineStr">
        <is>
          <t>001022</t>
        </is>
      </c>
      <c r="B415" s="5">
        <f>COUNTIF('Entetes_TriNumInterne'!$C$2:$C$723,A415)</f>
        <v/>
      </c>
    </row>
    <row r="416">
      <c r="A416" s="3" t="inlineStr">
        <is>
          <t>001023</t>
        </is>
      </c>
      <c r="B416" s="5">
        <f>COUNTIF('Entetes_TriNumInterne'!$C$2:$C$723,A416)</f>
        <v/>
      </c>
    </row>
    <row r="417">
      <c r="A417" s="3" t="inlineStr">
        <is>
          <t>001024</t>
        </is>
      </c>
      <c r="B417" s="5">
        <f>COUNTIF('Entetes_TriNumInterne'!$C$2:$C$723,A417)</f>
        <v/>
      </c>
    </row>
    <row r="418">
      <c r="A418" s="3" t="inlineStr">
        <is>
          <t>001025</t>
        </is>
      </c>
      <c r="B418" s="5">
        <f>COUNTIF('Entetes_TriNumInterne'!$C$2:$C$723,A418)</f>
        <v/>
      </c>
    </row>
    <row r="419">
      <c r="A419" s="3" t="inlineStr">
        <is>
          <t>001026</t>
        </is>
      </c>
      <c r="B419" s="5">
        <f>COUNTIF('Entetes_TriNumInterne'!$C$2:$C$723,A419)</f>
        <v/>
      </c>
    </row>
    <row r="420">
      <c r="A420" s="3" t="inlineStr">
        <is>
          <t>001027</t>
        </is>
      </c>
      <c r="B420" s="5">
        <f>COUNTIF('Entetes_TriNumInterne'!$C$2:$C$723,A420)</f>
        <v/>
      </c>
    </row>
    <row r="421">
      <c r="A421" s="3" t="inlineStr">
        <is>
          <t>001028</t>
        </is>
      </c>
      <c r="B421" s="5">
        <f>COUNTIF('Entetes_TriNumInterne'!$C$2:$C$723,A421)</f>
        <v/>
      </c>
    </row>
    <row r="422">
      <c r="A422" s="3" t="inlineStr">
        <is>
          <t>001029</t>
        </is>
      </c>
      <c r="B422" s="5">
        <f>COUNTIF('Entetes_TriNumInterne'!$C$2:$C$723,A422)</f>
        <v/>
      </c>
    </row>
    <row r="423">
      <c r="A423" s="3" t="inlineStr">
        <is>
          <t>001030</t>
        </is>
      </c>
      <c r="B423" s="5">
        <f>COUNTIF('Entetes_TriNumInterne'!$C$2:$C$723,A423)</f>
        <v/>
      </c>
    </row>
    <row r="424">
      <c r="A424" s="3" t="inlineStr">
        <is>
          <t>001031</t>
        </is>
      </c>
      <c r="B424" s="5">
        <f>COUNTIF('Entetes_TriNumInterne'!$C$2:$C$723,A424)</f>
        <v/>
      </c>
    </row>
    <row r="425">
      <c r="A425" s="3" t="inlineStr">
        <is>
          <t>001032</t>
        </is>
      </c>
      <c r="B425" s="5">
        <f>COUNTIF('Entetes_TriNumInterne'!$C$2:$C$723,A425)</f>
        <v/>
      </c>
    </row>
    <row r="426">
      <c r="A426" s="3" t="inlineStr">
        <is>
          <t>001033</t>
        </is>
      </c>
      <c r="B426" s="5">
        <f>COUNTIF('Entetes_TriNumInterne'!$C$2:$C$723,A426)</f>
        <v/>
      </c>
    </row>
    <row r="427">
      <c r="A427" s="3" t="inlineStr">
        <is>
          <t>001034</t>
        </is>
      </c>
      <c r="B427" s="5">
        <f>COUNTIF('Entetes_TriNumInterne'!$C$2:$C$723,A427)</f>
        <v/>
      </c>
    </row>
    <row r="428">
      <c r="A428" s="3" t="inlineStr">
        <is>
          <t>001035</t>
        </is>
      </c>
      <c r="B428" s="5">
        <f>COUNTIF('Entetes_TriNumInterne'!$C$2:$C$723,A428)</f>
        <v/>
      </c>
    </row>
    <row r="429">
      <c r="A429" s="3" t="inlineStr">
        <is>
          <t>001036</t>
        </is>
      </c>
      <c r="B429" s="5">
        <f>COUNTIF('Entetes_TriNumInterne'!$C$2:$C$723,A429)</f>
        <v/>
      </c>
    </row>
    <row r="430">
      <c r="A430" s="3" t="inlineStr">
        <is>
          <t>001037</t>
        </is>
      </c>
      <c r="B430" s="5">
        <f>COUNTIF('Entetes_TriNumInterne'!$C$2:$C$723,A430)</f>
        <v/>
      </c>
    </row>
    <row r="431">
      <c r="A431" s="3" t="inlineStr">
        <is>
          <t>001038</t>
        </is>
      </c>
      <c r="B431" s="5">
        <f>COUNTIF('Entetes_TriNumInterne'!$C$2:$C$723,A431)</f>
        <v/>
      </c>
    </row>
    <row r="432">
      <c r="A432" s="3" t="inlineStr">
        <is>
          <t>001039</t>
        </is>
      </c>
      <c r="B432" s="5">
        <f>COUNTIF('Entetes_TriNumInterne'!$C$2:$C$723,A432)</f>
        <v/>
      </c>
    </row>
    <row r="433">
      <c r="A433" s="3" t="inlineStr">
        <is>
          <t>001040</t>
        </is>
      </c>
      <c r="B433" s="5">
        <f>COUNTIF('Entetes_TriNumInterne'!$C$2:$C$723,A433)</f>
        <v/>
      </c>
    </row>
    <row r="434">
      <c r="A434" s="3" t="inlineStr">
        <is>
          <t>001041</t>
        </is>
      </c>
      <c r="B434" s="5">
        <f>COUNTIF('Entetes_TriNumInterne'!$C$2:$C$723,A434)</f>
        <v/>
      </c>
    </row>
    <row r="435">
      <c r="A435" s="3" t="inlineStr">
        <is>
          <t>001042</t>
        </is>
      </c>
      <c r="B435" s="5">
        <f>COUNTIF('Entetes_TriNumInterne'!$C$2:$C$723,A435)</f>
        <v/>
      </c>
    </row>
    <row r="436">
      <c r="A436" s="3" t="inlineStr">
        <is>
          <t>001043</t>
        </is>
      </c>
      <c r="B436" s="5">
        <f>COUNTIF('Entetes_TriNumInterne'!$C$2:$C$723,A436)</f>
        <v/>
      </c>
    </row>
    <row r="437">
      <c r="A437" s="3" t="inlineStr">
        <is>
          <t>001044</t>
        </is>
      </c>
      <c r="B437" s="5">
        <f>COUNTIF('Entetes_TriNumInterne'!$C$2:$C$723,A437)</f>
        <v/>
      </c>
    </row>
    <row r="438">
      <c r="A438" s="3" t="inlineStr">
        <is>
          <t>001045</t>
        </is>
      </c>
      <c r="B438" s="5">
        <f>COUNTIF('Entetes_TriNumInterne'!$C$2:$C$723,A438)</f>
        <v/>
      </c>
    </row>
    <row r="439">
      <c r="A439" s="3" t="inlineStr">
        <is>
          <t>001046</t>
        </is>
      </c>
      <c r="B439" s="5">
        <f>COUNTIF('Entetes_TriNumInterne'!$C$2:$C$723,A439)</f>
        <v/>
      </c>
    </row>
    <row r="440">
      <c r="A440" s="3" t="inlineStr">
        <is>
          <t>001047</t>
        </is>
      </c>
      <c r="B440" s="5">
        <f>COUNTIF('Entetes_TriNumInterne'!$C$2:$C$723,A440)</f>
        <v/>
      </c>
    </row>
    <row r="441">
      <c r="A441" s="3" t="inlineStr">
        <is>
          <t>001048</t>
        </is>
      </c>
      <c r="B441" s="5">
        <f>COUNTIF('Entetes_TriNumInterne'!$C$2:$C$723,A441)</f>
        <v/>
      </c>
    </row>
    <row r="442">
      <c r="A442" s="3" t="inlineStr">
        <is>
          <t>001049</t>
        </is>
      </c>
      <c r="B442" s="5">
        <f>COUNTIF('Entetes_TriNumInterne'!$C$2:$C$723,A442)</f>
        <v/>
      </c>
    </row>
    <row r="443">
      <c r="A443" s="3" t="inlineStr">
        <is>
          <t>001050</t>
        </is>
      </c>
      <c r="B443" s="5">
        <f>COUNTIF('Entetes_TriNumInterne'!$C$2:$C$723,A443)</f>
        <v/>
      </c>
    </row>
    <row r="444">
      <c r="A444" s="3" t="inlineStr">
        <is>
          <t>001051</t>
        </is>
      </c>
      <c r="B444" s="5">
        <f>COUNTIF('Entetes_TriNumInterne'!$C$2:$C$723,A444)</f>
        <v/>
      </c>
    </row>
    <row r="445">
      <c r="A445" s="3" t="inlineStr">
        <is>
          <t>001052</t>
        </is>
      </c>
      <c r="B445" s="5">
        <f>COUNTIF('Entetes_TriNumInterne'!$C$2:$C$723,A445)</f>
        <v/>
      </c>
    </row>
    <row r="446">
      <c r="A446" s="3" t="inlineStr">
        <is>
          <t>001053</t>
        </is>
      </c>
      <c r="B446" s="5">
        <f>COUNTIF('Entetes_TriNumInterne'!$C$2:$C$723,A446)</f>
        <v/>
      </c>
    </row>
    <row r="447">
      <c r="A447" s="3" t="inlineStr">
        <is>
          <t>001054</t>
        </is>
      </c>
      <c r="B447" s="5">
        <f>COUNTIF('Entetes_TriNumInterne'!$C$2:$C$723,A447)</f>
        <v/>
      </c>
    </row>
    <row r="448">
      <c r="A448" s="3" t="inlineStr">
        <is>
          <t>001055</t>
        </is>
      </c>
      <c r="B448" s="5">
        <f>COUNTIF('Entetes_TriNumInterne'!$C$2:$C$723,A448)</f>
        <v/>
      </c>
    </row>
    <row r="449">
      <c r="A449" s="3" t="inlineStr">
        <is>
          <t>001056</t>
        </is>
      </c>
      <c r="B449" s="5">
        <f>COUNTIF('Entetes_TriNumInterne'!$C$2:$C$723,A449)</f>
        <v/>
      </c>
    </row>
    <row r="450">
      <c r="A450" s="3" t="inlineStr">
        <is>
          <t>001057</t>
        </is>
      </c>
      <c r="B450" s="5">
        <f>COUNTIF('Entetes_TriNumInterne'!$C$2:$C$723,A450)</f>
        <v/>
      </c>
    </row>
    <row r="451">
      <c r="A451" s="3" t="inlineStr">
        <is>
          <t>001058</t>
        </is>
      </c>
      <c r="B451" s="5">
        <f>COUNTIF('Entetes_TriNumInterne'!$C$2:$C$723,A451)</f>
        <v/>
      </c>
    </row>
    <row r="452">
      <c r="A452" s="3" t="inlineStr">
        <is>
          <t>001059</t>
        </is>
      </c>
      <c r="B452" s="5">
        <f>COUNTIF('Entetes_TriNumInterne'!$C$2:$C$723,A452)</f>
        <v/>
      </c>
    </row>
    <row r="453">
      <c r="A453" s="3" t="inlineStr">
        <is>
          <t>001060</t>
        </is>
      </c>
      <c r="B453" s="5">
        <f>COUNTIF('Entetes_TriNumInterne'!$C$2:$C$723,A453)</f>
        <v/>
      </c>
    </row>
    <row r="454">
      <c r="A454" s="3" t="inlineStr">
        <is>
          <t>001061</t>
        </is>
      </c>
      <c r="B454" s="5">
        <f>COUNTIF('Entetes_TriNumInterne'!$C$2:$C$723,A454)</f>
        <v/>
      </c>
    </row>
    <row r="455">
      <c r="A455" s="3" t="inlineStr">
        <is>
          <t>001062</t>
        </is>
      </c>
      <c r="B455" s="5">
        <f>COUNTIF('Entetes_TriNumInterne'!$C$2:$C$723,A455)</f>
        <v/>
      </c>
    </row>
    <row r="456">
      <c r="A456" s="3" t="inlineStr">
        <is>
          <t>001063</t>
        </is>
      </c>
      <c r="B456" s="5">
        <f>COUNTIF('Entetes_TriNumInterne'!$C$2:$C$723,A456)</f>
        <v/>
      </c>
    </row>
    <row r="457">
      <c r="A457" s="3" t="inlineStr">
        <is>
          <t>001064</t>
        </is>
      </c>
      <c r="B457" s="5">
        <f>COUNTIF('Entetes_TriNumInterne'!$C$2:$C$723,A457)</f>
        <v/>
      </c>
    </row>
    <row r="458">
      <c r="A458" s="3" t="inlineStr">
        <is>
          <t>001065</t>
        </is>
      </c>
      <c r="B458" s="5">
        <f>COUNTIF('Entetes_TriNumInterne'!$C$2:$C$723,A458)</f>
        <v/>
      </c>
    </row>
    <row r="459">
      <c r="A459" s="3" t="inlineStr">
        <is>
          <t>001066</t>
        </is>
      </c>
      <c r="B459" s="5">
        <f>COUNTIF('Entetes_TriNumInterne'!$C$2:$C$723,A459)</f>
        <v/>
      </c>
    </row>
    <row r="460">
      <c r="A460" s="3" t="inlineStr">
        <is>
          <t>001067</t>
        </is>
      </c>
      <c r="B460" s="5">
        <f>COUNTIF('Entetes_TriNumInterne'!$C$2:$C$723,A460)</f>
        <v/>
      </c>
    </row>
    <row r="461">
      <c r="A461" s="3" t="inlineStr">
        <is>
          <t>001068</t>
        </is>
      </c>
      <c r="B461" s="5">
        <f>COUNTIF('Entetes_TriNumInterne'!$C$2:$C$723,A461)</f>
        <v/>
      </c>
    </row>
    <row r="462">
      <c r="A462" s="3" t="inlineStr">
        <is>
          <t>001069</t>
        </is>
      </c>
      <c r="B462" s="5">
        <f>COUNTIF('Entetes_TriNumInterne'!$C$2:$C$723,A462)</f>
        <v/>
      </c>
    </row>
    <row r="463">
      <c r="A463" s="3" t="inlineStr">
        <is>
          <t>001070</t>
        </is>
      </c>
      <c r="B463" s="5">
        <f>COUNTIF('Entetes_TriNumInterne'!$C$2:$C$723,A463)</f>
        <v/>
      </c>
    </row>
    <row r="464">
      <c r="A464" s="3" t="inlineStr">
        <is>
          <t>001071</t>
        </is>
      </c>
      <c r="B464" s="5">
        <f>COUNTIF('Entetes_TriNumInterne'!$C$2:$C$723,A464)</f>
        <v/>
      </c>
    </row>
    <row r="465">
      <c r="A465" s="3" t="inlineStr">
        <is>
          <t>001072</t>
        </is>
      </c>
      <c r="B465" s="5">
        <f>COUNTIF('Entetes_TriNumInterne'!$C$2:$C$723,A465)</f>
        <v/>
      </c>
    </row>
    <row r="466">
      <c r="A466" s="3" t="inlineStr">
        <is>
          <t>001073</t>
        </is>
      </c>
      <c r="B466" s="5">
        <f>COUNTIF('Entetes_TriNumInterne'!$C$2:$C$723,A466)</f>
        <v/>
      </c>
    </row>
    <row r="467">
      <c r="A467" s="3" t="inlineStr">
        <is>
          <t>001074</t>
        </is>
      </c>
      <c r="B467" s="5">
        <f>COUNTIF('Entetes_TriNumInterne'!$C$2:$C$723,A467)</f>
        <v/>
      </c>
    </row>
    <row r="468">
      <c r="A468" s="3" t="inlineStr">
        <is>
          <t>001075</t>
        </is>
      </c>
      <c r="B468" s="5">
        <f>COUNTIF('Entetes_TriNumInterne'!$C$2:$C$723,A468)</f>
        <v/>
      </c>
    </row>
    <row r="469">
      <c r="A469" s="3" t="inlineStr">
        <is>
          <t>001076</t>
        </is>
      </c>
      <c r="B469" s="5">
        <f>COUNTIF('Entetes_TriNumInterne'!$C$2:$C$723,A469)</f>
        <v/>
      </c>
    </row>
    <row r="470">
      <c r="A470" s="3" t="inlineStr">
        <is>
          <t>001077</t>
        </is>
      </c>
      <c r="B470" s="5">
        <f>COUNTIF('Entetes_TriNumInterne'!$C$2:$C$723,A470)</f>
        <v/>
      </c>
    </row>
    <row r="471">
      <c r="A471" s="3" t="inlineStr">
        <is>
          <t>001078</t>
        </is>
      </c>
      <c r="B471" s="5">
        <f>COUNTIF('Entetes_TriNumInterne'!$C$2:$C$723,A471)</f>
        <v/>
      </c>
    </row>
    <row r="472">
      <c r="A472" s="3" t="inlineStr">
        <is>
          <t>001079</t>
        </is>
      </c>
      <c r="B472" s="5">
        <f>COUNTIF('Entetes_TriNumInterne'!$C$2:$C$723,A472)</f>
        <v/>
      </c>
    </row>
    <row r="473">
      <c r="A473" s="3" t="inlineStr">
        <is>
          <t>001080</t>
        </is>
      </c>
      <c r="B473" s="5">
        <f>COUNTIF('Entetes_TriNumInterne'!$C$2:$C$723,A473)</f>
        <v/>
      </c>
    </row>
    <row r="474">
      <c r="A474" s="3" t="inlineStr">
        <is>
          <t>001081</t>
        </is>
      </c>
      <c r="B474" s="5">
        <f>COUNTIF('Entetes_TriNumInterne'!$C$2:$C$723,A474)</f>
        <v/>
      </c>
    </row>
    <row r="475">
      <c r="A475" s="3" t="inlineStr">
        <is>
          <t>001082</t>
        </is>
      </c>
      <c r="B475" s="5">
        <f>COUNTIF('Entetes_TriNumInterne'!$C$2:$C$723,A475)</f>
        <v/>
      </c>
    </row>
    <row r="476">
      <c r="A476" s="3" t="inlineStr">
        <is>
          <t>001083</t>
        </is>
      </c>
      <c r="B476" s="5">
        <f>COUNTIF('Entetes_TriNumInterne'!$C$2:$C$723,A476)</f>
        <v/>
      </c>
    </row>
    <row r="477">
      <c r="A477" s="3" t="inlineStr">
        <is>
          <t>001084</t>
        </is>
      </c>
      <c r="B477" s="5">
        <f>COUNTIF('Entetes_TriNumInterne'!$C$2:$C$723,A477)</f>
        <v/>
      </c>
    </row>
    <row r="478">
      <c r="A478" s="3" t="inlineStr">
        <is>
          <t>001085</t>
        </is>
      </c>
      <c r="B478" s="5">
        <f>COUNTIF('Entetes_TriNumInterne'!$C$2:$C$723,A478)</f>
        <v/>
      </c>
    </row>
    <row r="479">
      <c r="A479" s="3" t="inlineStr">
        <is>
          <t>001086</t>
        </is>
      </c>
      <c r="B479" s="5">
        <f>COUNTIF('Entetes_TriNumInterne'!$C$2:$C$723,A479)</f>
        <v/>
      </c>
    </row>
    <row r="480">
      <c r="A480" s="3" t="inlineStr">
        <is>
          <t>001087</t>
        </is>
      </c>
      <c r="B480" s="5">
        <f>COUNTIF('Entetes_TriNumInterne'!$C$2:$C$723,A480)</f>
        <v/>
      </c>
    </row>
    <row r="481">
      <c r="A481" s="3" t="inlineStr">
        <is>
          <t>001088</t>
        </is>
      </c>
      <c r="B481" s="5">
        <f>COUNTIF('Entetes_TriNumInterne'!$C$2:$C$723,A481)</f>
        <v/>
      </c>
    </row>
    <row r="482">
      <c r="A482" s="3" t="inlineStr">
        <is>
          <t>001089</t>
        </is>
      </c>
      <c r="B482" s="5">
        <f>COUNTIF('Entetes_TriNumInterne'!$C$2:$C$723,A482)</f>
        <v/>
      </c>
    </row>
    <row r="483">
      <c r="A483" s="3" t="inlineStr">
        <is>
          <t>001090</t>
        </is>
      </c>
      <c r="B483" s="5">
        <f>COUNTIF('Entetes_TriNumInterne'!$C$2:$C$723,A483)</f>
        <v/>
      </c>
    </row>
    <row r="484">
      <c r="A484" s="3" t="inlineStr">
        <is>
          <t>001091</t>
        </is>
      </c>
      <c r="B484" s="5">
        <f>COUNTIF('Entetes_TriNumInterne'!$C$2:$C$723,A484)</f>
        <v/>
      </c>
    </row>
    <row r="485">
      <c r="A485" s="3" t="inlineStr">
        <is>
          <t>001092</t>
        </is>
      </c>
      <c r="B485" s="5">
        <f>COUNTIF('Entetes_TriNumInterne'!$C$2:$C$723,A485)</f>
        <v/>
      </c>
    </row>
    <row r="486">
      <c r="A486" s="3" t="inlineStr">
        <is>
          <t>001093</t>
        </is>
      </c>
      <c r="B486" s="5">
        <f>COUNTIF('Entetes_TriNumInterne'!$C$2:$C$723,A486)</f>
        <v/>
      </c>
    </row>
    <row r="487">
      <c r="A487" s="3" t="inlineStr">
        <is>
          <t>001094</t>
        </is>
      </c>
      <c r="B487" s="5">
        <f>COUNTIF('Entetes_TriNumInterne'!$C$2:$C$723,A487)</f>
        <v/>
      </c>
    </row>
    <row r="488">
      <c r="A488" s="3" t="inlineStr">
        <is>
          <t>001095</t>
        </is>
      </c>
      <c r="B488" s="5">
        <f>COUNTIF('Entetes_TriNumInterne'!$C$2:$C$723,A488)</f>
        <v/>
      </c>
    </row>
    <row r="489">
      <c r="A489" s="3" t="inlineStr">
        <is>
          <t>001096</t>
        </is>
      </c>
      <c r="B489" s="5">
        <f>COUNTIF('Entetes_TriNumInterne'!$C$2:$C$723,A489)</f>
        <v/>
      </c>
    </row>
    <row r="490">
      <c r="A490" s="3" t="inlineStr">
        <is>
          <t>001097</t>
        </is>
      </c>
      <c r="B490" s="5">
        <f>COUNTIF('Entetes_TriNumInterne'!$C$2:$C$723,A490)</f>
        <v/>
      </c>
    </row>
    <row r="491">
      <c r="A491" s="3" t="inlineStr">
        <is>
          <t>001098</t>
        </is>
      </c>
      <c r="B491" s="5">
        <f>COUNTIF('Entetes_TriNumInterne'!$C$2:$C$723,A491)</f>
        <v/>
      </c>
    </row>
    <row r="492">
      <c r="A492" s="3" t="inlineStr">
        <is>
          <t>001099</t>
        </is>
      </c>
      <c r="B492" s="5">
        <f>COUNTIF('Entetes_TriNumInterne'!$C$2:$C$723,A492)</f>
        <v/>
      </c>
    </row>
    <row r="493">
      <c r="A493" s="3" t="inlineStr">
        <is>
          <t>001100</t>
        </is>
      </c>
      <c r="B493" s="5">
        <f>COUNTIF('Entetes_TriNumInterne'!$C$2:$C$723,A493)</f>
        <v/>
      </c>
    </row>
    <row r="494">
      <c r="A494" s="3" t="inlineStr">
        <is>
          <t>001101</t>
        </is>
      </c>
      <c r="B494" s="5">
        <f>COUNTIF('Entetes_TriNumInterne'!$C$2:$C$723,A494)</f>
        <v/>
      </c>
    </row>
    <row r="495">
      <c r="A495" s="3" t="inlineStr">
        <is>
          <t>001102</t>
        </is>
      </c>
      <c r="B495" s="5">
        <f>COUNTIF('Entetes_TriNumInterne'!$C$2:$C$723,A495)</f>
        <v/>
      </c>
    </row>
    <row r="496">
      <c r="A496" s="3" t="inlineStr">
        <is>
          <t>001103</t>
        </is>
      </c>
      <c r="B496" s="5">
        <f>COUNTIF('Entetes_TriNumInterne'!$C$2:$C$723,A496)</f>
        <v/>
      </c>
    </row>
    <row r="497">
      <c r="A497" s="3" t="inlineStr">
        <is>
          <t>001104</t>
        </is>
      </c>
      <c r="B497" s="5">
        <f>COUNTIF('Entetes_TriNumInterne'!$C$2:$C$723,A497)</f>
        <v/>
      </c>
    </row>
    <row r="498">
      <c r="A498" s="3" t="inlineStr">
        <is>
          <t>001105</t>
        </is>
      </c>
      <c r="B498" s="5">
        <f>COUNTIF('Entetes_TriNumInterne'!$C$2:$C$723,A498)</f>
        <v/>
      </c>
    </row>
    <row r="499">
      <c r="A499" s="3" t="inlineStr">
        <is>
          <t>001106</t>
        </is>
      </c>
      <c r="B499" s="5">
        <f>COUNTIF('Entetes_TriNumInterne'!$C$2:$C$723,A499)</f>
        <v/>
      </c>
    </row>
    <row r="500">
      <c r="A500" s="3" t="inlineStr">
        <is>
          <t>001107</t>
        </is>
      </c>
      <c r="B500" s="5">
        <f>COUNTIF('Entetes_TriNumInterne'!$C$2:$C$723,A500)</f>
        <v/>
      </c>
    </row>
    <row r="501">
      <c r="A501" s="3" t="inlineStr">
        <is>
          <t>001108</t>
        </is>
      </c>
      <c r="B501" s="5">
        <f>COUNTIF('Entetes_TriNumInterne'!$C$2:$C$723,A501)</f>
        <v/>
      </c>
    </row>
    <row r="502">
      <c r="A502" s="3" t="inlineStr">
        <is>
          <t>001109</t>
        </is>
      </c>
      <c r="B502" s="5">
        <f>COUNTIF('Entetes_TriNumInterne'!$C$2:$C$723,A502)</f>
        <v/>
      </c>
    </row>
    <row r="503">
      <c r="A503" s="3" t="inlineStr">
        <is>
          <t>001110</t>
        </is>
      </c>
      <c r="B503" s="5">
        <f>COUNTIF('Entetes_TriNumInterne'!$C$2:$C$723,A503)</f>
        <v/>
      </c>
    </row>
    <row r="504">
      <c r="A504" s="3" t="inlineStr">
        <is>
          <t>001111</t>
        </is>
      </c>
      <c r="B504" s="5">
        <f>COUNTIF('Entetes_TriNumInterne'!$C$2:$C$723,A504)</f>
        <v/>
      </c>
    </row>
    <row r="505">
      <c r="A505" s="3" t="inlineStr">
        <is>
          <t>001112</t>
        </is>
      </c>
      <c r="B505" s="5">
        <f>COUNTIF('Entetes_TriNumInterne'!$C$2:$C$723,A505)</f>
        <v/>
      </c>
    </row>
    <row r="506">
      <c r="A506" s="3" t="inlineStr">
        <is>
          <t>001113</t>
        </is>
      </c>
      <c r="B506" s="5">
        <f>COUNTIF('Entetes_TriNumInterne'!$C$2:$C$723,A506)</f>
        <v/>
      </c>
    </row>
    <row r="507">
      <c r="A507" s="3" t="inlineStr">
        <is>
          <t>001114</t>
        </is>
      </c>
      <c r="B507" s="5">
        <f>COUNTIF('Entetes_TriNumInterne'!$C$2:$C$723,A507)</f>
        <v/>
      </c>
    </row>
    <row r="508">
      <c r="A508" s="3" t="inlineStr">
        <is>
          <t>001115</t>
        </is>
      </c>
      <c r="B508" s="5">
        <f>COUNTIF('Entetes_TriNumInterne'!$C$2:$C$723,A508)</f>
        <v/>
      </c>
    </row>
    <row r="509">
      <c r="A509" s="3" t="inlineStr">
        <is>
          <t>001116</t>
        </is>
      </c>
      <c r="B509" s="5">
        <f>COUNTIF('Entetes_TriNumInterne'!$C$2:$C$723,A509)</f>
        <v/>
      </c>
    </row>
    <row r="510">
      <c r="A510" s="3" t="inlineStr">
        <is>
          <t>001117</t>
        </is>
      </c>
      <c r="B510" s="5">
        <f>COUNTIF('Entetes_TriNumInterne'!$C$2:$C$723,A510)</f>
        <v/>
      </c>
    </row>
    <row r="511">
      <c r="A511" s="3" t="inlineStr">
        <is>
          <t>001118</t>
        </is>
      </c>
      <c r="B511" s="5">
        <f>COUNTIF('Entetes_TriNumInterne'!$C$2:$C$723,A511)</f>
        <v/>
      </c>
    </row>
    <row r="512">
      <c r="A512" s="3" t="inlineStr">
        <is>
          <t>001119</t>
        </is>
      </c>
      <c r="B512" s="5">
        <f>COUNTIF('Entetes_TriNumInterne'!$C$2:$C$723,A512)</f>
        <v/>
      </c>
    </row>
    <row r="513">
      <c r="A513" s="3" t="inlineStr">
        <is>
          <t>001120</t>
        </is>
      </c>
      <c r="B513" s="5">
        <f>COUNTIF('Entetes_TriNumInterne'!$C$2:$C$723,A513)</f>
        <v/>
      </c>
    </row>
    <row r="514">
      <c r="A514" s="3" t="inlineStr">
        <is>
          <t>001121</t>
        </is>
      </c>
      <c r="B514" s="5">
        <f>COUNTIF('Entetes_TriNumInterne'!$C$2:$C$723,A514)</f>
        <v/>
      </c>
    </row>
    <row r="515">
      <c r="A515" s="3" t="inlineStr">
        <is>
          <t>001122</t>
        </is>
      </c>
      <c r="B515" s="5">
        <f>COUNTIF('Entetes_TriNumInterne'!$C$2:$C$723,A515)</f>
        <v/>
      </c>
    </row>
    <row r="516">
      <c r="A516" s="3" t="inlineStr">
        <is>
          <t>001123</t>
        </is>
      </c>
      <c r="B516" s="5">
        <f>COUNTIF('Entetes_TriNumInterne'!$C$2:$C$723,A516)</f>
        <v/>
      </c>
    </row>
    <row r="517">
      <c r="A517" s="3" t="inlineStr">
        <is>
          <t>001124</t>
        </is>
      </c>
      <c r="B517" s="5">
        <f>COUNTIF('Entetes_TriNumInterne'!$C$2:$C$723,A517)</f>
        <v/>
      </c>
    </row>
    <row r="518">
      <c r="A518" s="3" t="inlineStr">
        <is>
          <t>001125</t>
        </is>
      </c>
      <c r="B518" s="5">
        <f>COUNTIF('Entetes_TriNumInterne'!$C$2:$C$723,A518)</f>
        <v/>
      </c>
    </row>
    <row r="519">
      <c r="A519" s="3" t="inlineStr">
        <is>
          <t>001126</t>
        </is>
      </c>
      <c r="B519" s="5">
        <f>COUNTIF('Entetes_TriNumInterne'!$C$2:$C$723,A519)</f>
        <v/>
      </c>
    </row>
    <row r="520">
      <c r="A520" s="3" t="inlineStr">
        <is>
          <t>001127</t>
        </is>
      </c>
      <c r="B520" s="5">
        <f>COUNTIF('Entetes_TriNumInterne'!$C$2:$C$723,A520)</f>
        <v/>
      </c>
    </row>
    <row r="521">
      <c r="A521" s="3" t="inlineStr">
        <is>
          <t>001128</t>
        </is>
      </c>
      <c r="B521" s="5">
        <f>COUNTIF('Entetes_TriNumInterne'!$C$2:$C$723,A521)</f>
        <v/>
      </c>
    </row>
    <row r="522">
      <c r="A522" s="3" t="inlineStr">
        <is>
          <t>001129</t>
        </is>
      </c>
      <c r="B522" s="5">
        <f>COUNTIF('Entetes_TriNumInterne'!$C$2:$C$723,A522)</f>
        <v/>
      </c>
    </row>
    <row r="523">
      <c r="A523" s="3" t="inlineStr">
        <is>
          <t>001130</t>
        </is>
      </c>
      <c r="B523" s="5">
        <f>COUNTIF('Entetes_TriNumInterne'!$C$2:$C$723,A523)</f>
        <v/>
      </c>
    </row>
    <row r="524">
      <c r="A524" s="3" t="inlineStr">
        <is>
          <t>001131</t>
        </is>
      </c>
      <c r="B524" s="5">
        <f>COUNTIF('Entetes_TriNumInterne'!$C$2:$C$723,A524)</f>
        <v/>
      </c>
    </row>
    <row r="525">
      <c r="A525" s="3" t="inlineStr">
        <is>
          <t>001132</t>
        </is>
      </c>
      <c r="B525" s="5">
        <f>COUNTIF('Entetes_TriNumInterne'!$C$2:$C$723,A525)</f>
        <v/>
      </c>
    </row>
    <row r="526">
      <c r="A526" s="3" t="inlineStr">
        <is>
          <t>001133</t>
        </is>
      </c>
      <c r="B526" s="5">
        <f>COUNTIF('Entetes_TriNumInterne'!$C$2:$C$723,A526)</f>
        <v/>
      </c>
    </row>
    <row r="527">
      <c r="A527" s="3" t="inlineStr">
        <is>
          <t>001134</t>
        </is>
      </c>
      <c r="B527" s="5">
        <f>COUNTIF('Entetes_TriNumInterne'!$C$2:$C$723,A527)</f>
        <v/>
      </c>
    </row>
    <row r="528">
      <c r="A528" s="3" t="inlineStr">
        <is>
          <t>001135</t>
        </is>
      </c>
      <c r="B528" s="5">
        <f>COUNTIF('Entetes_TriNumInterne'!$C$2:$C$723,A528)</f>
        <v/>
      </c>
    </row>
    <row r="529">
      <c r="A529" s="3" t="inlineStr">
        <is>
          <t>001136</t>
        </is>
      </c>
      <c r="B529" s="5">
        <f>COUNTIF('Entetes_TriNumInterne'!$C$2:$C$723,A529)</f>
        <v/>
      </c>
    </row>
    <row r="530">
      <c r="A530" s="3" t="inlineStr">
        <is>
          <t>001137</t>
        </is>
      </c>
      <c r="B530" s="5">
        <f>COUNTIF('Entetes_TriNumInterne'!$C$2:$C$723,A530)</f>
        <v/>
      </c>
    </row>
    <row r="531">
      <c r="A531" s="3" t="inlineStr">
        <is>
          <t>001138</t>
        </is>
      </c>
      <c r="B531" s="5">
        <f>COUNTIF('Entetes_TriNumInterne'!$C$2:$C$723,A531)</f>
        <v/>
      </c>
    </row>
    <row r="532">
      <c r="A532" s="3" t="inlineStr">
        <is>
          <t>001139</t>
        </is>
      </c>
      <c r="B532" s="5">
        <f>COUNTIF('Entetes_TriNumInterne'!$C$2:$C$723,A532)</f>
        <v/>
      </c>
    </row>
    <row r="533">
      <c r="A533" s="3" t="inlineStr">
        <is>
          <t>001140</t>
        </is>
      </c>
      <c r="B533" s="5">
        <f>COUNTIF('Entetes_TriNumInterne'!$C$2:$C$723,A533)</f>
        <v/>
      </c>
    </row>
    <row r="534">
      <c r="A534" s="3" t="inlineStr">
        <is>
          <t>001141</t>
        </is>
      </c>
      <c r="B534" s="5">
        <f>COUNTIF('Entetes_TriNumInterne'!$C$2:$C$723,A534)</f>
        <v/>
      </c>
    </row>
    <row r="535">
      <c r="A535" s="3" t="inlineStr">
        <is>
          <t>001142</t>
        </is>
      </c>
      <c r="B535" s="5">
        <f>COUNTIF('Entetes_TriNumInterne'!$C$2:$C$723,A535)</f>
        <v/>
      </c>
    </row>
    <row r="536">
      <c r="A536" s="3" t="inlineStr">
        <is>
          <t>001143</t>
        </is>
      </c>
      <c r="B536" s="5">
        <f>COUNTIF('Entetes_TriNumInterne'!$C$2:$C$723,A536)</f>
        <v/>
      </c>
    </row>
    <row r="537">
      <c r="A537" s="3" t="inlineStr">
        <is>
          <t>001144</t>
        </is>
      </c>
      <c r="B537" s="5">
        <f>COUNTIF('Entetes_TriNumInterne'!$C$2:$C$723,A537)</f>
        <v/>
      </c>
    </row>
    <row r="538">
      <c r="A538" s="3" t="inlineStr">
        <is>
          <t>001145</t>
        </is>
      </c>
      <c r="B538" s="5">
        <f>COUNTIF('Entetes_TriNumInterne'!$C$2:$C$723,A538)</f>
        <v/>
      </c>
    </row>
    <row r="539">
      <c r="A539" s="3" t="inlineStr">
        <is>
          <t>001146</t>
        </is>
      </c>
      <c r="B539" s="5">
        <f>COUNTIF('Entetes_TriNumInterne'!$C$2:$C$723,A539)</f>
        <v/>
      </c>
    </row>
    <row r="540">
      <c r="A540" s="3" t="inlineStr">
        <is>
          <t>001147</t>
        </is>
      </c>
      <c r="B540" s="5">
        <f>COUNTIF('Entetes_TriNumInterne'!$C$2:$C$723,A540)</f>
        <v/>
      </c>
    </row>
    <row r="541">
      <c r="A541" s="3" t="inlineStr">
        <is>
          <t>001148</t>
        </is>
      </c>
      <c r="B541" s="5">
        <f>COUNTIF('Entetes_TriNumInterne'!$C$2:$C$723,A541)</f>
        <v/>
      </c>
    </row>
    <row r="542">
      <c r="A542" s="3" t="inlineStr">
        <is>
          <t>001149</t>
        </is>
      </c>
      <c r="B542" s="5">
        <f>COUNTIF('Entetes_TriNumInterne'!$C$2:$C$723,A542)</f>
        <v/>
      </c>
    </row>
    <row r="543">
      <c r="A543" s="3" t="inlineStr">
        <is>
          <t>001150</t>
        </is>
      </c>
      <c r="B543" s="5">
        <f>COUNTIF('Entetes_TriNumInterne'!$C$2:$C$723,A543)</f>
        <v/>
      </c>
    </row>
    <row r="544">
      <c r="A544" s="3" t="inlineStr">
        <is>
          <t>001151</t>
        </is>
      </c>
      <c r="B544" s="5">
        <f>COUNTIF('Entetes_TriNumInterne'!$C$2:$C$723,A544)</f>
        <v/>
      </c>
    </row>
    <row r="545">
      <c r="A545" s="3" t="inlineStr">
        <is>
          <t>001152</t>
        </is>
      </c>
      <c r="B545" s="5">
        <f>COUNTIF('Entetes_TriNumInterne'!$C$2:$C$723,A545)</f>
        <v/>
      </c>
    </row>
    <row r="546">
      <c r="A546" s="3" t="inlineStr">
        <is>
          <t>001153</t>
        </is>
      </c>
      <c r="B546" s="5">
        <f>COUNTIF('Entetes_TriNumInterne'!$C$2:$C$723,A546)</f>
        <v/>
      </c>
    </row>
    <row r="547">
      <c r="A547" s="3" t="inlineStr">
        <is>
          <t>001154</t>
        </is>
      </c>
      <c r="B547" s="5">
        <f>COUNTIF('Entetes_TriNumInterne'!$C$2:$C$723,A547)</f>
        <v/>
      </c>
    </row>
    <row r="548">
      <c r="A548" s="3" t="inlineStr">
        <is>
          <t>001155</t>
        </is>
      </c>
      <c r="B548" s="5">
        <f>COUNTIF('Entetes_TriNumInterne'!$C$2:$C$723,A548)</f>
        <v/>
      </c>
    </row>
    <row r="549">
      <c r="A549" s="3" t="inlineStr">
        <is>
          <t>001156</t>
        </is>
      </c>
      <c r="B549" s="5">
        <f>COUNTIF('Entetes_TriNumInterne'!$C$2:$C$723,A549)</f>
        <v/>
      </c>
    </row>
    <row r="550">
      <c r="A550" s="3" t="inlineStr">
        <is>
          <t>001157</t>
        </is>
      </c>
      <c r="B550" s="5">
        <f>COUNTIF('Entetes_TriNumInterne'!$C$2:$C$723,A550)</f>
        <v/>
      </c>
    </row>
    <row r="551">
      <c r="A551" s="3" t="inlineStr">
        <is>
          <t>001158</t>
        </is>
      </c>
      <c r="B551" s="5">
        <f>COUNTIF('Entetes_TriNumInterne'!$C$2:$C$723,A551)</f>
        <v/>
      </c>
    </row>
    <row r="552">
      <c r="A552" s="3" t="inlineStr">
        <is>
          <t>001159</t>
        </is>
      </c>
      <c r="B552" s="5">
        <f>COUNTIF('Entetes_TriNumInterne'!$C$2:$C$723,A552)</f>
        <v/>
      </c>
    </row>
    <row r="553">
      <c r="A553" s="3" t="inlineStr">
        <is>
          <t>001160</t>
        </is>
      </c>
      <c r="B553" s="5">
        <f>COUNTIF('Entetes_TriNumInterne'!$C$2:$C$723,A553)</f>
        <v/>
      </c>
    </row>
    <row r="554">
      <c r="A554" s="3" t="inlineStr">
        <is>
          <t>001161</t>
        </is>
      </c>
      <c r="B554" s="5">
        <f>COUNTIF('Entetes_TriNumInterne'!$C$2:$C$723,A554)</f>
        <v/>
      </c>
    </row>
    <row r="555">
      <c r="A555" s="3" t="inlineStr">
        <is>
          <t>001162</t>
        </is>
      </c>
      <c r="B555" s="5">
        <f>COUNTIF('Entetes_TriNumInterne'!$C$2:$C$723,A555)</f>
        <v/>
      </c>
    </row>
    <row r="556">
      <c r="A556" s="3" t="inlineStr">
        <is>
          <t>001163</t>
        </is>
      </c>
      <c r="B556" s="5">
        <f>COUNTIF('Entetes_TriNumInterne'!$C$2:$C$723,A556)</f>
        <v/>
      </c>
    </row>
    <row r="557">
      <c r="A557" s="3" t="inlineStr">
        <is>
          <t>001164</t>
        </is>
      </c>
      <c r="B557" s="5">
        <f>COUNTIF('Entetes_TriNumInterne'!$C$2:$C$723,A557)</f>
        <v/>
      </c>
    </row>
    <row r="558">
      <c r="A558" s="3" t="inlineStr">
        <is>
          <t>001165</t>
        </is>
      </c>
      <c r="B558" s="5">
        <f>COUNTIF('Entetes_TriNumInterne'!$C$2:$C$723,A558)</f>
        <v/>
      </c>
    </row>
    <row r="559">
      <c r="A559" s="3" t="inlineStr">
        <is>
          <t>001166</t>
        </is>
      </c>
      <c r="B559" s="5">
        <f>COUNTIF('Entetes_TriNumInterne'!$C$2:$C$723,A559)</f>
        <v/>
      </c>
    </row>
    <row r="560">
      <c r="A560" s="3" t="inlineStr">
        <is>
          <t>001167</t>
        </is>
      </c>
      <c r="B560" s="5">
        <f>COUNTIF('Entetes_TriNumInterne'!$C$2:$C$723,A560)</f>
        <v/>
      </c>
    </row>
    <row r="561">
      <c r="A561" s="3" t="inlineStr">
        <is>
          <t>001168</t>
        </is>
      </c>
      <c r="B561" s="5">
        <f>COUNTIF('Entetes_TriNumInterne'!$C$2:$C$723,A561)</f>
        <v/>
      </c>
    </row>
    <row r="562">
      <c r="A562" s="3" t="inlineStr">
        <is>
          <t>001169</t>
        </is>
      </c>
      <c r="B562" s="5">
        <f>COUNTIF('Entetes_TriNumInterne'!$C$2:$C$723,A562)</f>
        <v/>
      </c>
    </row>
    <row r="563">
      <c r="A563" s="3" t="inlineStr">
        <is>
          <t>001170</t>
        </is>
      </c>
      <c r="B563" s="5">
        <f>COUNTIF('Entetes_TriNumInterne'!$C$2:$C$723,A563)</f>
        <v/>
      </c>
    </row>
    <row r="564">
      <c r="A564" s="3" t="inlineStr">
        <is>
          <t>001171</t>
        </is>
      </c>
      <c r="B564" s="5">
        <f>COUNTIF('Entetes_TriNumInterne'!$C$2:$C$723,A564)</f>
        <v/>
      </c>
    </row>
    <row r="565">
      <c r="A565" s="3" t="inlineStr">
        <is>
          <t>001172</t>
        </is>
      </c>
      <c r="B565" s="5">
        <f>COUNTIF('Entetes_TriNumInterne'!$C$2:$C$723,A565)</f>
        <v/>
      </c>
    </row>
    <row r="566">
      <c r="A566" s="3" t="inlineStr">
        <is>
          <t>001173</t>
        </is>
      </c>
      <c r="B566" s="5">
        <f>COUNTIF('Entetes_TriNumInterne'!$C$2:$C$723,A566)</f>
        <v/>
      </c>
    </row>
    <row r="567">
      <c r="A567" s="3" t="inlineStr">
        <is>
          <t>001174</t>
        </is>
      </c>
      <c r="B567" s="5">
        <f>COUNTIF('Entetes_TriNumInterne'!$C$2:$C$723,A567)</f>
        <v/>
      </c>
    </row>
    <row r="568">
      <c r="A568" s="3" t="inlineStr">
        <is>
          <t>001175</t>
        </is>
      </c>
      <c r="B568" s="5">
        <f>COUNTIF('Entetes_TriNumInterne'!$C$2:$C$723,A568)</f>
        <v/>
      </c>
    </row>
    <row r="569">
      <c r="A569" s="3" t="inlineStr">
        <is>
          <t>001176</t>
        </is>
      </c>
      <c r="B569" s="5">
        <f>COUNTIF('Entetes_TriNumInterne'!$C$2:$C$723,A569)</f>
        <v/>
      </c>
    </row>
    <row r="570">
      <c r="A570" s="3" t="inlineStr">
        <is>
          <t>001177</t>
        </is>
      </c>
      <c r="B570" s="5">
        <f>COUNTIF('Entetes_TriNumInterne'!$C$2:$C$723,A570)</f>
        <v/>
      </c>
    </row>
    <row r="571">
      <c r="A571" s="3" t="inlineStr">
        <is>
          <t>001178</t>
        </is>
      </c>
      <c r="B571" s="5">
        <f>COUNTIF('Entetes_TriNumInterne'!$C$2:$C$723,A571)</f>
        <v/>
      </c>
    </row>
    <row r="572">
      <c r="A572" s="3" t="inlineStr">
        <is>
          <t>001179</t>
        </is>
      </c>
      <c r="B572" s="5">
        <f>COUNTIF('Entetes_TriNumInterne'!$C$2:$C$723,A572)</f>
        <v/>
      </c>
    </row>
    <row r="573">
      <c r="A573" s="3" t="inlineStr">
        <is>
          <t>001180</t>
        </is>
      </c>
      <c r="B573" s="5">
        <f>COUNTIF('Entetes_TriNumInterne'!$C$2:$C$723,A573)</f>
        <v/>
      </c>
    </row>
    <row r="574">
      <c r="A574" s="3" t="inlineStr">
        <is>
          <t>001181</t>
        </is>
      </c>
      <c r="B574" s="5">
        <f>COUNTIF('Entetes_TriNumInterne'!$C$2:$C$723,A574)</f>
        <v/>
      </c>
    </row>
    <row r="575">
      <c r="A575" s="3" t="inlineStr">
        <is>
          <t>001182</t>
        </is>
      </c>
      <c r="B575" s="5">
        <f>COUNTIF('Entetes_TriNumInterne'!$C$2:$C$723,A575)</f>
        <v/>
      </c>
    </row>
    <row r="576">
      <c r="A576" s="3" t="inlineStr">
        <is>
          <t>001183</t>
        </is>
      </c>
      <c r="B576" s="5">
        <f>COUNTIF('Entetes_TriNumInterne'!$C$2:$C$723,A576)</f>
        <v/>
      </c>
    </row>
    <row r="577">
      <c r="A577" s="3" t="inlineStr">
        <is>
          <t>001184</t>
        </is>
      </c>
      <c r="B577" s="5">
        <f>COUNTIF('Entetes_TriNumInterne'!$C$2:$C$723,A577)</f>
        <v/>
      </c>
    </row>
    <row r="578">
      <c r="A578" s="3" t="inlineStr">
        <is>
          <t>001185</t>
        </is>
      </c>
      <c r="B578" s="5">
        <f>COUNTIF('Entetes_TriNumInterne'!$C$2:$C$723,A578)</f>
        <v/>
      </c>
    </row>
    <row r="579">
      <c r="A579" s="3" t="inlineStr">
        <is>
          <t>001186</t>
        </is>
      </c>
      <c r="B579" s="5">
        <f>COUNTIF('Entetes_TriNumInterne'!$C$2:$C$723,A579)</f>
        <v/>
      </c>
    </row>
    <row r="580">
      <c r="A580" s="3" t="inlineStr">
        <is>
          <t>001187</t>
        </is>
      </c>
      <c r="B580" s="5">
        <f>COUNTIF('Entetes_TriNumInterne'!$C$2:$C$723,A580)</f>
        <v/>
      </c>
    </row>
    <row r="581">
      <c r="A581" s="3" t="inlineStr">
        <is>
          <t>001188</t>
        </is>
      </c>
      <c r="B581" s="5">
        <f>COUNTIF('Entetes_TriNumInterne'!$C$2:$C$723,A581)</f>
        <v/>
      </c>
    </row>
    <row r="582">
      <c r="A582" s="3" t="inlineStr">
        <is>
          <t>001189</t>
        </is>
      </c>
      <c r="B582" s="5">
        <f>COUNTIF('Entetes_TriNumInterne'!$C$2:$C$723,A582)</f>
        <v/>
      </c>
    </row>
    <row r="583">
      <c r="A583" s="3" t="inlineStr">
        <is>
          <t>001190</t>
        </is>
      </c>
      <c r="B583" s="5">
        <f>COUNTIF('Entetes_TriNumInterne'!$C$2:$C$723,A583)</f>
        <v/>
      </c>
    </row>
    <row r="584">
      <c r="A584" s="3" t="inlineStr">
        <is>
          <t>001191</t>
        </is>
      </c>
      <c r="B584" s="5">
        <f>COUNTIF('Entetes_TriNumInterne'!$C$2:$C$723,A584)</f>
        <v/>
      </c>
    </row>
    <row r="585">
      <c r="A585" s="3" t="inlineStr">
        <is>
          <t>001192</t>
        </is>
      </c>
      <c r="B585" s="5">
        <f>COUNTIF('Entetes_TriNumInterne'!$C$2:$C$723,A585)</f>
        <v/>
      </c>
    </row>
    <row r="586">
      <c r="A586" s="3" t="inlineStr">
        <is>
          <t>001193</t>
        </is>
      </c>
      <c r="B586" s="5">
        <f>COUNTIF('Entetes_TriNumInterne'!$C$2:$C$723,A586)</f>
        <v/>
      </c>
    </row>
    <row r="587">
      <c r="A587" s="3" t="inlineStr">
        <is>
          <t>001194</t>
        </is>
      </c>
      <c r="B587" s="5">
        <f>COUNTIF('Entetes_TriNumInterne'!$C$2:$C$723,A587)</f>
        <v/>
      </c>
    </row>
    <row r="588">
      <c r="A588" s="3" t="inlineStr">
        <is>
          <t>001195</t>
        </is>
      </c>
      <c r="B588" s="5">
        <f>COUNTIF('Entetes_TriNumInterne'!$C$2:$C$723,A588)</f>
        <v/>
      </c>
    </row>
    <row r="589">
      <c r="A589" s="3" t="inlineStr">
        <is>
          <t>001196</t>
        </is>
      </c>
      <c r="B589" s="5">
        <f>COUNTIF('Entetes_TriNumInterne'!$C$2:$C$723,A589)</f>
        <v/>
      </c>
    </row>
    <row r="590">
      <c r="A590" s="3" t="inlineStr">
        <is>
          <t>001197</t>
        </is>
      </c>
      <c r="B590" s="5">
        <f>COUNTIF('Entetes_TriNumInterne'!$C$2:$C$723,A590)</f>
        <v/>
      </c>
    </row>
    <row r="591">
      <c r="A591" s="3" t="inlineStr">
        <is>
          <t>001198</t>
        </is>
      </c>
      <c r="B591" s="5">
        <f>COUNTIF('Entetes_TriNumInterne'!$C$2:$C$723,A591)</f>
        <v/>
      </c>
    </row>
    <row r="592">
      <c r="A592" s="3" t="inlineStr">
        <is>
          <t>001199</t>
        </is>
      </c>
      <c r="B592" s="5">
        <f>COUNTIF('Entetes_TriNumInterne'!$C$2:$C$723,A592)</f>
        <v/>
      </c>
    </row>
    <row r="593">
      <c r="A593" s="3" t="inlineStr">
        <is>
          <t>001200</t>
        </is>
      </c>
      <c r="B593" s="5">
        <f>COUNTIF('Entetes_TriNumInterne'!$C$2:$C$723,A593)</f>
        <v/>
      </c>
    </row>
    <row r="594">
      <c r="A594" s="3" t="inlineStr">
        <is>
          <t>001201</t>
        </is>
      </c>
      <c r="B594" s="5">
        <f>COUNTIF('Entetes_TriNumInterne'!$C$2:$C$723,A594)</f>
        <v/>
      </c>
    </row>
    <row r="595">
      <c r="A595" s="3" t="inlineStr">
        <is>
          <t>001202</t>
        </is>
      </c>
      <c r="B595" s="5">
        <f>COUNTIF('Entetes_TriNumInterne'!$C$2:$C$723,A595)</f>
        <v/>
      </c>
    </row>
    <row r="596">
      <c r="A596" s="3" t="inlineStr">
        <is>
          <t>001203</t>
        </is>
      </c>
      <c r="B596" s="5">
        <f>COUNTIF('Entetes_TriNumInterne'!$C$2:$C$723,A596)</f>
        <v/>
      </c>
    </row>
    <row r="597">
      <c r="A597" s="3" t="inlineStr">
        <is>
          <t>001204</t>
        </is>
      </c>
      <c r="B597" s="5">
        <f>COUNTIF('Entetes_TriNumInterne'!$C$2:$C$723,A597)</f>
        <v/>
      </c>
    </row>
    <row r="598">
      <c r="A598" s="3" t="inlineStr">
        <is>
          <t>001205</t>
        </is>
      </c>
      <c r="B598" s="5">
        <f>COUNTIF('Entetes_TriNumInterne'!$C$2:$C$723,A598)</f>
        <v/>
      </c>
    </row>
    <row r="599">
      <c r="A599" s="3" t="inlineStr">
        <is>
          <t>001206</t>
        </is>
      </c>
      <c r="B599" s="5">
        <f>COUNTIF('Entetes_TriNumInterne'!$C$2:$C$723,A599)</f>
        <v/>
      </c>
    </row>
    <row r="600">
      <c r="A600" s="3" t="inlineStr">
        <is>
          <t>001207</t>
        </is>
      </c>
      <c r="B600" s="5">
        <f>COUNTIF('Entetes_TriNumInterne'!$C$2:$C$723,A600)</f>
        <v/>
      </c>
    </row>
    <row r="601">
      <c r="A601" s="3" t="inlineStr">
        <is>
          <t>001208</t>
        </is>
      </c>
      <c r="B601" s="5">
        <f>COUNTIF('Entetes_TriNumInterne'!$C$2:$C$723,A601)</f>
        <v/>
      </c>
    </row>
    <row r="602">
      <c r="A602" s="3" t="inlineStr">
        <is>
          <t>001209</t>
        </is>
      </c>
      <c r="B602" s="5">
        <f>COUNTIF('Entetes_TriNumInterne'!$C$2:$C$723,A602)</f>
        <v/>
      </c>
    </row>
    <row r="603">
      <c r="A603" s="3" t="inlineStr">
        <is>
          <t>001210</t>
        </is>
      </c>
      <c r="B603" s="5">
        <f>COUNTIF('Entetes_TriNumInterne'!$C$2:$C$723,A603)</f>
        <v/>
      </c>
    </row>
    <row r="604">
      <c r="A604" s="3" t="inlineStr">
        <is>
          <t>001211</t>
        </is>
      </c>
      <c r="B604" s="5">
        <f>COUNTIF('Entetes_TriNumInterne'!$C$2:$C$723,A604)</f>
        <v/>
      </c>
    </row>
    <row r="605">
      <c r="A605" s="3" t="inlineStr">
        <is>
          <t>001212</t>
        </is>
      </c>
      <c r="B605" s="5">
        <f>COUNTIF('Entetes_TriNumInterne'!$C$2:$C$723,A605)</f>
        <v/>
      </c>
    </row>
    <row r="606">
      <c r="A606" s="3" t="inlineStr">
        <is>
          <t>001213</t>
        </is>
      </c>
      <c r="B606" s="5">
        <f>COUNTIF('Entetes_TriNumInterne'!$C$2:$C$723,A606)</f>
        <v/>
      </c>
    </row>
    <row r="607">
      <c r="A607" s="3" t="inlineStr">
        <is>
          <t>001214</t>
        </is>
      </c>
      <c r="B607" s="5">
        <f>COUNTIF('Entetes_TriNumInterne'!$C$2:$C$723,A607)</f>
        <v/>
      </c>
    </row>
    <row r="608">
      <c r="A608" s="3" t="inlineStr">
        <is>
          <t>001215</t>
        </is>
      </c>
      <c r="B608" s="5">
        <f>COUNTIF('Entetes_TriNumInterne'!$C$2:$C$723,A608)</f>
        <v/>
      </c>
    </row>
    <row r="609">
      <c r="A609" s="3" t="inlineStr">
        <is>
          <t>001216</t>
        </is>
      </c>
      <c r="B609" s="5">
        <f>COUNTIF('Entetes_TriNumInterne'!$C$2:$C$723,A609)</f>
        <v/>
      </c>
    </row>
    <row r="610">
      <c r="A610" s="3" t="inlineStr">
        <is>
          <t>001217</t>
        </is>
      </c>
      <c r="B610" s="5">
        <f>COUNTIF('Entetes_TriNumInterne'!$C$2:$C$723,A610)</f>
        <v/>
      </c>
    </row>
    <row r="611">
      <c r="A611" s="3" t="inlineStr">
        <is>
          <t>001218</t>
        </is>
      </c>
      <c r="B611" s="5">
        <f>COUNTIF('Entetes_TriNumInterne'!$C$2:$C$723,A611)</f>
        <v/>
      </c>
    </row>
    <row r="612">
      <c r="A612" s="3" t="inlineStr">
        <is>
          <t>001219</t>
        </is>
      </c>
      <c r="B612" s="5">
        <f>COUNTIF('Entetes_TriNumInterne'!$C$2:$C$723,A612)</f>
        <v/>
      </c>
    </row>
    <row r="613">
      <c r="A613" s="3" t="inlineStr">
        <is>
          <t>001220</t>
        </is>
      </c>
      <c r="B613" s="5">
        <f>COUNTIF('Entetes_TriNumInterne'!$C$2:$C$723,A613)</f>
        <v/>
      </c>
    </row>
    <row r="614">
      <c r="A614" s="3" t="inlineStr">
        <is>
          <t>001221</t>
        </is>
      </c>
      <c r="B614" s="5">
        <f>COUNTIF('Entetes_TriNumInterne'!$C$2:$C$723,A614)</f>
        <v/>
      </c>
    </row>
    <row r="615">
      <c r="A615" s="3" t="inlineStr">
        <is>
          <t>001222</t>
        </is>
      </c>
      <c r="B615" s="5">
        <f>COUNTIF('Entetes_TriNumInterne'!$C$2:$C$723,A615)</f>
        <v/>
      </c>
    </row>
    <row r="616">
      <c r="A616" s="3" t="inlineStr">
        <is>
          <t>001223</t>
        </is>
      </c>
      <c r="B616" s="5">
        <f>COUNTIF('Entetes_TriNumInterne'!$C$2:$C$723,A616)</f>
        <v/>
      </c>
    </row>
    <row r="617">
      <c r="A617" s="3" t="inlineStr">
        <is>
          <t>001224</t>
        </is>
      </c>
      <c r="B617" s="5">
        <f>COUNTIF('Entetes_TriNumInterne'!$C$2:$C$723,A617)</f>
        <v/>
      </c>
    </row>
    <row r="618">
      <c r="A618" s="3" t="inlineStr">
        <is>
          <t>001225</t>
        </is>
      </c>
      <c r="B618" s="5">
        <f>COUNTIF('Entetes_TriNumInterne'!$C$2:$C$723,A618)</f>
        <v/>
      </c>
    </row>
    <row r="619">
      <c r="A619" s="3" t="inlineStr">
        <is>
          <t>001226</t>
        </is>
      </c>
      <c r="B619" s="5">
        <f>COUNTIF('Entetes_TriNumInterne'!$C$2:$C$723,A619)</f>
        <v/>
      </c>
    </row>
    <row r="620">
      <c r="A620" s="3" t="inlineStr">
        <is>
          <t>001227</t>
        </is>
      </c>
      <c r="B620" s="5">
        <f>COUNTIF('Entetes_TriNumInterne'!$C$2:$C$723,A620)</f>
        <v/>
      </c>
    </row>
    <row r="621">
      <c r="A621" s="3" t="inlineStr">
        <is>
          <t>001228</t>
        </is>
      </c>
      <c r="B621" s="5">
        <f>COUNTIF('Entetes_TriNumInterne'!$C$2:$C$723,A621)</f>
        <v/>
      </c>
    </row>
    <row r="622">
      <c r="A622" s="3" t="inlineStr">
        <is>
          <t>001229</t>
        </is>
      </c>
      <c r="B622" s="5">
        <f>COUNTIF('Entetes_TriNumInterne'!$C$2:$C$723,A622)</f>
        <v/>
      </c>
    </row>
    <row r="623">
      <c r="A623" s="3" t="inlineStr">
        <is>
          <t>001230</t>
        </is>
      </c>
      <c r="B623" s="5">
        <f>COUNTIF('Entetes_TriNumInterne'!$C$2:$C$723,A623)</f>
        <v/>
      </c>
    </row>
    <row r="624">
      <c r="A624" s="3" t="inlineStr">
        <is>
          <t>001231</t>
        </is>
      </c>
      <c r="B624" s="5">
        <f>COUNTIF('Entetes_TriNumInterne'!$C$2:$C$723,A624)</f>
        <v/>
      </c>
    </row>
    <row r="625">
      <c r="A625" s="3" t="inlineStr">
        <is>
          <t>001232</t>
        </is>
      </c>
      <c r="B625" s="5">
        <f>COUNTIF('Entetes_TriNumInterne'!$C$2:$C$723,A625)</f>
        <v/>
      </c>
    </row>
    <row r="626">
      <c r="A626" s="3" t="inlineStr">
        <is>
          <t>001233</t>
        </is>
      </c>
      <c r="B626" s="5">
        <f>COUNTIF('Entetes_TriNumInterne'!$C$2:$C$723,A626)</f>
        <v/>
      </c>
    </row>
    <row r="627">
      <c r="A627" s="3" t="inlineStr">
        <is>
          <t>001234</t>
        </is>
      </c>
      <c r="B627" s="5">
        <f>COUNTIF('Entetes_TriNumInterne'!$C$2:$C$723,A627)</f>
        <v/>
      </c>
    </row>
    <row r="628">
      <c r="A628" s="3" t="inlineStr">
        <is>
          <t>001235</t>
        </is>
      </c>
      <c r="B628" s="5">
        <f>COUNTIF('Entetes_TriNumInterne'!$C$2:$C$723,A628)</f>
        <v/>
      </c>
    </row>
    <row r="629">
      <c r="A629" s="3" t="inlineStr">
        <is>
          <t>001236</t>
        </is>
      </c>
      <c r="B629" s="5">
        <f>COUNTIF('Entetes_TriNumInterne'!$C$2:$C$723,A629)</f>
        <v/>
      </c>
    </row>
    <row r="630">
      <c r="A630" s="3" t="inlineStr">
        <is>
          <t>001237</t>
        </is>
      </c>
      <c r="B630" s="5">
        <f>COUNTIF('Entetes_TriNumInterne'!$C$2:$C$723,A630)</f>
        <v/>
      </c>
    </row>
    <row r="631">
      <c r="A631" s="3" t="inlineStr">
        <is>
          <t>001238</t>
        </is>
      </c>
      <c r="B631" s="5">
        <f>COUNTIF('Entetes_TriNumInterne'!$C$2:$C$723,A631)</f>
        <v/>
      </c>
    </row>
    <row r="632">
      <c r="A632" s="3" t="inlineStr">
        <is>
          <t>001239</t>
        </is>
      </c>
      <c r="B632" s="5">
        <f>COUNTIF('Entetes_TriNumInterne'!$C$2:$C$723,A632)</f>
        <v/>
      </c>
    </row>
    <row r="633">
      <c r="A633" s="3" t="inlineStr">
        <is>
          <t>001240</t>
        </is>
      </c>
      <c r="B633" s="5">
        <f>COUNTIF('Entetes_TriNumInterne'!$C$2:$C$723,A633)</f>
        <v/>
      </c>
    </row>
    <row r="634">
      <c r="A634" s="3" t="inlineStr">
        <is>
          <t>001241</t>
        </is>
      </c>
      <c r="B634" s="5">
        <f>COUNTIF('Entetes_TriNumInterne'!$C$2:$C$723,A634)</f>
        <v/>
      </c>
    </row>
    <row r="635">
      <c r="A635" s="3" t="inlineStr">
        <is>
          <t>001242</t>
        </is>
      </c>
      <c r="B635" s="5">
        <f>COUNTIF('Entetes_TriNumInterne'!$C$2:$C$723,A635)</f>
        <v/>
      </c>
    </row>
    <row r="636">
      <c r="A636" s="3" t="inlineStr">
        <is>
          <t>001243</t>
        </is>
      </c>
      <c r="B636" s="5">
        <f>COUNTIF('Entetes_TriNumInterne'!$C$2:$C$723,A636)</f>
        <v/>
      </c>
    </row>
    <row r="637">
      <c r="A637" s="3" t="inlineStr">
        <is>
          <t>001244</t>
        </is>
      </c>
      <c r="B637" s="5">
        <f>COUNTIF('Entetes_TriNumInterne'!$C$2:$C$723,A637)</f>
        <v/>
      </c>
    </row>
    <row r="638">
      <c r="A638" s="3" t="inlineStr">
        <is>
          <t>001245</t>
        </is>
      </c>
      <c r="B638" s="5">
        <f>COUNTIF('Entetes_TriNumInterne'!$C$2:$C$723,A638)</f>
        <v/>
      </c>
    </row>
    <row r="639">
      <c r="A639" s="3" t="inlineStr">
        <is>
          <t>001246</t>
        </is>
      </c>
      <c r="B639" s="5">
        <f>COUNTIF('Entetes_TriNumInterne'!$C$2:$C$723,A639)</f>
        <v/>
      </c>
    </row>
    <row r="640">
      <c r="A640" s="3" t="inlineStr">
        <is>
          <t>001247</t>
        </is>
      </c>
      <c r="B640" s="5">
        <f>COUNTIF('Entetes_TriNumInterne'!$C$2:$C$723,A640)</f>
        <v/>
      </c>
    </row>
    <row r="641">
      <c r="A641" s="3" t="inlineStr">
        <is>
          <t>001248</t>
        </is>
      </c>
      <c r="B641" s="5">
        <f>COUNTIF('Entetes_TriNumInterne'!$C$2:$C$723,A641)</f>
        <v/>
      </c>
    </row>
    <row r="642">
      <c r="A642" s="3" t="inlineStr">
        <is>
          <t>001249</t>
        </is>
      </c>
      <c r="B642" s="5">
        <f>COUNTIF('Entetes_TriNumInterne'!$C$2:$C$723,A642)</f>
        <v/>
      </c>
    </row>
    <row r="643">
      <c r="A643" s="3" t="inlineStr">
        <is>
          <t>001250</t>
        </is>
      </c>
      <c r="B643" s="5">
        <f>COUNTIF('Entetes_TriNumInterne'!$C$2:$C$723,A643)</f>
        <v/>
      </c>
    </row>
    <row r="644">
      <c r="A644" s="3" t="inlineStr">
        <is>
          <t>001251</t>
        </is>
      </c>
      <c r="B644" s="5">
        <f>COUNTIF('Entetes_TriNumInterne'!$C$2:$C$723,A644)</f>
        <v/>
      </c>
    </row>
    <row r="645">
      <c r="A645" s="3" t="inlineStr">
        <is>
          <t>001252</t>
        </is>
      </c>
      <c r="B645" s="5">
        <f>COUNTIF('Entetes_TriNumInterne'!$C$2:$C$723,A645)</f>
        <v/>
      </c>
    </row>
    <row r="646">
      <c r="A646" s="3" t="inlineStr">
        <is>
          <t>001253</t>
        </is>
      </c>
      <c r="B646" s="5">
        <f>COUNTIF('Entetes_TriNumInterne'!$C$2:$C$723,A646)</f>
        <v/>
      </c>
    </row>
    <row r="647">
      <c r="A647" s="3" t="inlineStr">
        <is>
          <t>001254</t>
        </is>
      </c>
      <c r="B647" s="5">
        <f>COUNTIF('Entetes_TriNumInterne'!$C$2:$C$723,A647)</f>
        <v/>
      </c>
    </row>
    <row r="648">
      <c r="A648" s="3" t="inlineStr">
        <is>
          <t>001255</t>
        </is>
      </c>
      <c r="B648" s="5">
        <f>COUNTIF('Entetes_TriNumInterne'!$C$2:$C$723,A648)</f>
        <v/>
      </c>
    </row>
    <row r="649">
      <c r="A649" s="3" t="inlineStr">
        <is>
          <t>001256</t>
        </is>
      </c>
      <c r="B649" s="5">
        <f>COUNTIF('Entetes_TriNumInterne'!$C$2:$C$723,A649)</f>
        <v/>
      </c>
    </row>
    <row r="650">
      <c r="A650" s="3" t="inlineStr">
        <is>
          <t>001257</t>
        </is>
      </c>
      <c r="B650" s="5">
        <f>COUNTIF('Entetes_TriNumInterne'!$C$2:$C$723,A650)</f>
        <v/>
      </c>
    </row>
    <row r="651">
      <c r="A651" s="3" t="inlineStr">
        <is>
          <t>001258</t>
        </is>
      </c>
      <c r="B651" s="5">
        <f>COUNTIF('Entetes_TriNumInterne'!$C$2:$C$723,A651)</f>
        <v/>
      </c>
    </row>
    <row r="652">
      <c r="A652" s="3" t="inlineStr">
        <is>
          <t>001259</t>
        </is>
      </c>
      <c r="B652" s="5">
        <f>COUNTIF('Entetes_TriNumInterne'!$C$2:$C$723,A652)</f>
        <v/>
      </c>
    </row>
    <row r="653">
      <c r="A653" s="3" t="inlineStr">
        <is>
          <t>001260</t>
        </is>
      </c>
      <c r="B653" s="5">
        <f>COUNTIF('Entetes_TriNumInterne'!$C$2:$C$723,A653)</f>
        <v/>
      </c>
    </row>
    <row r="654">
      <c r="A654" s="3" t="inlineStr">
        <is>
          <t>001261</t>
        </is>
      </c>
      <c r="B654" s="5">
        <f>COUNTIF('Entetes_TriNumInterne'!$C$2:$C$723,A654)</f>
        <v/>
      </c>
    </row>
    <row r="655">
      <c r="A655" s="3" t="inlineStr">
        <is>
          <t>001262</t>
        </is>
      </c>
      <c r="B655" s="5">
        <f>COUNTIF('Entetes_TriNumInterne'!$C$2:$C$723,A655)</f>
        <v/>
      </c>
    </row>
    <row r="656">
      <c r="A656" s="3" t="inlineStr">
        <is>
          <t>001263</t>
        </is>
      </c>
      <c r="B656" s="5">
        <f>COUNTIF('Entetes_TriNumInterne'!$C$2:$C$723,A656)</f>
        <v/>
      </c>
    </row>
    <row r="657">
      <c r="A657" s="3" t="inlineStr">
        <is>
          <t>001264</t>
        </is>
      </c>
      <c r="B657" s="5">
        <f>COUNTIF('Entetes_TriNumInterne'!$C$2:$C$723,A657)</f>
        <v/>
      </c>
    </row>
    <row r="658">
      <c r="A658" s="3" t="inlineStr">
        <is>
          <t>001265</t>
        </is>
      </c>
      <c r="B658" s="5">
        <f>COUNTIF('Entetes_TriNumInterne'!$C$2:$C$723,A658)</f>
        <v/>
      </c>
    </row>
    <row r="659">
      <c r="A659" s="3" t="inlineStr">
        <is>
          <t>001266</t>
        </is>
      </c>
      <c r="B659" s="5">
        <f>COUNTIF('Entetes_TriNumInterne'!$C$2:$C$723,A659)</f>
        <v/>
      </c>
    </row>
    <row r="660">
      <c r="A660" s="3" t="inlineStr">
        <is>
          <t>001267</t>
        </is>
      </c>
      <c r="B660" s="5">
        <f>COUNTIF('Entetes_TriNumInterne'!$C$2:$C$723,A660)</f>
        <v/>
      </c>
    </row>
    <row r="661">
      <c r="A661" s="3" t="inlineStr">
        <is>
          <t>001268</t>
        </is>
      </c>
      <c r="B661" s="5">
        <f>COUNTIF('Entetes_TriNumInterne'!$C$2:$C$723,A661)</f>
        <v/>
      </c>
    </row>
    <row r="662">
      <c r="A662" s="3" t="inlineStr">
        <is>
          <t>001269</t>
        </is>
      </c>
      <c r="B662" s="5">
        <f>COUNTIF('Entetes_TriNumInterne'!$C$2:$C$723,A662)</f>
        <v/>
      </c>
    </row>
    <row r="663">
      <c r="A663" s="3" t="inlineStr">
        <is>
          <t>001270</t>
        </is>
      </c>
      <c r="B663" s="5">
        <f>COUNTIF('Entetes_TriNumInterne'!$C$2:$C$723,A663)</f>
        <v/>
      </c>
    </row>
    <row r="664">
      <c r="A664" s="3" t="inlineStr">
        <is>
          <t>001271</t>
        </is>
      </c>
      <c r="B664" s="5">
        <f>COUNTIF('Entetes_TriNumInterne'!$C$2:$C$723,A664)</f>
        <v/>
      </c>
    </row>
    <row r="665">
      <c r="A665" s="3" t="inlineStr">
        <is>
          <t>001272</t>
        </is>
      </c>
      <c r="B665" s="5">
        <f>COUNTIF('Entetes_TriNumInterne'!$C$2:$C$723,A665)</f>
        <v/>
      </c>
    </row>
    <row r="666">
      <c r="A666" s="3" t="inlineStr">
        <is>
          <t>001273</t>
        </is>
      </c>
      <c r="B666" s="5">
        <f>COUNTIF('Entetes_TriNumInterne'!$C$2:$C$723,A666)</f>
        <v/>
      </c>
    </row>
    <row r="667">
      <c r="A667" s="3" t="inlineStr">
        <is>
          <t>001274</t>
        </is>
      </c>
      <c r="B667" s="5">
        <f>COUNTIF('Entetes_TriNumInterne'!$C$2:$C$723,A667)</f>
        <v/>
      </c>
    </row>
    <row r="668">
      <c r="A668" s="3" t="inlineStr">
        <is>
          <t>001275</t>
        </is>
      </c>
      <c r="B668" s="5">
        <f>COUNTIF('Entetes_TriNumInterne'!$C$2:$C$723,A668)</f>
        <v/>
      </c>
    </row>
    <row r="669">
      <c r="A669" s="3" t="inlineStr">
        <is>
          <t>001276</t>
        </is>
      </c>
      <c r="B669" s="5">
        <f>COUNTIF('Entetes_TriNumInterne'!$C$2:$C$723,A669)</f>
        <v/>
      </c>
    </row>
    <row r="670">
      <c r="A670" s="3" t="inlineStr">
        <is>
          <t>001277</t>
        </is>
      </c>
      <c r="B670" s="5">
        <f>COUNTIF('Entetes_TriNumInterne'!$C$2:$C$723,A670)</f>
        <v/>
      </c>
    </row>
    <row r="671">
      <c r="A671" s="3" t="inlineStr">
        <is>
          <t>001278</t>
        </is>
      </c>
      <c r="B671" s="5">
        <f>COUNTIF('Entetes_TriNumInterne'!$C$2:$C$723,A671)</f>
        <v/>
      </c>
    </row>
    <row r="672">
      <c r="A672" s="3" t="inlineStr">
        <is>
          <t>001279</t>
        </is>
      </c>
      <c r="B672" s="5">
        <f>COUNTIF('Entetes_TriNumInterne'!$C$2:$C$723,A672)</f>
        <v/>
      </c>
    </row>
    <row r="673">
      <c r="A673" s="3" t="inlineStr">
        <is>
          <t>001280</t>
        </is>
      </c>
      <c r="B673" s="5">
        <f>COUNTIF('Entetes_TriNumInterne'!$C$2:$C$723,A673)</f>
        <v/>
      </c>
    </row>
    <row r="674">
      <c r="A674" s="3" t="inlineStr">
        <is>
          <t>001281</t>
        </is>
      </c>
      <c r="B674" s="5">
        <f>COUNTIF('Entetes_TriNumInterne'!$C$2:$C$723,A674)</f>
        <v/>
      </c>
    </row>
    <row r="675">
      <c r="A675" s="3" t="inlineStr">
        <is>
          <t>001282</t>
        </is>
      </c>
      <c r="B675" s="5">
        <f>COUNTIF('Entetes_TriNumInterne'!$C$2:$C$723,A675)</f>
        <v/>
      </c>
    </row>
    <row r="676">
      <c r="A676" s="3" t="inlineStr">
        <is>
          <t>001283</t>
        </is>
      </c>
      <c r="B676" s="5">
        <f>COUNTIF('Entetes_TriNumInterne'!$C$2:$C$723,A676)</f>
        <v/>
      </c>
    </row>
    <row r="677">
      <c r="A677" s="3" t="inlineStr">
        <is>
          <t>001284</t>
        </is>
      </c>
      <c r="B677" s="5">
        <f>COUNTIF('Entetes_TriNumInterne'!$C$2:$C$723,A677)</f>
        <v/>
      </c>
    </row>
    <row r="678">
      <c r="A678" s="3" t="inlineStr">
        <is>
          <t>001285</t>
        </is>
      </c>
      <c r="B678" s="5">
        <f>COUNTIF('Entetes_TriNumInterne'!$C$2:$C$723,A678)</f>
        <v/>
      </c>
    </row>
    <row r="679">
      <c r="A679" s="3" t="inlineStr">
        <is>
          <t>001286</t>
        </is>
      </c>
      <c r="B679" s="5">
        <f>COUNTIF('Entetes_TriNumInterne'!$C$2:$C$723,A679)</f>
        <v/>
      </c>
    </row>
    <row r="680">
      <c r="A680" s="3" t="inlineStr">
        <is>
          <t>001287</t>
        </is>
      </c>
      <c r="B680" s="5">
        <f>COUNTIF('Entetes_TriNumInterne'!$C$2:$C$723,A680)</f>
        <v/>
      </c>
    </row>
    <row r="681">
      <c r="A681" s="3" t="inlineStr">
        <is>
          <t>001288</t>
        </is>
      </c>
      <c r="B681" s="5">
        <f>COUNTIF('Entetes_TriNumInterne'!$C$2:$C$723,A681)</f>
        <v/>
      </c>
    </row>
    <row r="682">
      <c r="A682" s="3" t="inlineStr">
        <is>
          <t>001289</t>
        </is>
      </c>
      <c r="B682" s="5">
        <f>COUNTIF('Entetes_TriNumInterne'!$C$2:$C$723,A682)</f>
        <v/>
      </c>
    </row>
    <row r="683">
      <c r="A683" s="3" t="inlineStr">
        <is>
          <t>001290</t>
        </is>
      </c>
      <c r="B683" s="5">
        <f>COUNTIF('Entetes_TriNumInterne'!$C$2:$C$723,A683)</f>
        <v/>
      </c>
    </row>
    <row r="684">
      <c r="A684" s="3" t="inlineStr">
        <is>
          <t>001291</t>
        </is>
      </c>
      <c r="B684" s="5">
        <f>COUNTIF('Entetes_TriNumInterne'!$C$2:$C$723,A684)</f>
        <v/>
      </c>
    </row>
    <row r="685">
      <c r="A685" s="3" t="inlineStr">
        <is>
          <t>001292</t>
        </is>
      </c>
      <c r="B685" s="5">
        <f>COUNTIF('Entetes_TriNumInterne'!$C$2:$C$723,A685)</f>
        <v/>
      </c>
    </row>
    <row r="686">
      <c r="A686" s="3" t="inlineStr">
        <is>
          <t>001293</t>
        </is>
      </c>
      <c r="B686" s="5">
        <f>COUNTIF('Entetes_TriNumInterne'!$C$2:$C$723,A686)</f>
        <v/>
      </c>
    </row>
    <row r="687">
      <c r="A687" s="3" t="inlineStr">
        <is>
          <t>001294</t>
        </is>
      </c>
      <c r="B687" s="5">
        <f>COUNTIF('Entetes_TriNumInterne'!$C$2:$C$723,A687)</f>
        <v/>
      </c>
    </row>
    <row r="688">
      <c r="A688" s="3" t="inlineStr">
        <is>
          <t>001295</t>
        </is>
      </c>
      <c r="B688" s="5">
        <f>COUNTIF('Entetes_TriNumInterne'!$C$2:$C$723,A688)</f>
        <v/>
      </c>
    </row>
    <row r="689">
      <c r="A689" s="3" t="inlineStr">
        <is>
          <t>001296</t>
        </is>
      </c>
      <c r="B689" s="5">
        <f>COUNTIF('Entetes_TriNumInterne'!$C$2:$C$723,A689)</f>
        <v/>
      </c>
    </row>
    <row r="690">
      <c r="A690" s="3" t="inlineStr">
        <is>
          <t>001297</t>
        </is>
      </c>
      <c r="B690" s="5">
        <f>COUNTIF('Entetes_TriNumInterne'!$C$2:$C$723,A690)</f>
        <v/>
      </c>
    </row>
    <row r="691">
      <c r="A691" s="3" t="inlineStr">
        <is>
          <t>001298</t>
        </is>
      </c>
      <c r="B691" s="5">
        <f>COUNTIF('Entetes_TriNumInterne'!$C$2:$C$723,A691)</f>
        <v/>
      </c>
    </row>
    <row r="692">
      <c r="A692" s="3" t="inlineStr">
        <is>
          <t>001299</t>
        </is>
      </c>
      <c r="B692" s="5">
        <f>COUNTIF('Entetes_TriNumInterne'!$C$2:$C$723,A692)</f>
        <v/>
      </c>
    </row>
    <row r="693">
      <c r="A693" s="3" t="inlineStr">
        <is>
          <t>001300</t>
        </is>
      </c>
      <c r="B693" s="5">
        <f>COUNTIF('Entetes_TriNumInterne'!$C$2:$C$723,A693)</f>
        <v/>
      </c>
    </row>
    <row r="694">
      <c r="A694" s="3" t="inlineStr">
        <is>
          <t>001301</t>
        </is>
      </c>
      <c r="B694" s="5">
        <f>COUNTIF('Entetes_TriNumInterne'!$C$2:$C$723,A694)</f>
        <v/>
      </c>
    </row>
    <row r="695">
      <c r="A695" s="3" t="inlineStr">
        <is>
          <t>001302</t>
        </is>
      </c>
      <c r="B695" s="5">
        <f>COUNTIF('Entetes_TriNumInterne'!$C$2:$C$723,A695)</f>
        <v/>
      </c>
    </row>
    <row r="696">
      <c r="A696" s="3" t="inlineStr">
        <is>
          <t>001303</t>
        </is>
      </c>
      <c r="B696" s="5">
        <f>COUNTIF('Entetes_TriNumInterne'!$C$2:$C$723,A696)</f>
        <v/>
      </c>
    </row>
    <row r="697">
      <c r="A697" s="3" t="inlineStr">
        <is>
          <t>001304</t>
        </is>
      </c>
      <c r="B697" s="5">
        <f>COUNTIF('Entetes_TriNumInterne'!$C$2:$C$723,A697)</f>
        <v/>
      </c>
    </row>
    <row r="698">
      <c r="A698" s="3" t="inlineStr">
        <is>
          <t>001305</t>
        </is>
      </c>
      <c r="B698" s="5">
        <f>COUNTIF('Entetes_TriNumInterne'!$C$2:$C$723,A698)</f>
        <v/>
      </c>
    </row>
    <row r="699">
      <c r="A699" s="3" t="inlineStr">
        <is>
          <t>001306</t>
        </is>
      </c>
      <c r="B699" s="5">
        <f>COUNTIF('Entetes_TriNumInterne'!$C$2:$C$723,A699)</f>
        <v/>
      </c>
    </row>
    <row r="700">
      <c r="A700" s="3" t="inlineStr">
        <is>
          <t>001307</t>
        </is>
      </c>
      <c r="B700" s="5">
        <f>COUNTIF('Entetes_TriNumInterne'!$C$2:$C$723,A700)</f>
        <v/>
      </c>
    </row>
    <row r="701">
      <c r="A701" s="3" t="inlineStr">
        <is>
          <t>001308</t>
        </is>
      </c>
      <c r="B701" s="5">
        <f>COUNTIF('Entetes_TriNumInterne'!$C$2:$C$723,A701)</f>
        <v/>
      </c>
    </row>
    <row r="702">
      <c r="A702" s="3" t="inlineStr">
        <is>
          <t>001309</t>
        </is>
      </c>
      <c r="B702" s="5">
        <f>COUNTIF('Entetes_TriNumInterne'!$C$2:$C$723,A702)</f>
        <v/>
      </c>
    </row>
    <row r="703">
      <c r="A703" s="3" t="inlineStr">
        <is>
          <t>001310</t>
        </is>
      </c>
      <c r="B703" s="5">
        <f>COUNTIF('Entetes_TriNumInterne'!$C$2:$C$723,A703)</f>
        <v/>
      </c>
    </row>
    <row r="704">
      <c r="A704" s="3" t="inlineStr">
        <is>
          <t>001311</t>
        </is>
      </c>
      <c r="B704" s="5">
        <f>COUNTIF('Entetes_TriNumInterne'!$C$2:$C$723,A704)</f>
        <v/>
      </c>
    </row>
    <row r="705">
      <c r="A705" s="3" t="inlineStr">
        <is>
          <t>001312</t>
        </is>
      </c>
      <c r="B705" s="5">
        <f>COUNTIF('Entetes_TriNumInterne'!$C$2:$C$723,A705)</f>
        <v/>
      </c>
    </row>
    <row r="706">
      <c r="A706" s="3" t="inlineStr">
        <is>
          <t>001313</t>
        </is>
      </c>
      <c r="B706" s="5">
        <f>COUNTIF('Entetes_TriNumInterne'!$C$2:$C$723,A706)</f>
        <v/>
      </c>
    </row>
    <row r="707">
      <c r="A707" s="3" t="inlineStr">
        <is>
          <t>001314</t>
        </is>
      </c>
      <c r="B707" s="5">
        <f>COUNTIF('Entetes_TriNumInterne'!$C$2:$C$723,A707)</f>
        <v/>
      </c>
    </row>
    <row r="708">
      <c r="A708" s="3" t="inlineStr">
        <is>
          <t>001315</t>
        </is>
      </c>
      <c r="B708" s="5">
        <f>COUNTIF('Entetes_TriNumInterne'!$C$2:$C$723,A708)</f>
        <v/>
      </c>
    </row>
    <row r="709">
      <c r="A709" s="3" t="inlineStr">
        <is>
          <t>001316</t>
        </is>
      </c>
      <c r="B709" s="5">
        <f>COUNTIF('Entetes_TriNumInterne'!$C$2:$C$723,A709)</f>
        <v/>
      </c>
    </row>
    <row r="710">
      <c r="A710" s="3" t="inlineStr">
        <is>
          <t>001317</t>
        </is>
      </c>
      <c r="B710" s="5">
        <f>COUNTIF('Entetes_TriNumInterne'!$C$2:$C$723,A710)</f>
        <v/>
      </c>
    </row>
    <row r="711">
      <c r="A711" s="3" t="inlineStr">
        <is>
          <t>001318</t>
        </is>
      </c>
      <c r="B711" s="5">
        <f>COUNTIF('Entetes_TriNumInterne'!$C$2:$C$723,A711)</f>
        <v/>
      </c>
    </row>
    <row r="712">
      <c r="A712" s="3" t="inlineStr">
        <is>
          <t>001319</t>
        </is>
      </c>
      <c r="B712" s="5">
        <f>COUNTIF('Entetes_TriNumInterne'!$C$2:$C$723,A712)</f>
        <v/>
      </c>
    </row>
    <row r="713">
      <c r="A713" s="3" t="inlineStr">
        <is>
          <t>001320</t>
        </is>
      </c>
      <c r="B713" s="5">
        <f>COUNTIF('Entetes_TriNumInterne'!$C$2:$C$723,A713)</f>
        <v/>
      </c>
    </row>
    <row r="714">
      <c r="A714" s="3" t="inlineStr">
        <is>
          <t>001321</t>
        </is>
      </c>
      <c r="B714" s="5">
        <f>COUNTIF('Entetes_TriNumInterne'!$C$2:$C$723,A714)</f>
        <v/>
      </c>
    </row>
    <row r="715">
      <c r="A715" s="3" t="inlineStr">
        <is>
          <t>001322</t>
        </is>
      </c>
      <c r="B715" s="5">
        <f>COUNTIF('Entetes_TriNumInterne'!$C$2:$C$723,A715)</f>
        <v/>
      </c>
    </row>
    <row r="716">
      <c r="A716" s="3" t="inlineStr">
        <is>
          <t>001323</t>
        </is>
      </c>
      <c r="B716" s="5">
        <f>COUNTIF('Entetes_TriNumInterne'!$C$2:$C$723,A716)</f>
        <v/>
      </c>
    </row>
    <row r="717">
      <c r="A717" s="3" t="inlineStr">
        <is>
          <t>001324</t>
        </is>
      </c>
      <c r="B717" s="5">
        <f>COUNTIF('Entetes_TriNumInterne'!$C$2:$C$723,A717)</f>
        <v/>
      </c>
    </row>
    <row r="718">
      <c r="A718" s="3" t="inlineStr">
        <is>
          <t>001325</t>
        </is>
      </c>
      <c r="B718" s="5">
        <f>COUNTIF('Entetes_TriNumInterne'!$C$2:$C$723,A718)</f>
        <v/>
      </c>
    </row>
    <row r="719">
      <c r="A719" s="3" t="inlineStr">
        <is>
          <t>001326</t>
        </is>
      </c>
      <c r="B719" s="5">
        <f>COUNTIF('Entetes_TriNumInterne'!$C$2:$C$723,A719)</f>
        <v/>
      </c>
    </row>
    <row r="720">
      <c r="A720" s="3" t="inlineStr">
        <is>
          <t>001327</t>
        </is>
      </c>
      <c r="B720" s="5">
        <f>COUNTIF('Entetes_TriNumInterne'!$C$2:$C$723,A720)</f>
        <v/>
      </c>
    </row>
    <row r="721">
      <c r="A721" s="3" t="inlineStr">
        <is>
          <t>001328</t>
        </is>
      </c>
      <c r="B721" s="5">
        <f>COUNTIF('Entetes_TriNumInterne'!$C$2:$C$723,A721)</f>
        <v/>
      </c>
    </row>
    <row r="722">
      <c r="A722" s="3" t="inlineStr">
        <is>
          <t>001329</t>
        </is>
      </c>
      <c r="B722" s="5">
        <f>COUNTIF('Entetes_TriNumInterne'!$C$2:$C$723,A722)</f>
        <v/>
      </c>
    </row>
    <row r="723">
      <c r="A723" s="3" t="inlineStr">
        <is>
          <t>001330</t>
        </is>
      </c>
      <c r="B723" s="5">
        <f>COUNTIF('Entetes_TriNumInterne'!$C$2:$C$723,A723)</f>
        <v/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AUCUN</t>
        </is>
      </c>
      <c r="B2" s="5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AJ_TOTAL_HT</t>
        </is>
      </c>
      <c r="T1" s="1" t="inlineStr">
        <is>
          <t>AJ_TOTAL_TVA_20</t>
        </is>
      </c>
      <c r="U1" s="1" t="inlineStr">
        <is>
          <t>AJ_ANNEE</t>
        </is>
      </c>
      <c r="V1" s="1" t="inlineStr">
        <is>
          <t>AJ_MOIS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>
        <f>SUM(F2:I2)+N2</f>
        <v/>
      </c>
      <c r="T2" s="5">
        <f>J2</f>
        <v/>
      </c>
      <c r="U2" s="6">
        <f>YEAR(D2)</f>
        <v/>
      </c>
      <c r="V2" s="5">
        <f>TEXT(D2,"yyyy-mm")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  <c r="S3" s="5">
        <f>SUM(F3:I3)+N3</f>
        <v/>
      </c>
      <c r="T3" s="5">
        <f>J3</f>
        <v/>
      </c>
      <c r="U3" s="6">
        <f>YEAR(D3)</f>
        <v/>
      </c>
      <c r="V3" s="5">
        <f>TEXT(D3,"yyyy-mm")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  <c r="S4" s="5">
        <f>SUM(F4:I4)+N4</f>
        <v/>
      </c>
      <c r="T4" s="5">
        <f>J4</f>
        <v/>
      </c>
      <c r="U4" s="6">
        <f>YEAR(D4)</f>
        <v/>
      </c>
      <c r="V4" s="5">
        <f>TEXT(D4,"yyyy-mm")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  <c r="S5" s="5">
        <f>SUM(F5:I5)+N5</f>
        <v/>
      </c>
      <c r="T5" s="5">
        <f>J5</f>
        <v/>
      </c>
      <c r="U5" s="6">
        <f>YEAR(D5)</f>
        <v/>
      </c>
      <c r="V5" s="5">
        <f>TEXT(D5,"yyyy-mm")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  <c r="S6" s="5">
        <f>SUM(F6:I6)+N6</f>
        <v/>
      </c>
      <c r="T6" s="5">
        <f>J6</f>
        <v/>
      </c>
      <c r="U6" s="6">
        <f>YEAR(D6)</f>
        <v/>
      </c>
      <c r="V6" s="5">
        <f>TEXT(D6,"yyyy-mm")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  <c r="S7" s="5">
        <f>SUM(F7:I7)+N7</f>
        <v/>
      </c>
      <c r="T7" s="5">
        <f>J7</f>
        <v/>
      </c>
      <c r="U7" s="6">
        <f>YEAR(D7)</f>
        <v/>
      </c>
      <c r="V7" s="5">
        <f>TEXT(D7,"yyyy-mm")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  <c r="S8" s="5">
        <f>SUM(F8:I8)+N8</f>
        <v/>
      </c>
      <c r="T8" s="5">
        <f>J8</f>
        <v/>
      </c>
      <c r="U8" s="6">
        <f>YEAR(D8)</f>
        <v/>
      </c>
      <c r="V8" s="5">
        <f>TEXT(D8,"yyyy-mm")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  <c r="S9" s="5">
        <f>SUM(F9:I9)+N9</f>
        <v/>
      </c>
      <c r="T9" s="5">
        <f>J9</f>
        <v/>
      </c>
      <c r="U9" s="6">
        <f>YEAR(D9)</f>
        <v/>
      </c>
      <c r="V9" s="5">
        <f>TEXT(D9,"yyyy-mm")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  <c r="S10" s="5">
        <f>SUM(F10:I10)+N10</f>
        <v/>
      </c>
      <c r="T10" s="5">
        <f>J10</f>
        <v/>
      </c>
      <c r="U10" s="6">
        <f>YEAR(D10)</f>
        <v/>
      </c>
      <c r="V10" s="5">
        <f>TEXT(D10,"yyyy-mm")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  <c r="S11" s="5">
        <f>SUM(F11:I11)+N11</f>
        <v/>
      </c>
      <c r="T11" s="5">
        <f>J11</f>
        <v/>
      </c>
      <c r="U11" s="6">
        <f>YEAR(D11)</f>
        <v/>
      </c>
      <c r="V11" s="5">
        <f>TEXT(D11,"yyyy-mm")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  <c r="S12" s="5">
        <f>SUM(F12:I12)+N12</f>
        <v/>
      </c>
      <c r="T12" s="5">
        <f>J12</f>
        <v/>
      </c>
      <c r="U12" s="6">
        <f>YEAR(D12)</f>
        <v/>
      </c>
      <c r="V12" s="5">
        <f>TEXT(D12,"yyyy-mm")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  <c r="S13" s="5">
        <f>SUM(F13:I13)+N13</f>
        <v/>
      </c>
      <c r="T13" s="5">
        <f>J13</f>
        <v/>
      </c>
      <c r="U13" s="6">
        <f>YEAR(D13)</f>
        <v/>
      </c>
      <c r="V13" s="5">
        <f>TEXT(D13,"yyyy-mm")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  <c r="S14" s="5">
        <f>SUM(F14:I14)+N14</f>
        <v/>
      </c>
      <c r="T14" s="5">
        <f>J14</f>
        <v/>
      </c>
      <c r="U14" s="6">
        <f>YEAR(D14)</f>
        <v/>
      </c>
      <c r="V14" s="5">
        <f>TEXT(D14,"yyyy-mm")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  <c r="S15" s="5">
        <f>SUM(F15:I15)+N15</f>
        <v/>
      </c>
      <c r="T15" s="5">
        <f>J15</f>
        <v/>
      </c>
      <c r="U15" s="6">
        <f>YEAR(D15)</f>
        <v/>
      </c>
      <c r="V15" s="5">
        <f>TEXT(D15,"yyyy-mm")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  <c r="S16" s="5">
        <f>SUM(F16:I16)+N16</f>
        <v/>
      </c>
      <c r="T16" s="5">
        <f>J16</f>
        <v/>
      </c>
      <c r="U16" s="6">
        <f>YEAR(D16)</f>
        <v/>
      </c>
      <c r="V16" s="5">
        <f>TEXT(D16,"yyyy-mm")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  <c r="S17" s="5">
        <f>SUM(F17:I17)+N17</f>
        <v/>
      </c>
      <c r="T17" s="5">
        <f>J17</f>
        <v/>
      </c>
      <c r="U17" s="6">
        <f>YEAR(D17)</f>
        <v/>
      </c>
      <c r="V17" s="5">
        <f>TEXT(D17,"yyyy-mm")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  <c r="S18" s="5">
        <f>SUM(F18:I18)+N18</f>
        <v/>
      </c>
      <c r="T18" s="5">
        <f>J18</f>
        <v/>
      </c>
      <c r="U18" s="6">
        <f>YEAR(D18)</f>
        <v/>
      </c>
      <c r="V18" s="5">
        <f>TEXT(D18,"yyyy-mm")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  <c r="S19" s="5">
        <f>SUM(F19:I19)+N19</f>
        <v/>
      </c>
      <c r="T19" s="5">
        <f>J19</f>
        <v/>
      </c>
      <c r="U19" s="6">
        <f>YEAR(D19)</f>
        <v/>
      </c>
      <c r="V19" s="5">
        <f>TEXT(D19,"yyyy-mm")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  <c r="S20" s="5">
        <f>SUM(F20:I20)+N20</f>
        <v/>
      </c>
      <c r="T20" s="5">
        <f>J20</f>
        <v/>
      </c>
      <c r="U20" s="6">
        <f>YEAR(D20)</f>
        <v/>
      </c>
      <c r="V20" s="5">
        <f>TEXT(D20,"yyyy-mm")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>
        <f>SUM(F21:I21)+N21</f>
        <v/>
      </c>
      <c r="T21" s="5">
        <f>J21</f>
        <v/>
      </c>
      <c r="U21" s="6">
        <f>YEAR(D21)</f>
        <v/>
      </c>
      <c r="V21" s="5">
        <f>TEXT(D21,"yyyy-mm")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  <c r="S22" s="5">
        <f>SUM(F22:I22)+N22</f>
        <v/>
      </c>
      <c r="T22" s="5">
        <f>J22</f>
        <v/>
      </c>
      <c r="U22" s="6">
        <f>YEAR(D22)</f>
        <v/>
      </c>
      <c r="V22" s="5">
        <f>TEXT(D22,"yyyy-mm")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  <c r="S23" s="5">
        <f>SUM(F23:I23)+N23</f>
        <v/>
      </c>
      <c r="T23" s="5">
        <f>J23</f>
        <v/>
      </c>
      <c r="U23" s="6">
        <f>YEAR(D23)</f>
        <v/>
      </c>
      <c r="V23" s="5">
        <f>TEXT(D23,"yyyy-mm")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  <c r="S24" s="5">
        <f>SUM(F24:I24)+N24</f>
        <v/>
      </c>
      <c r="T24" s="5">
        <f>J24</f>
        <v/>
      </c>
      <c r="U24" s="6">
        <f>YEAR(D24)</f>
        <v/>
      </c>
      <c r="V24" s="5">
        <f>TEXT(D24,"yyyy-mm")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  <c r="S25" s="5">
        <f>SUM(F25:I25)+N25</f>
        <v/>
      </c>
      <c r="T25" s="5">
        <f>J25</f>
        <v/>
      </c>
      <c r="U25" s="6">
        <f>YEAR(D25)</f>
        <v/>
      </c>
      <c r="V25" s="5">
        <f>TEXT(D25,"yyyy-mm")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  <c r="S26" s="5">
        <f>SUM(F26:I26)+N26</f>
        <v/>
      </c>
      <c r="T26" s="5">
        <f>J26</f>
        <v/>
      </c>
      <c r="U26" s="6">
        <f>YEAR(D26)</f>
        <v/>
      </c>
      <c r="V26" s="5">
        <f>TEXT(D26,"yyyy-mm")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  <c r="S27" s="5">
        <f>SUM(F27:I27)+N27</f>
        <v/>
      </c>
      <c r="T27" s="5">
        <f>J27</f>
        <v/>
      </c>
      <c r="U27" s="6">
        <f>YEAR(D27)</f>
        <v/>
      </c>
      <c r="V27" s="5">
        <f>TEXT(D27,"yyyy-mm")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  <c r="S28" s="5">
        <f>SUM(F28:I28)+N28</f>
        <v/>
      </c>
      <c r="T28" s="5">
        <f>J28</f>
        <v/>
      </c>
      <c r="U28" s="6">
        <f>YEAR(D28)</f>
        <v/>
      </c>
      <c r="V28" s="5">
        <f>TEXT(D28,"yyyy-mm")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  <c r="S29" s="5">
        <f>SUM(F29:I29)+N29</f>
        <v/>
      </c>
      <c r="T29" s="5">
        <f>J29</f>
        <v/>
      </c>
      <c r="U29" s="6">
        <f>YEAR(D29)</f>
        <v/>
      </c>
      <c r="V29" s="5">
        <f>TEXT(D29,"yyyy-mm")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>
        <f>SUM(F30:I30)+N30</f>
        <v/>
      </c>
      <c r="T30" s="5">
        <f>J30</f>
        <v/>
      </c>
      <c r="U30" s="6">
        <f>YEAR(D30)</f>
        <v/>
      </c>
      <c r="V30" s="5">
        <f>TEXT(D30,"yyyy-mm")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>
        <f>SUM(F31:I31)+N31</f>
        <v/>
      </c>
      <c r="T31" s="5">
        <f>J31</f>
        <v/>
      </c>
      <c r="U31" s="6">
        <f>YEAR(D31)</f>
        <v/>
      </c>
      <c r="V31" s="5">
        <f>TEXT(D31,"yyyy-mm")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  <c r="S32" s="5">
        <f>SUM(F32:I32)+N32</f>
        <v/>
      </c>
      <c r="T32" s="5">
        <f>J32</f>
        <v/>
      </c>
      <c r="U32" s="6">
        <f>YEAR(D32)</f>
        <v/>
      </c>
      <c r="V32" s="5">
        <f>TEXT(D32,"yyyy-mm")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  <c r="S33" s="5">
        <f>SUM(F33:I33)+N33</f>
        <v/>
      </c>
      <c r="T33" s="5">
        <f>J33</f>
        <v/>
      </c>
      <c r="U33" s="6">
        <f>YEAR(D33)</f>
        <v/>
      </c>
      <c r="V33" s="5">
        <f>TEXT(D33,"yyyy-mm")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  <c r="S34" s="5">
        <f>SUM(F34:I34)+N34</f>
        <v/>
      </c>
      <c r="T34" s="5">
        <f>J34</f>
        <v/>
      </c>
      <c r="U34" s="6">
        <f>YEAR(D34)</f>
        <v/>
      </c>
      <c r="V34" s="5">
        <f>TEXT(D34,"yyyy-mm")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  <c r="S35" s="5">
        <f>SUM(F35:I35)+N35</f>
        <v/>
      </c>
      <c r="T35" s="5">
        <f>J35</f>
        <v/>
      </c>
      <c r="U35" s="6">
        <f>YEAR(D35)</f>
        <v/>
      </c>
      <c r="V35" s="5">
        <f>TEXT(D35,"yyyy-mm")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  <c r="S36" s="5">
        <f>SUM(F36:I36)+N36</f>
        <v/>
      </c>
      <c r="T36" s="5">
        <f>J36</f>
        <v/>
      </c>
      <c r="U36" s="6">
        <f>YEAR(D36)</f>
        <v/>
      </c>
      <c r="V36" s="5">
        <f>TEXT(D36,"yyyy-mm")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  <c r="S37" s="5">
        <f>SUM(F37:I37)+N37</f>
        <v/>
      </c>
      <c r="T37" s="5">
        <f>J37</f>
        <v/>
      </c>
      <c r="U37" s="6">
        <f>YEAR(D37)</f>
        <v/>
      </c>
      <c r="V37" s="5">
        <f>TEXT(D37,"yyyy-mm")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  <c r="S38" s="5">
        <f>SUM(F38:I38)+N38</f>
        <v/>
      </c>
      <c r="T38" s="5">
        <f>J38</f>
        <v/>
      </c>
      <c r="U38" s="6">
        <f>YEAR(D38)</f>
        <v/>
      </c>
      <c r="V38" s="5">
        <f>TEXT(D38,"yyyy-mm")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  <c r="S39" s="5">
        <f>SUM(F39:I39)+N39</f>
        <v/>
      </c>
      <c r="T39" s="5">
        <f>J39</f>
        <v/>
      </c>
      <c r="U39" s="6">
        <f>YEAR(D39)</f>
        <v/>
      </c>
      <c r="V39" s="5">
        <f>TEXT(D39,"yyyy-mm")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  <c r="S40" s="5">
        <f>SUM(F40:I40)+N40</f>
        <v/>
      </c>
      <c r="T40" s="5">
        <f>J40</f>
        <v/>
      </c>
      <c r="U40" s="6">
        <f>YEAR(D40)</f>
        <v/>
      </c>
      <c r="V40" s="5">
        <f>TEXT(D40,"yyyy-mm")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  <c r="S41" s="5">
        <f>SUM(F41:I41)+N41</f>
        <v/>
      </c>
      <c r="T41" s="5">
        <f>J41</f>
        <v/>
      </c>
      <c r="U41" s="6">
        <f>YEAR(D41)</f>
        <v/>
      </c>
      <c r="V41" s="5">
        <f>TEXT(D41,"yyyy-mm")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  <c r="S42" s="5">
        <f>SUM(F42:I42)+N42</f>
        <v/>
      </c>
      <c r="T42" s="5">
        <f>J42</f>
        <v/>
      </c>
      <c r="U42" s="6">
        <f>YEAR(D42)</f>
        <v/>
      </c>
      <c r="V42" s="5">
        <f>TEXT(D42,"yyyy-mm")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  <c r="S43" s="5">
        <f>SUM(F43:I43)+N43</f>
        <v/>
      </c>
      <c r="T43" s="5">
        <f>J43</f>
        <v/>
      </c>
      <c r="U43" s="6">
        <f>YEAR(D43)</f>
        <v/>
      </c>
      <c r="V43" s="5">
        <f>TEXT(D43,"yyyy-mm")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  <c r="S44" s="5">
        <f>SUM(F44:I44)+N44</f>
        <v/>
      </c>
      <c r="T44" s="5">
        <f>J44</f>
        <v/>
      </c>
      <c r="U44" s="6">
        <f>YEAR(D44)</f>
        <v/>
      </c>
      <c r="V44" s="5">
        <f>TEXT(D44,"yyyy-mm")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  <c r="S45" s="5">
        <f>SUM(F45:I45)+N45</f>
        <v/>
      </c>
      <c r="T45" s="5">
        <f>J45</f>
        <v/>
      </c>
      <c r="U45" s="6">
        <f>YEAR(D45)</f>
        <v/>
      </c>
      <c r="V45" s="5">
        <f>TEXT(D45,"yyyy-mm")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  <c r="S46" s="5">
        <f>SUM(F46:I46)+N46</f>
        <v/>
      </c>
      <c r="T46" s="5">
        <f>J46</f>
        <v/>
      </c>
      <c r="U46" s="6">
        <f>YEAR(D46)</f>
        <v/>
      </c>
      <c r="V46" s="5">
        <f>TEXT(D46,"yyyy-mm")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  <c r="S47" s="5">
        <f>SUM(F47:I47)+N47</f>
        <v/>
      </c>
      <c r="T47" s="5">
        <f>J47</f>
        <v/>
      </c>
      <c r="U47" s="6">
        <f>YEAR(D47)</f>
        <v/>
      </c>
      <c r="V47" s="5">
        <f>TEXT(D47,"yyyy-mm")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  <c r="S48" s="5">
        <f>SUM(F48:I48)+N48</f>
        <v/>
      </c>
      <c r="T48" s="5">
        <f>J48</f>
        <v/>
      </c>
      <c r="U48" s="6">
        <f>YEAR(D48)</f>
        <v/>
      </c>
      <c r="V48" s="5">
        <f>TEXT(D48,"yyyy-mm")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  <c r="S49" s="5">
        <f>SUM(F49:I49)+N49</f>
        <v/>
      </c>
      <c r="T49" s="5">
        <f>J49</f>
        <v/>
      </c>
      <c r="U49" s="6">
        <f>YEAR(D49)</f>
        <v/>
      </c>
      <c r="V49" s="5">
        <f>TEXT(D49,"yyyy-mm")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  <c r="S50" s="5">
        <f>SUM(F50:I50)+N50</f>
        <v/>
      </c>
      <c r="T50" s="5">
        <f>J50</f>
        <v/>
      </c>
      <c r="U50" s="6">
        <f>YEAR(D50)</f>
        <v/>
      </c>
      <c r="V50" s="5">
        <f>TEXT(D50,"yyyy-mm")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  <c r="S51" s="5">
        <f>SUM(F51:I51)+N51</f>
        <v/>
      </c>
      <c r="T51" s="5">
        <f>J51</f>
        <v/>
      </c>
      <c r="U51" s="6">
        <f>YEAR(D51)</f>
        <v/>
      </c>
      <c r="V51" s="5">
        <f>TEXT(D51,"yyyy-mm")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  <c r="S52" s="5">
        <f>SUM(F52:I52)+N52</f>
        <v/>
      </c>
      <c r="T52" s="5">
        <f>J52</f>
        <v/>
      </c>
      <c r="U52" s="6">
        <f>YEAR(D52)</f>
        <v/>
      </c>
      <c r="V52" s="5">
        <f>TEXT(D52,"yyyy-mm")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  <c r="S53" s="5">
        <f>SUM(F53:I53)+N53</f>
        <v/>
      </c>
      <c r="T53" s="5">
        <f>J53</f>
        <v/>
      </c>
      <c r="U53" s="6">
        <f>YEAR(D53)</f>
        <v/>
      </c>
      <c r="V53" s="5">
        <f>TEXT(D53,"yyyy-mm")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  <c r="S54" s="5">
        <f>SUM(F54:I54)+N54</f>
        <v/>
      </c>
      <c r="T54" s="5">
        <f>J54</f>
        <v/>
      </c>
      <c r="U54" s="6">
        <f>YEAR(D54)</f>
        <v/>
      </c>
      <c r="V54" s="5">
        <f>TEXT(D54,"yyyy-mm")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  <c r="S55" s="5">
        <f>SUM(F55:I55)+N55</f>
        <v/>
      </c>
      <c r="T55" s="5">
        <f>J55</f>
        <v/>
      </c>
      <c r="U55" s="6">
        <f>YEAR(D55)</f>
        <v/>
      </c>
      <c r="V55" s="5">
        <f>TEXT(D55,"yyyy-mm")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  <c r="S56" s="5">
        <f>SUM(F56:I56)+N56</f>
        <v/>
      </c>
      <c r="T56" s="5">
        <f>J56</f>
        <v/>
      </c>
      <c r="U56" s="6">
        <f>YEAR(D56)</f>
        <v/>
      </c>
      <c r="V56" s="5">
        <f>TEXT(D56,"yyyy-mm")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  <c r="S57" s="5">
        <f>SUM(F57:I57)+N57</f>
        <v/>
      </c>
      <c r="T57" s="5">
        <f>J57</f>
        <v/>
      </c>
      <c r="U57" s="6">
        <f>YEAR(D57)</f>
        <v/>
      </c>
      <c r="V57" s="5">
        <f>TEXT(D57,"yyyy-mm")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  <c r="S58" s="5">
        <f>SUM(F58:I58)+N58</f>
        <v/>
      </c>
      <c r="T58" s="5">
        <f>J58</f>
        <v/>
      </c>
      <c r="U58" s="6">
        <f>YEAR(D58)</f>
        <v/>
      </c>
      <c r="V58" s="5">
        <f>TEXT(D58,"yyyy-mm")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  <c r="S59" s="5">
        <f>SUM(F59:I59)+N59</f>
        <v/>
      </c>
      <c r="T59" s="5">
        <f>J59</f>
        <v/>
      </c>
      <c r="U59" s="6">
        <f>YEAR(D59)</f>
        <v/>
      </c>
      <c r="V59" s="5">
        <f>TEXT(D59,"yyyy-mm")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  <c r="S60" s="5">
        <f>SUM(F60:I60)+N60</f>
        <v/>
      </c>
      <c r="T60" s="5">
        <f>J60</f>
        <v/>
      </c>
      <c r="U60" s="6">
        <f>YEAR(D60)</f>
        <v/>
      </c>
      <c r="V60" s="5">
        <f>TEXT(D60,"yyyy-mm")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  <c r="S61" s="5">
        <f>SUM(F61:I61)+N61</f>
        <v/>
      </c>
      <c r="T61" s="5">
        <f>J61</f>
        <v/>
      </c>
      <c r="U61" s="6">
        <f>YEAR(D61)</f>
        <v/>
      </c>
      <c r="V61" s="5">
        <f>TEXT(D61,"yyyy-mm")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  <c r="S62" s="5">
        <f>SUM(F62:I62)+N62</f>
        <v/>
      </c>
      <c r="T62" s="5">
        <f>J62</f>
        <v/>
      </c>
      <c r="U62" s="6">
        <f>YEAR(D62)</f>
        <v/>
      </c>
      <c r="V62" s="5">
        <f>TEXT(D62,"yyyy-mm")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  <c r="S63" s="5">
        <f>SUM(F63:I63)+N63</f>
        <v/>
      </c>
      <c r="T63" s="5">
        <f>J63</f>
        <v/>
      </c>
      <c r="U63" s="6">
        <f>YEAR(D63)</f>
        <v/>
      </c>
      <c r="V63" s="5">
        <f>TEXT(D63,"yyyy-mm")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  <c r="S64" s="5">
        <f>SUM(F64:I64)+N64</f>
        <v/>
      </c>
      <c r="T64" s="5">
        <f>J64</f>
        <v/>
      </c>
      <c r="U64" s="6">
        <f>YEAR(D64)</f>
        <v/>
      </c>
      <c r="V64" s="5">
        <f>TEXT(D64,"yyyy-mm")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  <c r="S65" s="5">
        <f>SUM(F65:I65)+N65</f>
        <v/>
      </c>
      <c r="T65" s="5">
        <f>J65</f>
        <v/>
      </c>
      <c r="U65" s="6">
        <f>YEAR(D65)</f>
        <v/>
      </c>
      <c r="V65" s="5">
        <f>TEXT(D65,"yyyy-mm")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  <c r="S66" s="5">
        <f>SUM(F66:I66)+N66</f>
        <v/>
      </c>
      <c r="T66" s="5">
        <f>J66</f>
        <v/>
      </c>
      <c r="U66" s="6">
        <f>YEAR(D66)</f>
        <v/>
      </c>
      <c r="V66" s="5">
        <f>TEXT(D66,"yyyy-mm")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  <c r="S67" s="5">
        <f>SUM(F67:I67)+N67</f>
        <v/>
      </c>
      <c r="T67" s="5">
        <f>J67</f>
        <v/>
      </c>
      <c r="U67" s="6">
        <f>YEAR(D67)</f>
        <v/>
      </c>
      <c r="V67" s="5">
        <f>TEXT(D67,"yyyy-mm")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  <c r="S68" s="5">
        <f>SUM(F68:I68)+N68</f>
        <v/>
      </c>
      <c r="T68" s="5">
        <f>J68</f>
        <v/>
      </c>
      <c r="U68" s="6">
        <f>YEAR(D68)</f>
        <v/>
      </c>
      <c r="V68" s="5">
        <f>TEXT(D68,"yyyy-mm")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  <c r="S69" s="5">
        <f>SUM(F69:I69)+N69</f>
        <v/>
      </c>
      <c r="T69" s="5">
        <f>J69</f>
        <v/>
      </c>
      <c r="U69" s="6">
        <f>YEAR(D69)</f>
        <v/>
      </c>
      <c r="V69" s="5">
        <f>TEXT(D69,"yyyy-mm")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  <c r="S70" s="5">
        <f>SUM(F70:I70)+N70</f>
        <v/>
      </c>
      <c r="T70" s="5">
        <f>J70</f>
        <v/>
      </c>
      <c r="U70" s="6">
        <f>YEAR(D70)</f>
        <v/>
      </c>
      <c r="V70" s="5">
        <f>TEXT(D70,"yyyy-mm")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  <c r="S71" s="5">
        <f>SUM(F71:I71)+N71</f>
        <v/>
      </c>
      <c r="T71" s="5">
        <f>J71</f>
        <v/>
      </c>
      <c r="U71" s="6">
        <f>YEAR(D71)</f>
        <v/>
      </c>
      <c r="V71" s="5">
        <f>TEXT(D71,"yyyy-mm")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  <c r="S72" s="5">
        <f>SUM(F72:I72)+N72</f>
        <v/>
      </c>
      <c r="T72" s="5">
        <f>J72</f>
        <v/>
      </c>
      <c r="U72" s="6">
        <f>YEAR(D72)</f>
        <v/>
      </c>
      <c r="V72" s="5">
        <f>TEXT(D72,"yyyy-mm")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  <c r="S73" s="5">
        <f>SUM(F73:I73)+N73</f>
        <v/>
      </c>
      <c r="T73" s="5">
        <f>J73</f>
        <v/>
      </c>
      <c r="U73" s="6">
        <f>YEAR(D73)</f>
        <v/>
      </c>
      <c r="V73" s="5">
        <f>TEXT(D73,"yyyy-mm")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  <c r="S74" s="5">
        <f>SUM(F74:I74)+N74</f>
        <v/>
      </c>
      <c r="T74" s="5">
        <f>J74</f>
        <v/>
      </c>
      <c r="U74" s="6">
        <f>YEAR(D74)</f>
        <v/>
      </c>
      <c r="V74" s="5">
        <f>TEXT(D74,"yyyy-mm")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  <c r="S75" s="5">
        <f>SUM(F75:I75)+N75</f>
        <v/>
      </c>
      <c r="T75" s="5">
        <f>J75</f>
        <v/>
      </c>
      <c r="U75" s="6">
        <f>YEAR(D75)</f>
        <v/>
      </c>
      <c r="V75" s="5">
        <f>TEXT(D75,"yyyy-mm")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  <c r="S76" s="5">
        <f>SUM(F76:I76)+N76</f>
        <v/>
      </c>
      <c r="T76" s="5">
        <f>J76</f>
        <v/>
      </c>
      <c r="U76" s="6">
        <f>YEAR(D76)</f>
        <v/>
      </c>
      <c r="V76" s="5">
        <f>TEXT(D76,"yyyy-mm")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  <c r="S77" s="5">
        <f>SUM(F77:I77)+N77</f>
        <v/>
      </c>
      <c r="T77" s="5">
        <f>J77</f>
        <v/>
      </c>
      <c r="U77" s="6">
        <f>YEAR(D77)</f>
        <v/>
      </c>
      <c r="V77" s="5">
        <f>TEXT(D77,"yyyy-mm")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  <c r="S78" s="5">
        <f>SUM(F78:I78)+N78</f>
        <v/>
      </c>
      <c r="T78" s="5">
        <f>J78</f>
        <v/>
      </c>
      <c r="U78" s="6">
        <f>YEAR(D78)</f>
        <v/>
      </c>
      <c r="V78" s="5">
        <f>TEXT(D78,"yyyy-mm")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  <c r="S79" s="5">
        <f>SUM(F79:I79)+N79</f>
        <v/>
      </c>
      <c r="T79" s="5">
        <f>J79</f>
        <v/>
      </c>
      <c r="U79" s="6">
        <f>YEAR(D79)</f>
        <v/>
      </c>
      <c r="V79" s="5">
        <f>TEXT(D79,"yyyy-mm")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  <c r="S80" s="5">
        <f>SUM(F80:I80)+N80</f>
        <v/>
      </c>
      <c r="T80" s="5">
        <f>J80</f>
        <v/>
      </c>
      <c r="U80" s="6">
        <f>YEAR(D80)</f>
        <v/>
      </c>
      <c r="V80" s="5">
        <f>TEXT(D80,"yyyy-mm")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  <c r="S81" s="5">
        <f>SUM(F81:I81)+N81</f>
        <v/>
      </c>
      <c r="T81" s="5">
        <f>J81</f>
        <v/>
      </c>
      <c r="U81" s="6">
        <f>YEAR(D81)</f>
        <v/>
      </c>
      <c r="V81" s="5">
        <f>TEXT(D81,"yyyy-mm")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  <c r="S82" s="5">
        <f>SUM(F82:I82)+N82</f>
        <v/>
      </c>
      <c r="T82" s="5">
        <f>J82</f>
        <v/>
      </c>
      <c r="U82" s="6">
        <f>YEAR(D82)</f>
        <v/>
      </c>
      <c r="V82" s="5">
        <f>TEXT(D82,"yyyy-mm")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  <c r="S83" s="5">
        <f>SUM(F83:I83)+N83</f>
        <v/>
      </c>
      <c r="T83" s="5">
        <f>J83</f>
        <v/>
      </c>
      <c r="U83" s="6">
        <f>YEAR(D83)</f>
        <v/>
      </c>
      <c r="V83" s="5">
        <f>TEXT(D83,"yyyy-mm")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  <c r="S84" s="5">
        <f>SUM(F84:I84)+N84</f>
        <v/>
      </c>
      <c r="T84" s="5">
        <f>J84</f>
        <v/>
      </c>
      <c r="U84" s="6">
        <f>YEAR(D84)</f>
        <v/>
      </c>
      <c r="V84" s="5">
        <f>TEXT(D84,"yyyy-mm")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  <c r="S85" s="5">
        <f>SUM(F85:I85)+N85</f>
        <v/>
      </c>
      <c r="T85" s="5">
        <f>J85</f>
        <v/>
      </c>
      <c r="U85" s="6">
        <f>YEAR(D85)</f>
        <v/>
      </c>
      <c r="V85" s="5">
        <f>TEXT(D85,"yyyy-mm")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  <c r="S86" s="5">
        <f>SUM(F86:I86)+N86</f>
        <v/>
      </c>
      <c r="T86" s="5">
        <f>J86</f>
        <v/>
      </c>
      <c r="U86" s="6">
        <f>YEAR(D86)</f>
        <v/>
      </c>
      <c r="V86" s="5">
        <f>TEXT(D86,"yyyy-mm")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  <c r="S87" s="5">
        <f>SUM(F87:I87)+N87</f>
        <v/>
      </c>
      <c r="T87" s="5">
        <f>J87</f>
        <v/>
      </c>
      <c r="U87" s="6">
        <f>YEAR(D87)</f>
        <v/>
      </c>
      <c r="V87" s="5">
        <f>TEXT(D87,"yyyy-mm")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  <c r="S88" s="5">
        <f>SUM(F88:I88)+N88</f>
        <v/>
      </c>
      <c r="T88" s="5">
        <f>J88</f>
        <v/>
      </c>
      <c r="U88" s="6">
        <f>YEAR(D88)</f>
        <v/>
      </c>
      <c r="V88" s="5">
        <f>TEXT(D88,"yyyy-mm")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  <c r="S89" s="5">
        <f>SUM(F89:I89)+N89</f>
        <v/>
      </c>
      <c r="T89" s="5">
        <f>J89</f>
        <v/>
      </c>
      <c r="U89" s="6">
        <f>YEAR(D89)</f>
        <v/>
      </c>
      <c r="V89" s="5">
        <f>TEXT(D89,"yyyy-mm")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  <c r="S90" s="5">
        <f>SUM(F90:I90)+N90</f>
        <v/>
      </c>
      <c r="T90" s="5">
        <f>J90</f>
        <v/>
      </c>
      <c r="U90" s="6">
        <f>YEAR(D90)</f>
        <v/>
      </c>
      <c r="V90" s="5">
        <f>TEXT(D90,"yyyy-mm")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  <c r="S91" s="5">
        <f>SUM(F91:I91)+N91</f>
        <v/>
      </c>
      <c r="T91" s="5">
        <f>J91</f>
        <v/>
      </c>
      <c r="U91" s="6">
        <f>YEAR(D91)</f>
        <v/>
      </c>
      <c r="V91" s="5">
        <f>TEXT(D91,"yyyy-mm")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  <c r="S92" s="5">
        <f>SUM(F92:I92)+N92</f>
        <v/>
      </c>
      <c r="T92" s="5">
        <f>J92</f>
        <v/>
      </c>
      <c r="U92" s="6">
        <f>YEAR(D92)</f>
        <v/>
      </c>
      <c r="V92" s="5">
        <f>TEXT(D92,"yyyy-mm")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  <c r="S93" s="5">
        <f>SUM(F93:I93)+N93</f>
        <v/>
      </c>
      <c r="T93" s="5">
        <f>J93</f>
        <v/>
      </c>
      <c r="U93" s="6">
        <f>YEAR(D93)</f>
        <v/>
      </c>
      <c r="V93" s="5">
        <f>TEXT(D93,"yyyy-mm")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  <c r="S94" s="5">
        <f>SUM(F94:I94)+N94</f>
        <v/>
      </c>
      <c r="T94" s="5">
        <f>J94</f>
        <v/>
      </c>
      <c r="U94" s="6">
        <f>YEAR(D94)</f>
        <v/>
      </c>
      <c r="V94" s="5">
        <f>TEXT(D94,"yyyy-mm")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  <c r="S95" s="5">
        <f>SUM(F95:I95)+N95</f>
        <v/>
      </c>
      <c r="T95" s="5">
        <f>J95</f>
        <v/>
      </c>
      <c r="U95" s="6">
        <f>YEAR(D95)</f>
        <v/>
      </c>
      <c r="V95" s="5">
        <f>TEXT(D95,"yyyy-mm")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  <c r="S96" s="5">
        <f>SUM(F96:I96)+N96</f>
        <v/>
      </c>
      <c r="T96" s="5">
        <f>J96</f>
        <v/>
      </c>
      <c r="U96" s="6">
        <f>YEAR(D96)</f>
        <v/>
      </c>
      <c r="V96" s="5">
        <f>TEXT(D96,"yyyy-mm")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  <c r="S97" s="5">
        <f>SUM(F97:I97)+N97</f>
        <v/>
      </c>
      <c r="T97" s="5">
        <f>J97</f>
        <v/>
      </c>
      <c r="U97" s="6">
        <f>YEAR(D97)</f>
        <v/>
      </c>
      <c r="V97" s="5">
        <f>TEXT(D97,"yyyy-mm")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  <c r="S98" s="5">
        <f>SUM(F98:I98)+N98</f>
        <v/>
      </c>
      <c r="T98" s="5">
        <f>J98</f>
        <v/>
      </c>
      <c r="U98" s="6">
        <f>YEAR(D98)</f>
        <v/>
      </c>
      <c r="V98" s="5">
        <f>TEXT(D98,"yyyy-mm")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>
        <f>SUM(F99:I99)+N99</f>
        <v/>
      </c>
      <c r="T99" s="5">
        <f>J99</f>
        <v/>
      </c>
      <c r="U99" s="6">
        <f>YEAR(D99)</f>
        <v/>
      </c>
      <c r="V99" s="5">
        <f>TEXT(D99,"yyyy-mm")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  <c r="S100" s="5">
        <f>SUM(F100:I100)+N100</f>
        <v/>
      </c>
      <c r="T100" s="5">
        <f>J100</f>
        <v/>
      </c>
      <c r="U100" s="6">
        <f>YEAR(D100)</f>
        <v/>
      </c>
      <c r="V100" s="5">
        <f>TEXT(D100,"yyyy-mm")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  <c r="S101" s="5">
        <f>SUM(F101:I101)+N101</f>
        <v/>
      </c>
      <c r="T101" s="5">
        <f>J101</f>
        <v/>
      </c>
      <c r="U101" s="6">
        <f>YEAR(D101)</f>
        <v/>
      </c>
      <c r="V101" s="5">
        <f>TEXT(D101,"yyyy-mm")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  <c r="S102" s="5">
        <f>SUM(F102:I102)+N102</f>
        <v/>
      </c>
      <c r="T102" s="5">
        <f>J102</f>
        <v/>
      </c>
      <c r="U102" s="6">
        <f>YEAR(D102)</f>
        <v/>
      </c>
      <c r="V102" s="5">
        <f>TEXT(D102,"yyyy-mm")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  <c r="S103" s="5">
        <f>SUM(F103:I103)+N103</f>
        <v/>
      </c>
      <c r="T103" s="5">
        <f>J103</f>
        <v/>
      </c>
      <c r="U103" s="6">
        <f>YEAR(D103)</f>
        <v/>
      </c>
      <c r="V103" s="5">
        <f>TEXT(D103,"yyyy-mm")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  <c r="S104" s="5">
        <f>SUM(F104:I104)+N104</f>
        <v/>
      </c>
      <c r="T104" s="5">
        <f>J104</f>
        <v/>
      </c>
      <c r="U104" s="6">
        <f>YEAR(D104)</f>
        <v/>
      </c>
      <c r="V104" s="5">
        <f>TEXT(D104,"yyyy-mm")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>
        <f>SUM(F105:I105)+N105</f>
        <v/>
      </c>
      <c r="T105" s="5">
        <f>J105</f>
        <v/>
      </c>
      <c r="U105" s="6">
        <f>YEAR(D105)</f>
        <v/>
      </c>
      <c r="V105" s="5">
        <f>TEXT(D105,"yyyy-mm")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  <c r="S106" s="5">
        <f>SUM(F106:I106)+N106</f>
        <v/>
      </c>
      <c r="T106" s="5">
        <f>J106</f>
        <v/>
      </c>
      <c r="U106" s="6">
        <f>YEAR(D106)</f>
        <v/>
      </c>
      <c r="V106" s="5">
        <f>TEXT(D106,"yyyy-mm")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  <c r="S107" s="5">
        <f>SUM(F107:I107)+N107</f>
        <v/>
      </c>
      <c r="T107" s="5">
        <f>J107</f>
        <v/>
      </c>
      <c r="U107" s="6">
        <f>YEAR(D107)</f>
        <v/>
      </c>
      <c r="V107" s="5">
        <f>TEXT(D107,"yyyy-mm")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  <c r="S108" s="5">
        <f>SUM(F108:I108)+N108</f>
        <v/>
      </c>
      <c r="T108" s="5">
        <f>J108</f>
        <v/>
      </c>
      <c r="U108" s="6">
        <f>YEAR(D108)</f>
        <v/>
      </c>
      <c r="V108" s="5">
        <f>TEXT(D108,"yyyy-mm")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  <c r="S109" s="5">
        <f>SUM(F109:I109)+N109</f>
        <v/>
      </c>
      <c r="T109" s="5">
        <f>J109</f>
        <v/>
      </c>
      <c r="U109" s="6">
        <f>YEAR(D109)</f>
        <v/>
      </c>
      <c r="V109" s="5">
        <f>TEXT(D109,"yyyy-mm")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  <c r="S110" s="5">
        <f>SUM(F110:I110)+N110</f>
        <v/>
      </c>
      <c r="T110" s="5">
        <f>J110</f>
        <v/>
      </c>
      <c r="U110" s="6">
        <f>YEAR(D110)</f>
        <v/>
      </c>
      <c r="V110" s="5">
        <f>TEXT(D110,"yyyy-mm")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  <c r="S111" s="5">
        <f>SUM(F111:I111)+N111</f>
        <v/>
      </c>
      <c r="T111" s="5">
        <f>J111</f>
        <v/>
      </c>
      <c r="U111" s="6">
        <f>YEAR(D111)</f>
        <v/>
      </c>
      <c r="V111" s="5">
        <f>TEXT(D111,"yyyy-mm")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  <c r="S112" s="5">
        <f>SUM(F112:I112)+N112</f>
        <v/>
      </c>
      <c r="T112" s="5">
        <f>J112</f>
        <v/>
      </c>
      <c r="U112" s="6">
        <f>YEAR(D112)</f>
        <v/>
      </c>
      <c r="V112" s="5">
        <f>TEXT(D112,"yyyy-mm")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  <c r="S113" s="5">
        <f>SUM(F113:I113)+N113</f>
        <v/>
      </c>
      <c r="T113" s="5">
        <f>J113</f>
        <v/>
      </c>
      <c r="U113" s="6">
        <f>YEAR(D113)</f>
        <v/>
      </c>
      <c r="V113" s="5">
        <f>TEXT(D113,"yyyy-mm")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  <c r="S114" s="5">
        <f>SUM(F114:I114)+N114</f>
        <v/>
      </c>
      <c r="T114" s="5">
        <f>J114</f>
        <v/>
      </c>
      <c r="U114" s="6">
        <f>YEAR(D114)</f>
        <v/>
      </c>
      <c r="V114" s="5">
        <f>TEXT(D114,"yyyy-mm")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  <c r="S115" s="5">
        <f>SUM(F115:I115)+N115</f>
        <v/>
      </c>
      <c r="T115" s="5">
        <f>J115</f>
        <v/>
      </c>
      <c r="U115" s="6">
        <f>YEAR(D115)</f>
        <v/>
      </c>
      <c r="V115" s="5">
        <f>TEXT(D115,"yyyy-mm")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  <c r="S116" s="5">
        <f>SUM(F116:I116)+N116</f>
        <v/>
      </c>
      <c r="T116" s="5">
        <f>J116</f>
        <v/>
      </c>
      <c r="U116" s="6">
        <f>YEAR(D116)</f>
        <v/>
      </c>
      <c r="V116" s="5">
        <f>TEXT(D116,"yyyy-mm")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  <c r="S117" s="5">
        <f>SUM(F117:I117)+N117</f>
        <v/>
      </c>
      <c r="T117" s="5">
        <f>J117</f>
        <v/>
      </c>
      <c r="U117" s="6">
        <f>YEAR(D117)</f>
        <v/>
      </c>
      <c r="V117" s="5">
        <f>TEXT(D117,"yyyy-mm")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  <c r="S118" s="5">
        <f>SUM(F118:I118)+N118</f>
        <v/>
      </c>
      <c r="T118" s="5">
        <f>J118</f>
        <v/>
      </c>
      <c r="U118" s="6">
        <f>YEAR(D118)</f>
        <v/>
      </c>
      <c r="V118" s="5">
        <f>TEXT(D118,"yyyy-mm")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  <c r="S119" s="5">
        <f>SUM(F119:I119)+N119</f>
        <v/>
      </c>
      <c r="T119" s="5">
        <f>J119</f>
        <v/>
      </c>
      <c r="U119" s="6">
        <f>YEAR(D119)</f>
        <v/>
      </c>
      <c r="V119" s="5">
        <f>TEXT(D119,"yyyy-mm")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  <c r="S120" s="5">
        <f>SUM(F120:I120)+N120</f>
        <v/>
      </c>
      <c r="T120" s="5">
        <f>J120</f>
        <v/>
      </c>
      <c r="U120" s="6">
        <f>YEAR(D120)</f>
        <v/>
      </c>
      <c r="V120" s="5">
        <f>TEXT(D120,"yyyy-mm")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  <c r="S121" s="5">
        <f>SUM(F121:I121)+N121</f>
        <v/>
      </c>
      <c r="T121" s="5">
        <f>J121</f>
        <v/>
      </c>
      <c r="U121" s="6">
        <f>YEAR(D121)</f>
        <v/>
      </c>
      <c r="V121" s="5">
        <f>TEXT(D121,"yyyy-mm")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  <c r="S122" s="5">
        <f>SUM(F122:I122)+N122</f>
        <v/>
      </c>
      <c r="T122" s="5">
        <f>J122</f>
        <v/>
      </c>
      <c r="U122" s="6">
        <f>YEAR(D122)</f>
        <v/>
      </c>
      <c r="V122" s="5">
        <f>TEXT(D122,"yyyy-mm")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  <c r="S123" s="5">
        <f>SUM(F123:I123)+N123</f>
        <v/>
      </c>
      <c r="T123" s="5">
        <f>J123</f>
        <v/>
      </c>
      <c r="U123" s="6">
        <f>YEAR(D123)</f>
        <v/>
      </c>
      <c r="V123" s="5">
        <f>TEXT(D123,"yyyy-mm")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  <c r="S124" s="5">
        <f>SUM(F124:I124)+N124</f>
        <v/>
      </c>
      <c r="T124" s="5">
        <f>J124</f>
        <v/>
      </c>
      <c r="U124" s="6">
        <f>YEAR(D124)</f>
        <v/>
      </c>
      <c r="V124" s="5">
        <f>TEXT(D124,"yyyy-mm")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  <c r="S125" s="5">
        <f>SUM(F125:I125)+N125</f>
        <v/>
      </c>
      <c r="T125" s="5">
        <f>J125</f>
        <v/>
      </c>
      <c r="U125" s="6">
        <f>YEAR(D125)</f>
        <v/>
      </c>
      <c r="V125" s="5">
        <f>TEXT(D125,"yyyy-mm")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  <c r="S126" s="5">
        <f>SUM(F126:I126)+N126</f>
        <v/>
      </c>
      <c r="T126" s="5">
        <f>J126</f>
        <v/>
      </c>
      <c r="U126" s="6">
        <f>YEAR(D126)</f>
        <v/>
      </c>
      <c r="V126" s="5">
        <f>TEXT(D126,"yyyy-mm")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  <c r="S127" s="5">
        <f>SUM(F127:I127)+N127</f>
        <v/>
      </c>
      <c r="T127" s="5">
        <f>J127</f>
        <v/>
      </c>
      <c r="U127" s="6">
        <f>YEAR(D127)</f>
        <v/>
      </c>
      <c r="V127" s="5">
        <f>TEXT(D127,"yyyy-mm")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  <c r="S128" s="5">
        <f>SUM(F128:I128)+N128</f>
        <v/>
      </c>
      <c r="T128" s="5">
        <f>J128</f>
        <v/>
      </c>
      <c r="U128" s="6">
        <f>YEAR(D128)</f>
        <v/>
      </c>
      <c r="V128" s="5">
        <f>TEXT(D128,"yyyy-mm")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  <c r="S129" s="5">
        <f>SUM(F129:I129)+N129</f>
        <v/>
      </c>
      <c r="T129" s="5">
        <f>J129</f>
        <v/>
      </c>
      <c r="U129" s="6">
        <f>YEAR(D129)</f>
        <v/>
      </c>
      <c r="V129" s="5">
        <f>TEXT(D129,"yyyy-mm")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  <c r="S130" s="5">
        <f>SUM(F130:I130)+N130</f>
        <v/>
      </c>
      <c r="T130" s="5">
        <f>J130</f>
        <v/>
      </c>
      <c r="U130" s="6">
        <f>YEAR(D130)</f>
        <v/>
      </c>
      <c r="V130" s="5">
        <f>TEXT(D130,"yyyy-mm")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  <c r="S131" s="5">
        <f>SUM(F131:I131)+N131</f>
        <v/>
      </c>
      <c r="T131" s="5">
        <f>J131</f>
        <v/>
      </c>
      <c r="U131" s="6">
        <f>YEAR(D131)</f>
        <v/>
      </c>
      <c r="V131" s="5">
        <f>TEXT(D131,"yyyy-mm")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  <c r="S132" s="5">
        <f>SUM(F132:I132)+N132</f>
        <v/>
      </c>
      <c r="T132" s="5">
        <f>J132</f>
        <v/>
      </c>
      <c r="U132" s="6">
        <f>YEAR(D132)</f>
        <v/>
      </c>
      <c r="V132" s="5">
        <f>TEXT(D132,"yyyy-mm")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  <c r="S133" s="5">
        <f>SUM(F133:I133)+N133</f>
        <v/>
      </c>
      <c r="T133" s="5">
        <f>J133</f>
        <v/>
      </c>
      <c r="U133" s="6">
        <f>YEAR(D133)</f>
        <v/>
      </c>
      <c r="V133" s="5">
        <f>TEXT(D133,"yyyy-mm")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  <c r="S134" s="5">
        <f>SUM(F134:I134)+N134</f>
        <v/>
      </c>
      <c r="T134" s="5">
        <f>J134</f>
        <v/>
      </c>
      <c r="U134" s="6">
        <f>YEAR(D134)</f>
        <v/>
      </c>
      <c r="V134" s="5">
        <f>TEXT(D134,"yyyy-mm")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  <c r="S135" s="5">
        <f>SUM(F135:I135)+N135</f>
        <v/>
      </c>
      <c r="T135" s="5">
        <f>J135</f>
        <v/>
      </c>
      <c r="U135" s="6">
        <f>YEAR(D135)</f>
        <v/>
      </c>
      <c r="V135" s="5">
        <f>TEXT(D135,"yyyy-mm")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  <c r="S136" s="5">
        <f>SUM(F136:I136)+N136</f>
        <v/>
      </c>
      <c r="T136" s="5">
        <f>J136</f>
        <v/>
      </c>
      <c r="U136" s="6">
        <f>YEAR(D136)</f>
        <v/>
      </c>
      <c r="V136" s="5">
        <f>TEXT(D136,"yyyy-mm")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  <c r="S137" s="5">
        <f>SUM(F137:I137)+N137</f>
        <v/>
      </c>
      <c r="T137" s="5">
        <f>J137</f>
        <v/>
      </c>
      <c r="U137" s="6">
        <f>YEAR(D137)</f>
        <v/>
      </c>
      <c r="V137" s="5">
        <f>TEXT(D137,"yyyy-mm")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  <c r="S138" s="5">
        <f>SUM(F138:I138)+N138</f>
        <v/>
      </c>
      <c r="T138" s="5">
        <f>J138</f>
        <v/>
      </c>
      <c r="U138" s="6">
        <f>YEAR(D138)</f>
        <v/>
      </c>
      <c r="V138" s="5">
        <f>TEXT(D138,"yyyy-mm")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  <c r="S139" s="5">
        <f>SUM(F139:I139)+N139</f>
        <v/>
      </c>
      <c r="T139" s="5">
        <f>J139</f>
        <v/>
      </c>
      <c r="U139" s="6">
        <f>YEAR(D139)</f>
        <v/>
      </c>
      <c r="V139" s="5">
        <f>TEXT(D139,"yyyy-mm")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  <c r="S140" s="5">
        <f>SUM(F140:I140)+N140</f>
        <v/>
      </c>
      <c r="T140" s="5">
        <f>J140</f>
        <v/>
      </c>
      <c r="U140" s="6">
        <f>YEAR(D140)</f>
        <v/>
      </c>
      <c r="V140" s="5">
        <f>TEXT(D140,"yyyy-mm")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  <c r="S141" s="5">
        <f>SUM(F141:I141)+N141</f>
        <v/>
      </c>
      <c r="T141" s="5">
        <f>J141</f>
        <v/>
      </c>
      <c r="U141" s="6">
        <f>YEAR(D141)</f>
        <v/>
      </c>
      <c r="V141" s="5">
        <f>TEXT(D141,"yyyy-mm")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>
        <f>SUM(F142:I142)+N142</f>
        <v/>
      </c>
      <c r="T142" s="5">
        <f>J142</f>
        <v/>
      </c>
      <c r="U142" s="6">
        <f>YEAR(D142)</f>
        <v/>
      </c>
      <c r="V142" s="5">
        <f>TEXT(D142,"yyyy-mm")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  <c r="S143" s="5">
        <f>SUM(F143:I143)+N143</f>
        <v/>
      </c>
      <c r="T143" s="5">
        <f>J143</f>
        <v/>
      </c>
      <c r="U143" s="6">
        <f>YEAR(D143)</f>
        <v/>
      </c>
      <c r="V143" s="5">
        <f>TEXT(D143,"yyyy-mm")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  <c r="S144" s="5">
        <f>SUM(F144:I144)+N144</f>
        <v/>
      </c>
      <c r="T144" s="5">
        <f>J144</f>
        <v/>
      </c>
      <c r="U144" s="6">
        <f>YEAR(D144)</f>
        <v/>
      </c>
      <c r="V144" s="5">
        <f>TEXT(D144,"yyyy-mm")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  <c r="S145" s="5">
        <f>SUM(F145:I145)+N145</f>
        <v/>
      </c>
      <c r="T145" s="5">
        <f>J145</f>
        <v/>
      </c>
      <c r="U145" s="6">
        <f>YEAR(D145)</f>
        <v/>
      </c>
      <c r="V145" s="5">
        <f>TEXT(D145,"yyyy-mm")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  <c r="S146" s="5">
        <f>SUM(F146:I146)+N146</f>
        <v/>
      </c>
      <c r="T146" s="5">
        <f>J146</f>
        <v/>
      </c>
      <c r="U146" s="6">
        <f>YEAR(D146)</f>
        <v/>
      </c>
      <c r="V146" s="5">
        <f>TEXT(D146,"yyyy-mm")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  <c r="S147" s="5">
        <f>SUM(F147:I147)+N147</f>
        <v/>
      </c>
      <c r="T147" s="5">
        <f>J147</f>
        <v/>
      </c>
      <c r="U147" s="6">
        <f>YEAR(D147)</f>
        <v/>
      </c>
      <c r="V147" s="5">
        <f>TEXT(D147,"yyyy-mm")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  <c r="S148" s="5">
        <f>SUM(F148:I148)+N148</f>
        <v/>
      </c>
      <c r="T148" s="5">
        <f>J148</f>
        <v/>
      </c>
      <c r="U148" s="6">
        <f>YEAR(D148)</f>
        <v/>
      </c>
      <c r="V148" s="5">
        <f>TEXT(D148,"yyyy-mm")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  <c r="S149" s="5">
        <f>SUM(F149:I149)+N149</f>
        <v/>
      </c>
      <c r="T149" s="5">
        <f>J149</f>
        <v/>
      </c>
      <c r="U149" s="6">
        <f>YEAR(D149)</f>
        <v/>
      </c>
      <c r="V149" s="5">
        <f>TEXT(D149,"yyyy-mm")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  <c r="S150" s="5">
        <f>SUM(F150:I150)+N150</f>
        <v/>
      </c>
      <c r="T150" s="5">
        <f>J150</f>
        <v/>
      </c>
      <c r="U150" s="6">
        <f>YEAR(D150)</f>
        <v/>
      </c>
      <c r="V150" s="5">
        <f>TEXT(D150,"yyyy-mm")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  <c r="S151" s="5">
        <f>SUM(F151:I151)+N151</f>
        <v/>
      </c>
      <c r="T151" s="5">
        <f>J151</f>
        <v/>
      </c>
      <c r="U151" s="6">
        <f>YEAR(D151)</f>
        <v/>
      </c>
      <c r="V151" s="5">
        <f>TEXT(D151,"yyyy-mm")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  <c r="S152" s="5">
        <f>SUM(F152:I152)+N152</f>
        <v/>
      </c>
      <c r="T152" s="5">
        <f>J152</f>
        <v/>
      </c>
      <c r="U152" s="6">
        <f>YEAR(D152)</f>
        <v/>
      </c>
      <c r="V152" s="5">
        <f>TEXT(D152,"yyyy-mm")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  <c r="S153" s="5">
        <f>SUM(F153:I153)+N153</f>
        <v/>
      </c>
      <c r="T153" s="5">
        <f>J153</f>
        <v/>
      </c>
      <c r="U153" s="6">
        <f>YEAR(D153)</f>
        <v/>
      </c>
      <c r="V153" s="5">
        <f>TEXT(D153,"yyyy-mm")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  <c r="S154" s="5">
        <f>SUM(F154:I154)+N154</f>
        <v/>
      </c>
      <c r="T154" s="5">
        <f>J154</f>
        <v/>
      </c>
      <c r="U154" s="6">
        <f>YEAR(D154)</f>
        <v/>
      </c>
      <c r="V154" s="5">
        <f>TEXT(D154,"yyyy-mm")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  <c r="S155" s="5">
        <f>SUM(F155:I155)+N155</f>
        <v/>
      </c>
      <c r="T155" s="5">
        <f>J155</f>
        <v/>
      </c>
      <c r="U155" s="6">
        <f>YEAR(D155)</f>
        <v/>
      </c>
      <c r="V155" s="5">
        <f>TEXT(D155,"yyyy-mm")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  <c r="S156" s="5">
        <f>SUM(F156:I156)+N156</f>
        <v/>
      </c>
      <c r="T156" s="5">
        <f>J156</f>
        <v/>
      </c>
      <c r="U156" s="6">
        <f>YEAR(D156)</f>
        <v/>
      </c>
      <c r="V156" s="5">
        <f>TEXT(D156,"yyyy-mm")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  <c r="S157" s="5">
        <f>SUM(F157:I157)+N157</f>
        <v/>
      </c>
      <c r="T157" s="5">
        <f>J157</f>
        <v/>
      </c>
      <c r="U157" s="6">
        <f>YEAR(D157)</f>
        <v/>
      </c>
      <c r="V157" s="5">
        <f>TEXT(D157,"yyyy-mm")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  <c r="S158" s="5">
        <f>SUM(F158:I158)+N158</f>
        <v/>
      </c>
      <c r="T158" s="5">
        <f>J158</f>
        <v/>
      </c>
      <c r="U158" s="6">
        <f>YEAR(D158)</f>
        <v/>
      </c>
      <c r="V158" s="5">
        <f>TEXT(D158,"yyyy-mm")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  <c r="S159" s="5">
        <f>SUM(F159:I159)+N159</f>
        <v/>
      </c>
      <c r="T159" s="5">
        <f>J159</f>
        <v/>
      </c>
      <c r="U159" s="6">
        <f>YEAR(D159)</f>
        <v/>
      </c>
      <c r="V159" s="5">
        <f>TEXT(D159,"yyyy-mm")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  <c r="S160" s="5">
        <f>SUM(F160:I160)+N160</f>
        <v/>
      </c>
      <c r="T160" s="5">
        <f>J160</f>
        <v/>
      </c>
      <c r="U160" s="6">
        <f>YEAR(D160)</f>
        <v/>
      </c>
      <c r="V160" s="5">
        <f>TEXT(D160,"yyyy-mm")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  <c r="S161" s="5">
        <f>SUM(F161:I161)+N161</f>
        <v/>
      </c>
      <c r="T161" s="5">
        <f>J161</f>
        <v/>
      </c>
      <c r="U161" s="6">
        <f>YEAR(D161)</f>
        <v/>
      </c>
      <c r="V161" s="5">
        <f>TEXT(D161,"yyyy-mm")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  <c r="S162" s="5">
        <f>SUM(F162:I162)+N162</f>
        <v/>
      </c>
      <c r="T162" s="5">
        <f>J162</f>
        <v/>
      </c>
      <c r="U162" s="6">
        <f>YEAR(D162)</f>
        <v/>
      </c>
      <c r="V162" s="5">
        <f>TEXT(D162,"yyyy-mm")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  <c r="S163" s="5">
        <f>SUM(F163:I163)+N163</f>
        <v/>
      </c>
      <c r="T163" s="5">
        <f>J163</f>
        <v/>
      </c>
      <c r="U163" s="6">
        <f>YEAR(D163)</f>
        <v/>
      </c>
      <c r="V163" s="5">
        <f>TEXT(D163,"yyyy-mm")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  <c r="S164" s="5">
        <f>SUM(F164:I164)+N164</f>
        <v/>
      </c>
      <c r="T164" s="5">
        <f>J164</f>
        <v/>
      </c>
      <c r="U164" s="6">
        <f>YEAR(D164)</f>
        <v/>
      </c>
      <c r="V164" s="5">
        <f>TEXT(D164,"yyyy-mm")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  <c r="S165" s="5">
        <f>SUM(F165:I165)+N165</f>
        <v/>
      </c>
      <c r="T165" s="5">
        <f>J165</f>
        <v/>
      </c>
      <c r="U165" s="6">
        <f>YEAR(D165)</f>
        <v/>
      </c>
      <c r="V165" s="5">
        <f>TEXT(D165,"yyyy-mm")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  <c r="S166" s="5">
        <f>SUM(F166:I166)+N166</f>
        <v/>
      </c>
      <c r="T166" s="5">
        <f>J166</f>
        <v/>
      </c>
      <c r="U166" s="6">
        <f>YEAR(D166)</f>
        <v/>
      </c>
      <c r="V166" s="5">
        <f>TEXT(D166,"yyyy-mm")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  <c r="S167" s="5">
        <f>SUM(F167:I167)+N167</f>
        <v/>
      </c>
      <c r="T167" s="5">
        <f>J167</f>
        <v/>
      </c>
      <c r="U167" s="6">
        <f>YEAR(D167)</f>
        <v/>
      </c>
      <c r="V167" s="5">
        <f>TEXT(D167,"yyyy-mm")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  <c r="S168" s="5">
        <f>SUM(F168:I168)+N168</f>
        <v/>
      </c>
      <c r="T168" s="5">
        <f>J168</f>
        <v/>
      </c>
      <c r="U168" s="6">
        <f>YEAR(D168)</f>
        <v/>
      </c>
      <c r="V168" s="5">
        <f>TEXT(D168,"yyyy-mm")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  <c r="S169" s="5">
        <f>SUM(F169:I169)+N169</f>
        <v/>
      </c>
      <c r="T169" s="5">
        <f>J169</f>
        <v/>
      </c>
      <c r="U169" s="6">
        <f>YEAR(D169)</f>
        <v/>
      </c>
      <c r="V169" s="5">
        <f>TEXT(D169,"yyyy-mm")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  <c r="S170" s="5">
        <f>SUM(F170:I170)+N170</f>
        <v/>
      </c>
      <c r="T170" s="5">
        <f>J170</f>
        <v/>
      </c>
      <c r="U170" s="6">
        <f>YEAR(D170)</f>
        <v/>
      </c>
      <c r="V170" s="5">
        <f>TEXT(D170,"yyyy-mm")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  <c r="S171" s="5">
        <f>SUM(F171:I171)+N171</f>
        <v/>
      </c>
      <c r="T171" s="5">
        <f>J171</f>
        <v/>
      </c>
      <c r="U171" s="6">
        <f>YEAR(D171)</f>
        <v/>
      </c>
      <c r="V171" s="5">
        <f>TEXT(D171,"yyyy-mm")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  <c r="S172" s="5">
        <f>SUM(F172:I172)+N172</f>
        <v/>
      </c>
      <c r="T172" s="5">
        <f>J172</f>
        <v/>
      </c>
      <c r="U172" s="6">
        <f>YEAR(D172)</f>
        <v/>
      </c>
      <c r="V172" s="5">
        <f>TEXT(D172,"yyyy-mm")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  <c r="S173" s="5">
        <f>SUM(F173:I173)+N173</f>
        <v/>
      </c>
      <c r="T173" s="5">
        <f>J173</f>
        <v/>
      </c>
      <c r="U173" s="6">
        <f>YEAR(D173)</f>
        <v/>
      </c>
      <c r="V173" s="5">
        <f>TEXT(D173,"yyyy-mm")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  <c r="S174" s="5">
        <f>SUM(F174:I174)+N174</f>
        <v/>
      </c>
      <c r="T174" s="5">
        <f>J174</f>
        <v/>
      </c>
      <c r="U174" s="6">
        <f>YEAR(D174)</f>
        <v/>
      </c>
      <c r="V174" s="5">
        <f>TEXT(D174,"yyyy-mm")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  <c r="S175" s="5">
        <f>SUM(F175:I175)+N175</f>
        <v/>
      </c>
      <c r="T175" s="5">
        <f>J175</f>
        <v/>
      </c>
      <c r="U175" s="6">
        <f>YEAR(D175)</f>
        <v/>
      </c>
      <c r="V175" s="5">
        <f>TEXT(D175,"yyyy-mm")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  <c r="S176" s="5">
        <f>SUM(F176:I176)+N176</f>
        <v/>
      </c>
      <c r="T176" s="5">
        <f>J176</f>
        <v/>
      </c>
      <c r="U176" s="6">
        <f>YEAR(D176)</f>
        <v/>
      </c>
      <c r="V176" s="5">
        <f>TEXT(D176,"yyyy-mm")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  <c r="S177" s="5">
        <f>SUM(F177:I177)+N177</f>
        <v/>
      </c>
      <c r="T177" s="5">
        <f>J177</f>
        <v/>
      </c>
      <c r="U177" s="6">
        <f>YEAR(D177)</f>
        <v/>
      </c>
      <c r="V177" s="5">
        <f>TEXT(D177,"yyyy-mm")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  <c r="S178" s="5">
        <f>SUM(F178:I178)+N178</f>
        <v/>
      </c>
      <c r="T178" s="5">
        <f>J178</f>
        <v/>
      </c>
      <c r="U178" s="6">
        <f>YEAR(D178)</f>
        <v/>
      </c>
      <c r="V178" s="5">
        <f>TEXT(D178,"yyyy-mm")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  <c r="S179" s="5">
        <f>SUM(F179:I179)+N179</f>
        <v/>
      </c>
      <c r="T179" s="5">
        <f>J179</f>
        <v/>
      </c>
      <c r="U179" s="6">
        <f>YEAR(D179)</f>
        <v/>
      </c>
      <c r="V179" s="5">
        <f>TEXT(D179,"yyyy-mm")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  <c r="S180" s="5">
        <f>SUM(F180:I180)+N180</f>
        <v/>
      </c>
      <c r="T180" s="5">
        <f>J180</f>
        <v/>
      </c>
      <c r="U180" s="6">
        <f>YEAR(D180)</f>
        <v/>
      </c>
      <c r="V180" s="5">
        <f>TEXT(D180,"yyyy-mm")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  <c r="S181" s="5">
        <f>SUM(F181:I181)+N181</f>
        <v/>
      </c>
      <c r="T181" s="5">
        <f>J181</f>
        <v/>
      </c>
      <c r="U181" s="6">
        <f>YEAR(D181)</f>
        <v/>
      </c>
      <c r="V181" s="5">
        <f>TEXT(D181,"yyyy-mm")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  <c r="S182" s="5">
        <f>SUM(F182:I182)+N182</f>
        <v/>
      </c>
      <c r="T182" s="5">
        <f>J182</f>
        <v/>
      </c>
      <c r="U182" s="6">
        <f>YEAR(D182)</f>
        <v/>
      </c>
      <c r="V182" s="5">
        <f>TEXT(D182,"yyyy-mm")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  <c r="S183" s="5">
        <f>SUM(F183:I183)+N183</f>
        <v/>
      </c>
      <c r="T183" s="5">
        <f>J183</f>
        <v/>
      </c>
      <c r="U183" s="6">
        <f>YEAR(D183)</f>
        <v/>
      </c>
      <c r="V183" s="5">
        <f>TEXT(D183,"yyyy-mm")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  <c r="S184" s="5">
        <f>SUM(F184:I184)+N184</f>
        <v/>
      </c>
      <c r="T184" s="5">
        <f>J184</f>
        <v/>
      </c>
      <c r="U184" s="6">
        <f>YEAR(D184)</f>
        <v/>
      </c>
      <c r="V184" s="5">
        <f>TEXT(D184,"yyyy-mm")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  <c r="S185" s="5">
        <f>SUM(F185:I185)+N185</f>
        <v/>
      </c>
      <c r="T185" s="5">
        <f>J185</f>
        <v/>
      </c>
      <c r="U185" s="6">
        <f>YEAR(D185)</f>
        <v/>
      </c>
      <c r="V185" s="5">
        <f>TEXT(D185,"yyyy-mm")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  <c r="S186" s="5">
        <f>SUM(F186:I186)+N186</f>
        <v/>
      </c>
      <c r="T186" s="5">
        <f>J186</f>
        <v/>
      </c>
      <c r="U186" s="6">
        <f>YEAR(D186)</f>
        <v/>
      </c>
      <c r="V186" s="5">
        <f>TEXT(D186,"yyyy-mm")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  <c r="S187" s="5">
        <f>SUM(F187:I187)+N187</f>
        <v/>
      </c>
      <c r="T187" s="5">
        <f>J187</f>
        <v/>
      </c>
      <c r="U187" s="6">
        <f>YEAR(D187)</f>
        <v/>
      </c>
      <c r="V187" s="5">
        <f>TEXT(D187,"yyyy-mm")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  <c r="S188" s="5">
        <f>SUM(F188:I188)+N188</f>
        <v/>
      </c>
      <c r="T188" s="5">
        <f>J188</f>
        <v/>
      </c>
      <c r="U188" s="6">
        <f>YEAR(D188)</f>
        <v/>
      </c>
      <c r="V188" s="5">
        <f>TEXT(D188,"yyyy-mm")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  <c r="S189" s="5">
        <f>SUM(F189:I189)+N189</f>
        <v/>
      </c>
      <c r="T189" s="5">
        <f>J189</f>
        <v/>
      </c>
      <c r="U189" s="6">
        <f>YEAR(D189)</f>
        <v/>
      </c>
      <c r="V189" s="5">
        <f>TEXT(D189,"yyyy-mm")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  <c r="S190" s="5">
        <f>SUM(F190:I190)+N190</f>
        <v/>
      </c>
      <c r="T190" s="5">
        <f>J190</f>
        <v/>
      </c>
      <c r="U190" s="6">
        <f>YEAR(D190)</f>
        <v/>
      </c>
      <c r="V190" s="5">
        <f>TEXT(D190,"yyyy-mm")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  <c r="S191" s="5">
        <f>SUM(F191:I191)+N191</f>
        <v/>
      </c>
      <c r="T191" s="5">
        <f>J191</f>
        <v/>
      </c>
      <c r="U191" s="6">
        <f>YEAR(D191)</f>
        <v/>
      </c>
      <c r="V191" s="5">
        <f>TEXT(D191,"yyyy-mm")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  <c r="S192" s="5">
        <f>SUM(F192:I192)+N192</f>
        <v/>
      </c>
      <c r="T192" s="5">
        <f>J192</f>
        <v/>
      </c>
      <c r="U192" s="6">
        <f>YEAR(D192)</f>
        <v/>
      </c>
      <c r="V192" s="5">
        <f>TEXT(D192,"yyyy-mm")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  <c r="S193" s="5">
        <f>SUM(F193:I193)+N193</f>
        <v/>
      </c>
      <c r="T193" s="5">
        <f>J193</f>
        <v/>
      </c>
      <c r="U193" s="6">
        <f>YEAR(D193)</f>
        <v/>
      </c>
      <c r="V193" s="5">
        <f>TEXT(D193,"yyyy-mm")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  <c r="S194" s="5">
        <f>SUM(F194:I194)+N194</f>
        <v/>
      </c>
      <c r="T194" s="5">
        <f>J194</f>
        <v/>
      </c>
      <c r="U194" s="6">
        <f>YEAR(D194)</f>
        <v/>
      </c>
      <c r="V194" s="5">
        <f>TEXT(D194,"yyyy-mm")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  <c r="S195" s="5">
        <f>SUM(F195:I195)+N195</f>
        <v/>
      </c>
      <c r="T195" s="5">
        <f>J195</f>
        <v/>
      </c>
      <c r="U195" s="6">
        <f>YEAR(D195)</f>
        <v/>
      </c>
      <c r="V195" s="5">
        <f>TEXT(D195,"yyyy-mm")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  <c r="S196" s="5">
        <f>SUM(F196:I196)+N196</f>
        <v/>
      </c>
      <c r="T196" s="5">
        <f>J196</f>
        <v/>
      </c>
      <c r="U196" s="6">
        <f>YEAR(D196)</f>
        <v/>
      </c>
      <c r="V196" s="5">
        <f>TEXT(D196,"yyyy-mm")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  <c r="S197" s="5">
        <f>SUM(F197:I197)+N197</f>
        <v/>
      </c>
      <c r="T197" s="5">
        <f>J197</f>
        <v/>
      </c>
      <c r="U197" s="6">
        <f>YEAR(D197)</f>
        <v/>
      </c>
      <c r="V197" s="5">
        <f>TEXT(D197,"yyyy-mm")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  <c r="S198" s="5">
        <f>SUM(F198:I198)+N198</f>
        <v/>
      </c>
      <c r="T198" s="5">
        <f>J198</f>
        <v/>
      </c>
      <c r="U198" s="6">
        <f>YEAR(D198)</f>
        <v/>
      </c>
      <c r="V198" s="5">
        <f>TEXT(D198,"yyyy-mm")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  <c r="S199" s="5">
        <f>SUM(F199:I199)+N199</f>
        <v/>
      </c>
      <c r="T199" s="5">
        <f>J199</f>
        <v/>
      </c>
      <c r="U199" s="6">
        <f>YEAR(D199)</f>
        <v/>
      </c>
      <c r="V199" s="5">
        <f>TEXT(D199,"yyyy-mm")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  <c r="S200" s="5">
        <f>SUM(F200:I200)+N200</f>
        <v/>
      </c>
      <c r="T200" s="5">
        <f>J200</f>
        <v/>
      </c>
      <c r="U200" s="6">
        <f>YEAR(D200)</f>
        <v/>
      </c>
      <c r="V200" s="5">
        <f>TEXT(D200,"yyyy-mm")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  <c r="S201" s="5">
        <f>SUM(F201:I201)+N201</f>
        <v/>
      </c>
      <c r="T201" s="5">
        <f>J201</f>
        <v/>
      </c>
      <c r="U201" s="6">
        <f>YEAR(D201)</f>
        <v/>
      </c>
      <c r="V201" s="5">
        <f>TEXT(D201,"yyyy-mm")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  <c r="S202" s="5">
        <f>SUM(F202:I202)+N202</f>
        <v/>
      </c>
      <c r="T202" s="5">
        <f>J202</f>
        <v/>
      </c>
      <c r="U202" s="6">
        <f>YEAR(D202)</f>
        <v/>
      </c>
      <c r="V202" s="5">
        <f>TEXT(D202,"yyyy-mm")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  <c r="S203" s="5">
        <f>SUM(F203:I203)+N203</f>
        <v/>
      </c>
      <c r="T203" s="5">
        <f>J203</f>
        <v/>
      </c>
      <c r="U203" s="6">
        <f>YEAR(D203)</f>
        <v/>
      </c>
      <c r="V203" s="5">
        <f>TEXT(D203,"yyyy-mm")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  <c r="S204" s="5">
        <f>SUM(F204:I204)+N204</f>
        <v/>
      </c>
      <c r="T204" s="5">
        <f>J204</f>
        <v/>
      </c>
      <c r="U204" s="6">
        <f>YEAR(D204)</f>
        <v/>
      </c>
      <c r="V204" s="5">
        <f>TEXT(D204,"yyyy-mm")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  <c r="S205" s="5">
        <f>SUM(F205:I205)+N205</f>
        <v/>
      </c>
      <c r="T205" s="5">
        <f>J205</f>
        <v/>
      </c>
      <c r="U205" s="6">
        <f>YEAR(D205)</f>
        <v/>
      </c>
      <c r="V205" s="5">
        <f>TEXT(D205,"yyyy-mm")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  <c r="S206" s="5">
        <f>SUM(F206:I206)+N206</f>
        <v/>
      </c>
      <c r="T206" s="5">
        <f>J206</f>
        <v/>
      </c>
      <c r="U206" s="6">
        <f>YEAR(D206)</f>
        <v/>
      </c>
      <c r="V206" s="5">
        <f>TEXT(D206,"yyyy-mm")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  <c r="S207" s="5">
        <f>SUM(F207:I207)+N207</f>
        <v/>
      </c>
      <c r="T207" s="5">
        <f>J207</f>
        <v/>
      </c>
      <c r="U207" s="6">
        <f>YEAR(D207)</f>
        <v/>
      </c>
      <c r="V207" s="5">
        <f>TEXT(D207,"yyyy-mm")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  <c r="S208" s="5">
        <f>SUM(F208:I208)+N208</f>
        <v/>
      </c>
      <c r="T208" s="5">
        <f>J208</f>
        <v/>
      </c>
      <c r="U208" s="6">
        <f>YEAR(D208)</f>
        <v/>
      </c>
      <c r="V208" s="5">
        <f>TEXT(D208,"yyyy-mm")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>
        <f>SUM(F209:I209)+N209</f>
        <v/>
      </c>
      <c r="T209" s="5">
        <f>J209</f>
        <v/>
      </c>
      <c r="U209" s="6">
        <f>YEAR(D209)</f>
        <v/>
      </c>
      <c r="V209" s="5">
        <f>TEXT(D209,"yyyy-mm")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  <c r="S210" s="5">
        <f>SUM(F210:I210)+N210</f>
        <v/>
      </c>
      <c r="T210" s="5">
        <f>J210</f>
        <v/>
      </c>
      <c r="U210" s="6">
        <f>YEAR(D210)</f>
        <v/>
      </c>
      <c r="V210" s="5">
        <f>TEXT(D210,"yyyy-mm")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SUM(F211:I211)+N211</f>
        <v/>
      </c>
      <c r="T211" s="5">
        <f>J211</f>
        <v/>
      </c>
      <c r="U211" s="6">
        <f>YEAR(D211)</f>
        <v/>
      </c>
      <c r="V211" s="5">
        <f>TEXT(D211,"yyyy-mm")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  <c r="S212" s="5">
        <f>SUM(F212:I212)+N212</f>
        <v/>
      </c>
      <c r="T212" s="5">
        <f>J212</f>
        <v/>
      </c>
      <c r="U212" s="6">
        <f>YEAR(D212)</f>
        <v/>
      </c>
      <c r="V212" s="5">
        <f>TEXT(D212,"yyyy-mm")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  <c r="S213" s="5">
        <f>SUM(F213:I213)+N213</f>
        <v/>
      </c>
      <c r="T213" s="5">
        <f>J213</f>
        <v/>
      </c>
      <c r="U213" s="6">
        <f>YEAR(D213)</f>
        <v/>
      </c>
      <c r="V213" s="5">
        <f>TEXT(D213,"yyyy-mm")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  <c r="S214" s="5">
        <f>SUM(F214:I214)+N214</f>
        <v/>
      </c>
      <c r="T214" s="5">
        <f>J214</f>
        <v/>
      </c>
      <c r="U214" s="6">
        <f>YEAR(D214)</f>
        <v/>
      </c>
      <c r="V214" s="5">
        <f>TEXT(D214,"yyyy-mm")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  <c r="S215" s="5">
        <f>SUM(F215:I215)+N215</f>
        <v/>
      </c>
      <c r="T215" s="5">
        <f>J215</f>
        <v/>
      </c>
      <c r="U215" s="6">
        <f>YEAR(D215)</f>
        <v/>
      </c>
      <c r="V215" s="5">
        <f>TEXT(D215,"yyyy-mm")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  <c r="S216" s="5">
        <f>SUM(F216:I216)+N216</f>
        <v/>
      </c>
      <c r="T216" s="5">
        <f>J216</f>
        <v/>
      </c>
      <c r="U216" s="6">
        <f>YEAR(D216)</f>
        <v/>
      </c>
      <c r="V216" s="5">
        <f>TEXT(D216,"yyyy-mm")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  <c r="S217" s="5">
        <f>SUM(F217:I217)+N217</f>
        <v/>
      </c>
      <c r="T217" s="5">
        <f>J217</f>
        <v/>
      </c>
      <c r="U217" s="6">
        <f>YEAR(D217)</f>
        <v/>
      </c>
      <c r="V217" s="5">
        <f>TEXT(D217,"yyyy-mm")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  <c r="S218" s="5">
        <f>SUM(F218:I218)+N218</f>
        <v/>
      </c>
      <c r="T218" s="5">
        <f>J218</f>
        <v/>
      </c>
      <c r="U218" s="6">
        <f>YEAR(D218)</f>
        <v/>
      </c>
      <c r="V218" s="5">
        <f>TEXT(D218,"yyyy-mm")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>
        <f>SUM(F219:I219)+N219</f>
        <v/>
      </c>
      <c r="T219" s="5">
        <f>J219</f>
        <v/>
      </c>
      <c r="U219" s="6">
        <f>YEAR(D219)</f>
        <v/>
      </c>
      <c r="V219" s="5">
        <f>TEXT(D219,"yyyy-mm")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  <c r="S220" s="5">
        <f>SUM(F220:I220)+N220</f>
        <v/>
      </c>
      <c r="T220" s="5">
        <f>J220</f>
        <v/>
      </c>
      <c r="U220" s="6">
        <f>YEAR(D220)</f>
        <v/>
      </c>
      <c r="V220" s="5">
        <f>TEXT(D220,"yyyy-mm")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  <c r="S221" s="5">
        <f>SUM(F221:I221)+N221</f>
        <v/>
      </c>
      <c r="T221" s="5">
        <f>J221</f>
        <v/>
      </c>
      <c r="U221" s="6">
        <f>YEAR(D221)</f>
        <v/>
      </c>
      <c r="V221" s="5">
        <f>TEXT(D221,"yyyy-mm")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  <c r="S222" s="5">
        <f>SUM(F222:I222)+N222</f>
        <v/>
      </c>
      <c r="T222" s="5">
        <f>J222</f>
        <v/>
      </c>
      <c r="U222" s="6">
        <f>YEAR(D222)</f>
        <v/>
      </c>
      <c r="V222" s="5">
        <f>TEXT(D222,"yyyy-mm")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  <c r="S223" s="5">
        <f>SUM(F223:I223)+N223</f>
        <v/>
      </c>
      <c r="T223" s="5">
        <f>J223</f>
        <v/>
      </c>
      <c r="U223" s="6">
        <f>YEAR(D223)</f>
        <v/>
      </c>
      <c r="V223" s="5">
        <f>TEXT(D223,"yyyy-mm")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  <c r="S224" s="5">
        <f>SUM(F224:I224)+N224</f>
        <v/>
      </c>
      <c r="T224" s="5">
        <f>J224</f>
        <v/>
      </c>
      <c r="U224" s="6">
        <f>YEAR(D224)</f>
        <v/>
      </c>
      <c r="V224" s="5">
        <f>TEXT(D224,"yyyy-mm")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  <c r="S225" s="5">
        <f>SUM(F225:I225)+N225</f>
        <v/>
      </c>
      <c r="T225" s="5">
        <f>J225</f>
        <v/>
      </c>
      <c r="U225" s="6">
        <f>YEAR(D225)</f>
        <v/>
      </c>
      <c r="V225" s="5">
        <f>TEXT(D225,"yyyy-mm")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  <c r="S226" s="5">
        <f>SUM(F226:I226)+N226</f>
        <v/>
      </c>
      <c r="T226" s="5">
        <f>J226</f>
        <v/>
      </c>
      <c r="U226" s="6">
        <f>YEAR(D226)</f>
        <v/>
      </c>
      <c r="V226" s="5">
        <f>TEXT(D226,"yyyy-mm")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  <c r="S227" s="5">
        <f>SUM(F227:I227)+N227</f>
        <v/>
      </c>
      <c r="T227" s="5">
        <f>J227</f>
        <v/>
      </c>
      <c r="U227" s="6">
        <f>YEAR(D227)</f>
        <v/>
      </c>
      <c r="V227" s="5">
        <f>TEXT(D227,"yyyy-mm")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  <c r="S228" s="5">
        <f>SUM(F228:I228)+N228</f>
        <v/>
      </c>
      <c r="T228" s="5">
        <f>J228</f>
        <v/>
      </c>
      <c r="U228" s="6">
        <f>YEAR(D228)</f>
        <v/>
      </c>
      <c r="V228" s="5">
        <f>TEXT(D228,"yyyy-mm")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  <c r="S229" s="5">
        <f>SUM(F229:I229)+N229</f>
        <v/>
      </c>
      <c r="T229" s="5">
        <f>J229</f>
        <v/>
      </c>
      <c r="U229" s="6">
        <f>YEAR(D229)</f>
        <v/>
      </c>
      <c r="V229" s="5">
        <f>TEXT(D229,"yyyy-mm")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>
        <f>SUM(F230:I230)+N230</f>
        <v/>
      </c>
      <c r="T230" s="5">
        <f>J230</f>
        <v/>
      </c>
      <c r="U230" s="6">
        <f>YEAR(D230)</f>
        <v/>
      </c>
      <c r="V230" s="5">
        <f>TEXT(D230,"yyyy-mm")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  <c r="S231" s="5">
        <f>SUM(F231:I231)+N231</f>
        <v/>
      </c>
      <c r="T231" s="5">
        <f>J231</f>
        <v/>
      </c>
      <c r="U231" s="6">
        <f>YEAR(D231)</f>
        <v/>
      </c>
      <c r="V231" s="5">
        <f>TEXT(D231,"yyyy-mm")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  <c r="S232" s="5">
        <f>SUM(F232:I232)+N232</f>
        <v/>
      </c>
      <c r="T232" s="5">
        <f>J232</f>
        <v/>
      </c>
      <c r="U232" s="6">
        <f>YEAR(D232)</f>
        <v/>
      </c>
      <c r="V232" s="5">
        <f>TEXT(D232,"yyyy-mm")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  <c r="S233" s="5">
        <f>SUM(F233:I233)+N233</f>
        <v/>
      </c>
      <c r="T233" s="5">
        <f>J233</f>
        <v/>
      </c>
      <c r="U233" s="6">
        <f>YEAR(D233)</f>
        <v/>
      </c>
      <c r="V233" s="5">
        <f>TEXT(D233,"yyyy-mm")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  <c r="S234" s="5">
        <f>SUM(F234:I234)+N234</f>
        <v/>
      </c>
      <c r="T234" s="5">
        <f>J234</f>
        <v/>
      </c>
      <c r="U234" s="6">
        <f>YEAR(D234)</f>
        <v/>
      </c>
      <c r="V234" s="5">
        <f>TEXT(D234,"yyyy-mm")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  <c r="S235" s="5">
        <f>SUM(F235:I235)+N235</f>
        <v/>
      </c>
      <c r="T235" s="5">
        <f>J235</f>
        <v/>
      </c>
      <c r="U235" s="6">
        <f>YEAR(D235)</f>
        <v/>
      </c>
      <c r="V235" s="5">
        <f>TEXT(D235,"yyyy-mm")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  <c r="S236" s="5">
        <f>SUM(F236:I236)+N236</f>
        <v/>
      </c>
      <c r="T236" s="5">
        <f>J236</f>
        <v/>
      </c>
      <c r="U236" s="6">
        <f>YEAR(D236)</f>
        <v/>
      </c>
      <c r="V236" s="5">
        <f>TEXT(D236,"yyyy-mm")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  <c r="S237" s="5">
        <f>SUM(F237:I237)+N237</f>
        <v/>
      </c>
      <c r="T237" s="5">
        <f>J237</f>
        <v/>
      </c>
      <c r="U237" s="6">
        <f>YEAR(D237)</f>
        <v/>
      </c>
      <c r="V237" s="5">
        <f>TEXT(D237,"yyyy-mm")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  <c r="S238" s="5">
        <f>SUM(F238:I238)+N238</f>
        <v/>
      </c>
      <c r="T238" s="5">
        <f>J238</f>
        <v/>
      </c>
      <c r="U238" s="6">
        <f>YEAR(D238)</f>
        <v/>
      </c>
      <c r="V238" s="5">
        <f>TEXT(D238,"yyyy-mm")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  <c r="S239" s="5">
        <f>SUM(F239:I239)+N239</f>
        <v/>
      </c>
      <c r="T239" s="5">
        <f>J239</f>
        <v/>
      </c>
      <c r="U239" s="6">
        <f>YEAR(D239)</f>
        <v/>
      </c>
      <c r="V239" s="5">
        <f>TEXT(D239,"yyyy-mm")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  <c r="S240" s="5">
        <f>SUM(F240:I240)+N240</f>
        <v/>
      </c>
      <c r="T240" s="5">
        <f>J240</f>
        <v/>
      </c>
      <c r="U240" s="6">
        <f>YEAR(D240)</f>
        <v/>
      </c>
      <c r="V240" s="5">
        <f>TEXT(D240,"yyyy-mm")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  <c r="S241" s="5">
        <f>SUM(F241:I241)+N241</f>
        <v/>
      </c>
      <c r="T241" s="5">
        <f>J241</f>
        <v/>
      </c>
      <c r="U241" s="6">
        <f>YEAR(D241)</f>
        <v/>
      </c>
      <c r="V241" s="5">
        <f>TEXT(D241,"yyyy-mm")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  <c r="S242" s="5">
        <f>SUM(F242:I242)+N242</f>
        <v/>
      </c>
      <c r="T242" s="5">
        <f>J242</f>
        <v/>
      </c>
      <c r="U242" s="6">
        <f>YEAR(D242)</f>
        <v/>
      </c>
      <c r="V242" s="5">
        <f>TEXT(D242,"yyyy-mm")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  <c r="S243" s="5">
        <f>SUM(F243:I243)+N243</f>
        <v/>
      </c>
      <c r="T243" s="5">
        <f>J243</f>
        <v/>
      </c>
      <c r="U243" s="6">
        <f>YEAR(D243)</f>
        <v/>
      </c>
      <c r="V243" s="5">
        <f>TEXT(D243,"yyyy-mm")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  <c r="S244" s="5">
        <f>SUM(F244:I244)+N244</f>
        <v/>
      </c>
      <c r="T244" s="5">
        <f>J244</f>
        <v/>
      </c>
      <c r="U244" s="6">
        <f>YEAR(D244)</f>
        <v/>
      </c>
      <c r="V244" s="5">
        <f>TEXT(D244,"yyyy-mm")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  <c r="S245" s="5">
        <f>SUM(F245:I245)+N245</f>
        <v/>
      </c>
      <c r="T245" s="5">
        <f>J245</f>
        <v/>
      </c>
      <c r="U245" s="6">
        <f>YEAR(D245)</f>
        <v/>
      </c>
      <c r="V245" s="5">
        <f>TEXT(D245,"yyyy-mm")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  <c r="S246" s="5">
        <f>SUM(F246:I246)+N246</f>
        <v/>
      </c>
      <c r="T246" s="5">
        <f>J246</f>
        <v/>
      </c>
      <c r="U246" s="6">
        <f>YEAR(D246)</f>
        <v/>
      </c>
      <c r="V246" s="5">
        <f>TEXT(D246,"yyyy-mm")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  <c r="S247" s="5">
        <f>SUM(F247:I247)+N247</f>
        <v/>
      </c>
      <c r="T247" s="5">
        <f>J247</f>
        <v/>
      </c>
      <c r="U247" s="6">
        <f>YEAR(D247)</f>
        <v/>
      </c>
      <c r="V247" s="5">
        <f>TEXT(D247,"yyyy-mm")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  <c r="S248" s="5">
        <f>SUM(F248:I248)+N248</f>
        <v/>
      </c>
      <c r="T248" s="5">
        <f>J248</f>
        <v/>
      </c>
      <c r="U248" s="6">
        <f>YEAR(D248)</f>
        <v/>
      </c>
      <c r="V248" s="5">
        <f>TEXT(D248,"yyyy-mm")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  <c r="S249" s="5">
        <f>SUM(F249:I249)+N249</f>
        <v/>
      </c>
      <c r="T249" s="5">
        <f>J249</f>
        <v/>
      </c>
      <c r="U249" s="6">
        <f>YEAR(D249)</f>
        <v/>
      </c>
      <c r="V249" s="5">
        <f>TEXT(D249,"yyyy-mm")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  <c r="S250" s="5">
        <f>SUM(F250:I250)+N250</f>
        <v/>
      </c>
      <c r="T250" s="5">
        <f>J250</f>
        <v/>
      </c>
      <c r="U250" s="6">
        <f>YEAR(D250)</f>
        <v/>
      </c>
      <c r="V250" s="5">
        <f>TEXT(D250,"yyyy-mm")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  <c r="S251" s="5">
        <f>SUM(F251:I251)+N251</f>
        <v/>
      </c>
      <c r="T251" s="5">
        <f>J251</f>
        <v/>
      </c>
      <c r="U251" s="6">
        <f>YEAR(D251)</f>
        <v/>
      </c>
      <c r="V251" s="5">
        <f>TEXT(D251,"yyyy-mm")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  <c r="S252" s="5">
        <f>SUM(F252:I252)+N252</f>
        <v/>
      </c>
      <c r="T252" s="5">
        <f>J252</f>
        <v/>
      </c>
      <c r="U252" s="6">
        <f>YEAR(D252)</f>
        <v/>
      </c>
      <c r="V252" s="5">
        <f>TEXT(D252,"yyyy-mm")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  <c r="S253" s="5">
        <f>SUM(F253:I253)+N253</f>
        <v/>
      </c>
      <c r="T253" s="5">
        <f>J253</f>
        <v/>
      </c>
      <c r="U253" s="6">
        <f>YEAR(D253)</f>
        <v/>
      </c>
      <c r="V253" s="5">
        <f>TEXT(D253,"yyyy-mm")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  <c r="S254" s="5">
        <f>SUM(F254:I254)+N254</f>
        <v/>
      </c>
      <c r="T254" s="5">
        <f>J254</f>
        <v/>
      </c>
      <c r="U254" s="6">
        <f>YEAR(D254)</f>
        <v/>
      </c>
      <c r="V254" s="5">
        <f>TEXT(D254,"yyyy-mm")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  <c r="S255" s="5">
        <f>SUM(F255:I255)+N255</f>
        <v/>
      </c>
      <c r="T255" s="5">
        <f>J255</f>
        <v/>
      </c>
      <c r="U255" s="6">
        <f>YEAR(D255)</f>
        <v/>
      </c>
      <c r="V255" s="5">
        <f>TEXT(D255,"yyyy-mm")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  <c r="S256" s="5">
        <f>SUM(F256:I256)+N256</f>
        <v/>
      </c>
      <c r="T256" s="5">
        <f>J256</f>
        <v/>
      </c>
      <c r="U256" s="6">
        <f>YEAR(D256)</f>
        <v/>
      </c>
      <c r="V256" s="5">
        <f>TEXT(D256,"yyyy-mm")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  <c r="S257" s="5">
        <f>SUM(F257:I257)+N257</f>
        <v/>
      </c>
      <c r="T257" s="5">
        <f>J257</f>
        <v/>
      </c>
      <c r="U257" s="6">
        <f>YEAR(D257)</f>
        <v/>
      </c>
      <c r="V257" s="5">
        <f>TEXT(D257,"yyyy-mm")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  <c r="S258" s="5">
        <f>SUM(F258:I258)+N258</f>
        <v/>
      </c>
      <c r="T258" s="5">
        <f>J258</f>
        <v/>
      </c>
      <c r="U258" s="6">
        <f>YEAR(D258)</f>
        <v/>
      </c>
      <c r="V258" s="5">
        <f>TEXT(D258,"yyyy-mm")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  <c r="S259" s="5">
        <f>SUM(F259:I259)+N259</f>
        <v/>
      </c>
      <c r="T259" s="5">
        <f>J259</f>
        <v/>
      </c>
      <c r="U259" s="6">
        <f>YEAR(D259)</f>
        <v/>
      </c>
      <c r="V259" s="5">
        <f>TEXT(D259,"yyyy-mm")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  <c r="S260" s="5">
        <f>SUM(F260:I260)+N260</f>
        <v/>
      </c>
      <c r="T260" s="5">
        <f>J260</f>
        <v/>
      </c>
      <c r="U260" s="6">
        <f>YEAR(D260)</f>
        <v/>
      </c>
      <c r="V260" s="5">
        <f>TEXT(D260,"yyyy-mm")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>
        <f>SUM(F261:I261)+N261</f>
        <v/>
      </c>
      <c r="T261" s="5">
        <f>J261</f>
        <v/>
      </c>
      <c r="U261" s="6">
        <f>YEAR(D261)</f>
        <v/>
      </c>
      <c r="V261" s="5">
        <f>TEXT(D261,"yyyy-mm")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  <c r="S262" s="5">
        <f>SUM(F262:I262)+N262</f>
        <v/>
      </c>
      <c r="T262" s="5">
        <f>J262</f>
        <v/>
      </c>
      <c r="U262" s="6">
        <f>YEAR(D262)</f>
        <v/>
      </c>
      <c r="V262" s="5">
        <f>TEXT(D262,"yyyy-mm")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  <c r="S263" s="5">
        <f>SUM(F263:I263)+N263</f>
        <v/>
      </c>
      <c r="T263" s="5">
        <f>J263</f>
        <v/>
      </c>
      <c r="U263" s="6">
        <f>YEAR(D263)</f>
        <v/>
      </c>
      <c r="V263" s="5">
        <f>TEXT(D263,"yyyy-mm")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  <c r="S264" s="5">
        <f>SUM(F264:I264)+N264</f>
        <v/>
      </c>
      <c r="T264" s="5">
        <f>J264</f>
        <v/>
      </c>
      <c r="U264" s="6">
        <f>YEAR(D264)</f>
        <v/>
      </c>
      <c r="V264" s="5">
        <f>TEXT(D264,"yyyy-mm")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  <c r="S265" s="5">
        <f>SUM(F265:I265)+N265</f>
        <v/>
      </c>
      <c r="T265" s="5">
        <f>J265</f>
        <v/>
      </c>
      <c r="U265" s="6">
        <f>YEAR(D265)</f>
        <v/>
      </c>
      <c r="V265" s="5">
        <f>TEXT(D265,"yyyy-mm")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  <c r="S266" s="5">
        <f>SUM(F266:I266)+N266</f>
        <v/>
      </c>
      <c r="T266" s="5">
        <f>J266</f>
        <v/>
      </c>
      <c r="U266" s="6">
        <f>YEAR(D266)</f>
        <v/>
      </c>
      <c r="V266" s="5">
        <f>TEXT(D266,"yyyy-mm")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  <c r="S267" s="5">
        <f>SUM(F267:I267)+N267</f>
        <v/>
      </c>
      <c r="T267" s="5">
        <f>J267</f>
        <v/>
      </c>
      <c r="U267" s="6">
        <f>YEAR(D267)</f>
        <v/>
      </c>
      <c r="V267" s="5">
        <f>TEXT(D267,"yyyy-mm")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  <c r="S268" s="5">
        <f>SUM(F268:I268)+N268</f>
        <v/>
      </c>
      <c r="T268" s="5">
        <f>J268</f>
        <v/>
      </c>
      <c r="U268" s="6">
        <f>YEAR(D268)</f>
        <v/>
      </c>
      <c r="V268" s="5">
        <f>TEXT(D268,"yyyy-mm")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  <c r="S269" s="5">
        <f>SUM(F269:I269)+N269</f>
        <v/>
      </c>
      <c r="T269" s="5">
        <f>J269</f>
        <v/>
      </c>
      <c r="U269" s="6">
        <f>YEAR(D269)</f>
        <v/>
      </c>
      <c r="V269" s="5">
        <f>TEXT(D269,"yyyy-mm")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  <c r="S270" s="5">
        <f>SUM(F270:I270)+N270</f>
        <v/>
      </c>
      <c r="T270" s="5">
        <f>J270</f>
        <v/>
      </c>
      <c r="U270" s="6">
        <f>YEAR(D270)</f>
        <v/>
      </c>
      <c r="V270" s="5">
        <f>TEXT(D270,"yyyy-mm")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  <c r="S271" s="5">
        <f>SUM(F271:I271)+N271</f>
        <v/>
      </c>
      <c r="T271" s="5">
        <f>J271</f>
        <v/>
      </c>
      <c r="U271" s="6">
        <f>YEAR(D271)</f>
        <v/>
      </c>
      <c r="V271" s="5">
        <f>TEXT(D271,"yyyy-mm")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  <c r="S272" s="5">
        <f>SUM(F272:I272)+N272</f>
        <v/>
      </c>
      <c r="T272" s="5">
        <f>J272</f>
        <v/>
      </c>
      <c r="U272" s="6">
        <f>YEAR(D272)</f>
        <v/>
      </c>
      <c r="V272" s="5">
        <f>TEXT(D272,"yyyy-mm")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  <c r="S273" s="5">
        <f>SUM(F273:I273)+N273</f>
        <v/>
      </c>
      <c r="T273" s="5">
        <f>J273</f>
        <v/>
      </c>
      <c r="U273" s="6">
        <f>YEAR(D273)</f>
        <v/>
      </c>
      <c r="V273" s="5">
        <f>TEXT(D273,"yyyy-mm")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  <c r="S274" s="5">
        <f>SUM(F274:I274)+N274</f>
        <v/>
      </c>
      <c r="T274" s="5">
        <f>J274</f>
        <v/>
      </c>
      <c r="U274" s="6">
        <f>YEAR(D274)</f>
        <v/>
      </c>
      <c r="V274" s="5">
        <f>TEXT(D274,"yyyy-mm")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  <c r="S275" s="5">
        <f>SUM(F275:I275)+N275</f>
        <v/>
      </c>
      <c r="T275" s="5">
        <f>J275</f>
        <v/>
      </c>
      <c r="U275" s="6">
        <f>YEAR(D275)</f>
        <v/>
      </c>
      <c r="V275" s="5">
        <f>TEXT(D275,"yyyy-mm")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  <c r="S276" s="5">
        <f>SUM(F276:I276)+N276</f>
        <v/>
      </c>
      <c r="T276" s="5">
        <f>J276</f>
        <v/>
      </c>
      <c r="U276" s="6">
        <f>YEAR(D276)</f>
        <v/>
      </c>
      <c r="V276" s="5">
        <f>TEXT(D276,"yyyy-mm")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  <c r="S277" s="5">
        <f>SUM(F277:I277)+N277</f>
        <v/>
      </c>
      <c r="T277" s="5">
        <f>J277</f>
        <v/>
      </c>
      <c r="U277" s="6">
        <f>YEAR(D277)</f>
        <v/>
      </c>
      <c r="V277" s="5">
        <f>TEXT(D277,"yyyy-mm")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>
        <f>SUM(F278:I278)+N278</f>
        <v/>
      </c>
      <c r="T278" s="5">
        <f>J278</f>
        <v/>
      </c>
      <c r="U278" s="6">
        <f>YEAR(D278)</f>
        <v/>
      </c>
      <c r="V278" s="5">
        <f>TEXT(D278,"yyyy-mm")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  <c r="S279" s="5">
        <f>SUM(F279:I279)+N279</f>
        <v/>
      </c>
      <c r="T279" s="5">
        <f>J279</f>
        <v/>
      </c>
      <c r="U279" s="6">
        <f>YEAR(D279)</f>
        <v/>
      </c>
      <c r="V279" s="5">
        <f>TEXT(D279,"yyyy-mm")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  <c r="S280" s="5">
        <f>SUM(F280:I280)+N280</f>
        <v/>
      </c>
      <c r="T280" s="5">
        <f>J280</f>
        <v/>
      </c>
      <c r="U280" s="6">
        <f>YEAR(D280)</f>
        <v/>
      </c>
      <c r="V280" s="5">
        <f>TEXT(D280,"yyyy-mm")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  <c r="S281" s="5">
        <f>SUM(F281:I281)+N281</f>
        <v/>
      </c>
      <c r="T281" s="5">
        <f>J281</f>
        <v/>
      </c>
      <c r="U281" s="6">
        <f>YEAR(D281)</f>
        <v/>
      </c>
      <c r="V281" s="5">
        <f>TEXT(D281,"yyyy-mm")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  <c r="S282" s="5">
        <f>SUM(F282:I282)+N282</f>
        <v/>
      </c>
      <c r="T282" s="5">
        <f>J282</f>
        <v/>
      </c>
      <c r="U282" s="6">
        <f>YEAR(D282)</f>
        <v/>
      </c>
      <c r="V282" s="5">
        <f>TEXT(D282,"yyyy-mm")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  <c r="S283" s="5">
        <f>SUM(F283:I283)+N283</f>
        <v/>
      </c>
      <c r="T283" s="5">
        <f>J283</f>
        <v/>
      </c>
      <c r="U283" s="6">
        <f>YEAR(D283)</f>
        <v/>
      </c>
      <c r="V283" s="5">
        <f>TEXT(D283,"yyyy-mm")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  <c r="S284" s="5">
        <f>SUM(F284:I284)+N284</f>
        <v/>
      </c>
      <c r="T284" s="5">
        <f>J284</f>
        <v/>
      </c>
      <c r="U284" s="6">
        <f>YEAR(D284)</f>
        <v/>
      </c>
      <c r="V284" s="5">
        <f>TEXT(D284,"yyyy-mm")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  <c r="S285" s="5">
        <f>SUM(F285:I285)+N285</f>
        <v/>
      </c>
      <c r="T285" s="5">
        <f>J285</f>
        <v/>
      </c>
      <c r="U285" s="6">
        <f>YEAR(D285)</f>
        <v/>
      </c>
      <c r="V285" s="5">
        <f>TEXT(D285,"yyyy-mm")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  <c r="S286" s="5">
        <f>SUM(F286:I286)+N286</f>
        <v/>
      </c>
      <c r="T286" s="5">
        <f>J286</f>
        <v/>
      </c>
      <c r="U286" s="6">
        <f>YEAR(D286)</f>
        <v/>
      </c>
      <c r="V286" s="5">
        <f>TEXT(D286,"yyyy-mm")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  <c r="S287" s="5">
        <f>SUM(F287:I287)+N287</f>
        <v/>
      </c>
      <c r="T287" s="5">
        <f>J287</f>
        <v/>
      </c>
      <c r="U287" s="6">
        <f>YEAR(D287)</f>
        <v/>
      </c>
      <c r="V287" s="5">
        <f>TEXT(D287,"yyyy-mm")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  <c r="S288" s="5">
        <f>SUM(F288:I288)+N288</f>
        <v/>
      </c>
      <c r="T288" s="5">
        <f>J288</f>
        <v/>
      </c>
      <c r="U288" s="6">
        <f>YEAR(D288)</f>
        <v/>
      </c>
      <c r="V288" s="5">
        <f>TEXT(D288,"yyyy-mm")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  <c r="S289" s="5">
        <f>SUM(F289:I289)+N289</f>
        <v/>
      </c>
      <c r="T289" s="5">
        <f>J289</f>
        <v/>
      </c>
      <c r="U289" s="6">
        <f>YEAR(D289)</f>
        <v/>
      </c>
      <c r="V289" s="5">
        <f>TEXT(D289,"yyyy-mm")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>
        <f>SUM(F290:I290)+N290</f>
        <v/>
      </c>
      <c r="T290" s="5">
        <f>J290</f>
        <v/>
      </c>
      <c r="U290" s="6">
        <f>YEAR(D290)</f>
        <v/>
      </c>
      <c r="V290" s="5">
        <f>TEXT(D290,"yyyy-mm")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>
        <f>SUM(F291:I291)+N291</f>
        <v/>
      </c>
      <c r="T291" s="5">
        <f>J291</f>
        <v/>
      </c>
      <c r="U291" s="6">
        <f>YEAR(D291)</f>
        <v/>
      </c>
      <c r="V291" s="5">
        <f>TEXT(D291,"yyyy-mm")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  <c r="S292" s="5">
        <f>SUM(F292:I292)+N292</f>
        <v/>
      </c>
      <c r="T292" s="5">
        <f>J292</f>
        <v/>
      </c>
      <c r="U292" s="6">
        <f>YEAR(D292)</f>
        <v/>
      </c>
      <c r="V292" s="5">
        <f>TEXT(D292,"yyyy-mm")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  <c r="S293" s="5">
        <f>SUM(F293:I293)+N293</f>
        <v/>
      </c>
      <c r="T293" s="5">
        <f>J293</f>
        <v/>
      </c>
      <c r="U293" s="6">
        <f>YEAR(D293)</f>
        <v/>
      </c>
      <c r="V293" s="5">
        <f>TEXT(D293,"yyyy-mm")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  <c r="S294" s="5">
        <f>SUM(F294:I294)+N294</f>
        <v/>
      </c>
      <c r="T294" s="5">
        <f>J294</f>
        <v/>
      </c>
      <c r="U294" s="6">
        <f>YEAR(D294)</f>
        <v/>
      </c>
      <c r="V294" s="5">
        <f>TEXT(D294,"yyyy-mm")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  <c r="S295" s="5">
        <f>SUM(F295:I295)+N295</f>
        <v/>
      </c>
      <c r="T295" s="5">
        <f>J295</f>
        <v/>
      </c>
      <c r="U295" s="6">
        <f>YEAR(D295)</f>
        <v/>
      </c>
      <c r="V295" s="5">
        <f>TEXT(D295,"yyyy-mm")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  <c r="S296" s="5">
        <f>SUM(F296:I296)+N296</f>
        <v/>
      </c>
      <c r="T296" s="5">
        <f>J296</f>
        <v/>
      </c>
      <c r="U296" s="6">
        <f>YEAR(D296)</f>
        <v/>
      </c>
      <c r="V296" s="5">
        <f>TEXT(D296,"yyyy-mm")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  <c r="S297" s="5">
        <f>SUM(F297:I297)+N297</f>
        <v/>
      </c>
      <c r="T297" s="5">
        <f>J297</f>
        <v/>
      </c>
      <c r="U297" s="6">
        <f>YEAR(D297)</f>
        <v/>
      </c>
      <c r="V297" s="5">
        <f>TEXT(D297,"yyyy-mm")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  <c r="S298" s="5">
        <f>SUM(F298:I298)+N298</f>
        <v/>
      </c>
      <c r="T298" s="5">
        <f>J298</f>
        <v/>
      </c>
      <c r="U298" s="6">
        <f>YEAR(D298)</f>
        <v/>
      </c>
      <c r="V298" s="5">
        <f>TEXT(D298,"yyyy-mm")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  <c r="S299" s="5">
        <f>SUM(F299:I299)+N299</f>
        <v/>
      </c>
      <c r="T299" s="5">
        <f>J299</f>
        <v/>
      </c>
      <c r="U299" s="6">
        <f>YEAR(D299)</f>
        <v/>
      </c>
      <c r="V299" s="5">
        <f>TEXT(D299,"yyyy-mm")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  <c r="S300" s="5">
        <f>SUM(F300:I300)+N300</f>
        <v/>
      </c>
      <c r="T300" s="5">
        <f>J300</f>
        <v/>
      </c>
      <c r="U300" s="6">
        <f>YEAR(D300)</f>
        <v/>
      </c>
      <c r="V300" s="5">
        <f>TEXT(D300,"yyyy-mm")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  <c r="S301" s="5">
        <f>SUM(F301:I301)+N301</f>
        <v/>
      </c>
      <c r="T301" s="5">
        <f>J301</f>
        <v/>
      </c>
      <c r="U301" s="6">
        <f>YEAR(D301)</f>
        <v/>
      </c>
      <c r="V301" s="5">
        <f>TEXT(D301,"yyyy-mm")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  <c r="S302" s="5">
        <f>SUM(F302:I302)+N302</f>
        <v/>
      </c>
      <c r="T302" s="5">
        <f>J302</f>
        <v/>
      </c>
      <c r="U302" s="6">
        <f>YEAR(D302)</f>
        <v/>
      </c>
      <c r="V302" s="5">
        <f>TEXT(D302,"yyyy-mm")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  <c r="S303" s="5">
        <f>SUM(F303:I303)+N303</f>
        <v/>
      </c>
      <c r="T303" s="5">
        <f>J303</f>
        <v/>
      </c>
      <c r="U303" s="6">
        <f>YEAR(D303)</f>
        <v/>
      </c>
      <c r="V303" s="5">
        <f>TEXT(D303,"yyyy-mm")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  <c r="S304" s="5">
        <f>SUM(F304:I304)+N304</f>
        <v/>
      </c>
      <c r="T304" s="5">
        <f>J304</f>
        <v/>
      </c>
      <c r="U304" s="6">
        <f>YEAR(D304)</f>
        <v/>
      </c>
      <c r="V304" s="5">
        <f>TEXT(D304,"yyyy-mm")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  <c r="S305" s="5">
        <f>SUM(F305:I305)+N305</f>
        <v/>
      </c>
      <c r="T305" s="5">
        <f>J305</f>
        <v/>
      </c>
      <c r="U305" s="6">
        <f>YEAR(D305)</f>
        <v/>
      </c>
      <c r="V305" s="5">
        <f>TEXT(D305,"yyyy-mm")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  <c r="S306" s="5">
        <f>SUM(F306:I306)+N306</f>
        <v/>
      </c>
      <c r="T306" s="5">
        <f>J306</f>
        <v/>
      </c>
      <c r="U306" s="6">
        <f>YEAR(D306)</f>
        <v/>
      </c>
      <c r="V306" s="5">
        <f>TEXT(D306,"yyyy-mm")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  <c r="S307" s="5">
        <f>SUM(F307:I307)+N307</f>
        <v/>
      </c>
      <c r="T307" s="5">
        <f>J307</f>
        <v/>
      </c>
      <c r="U307" s="6">
        <f>YEAR(D307)</f>
        <v/>
      </c>
      <c r="V307" s="5">
        <f>TEXT(D307,"yyyy-mm")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  <c r="S308" s="5">
        <f>SUM(F308:I308)+N308</f>
        <v/>
      </c>
      <c r="T308" s="5">
        <f>J308</f>
        <v/>
      </c>
      <c r="U308" s="6">
        <f>YEAR(D308)</f>
        <v/>
      </c>
      <c r="V308" s="5">
        <f>TEXT(D308,"yyyy-mm")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  <c r="S309" s="5">
        <f>SUM(F309:I309)+N309</f>
        <v/>
      </c>
      <c r="T309" s="5">
        <f>J309</f>
        <v/>
      </c>
      <c r="U309" s="6">
        <f>YEAR(D309)</f>
        <v/>
      </c>
      <c r="V309" s="5">
        <f>TEXT(D309,"yyyy-mm")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  <c r="S310" s="5">
        <f>SUM(F310:I310)+N310</f>
        <v/>
      </c>
      <c r="T310" s="5">
        <f>J310</f>
        <v/>
      </c>
      <c r="U310" s="6">
        <f>YEAR(D310)</f>
        <v/>
      </c>
      <c r="V310" s="5">
        <f>TEXT(D310,"yyyy-mm")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  <c r="S311" s="5">
        <f>SUM(F311:I311)+N311</f>
        <v/>
      </c>
      <c r="T311" s="5">
        <f>J311</f>
        <v/>
      </c>
      <c r="U311" s="6">
        <f>YEAR(D311)</f>
        <v/>
      </c>
      <c r="V311" s="5">
        <f>TEXT(D311,"yyyy-mm")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  <c r="S312" s="5">
        <f>SUM(F312:I312)+N312</f>
        <v/>
      </c>
      <c r="T312" s="5">
        <f>J312</f>
        <v/>
      </c>
      <c r="U312" s="6">
        <f>YEAR(D312)</f>
        <v/>
      </c>
      <c r="V312" s="5">
        <f>TEXT(D312,"yyyy-mm")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  <c r="S313" s="5">
        <f>SUM(F313:I313)+N313</f>
        <v/>
      </c>
      <c r="T313" s="5">
        <f>J313</f>
        <v/>
      </c>
      <c r="U313" s="6">
        <f>YEAR(D313)</f>
        <v/>
      </c>
      <c r="V313" s="5">
        <f>TEXT(D313,"yyyy-mm")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  <c r="S314" s="5">
        <f>SUM(F314:I314)+N314</f>
        <v/>
      </c>
      <c r="T314" s="5">
        <f>J314</f>
        <v/>
      </c>
      <c r="U314" s="6">
        <f>YEAR(D314)</f>
        <v/>
      </c>
      <c r="V314" s="5">
        <f>TEXT(D314,"yyyy-mm")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  <c r="S315" s="5">
        <f>SUM(F315:I315)+N315</f>
        <v/>
      </c>
      <c r="T315" s="5">
        <f>J315</f>
        <v/>
      </c>
      <c r="U315" s="6">
        <f>YEAR(D315)</f>
        <v/>
      </c>
      <c r="V315" s="5">
        <f>TEXT(D315,"yyyy-mm")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  <c r="S316" s="5">
        <f>SUM(F316:I316)+N316</f>
        <v/>
      </c>
      <c r="T316" s="5">
        <f>J316</f>
        <v/>
      </c>
      <c r="U316" s="6">
        <f>YEAR(D316)</f>
        <v/>
      </c>
      <c r="V316" s="5">
        <f>TEXT(D316,"yyyy-mm")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  <c r="S317" s="5">
        <f>SUM(F317:I317)+N317</f>
        <v/>
      </c>
      <c r="T317" s="5">
        <f>J317</f>
        <v/>
      </c>
      <c r="U317" s="6">
        <f>YEAR(D317)</f>
        <v/>
      </c>
      <c r="V317" s="5">
        <f>TEXT(D317,"yyyy-mm")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  <c r="S318" s="5">
        <f>SUM(F318:I318)+N318</f>
        <v/>
      </c>
      <c r="T318" s="5">
        <f>J318</f>
        <v/>
      </c>
      <c r="U318" s="6">
        <f>YEAR(D318)</f>
        <v/>
      </c>
      <c r="V318" s="5">
        <f>TEXT(D318,"yyyy-mm")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  <c r="S319" s="5">
        <f>SUM(F319:I319)+N319</f>
        <v/>
      </c>
      <c r="T319" s="5">
        <f>J319</f>
        <v/>
      </c>
      <c r="U319" s="6">
        <f>YEAR(D319)</f>
        <v/>
      </c>
      <c r="V319" s="5">
        <f>TEXT(D319,"yyyy-mm")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  <c r="S320" s="5">
        <f>SUM(F320:I320)+N320</f>
        <v/>
      </c>
      <c r="T320" s="5">
        <f>J320</f>
        <v/>
      </c>
      <c r="U320" s="6">
        <f>YEAR(D320)</f>
        <v/>
      </c>
      <c r="V320" s="5">
        <f>TEXT(D320,"yyyy-mm")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  <c r="S321" s="5">
        <f>SUM(F321:I321)+N321</f>
        <v/>
      </c>
      <c r="T321" s="5">
        <f>J321</f>
        <v/>
      </c>
      <c r="U321" s="6">
        <f>YEAR(D321)</f>
        <v/>
      </c>
      <c r="V321" s="5">
        <f>TEXT(D321,"yyyy-mm")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  <c r="S322" s="5">
        <f>SUM(F322:I322)+N322</f>
        <v/>
      </c>
      <c r="T322" s="5">
        <f>J322</f>
        <v/>
      </c>
      <c r="U322" s="6">
        <f>YEAR(D322)</f>
        <v/>
      </c>
      <c r="V322" s="5">
        <f>TEXT(D322,"yyyy-mm")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  <c r="S323" s="5">
        <f>SUM(F323:I323)+N323</f>
        <v/>
      </c>
      <c r="T323" s="5">
        <f>J323</f>
        <v/>
      </c>
      <c r="U323" s="6">
        <f>YEAR(D323)</f>
        <v/>
      </c>
      <c r="V323" s="5">
        <f>TEXT(D323,"yyyy-mm")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  <c r="S324" s="5">
        <f>SUM(F324:I324)+N324</f>
        <v/>
      </c>
      <c r="T324" s="5">
        <f>J324</f>
        <v/>
      </c>
      <c r="U324" s="6">
        <f>YEAR(D324)</f>
        <v/>
      </c>
      <c r="V324" s="5">
        <f>TEXT(D324,"yyyy-mm")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  <c r="S325" s="5">
        <f>SUM(F325:I325)+N325</f>
        <v/>
      </c>
      <c r="T325" s="5">
        <f>J325</f>
        <v/>
      </c>
      <c r="U325" s="6">
        <f>YEAR(D325)</f>
        <v/>
      </c>
      <c r="V325" s="5">
        <f>TEXT(D325,"yyyy-mm")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  <c r="S326" s="5">
        <f>SUM(F326:I326)+N326</f>
        <v/>
      </c>
      <c r="T326" s="5">
        <f>J326</f>
        <v/>
      </c>
      <c r="U326" s="6">
        <f>YEAR(D326)</f>
        <v/>
      </c>
      <c r="V326" s="5">
        <f>TEXT(D326,"yyyy-mm")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  <c r="S327" s="5">
        <f>SUM(F327:I327)+N327</f>
        <v/>
      </c>
      <c r="T327" s="5">
        <f>J327</f>
        <v/>
      </c>
      <c r="U327" s="6">
        <f>YEAR(D327)</f>
        <v/>
      </c>
      <c r="V327" s="5">
        <f>TEXT(D327,"yyyy-mm")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  <c r="S328" s="5">
        <f>SUM(F328:I328)+N328</f>
        <v/>
      </c>
      <c r="T328" s="5">
        <f>J328</f>
        <v/>
      </c>
      <c r="U328" s="6">
        <f>YEAR(D328)</f>
        <v/>
      </c>
      <c r="V328" s="5">
        <f>TEXT(D328,"yyyy-mm")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  <c r="S329" s="5">
        <f>SUM(F329:I329)+N329</f>
        <v/>
      </c>
      <c r="T329" s="5">
        <f>J329</f>
        <v/>
      </c>
      <c r="U329" s="6">
        <f>YEAR(D329)</f>
        <v/>
      </c>
      <c r="V329" s="5">
        <f>TEXT(D329,"yyyy-mm")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  <c r="S330" s="5">
        <f>SUM(F330:I330)+N330</f>
        <v/>
      </c>
      <c r="T330" s="5">
        <f>J330</f>
        <v/>
      </c>
      <c r="U330" s="6">
        <f>YEAR(D330)</f>
        <v/>
      </c>
      <c r="V330" s="5">
        <f>TEXT(D330,"yyyy-mm")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  <c r="S331" s="5">
        <f>SUM(F331:I331)+N331</f>
        <v/>
      </c>
      <c r="T331" s="5">
        <f>J331</f>
        <v/>
      </c>
      <c r="U331" s="6">
        <f>YEAR(D331)</f>
        <v/>
      </c>
      <c r="V331" s="5">
        <f>TEXT(D331,"yyyy-mm")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  <c r="S332" s="5">
        <f>SUM(F332:I332)+N332</f>
        <v/>
      </c>
      <c r="T332" s="5">
        <f>J332</f>
        <v/>
      </c>
      <c r="U332" s="6">
        <f>YEAR(D332)</f>
        <v/>
      </c>
      <c r="V332" s="5">
        <f>TEXT(D332,"yyyy-mm")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  <c r="S333" s="5">
        <f>SUM(F333:I333)+N333</f>
        <v/>
      </c>
      <c r="T333" s="5">
        <f>J333</f>
        <v/>
      </c>
      <c r="U333" s="6">
        <f>YEAR(D333)</f>
        <v/>
      </c>
      <c r="V333" s="5">
        <f>TEXT(D333,"yyyy-mm")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  <c r="S334" s="5">
        <f>SUM(F334:I334)+N334</f>
        <v/>
      </c>
      <c r="T334" s="5">
        <f>J334</f>
        <v/>
      </c>
      <c r="U334" s="6">
        <f>YEAR(D334)</f>
        <v/>
      </c>
      <c r="V334" s="5">
        <f>TEXT(D334,"yyyy-mm")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  <c r="S335" s="5">
        <f>SUM(F335:I335)+N335</f>
        <v/>
      </c>
      <c r="T335" s="5">
        <f>J335</f>
        <v/>
      </c>
      <c r="U335" s="6">
        <f>YEAR(D335)</f>
        <v/>
      </c>
      <c r="V335" s="5">
        <f>TEXT(D335,"yyyy-mm")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  <c r="S336" s="5">
        <f>SUM(F336:I336)+N336</f>
        <v/>
      </c>
      <c r="T336" s="5">
        <f>J336</f>
        <v/>
      </c>
      <c r="U336" s="6">
        <f>YEAR(D336)</f>
        <v/>
      </c>
      <c r="V336" s="5">
        <f>TEXT(D336,"yyyy-mm")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  <c r="S337" s="5">
        <f>SUM(F337:I337)+N337</f>
        <v/>
      </c>
      <c r="T337" s="5">
        <f>J337</f>
        <v/>
      </c>
      <c r="U337" s="6">
        <f>YEAR(D337)</f>
        <v/>
      </c>
      <c r="V337" s="5">
        <f>TEXT(D337,"yyyy-mm")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  <c r="S338" s="5">
        <f>SUM(F338:I338)+N338</f>
        <v/>
      </c>
      <c r="T338" s="5">
        <f>J338</f>
        <v/>
      </c>
      <c r="U338" s="6">
        <f>YEAR(D338)</f>
        <v/>
      </c>
      <c r="V338" s="5">
        <f>TEXT(D338,"yyyy-mm")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  <c r="S339" s="5">
        <f>SUM(F339:I339)+N339</f>
        <v/>
      </c>
      <c r="T339" s="5">
        <f>J339</f>
        <v/>
      </c>
      <c r="U339" s="6">
        <f>YEAR(D339)</f>
        <v/>
      </c>
      <c r="V339" s="5">
        <f>TEXT(D339,"yyyy-mm")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  <c r="S340" s="5">
        <f>SUM(F340:I340)+N340</f>
        <v/>
      </c>
      <c r="T340" s="5">
        <f>J340</f>
        <v/>
      </c>
      <c r="U340" s="6">
        <f>YEAR(D340)</f>
        <v/>
      </c>
      <c r="V340" s="5">
        <f>TEXT(D340,"yyyy-mm")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  <c r="S341" s="5">
        <f>SUM(F341:I341)+N341</f>
        <v/>
      </c>
      <c r="T341" s="5">
        <f>J341</f>
        <v/>
      </c>
      <c r="U341" s="6">
        <f>YEAR(D341)</f>
        <v/>
      </c>
      <c r="V341" s="5">
        <f>TEXT(D341,"yyyy-mm")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  <c r="S342" s="5">
        <f>SUM(F342:I342)+N342</f>
        <v/>
      </c>
      <c r="T342" s="5">
        <f>J342</f>
        <v/>
      </c>
      <c r="U342" s="6">
        <f>YEAR(D342)</f>
        <v/>
      </c>
      <c r="V342" s="5">
        <f>TEXT(D342,"yyyy-mm")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  <c r="S343" s="5">
        <f>SUM(F343:I343)+N343</f>
        <v/>
      </c>
      <c r="T343" s="5">
        <f>J343</f>
        <v/>
      </c>
      <c r="U343" s="6">
        <f>YEAR(D343)</f>
        <v/>
      </c>
      <c r="V343" s="5">
        <f>TEXT(D343,"yyyy-mm")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  <c r="S344" s="5">
        <f>SUM(F344:I344)+N344</f>
        <v/>
      </c>
      <c r="T344" s="5">
        <f>J344</f>
        <v/>
      </c>
      <c r="U344" s="6">
        <f>YEAR(D344)</f>
        <v/>
      </c>
      <c r="V344" s="5">
        <f>TEXT(D344,"yyyy-mm")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  <c r="S345" s="5">
        <f>SUM(F345:I345)+N345</f>
        <v/>
      </c>
      <c r="T345" s="5">
        <f>J345</f>
        <v/>
      </c>
      <c r="U345" s="6">
        <f>YEAR(D345)</f>
        <v/>
      </c>
      <c r="V345" s="5">
        <f>TEXT(D345,"yyyy-mm")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  <c r="S346" s="5">
        <f>SUM(F346:I346)+N346</f>
        <v/>
      </c>
      <c r="T346" s="5">
        <f>J346</f>
        <v/>
      </c>
      <c r="U346" s="6">
        <f>YEAR(D346)</f>
        <v/>
      </c>
      <c r="V346" s="5">
        <f>TEXT(D346,"yyyy-mm")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  <c r="S347" s="5">
        <f>SUM(F347:I347)+N347</f>
        <v/>
      </c>
      <c r="T347" s="5">
        <f>J347</f>
        <v/>
      </c>
      <c r="U347" s="6">
        <f>YEAR(D347)</f>
        <v/>
      </c>
      <c r="V347" s="5">
        <f>TEXT(D347,"yyyy-mm")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  <c r="S348" s="5">
        <f>SUM(F348:I348)+N348</f>
        <v/>
      </c>
      <c r="T348" s="5">
        <f>J348</f>
        <v/>
      </c>
      <c r="U348" s="6">
        <f>YEAR(D348)</f>
        <v/>
      </c>
      <c r="V348" s="5">
        <f>TEXT(D348,"yyyy-mm")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  <c r="S349" s="5">
        <f>SUM(F349:I349)+N349</f>
        <v/>
      </c>
      <c r="T349" s="5">
        <f>J349</f>
        <v/>
      </c>
      <c r="U349" s="6">
        <f>YEAR(D349)</f>
        <v/>
      </c>
      <c r="V349" s="5">
        <f>TEXT(D349,"yyyy-mm")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  <c r="S350" s="5">
        <f>SUM(F350:I350)+N350</f>
        <v/>
      </c>
      <c r="T350" s="5">
        <f>J350</f>
        <v/>
      </c>
      <c r="U350" s="6">
        <f>YEAR(D350)</f>
        <v/>
      </c>
      <c r="V350" s="5">
        <f>TEXT(D350,"yyyy-mm")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  <c r="S351" s="5">
        <f>SUM(F351:I351)+N351</f>
        <v/>
      </c>
      <c r="T351" s="5">
        <f>J351</f>
        <v/>
      </c>
      <c r="U351" s="6">
        <f>YEAR(D351)</f>
        <v/>
      </c>
      <c r="V351" s="5">
        <f>TEXT(D351,"yyyy-mm")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  <c r="S352" s="5">
        <f>SUM(F352:I352)+N352</f>
        <v/>
      </c>
      <c r="T352" s="5">
        <f>J352</f>
        <v/>
      </c>
      <c r="U352" s="6">
        <f>YEAR(D352)</f>
        <v/>
      </c>
      <c r="V352" s="5">
        <f>TEXT(D352,"yyyy-mm")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  <c r="S353" s="5">
        <f>SUM(F353:I353)+N353</f>
        <v/>
      </c>
      <c r="T353" s="5">
        <f>J353</f>
        <v/>
      </c>
      <c r="U353" s="6">
        <f>YEAR(D353)</f>
        <v/>
      </c>
      <c r="V353" s="5">
        <f>TEXT(D353,"yyyy-mm")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  <c r="S354" s="5">
        <f>SUM(F354:I354)+N354</f>
        <v/>
      </c>
      <c r="T354" s="5">
        <f>J354</f>
        <v/>
      </c>
      <c r="U354" s="6">
        <f>YEAR(D354)</f>
        <v/>
      </c>
      <c r="V354" s="5">
        <f>TEXT(D354,"yyyy-mm")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  <c r="S355" s="5">
        <f>SUM(F355:I355)+N355</f>
        <v/>
      </c>
      <c r="T355" s="5">
        <f>J355</f>
        <v/>
      </c>
      <c r="U355" s="6">
        <f>YEAR(D355)</f>
        <v/>
      </c>
      <c r="V355" s="5">
        <f>TEXT(D355,"yyyy-mm")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  <c r="S356" s="5">
        <f>SUM(F356:I356)+N356</f>
        <v/>
      </c>
      <c r="T356" s="5">
        <f>J356</f>
        <v/>
      </c>
      <c r="U356" s="6">
        <f>YEAR(D356)</f>
        <v/>
      </c>
      <c r="V356" s="5">
        <f>TEXT(D356,"yyyy-mm")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  <c r="S357" s="5">
        <f>SUM(F357:I357)+N357</f>
        <v/>
      </c>
      <c r="T357" s="5">
        <f>J357</f>
        <v/>
      </c>
      <c r="U357" s="6">
        <f>YEAR(D357)</f>
        <v/>
      </c>
      <c r="V357" s="5">
        <f>TEXT(D357,"yyyy-mm")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  <c r="S358" s="5">
        <f>SUM(F358:I358)+N358</f>
        <v/>
      </c>
      <c r="T358" s="5">
        <f>J358</f>
        <v/>
      </c>
      <c r="U358" s="6">
        <f>YEAR(D358)</f>
        <v/>
      </c>
      <c r="V358" s="5">
        <f>TEXT(D358,"yyyy-mm")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  <c r="S359" s="5">
        <f>SUM(F359:I359)+N359</f>
        <v/>
      </c>
      <c r="T359" s="5">
        <f>J359</f>
        <v/>
      </c>
      <c r="U359" s="6">
        <f>YEAR(D359)</f>
        <v/>
      </c>
      <c r="V359" s="5">
        <f>TEXT(D359,"yyyy-mm")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  <c r="S360" s="5">
        <f>SUM(F360:I360)+N360</f>
        <v/>
      </c>
      <c r="T360" s="5">
        <f>J360</f>
        <v/>
      </c>
      <c r="U360" s="6">
        <f>YEAR(D360)</f>
        <v/>
      </c>
      <c r="V360" s="5">
        <f>TEXT(D360,"yyyy-mm")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  <c r="S361" s="5">
        <f>SUM(F361:I361)+N361</f>
        <v/>
      </c>
      <c r="T361" s="5">
        <f>J361</f>
        <v/>
      </c>
      <c r="U361" s="6">
        <f>YEAR(D361)</f>
        <v/>
      </c>
      <c r="V361" s="5">
        <f>TEXT(D361,"yyyy-mm")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  <c r="S362" s="5">
        <f>SUM(F362:I362)+N362</f>
        <v/>
      </c>
      <c r="T362" s="5">
        <f>J362</f>
        <v/>
      </c>
      <c r="U362" s="6">
        <f>YEAR(D362)</f>
        <v/>
      </c>
      <c r="V362" s="5">
        <f>TEXT(D362,"yyyy-mm")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  <c r="S363" s="5">
        <f>SUM(F363:I363)+N363</f>
        <v/>
      </c>
      <c r="T363" s="5">
        <f>J363</f>
        <v/>
      </c>
      <c r="U363" s="6">
        <f>YEAR(D363)</f>
        <v/>
      </c>
      <c r="V363" s="5">
        <f>TEXT(D363,"yyyy-mm")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  <c r="S364" s="5">
        <f>SUM(F364:I364)+N364</f>
        <v/>
      </c>
      <c r="T364" s="5">
        <f>J364</f>
        <v/>
      </c>
      <c r="U364" s="6">
        <f>YEAR(D364)</f>
        <v/>
      </c>
      <c r="V364" s="5">
        <f>TEXT(D364,"yyyy-mm")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  <c r="S365" s="5">
        <f>SUM(F365:I365)+N365</f>
        <v/>
      </c>
      <c r="T365" s="5">
        <f>J365</f>
        <v/>
      </c>
      <c r="U365" s="6">
        <f>YEAR(D365)</f>
        <v/>
      </c>
      <c r="V365" s="5">
        <f>TEXT(D365,"yyyy-mm")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  <c r="S366" s="5">
        <f>SUM(F366:I366)+N366</f>
        <v/>
      </c>
      <c r="T366" s="5">
        <f>J366</f>
        <v/>
      </c>
      <c r="U366" s="6">
        <f>YEAR(D366)</f>
        <v/>
      </c>
      <c r="V366" s="5">
        <f>TEXT(D366,"yyyy-mm")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  <c r="S367" s="5">
        <f>SUM(F367:I367)+N367</f>
        <v/>
      </c>
      <c r="T367" s="5">
        <f>J367</f>
        <v/>
      </c>
      <c r="U367" s="6">
        <f>YEAR(D367)</f>
        <v/>
      </c>
      <c r="V367" s="5">
        <f>TEXT(D367,"yyyy-mm")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  <c r="S368" s="5">
        <f>SUM(F368:I368)+N368</f>
        <v/>
      </c>
      <c r="T368" s="5">
        <f>J368</f>
        <v/>
      </c>
      <c r="U368" s="6">
        <f>YEAR(D368)</f>
        <v/>
      </c>
      <c r="V368" s="5">
        <f>TEXT(D368,"yyyy-mm")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  <c r="S369" s="5">
        <f>SUM(F369:I369)+N369</f>
        <v/>
      </c>
      <c r="T369" s="5">
        <f>J369</f>
        <v/>
      </c>
      <c r="U369" s="6">
        <f>YEAR(D369)</f>
        <v/>
      </c>
      <c r="V369" s="5">
        <f>TEXT(D369,"yyyy-mm")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  <c r="S370" s="5">
        <f>SUM(F370:I370)+N370</f>
        <v/>
      </c>
      <c r="T370" s="5">
        <f>J370</f>
        <v/>
      </c>
      <c r="U370" s="6">
        <f>YEAR(D370)</f>
        <v/>
      </c>
      <c r="V370" s="5">
        <f>TEXT(D370,"yyyy-mm")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  <c r="S371" s="5">
        <f>SUM(F371:I371)+N371</f>
        <v/>
      </c>
      <c r="T371" s="5">
        <f>J371</f>
        <v/>
      </c>
      <c r="U371" s="6">
        <f>YEAR(D371)</f>
        <v/>
      </c>
      <c r="V371" s="5">
        <f>TEXT(D371,"yyyy-mm")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  <c r="S372" s="5">
        <f>SUM(F372:I372)+N372</f>
        <v/>
      </c>
      <c r="T372" s="5">
        <f>J372</f>
        <v/>
      </c>
      <c r="U372" s="6">
        <f>YEAR(D372)</f>
        <v/>
      </c>
      <c r="V372" s="5">
        <f>TEXT(D372,"yyyy-mm")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  <c r="S373" s="5">
        <f>SUM(F373:I373)+N373</f>
        <v/>
      </c>
      <c r="T373" s="5">
        <f>J373</f>
        <v/>
      </c>
      <c r="U373" s="6">
        <f>YEAR(D373)</f>
        <v/>
      </c>
      <c r="V373" s="5">
        <f>TEXT(D373,"yyyy-mm")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  <c r="S374" s="5">
        <f>SUM(F374:I374)+N374</f>
        <v/>
      </c>
      <c r="T374" s="5">
        <f>J374</f>
        <v/>
      </c>
      <c r="U374" s="6">
        <f>YEAR(D374)</f>
        <v/>
      </c>
      <c r="V374" s="5">
        <f>TEXT(D374,"yyyy-mm")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  <c r="S375" s="5">
        <f>SUM(F375:I375)+N375</f>
        <v/>
      </c>
      <c r="T375" s="5">
        <f>J375</f>
        <v/>
      </c>
      <c r="U375" s="6">
        <f>YEAR(D375)</f>
        <v/>
      </c>
      <c r="V375" s="5">
        <f>TEXT(D375,"yyyy-mm")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  <c r="S376" s="5">
        <f>SUM(F376:I376)+N376</f>
        <v/>
      </c>
      <c r="T376" s="5">
        <f>J376</f>
        <v/>
      </c>
      <c r="U376" s="6">
        <f>YEAR(D376)</f>
        <v/>
      </c>
      <c r="V376" s="5">
        <f>TEXT(D376,"yyyy-mm")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  <c r="S377" s="5">
        <f>SUM(F377:I377)+N377</f>
        <v/>
      </c>
      <c r="T377" s="5">
        <f>J377</f>
        <v/>
      </c>
      <c r="U377" s="6">
        <f>YEAR(D377)</f>
        <v/>
      </c>
      <c r="V377" s="5">
        <f>TEXT(D377,"yyyy-mm")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  <c r="S378" s="5">
        <f>SUM(F378:I378)+N378</f>
        <v/>
      </c>
      <c r="T378" s="5">
        <f>J378</f>
        <v/>
      </c>
      <c r="U378" s="6">
        <f>YEAR(D378)</f>
        <v/>
      </c>
      <c r="V378" s="5">
        <f>TEXT(D378,"yyyy-mm")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  <c r="S379" s="5">
        <f>SUM(F379:I379)+N379</f>
        <v/>
      </c>
      <c r="T379" s="5">
        <f>J379</f>
        <v/>
      </c>
      <c r="U379" s="6">
        <f>YEAR(D379)</f>
        <v/>
      </c>
      <c r="V379" s="5">
        <f>TEXT(D379,"yyyy-mm")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  <c r="S380" s="5">
        <f>SUM(F380:I380)+N380</f>
        <v/>
      </c>
      <c r="T380" s="5">
        <f>J380</f>
        <v/>
      </c>
      <c r="U380" s="6">
        <f>YEAR(D380)</f>
        <v/>
      </c>
      <c r="V380" s="5">
        <f>TEXT(D380,"yyyy-mm")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  <c r="S381" s="5">
        <f>SUM(F381:I381)+N381</f>
        <v/>
      </c>
      <c r="T381" s="5">
        <f>J381</f>
        <v/>
      </c>
      <c r="U381" s="6">
        <f>YEAR(D381)</f>
        <v/>
      </c>
      <c r="V381" s="5">
        <f>TEXT(D381,"yyyy-mm")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  <c r="S382" s="5">
        <f>SUM(F382:I382)+N382</f>
        <v/>
      </c>
      <c r="T382" s="5">
        <f>J382</f>
        <v/>
      </c>
      <c r="U382" s="6">
        <f>YEAR(D382)</f>
        <v/>
      </c>
      <c r="V382" s="5">
        <f>TEXT(D382,"yyyy-mm")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  <c r="S383" s="5">
        <f>SUM(F383:I383)+N383</f>
        <v/>
      </c>
      <c r="T383" s="5">
        <f>J383</f>
        <v/>
      </c>
      <c r="U383" s="6">
        <f>YEAR(D383)</f>
        <v/>
      </c>
      <c r="V383" s="5">
        <f>TEXT(D383,"yyyy-mm")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  <c r="S384" s="5">
        <f>SUM(F384:I384)+N384</f>
        <v/>
      </c>
      <c r="T384" s="5">
        <f>J384</f>
        <v/>
      </c>
      <c r="U384" s="6">
        <f>YEAR(D384)</f>
        <v/>
      </c>
      <c r="V384" s="5">
        <f>TEXT(D384,"yyyy-mm")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SUM(F385:I385)+N385</f>
        <v/>
      </c>
      <c r="T385" s="5">
        <f>J385</f>
        <v/>
      </c>
      <c r="U385" s="6">
        <f>YEAR(D385)</f>
        <v/>
      </c>
      <c r="V385" s="5">
        <f>TEXT(D385,"yyyy-mm")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  <c r="S386" s="5">
        <f>SUM(F386:I386)+N386</f>
        <v/>
      </c>
      <c r="T386" s="5">
        <f>J386</f>
        <v/>
      </c>
      <c r="U386" s="6">
        <f>YEAR(D386)</f>
        <v/>
      </c>
      <c r="V386" s="5">
        <f>TEXT(D386,"yyyy-mm")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  <c r="S387" s="5">
        <f>SUM(F387:I387)+N387</f>
        <v/>
      </c>
      <c r="T387" s="5">
        <f>J387</f>
        <v/>
      </c>
      <c r="U387" s="6">
        <f>YEAR(D387)</f>
        <v/>
      </c>
      <c r="V387" s="5">
        <f>TEXT(D387,"yyyy-mm")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  <c r="S388" s="5">
        <f>SUM(F388:I388)+N388</f>
        <v/>
      </c>
      <c r="T388" s="5">
        <f>J388</f>
        <v/>
      </c>
      <c r="U388" s="6">
        <f>YEAR(D388)</f>
        <v/>
      </c>
      <c r="V388" s="5">
        <f>TEXT(D388,"yyyy-mm")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  <c r="S389" s="5">
        <f>SUM(F389:I389)+N389</f>
        <v/>
      </c>
      <c r="T389" s="5">
        <f>J389</f>
        <v/>
      </c>
      <c r="U389" s="6">
        <f>YEAR(D389)</f>
        <v/>
      </c>
      <c r="V389" s="5">
        <f>TEXT(D389,"yyyy-mm")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  <c r="S390" s="5">
        <f>SUM(F390:I390)+N390</f>
        <v/>
      </c>
      <c r="T390" s="5">
        <f>J390</f>
        <v/>
      </c>
      <c r="U390" s="6">
        <f>YEAR(D390)</f>
        <v/>
      </c>
      <c r="V390" s="5">
        <f>TEXT(D390,"yyyy-mm")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  <c r="S391" s="5">
        <f>SUM(F391:I391)+N391</f>
        <v/>
      </c>
      <c r="T391" s="5">
        <f>J391</f>
        <v/>
      </c>
      <c r="U391" s="6">
        <f>YEAR(D391)</f>
        <v/>
      </c>
      <c r="V391" s="5">
        <f>TEXT(D391,"yyyy-mm")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  <c r="S392" s="5">
        <f>SUM(F392:I392)+N392</f>
        <v/>
      </c>
      <c r="T392" s="5">
        <f>J392</f>
        <v/>
      </c>
      <c r="U392" s="6">
        <f>YEAR(D392)</f>
        <v/>
      </c>
      <c r="V392" s="5">
        <f>TEXT(D392,"yyyy-mm")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  <c r="S393" s="5">
        <f>SUM(F393:I393)+N393</f>
        <v/>
      </c>
      <c r="T393" s="5">
        <f>J393</f>
        <v/>
      </c>
      <c r="U393" s="6">
        <f>YEAR(D393)</f>
        <v/>
      </c>
      <c r="V393" s="5">
        <f>TEXT(D393,"yyyy-mm")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  <c r="S394" s="5">
        <f>SUM(F394:I394)+N394</f>
        <v/>
      </c>
      <c r="T394" s="5">
        <f>J394</f>
        <v/>
      </c>
      <c r="U394" s="6">
        <f>YEAR(D394)</f>
        <v/>
      </c>
      <c r="V394" s="5">
        <f>TEXT(D394,"yyyy-mm")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  <c r="S395" s="5">
        <f>SUM(F395:I395)+N395</f>
        <v/>
      </c>
      <c r="T395" s="5">
        <f>J395</f>
        <v/>
      </c>
      <c r="U395" s="6">
        <f>YEAR(D395)</f>
        <v/>
      </c>
      <c r="V395" s="5">
        <f>TEXT(D395,"yyyy-mm")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  <c r="S396" s="5">
        <f>SUM(F396:I396)+N396</f>
        <v/>
      </c>
      <c r="T396" s="5">
        <f>J396</f>
        <v/>
      </c>
      <c r="U396" s="6">
        <f>YEAR(D396)</f>
        <v/>
      </c>
      <c r="V396" s="5">
        <f>TEXT(D396,"yyyy-mm")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  <c r="S397" s="5">
        <f>SUM(F397:I397)+N397</f>
        <v/>
      </c>
      <c r="T397" s="5">
        <f>J397</f>
        <v/>
      </c>
      <c r="U397" s="6">
        <f>YEAR(D397)</f>
        <v/>
      </c>
      <c r="V397" s="5">
        <f>TEXT(D397,"yyyy-mm")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  <c r="S398" s="5">
        <f>SUM(F398:I398)+N398</f>
        <v/>
      </c>
      <c r="T398" s="5">
        <f>J398</f>
        <v/>
      </c>
      <c r="U398" s="6">
        <f>YEAR(D398)</f>
        <v/>
      </c>
      <c r="V398" s="5">
        <f>TEXT(D398,"yyyy-mm")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>
        <f>SUM(F399:I399)+N399</f>
        <v/>
      </c>
      <c r="T399" s="5">
        <f>J399</f>
        <v/>
      </c>
      <c r="U399" s="6">
        <f>YEAR(D399)</f>
        <v/>
      </c>
      <c r="V399" s="5">
        <f>TEXT(D399,"yyyy-mm")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  <c r="S400" s="5">
        <f>SUM(F400:I400)+N400</f>
        <v/>
      </c>
      <c r="T400" s="5">
        <f>J400</f>
        <v/>
      </c>
      <c r="U400" s="6">
        <f>YEAR(D400)</f>
        <v/>
      </c>
      <c r="V400" s="5">
        <f>TEXT(D400,"yyyy-mm")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  <c r="S401" s="5">
        <f>SUM(F401:I401)+N401</f>
        <v/>
      </c>
      <c r="T401" s="5">
        <f>J401</f>
        <v/>
      </c>
      <c r="U401" s="6">
        <f>YEAR(D401)</f>
        <v/>
      </c>
      <c r="V401" s="5">
        <f>TEXT(D401,"yyyy-mm")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  <c r="S402" s="5">
        <f>SUM(F402:I402)+N402</f>
        <v/>
      </c>
      <c r="T402" s="5">
        <f>J402</f>
        <v/>
      </c>
      <c r="U402" s="6">
        <f>YEAR(D402)</f>
        <v/>
      </c>
      <c r="V402" s="5">
        <f>TEXT(D402,"yyyy-mm")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  <c r="S403" s="5">
        <f>SUM(F403:I403)+N403</f>
        <v/>
      </c>
      <c r="T403" s="5">
        <f>J403</f>
        <v/>
      </c>
      <c r="U403" s="6">
        <f>YEAR(D403)</f>
        <v/>
      </c>
      <c r="V403" s="5">
        <f>TEXT(D403,"yyyy-mm")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  <c r="S404" s="5">
        <f>SUM(F404:I404)+N404</f>
        <v/>
      </c>
      <c r="T404" s="5">
        <f>J404</f>
        <v/>
      </c>
      <c r="U404" s="6">
        <f>YEAR(D404)</f>
        <v/>
      </c>
      <c r="V404" s="5">
        <f>TEXT(D404,"yyyy-mm")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  <c r="S405" s="5">
        <f>SUM(F405:I405)+N405</f>
        <v/>
      </c>
      <c r="T405" s="5">
        <f>J405</f>
        <v/>
      </c>
      <c r="U405" s="6">
        <f>YEAR(D405)</f>
        <v/>
      </c>
      <c r="V405" s="5">
        <f>TEXT(D405,"yyyy-mm")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  <c r="S406" s="5">
        <f>SUM(F406:I406)+N406</f>
        <v/>
      </c>
      <c r="T406" s="5">
        <f>J406</f>
        <v/>
      </c>
      <c r="U406" s="6">
        <f>YEAR(D406)</f>
        <v/>
      </c>
      <c r="V406" s="5">
        <f>TEXT(D406,"yyyy-mm")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  <c r="S407" s="5">
        <f>SUM(F407:I407)+N407</f>
        <v/>
      </c>
      <c r="T407" s="5">
        <f>J407</f>
        <v/>
      </c>
      <c r="U407" s="6">
        <f>YEAR(D407)</f>
        <v/>
      </c>
      <c r="V407" s="5">
        <f>TEXT(D407,"yyyy-mm")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  <c r="S408" s="5">
        <f>SUM(F408:I408)+N408</f>
        <v/>
      </c>
      <c r="T408" s="5">
        <f>J408</f>
        <v/>
      </c>
      <c r="U408" s="6">
        <f>YEAR(D408)</f>
        <v/>
      </c>
      <c r="V408" s="5">
        <f>TEXT(D408,"yyyy-mm")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  <c r="S409" s="5">
        <f>SUM(F409:I409)+N409</f>
        <v/>
      </c>
      <c r="T409" s="5">
        <f>J409</f>
        <v/>
      </c>
      <c r="U409" s="6">
        <f>YEAR(D409)</f>
        <v/>
      </c>
      <c r="V409" s="5">
        <f>TEXT(D409,"yyyy-mm")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  <c r="S410" s="5">
        <f>SUM(F410:I410)+N410</f>
        <v/>
      </c>
      <c r="T410" s="5">
        <f>J410</f>
        <v/>
      </c>
      <c r="U410" s="6">
        <f>YEAR(D410)</f>
        <v/>
      </c>
      <c r="V410" s="5">
        <f>TEXT(D410,"yyyy-mm")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  <c r="S411" s="5">
        <f>SUM(F411:I411)+N411</f>
        <v/>
      </c>
      <c r="T411" s="5">
        <f>J411</f>
        <v/>
      </c>
      <c r="U411" s="6">
        <f>YEAR(D411)</f>
        <v/>
      </c>
      <c r="V411" s="5">
        <f>TEXT(D411,"yyyy-mm")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>
        <f>SUM(F412:I412)+N412</f>
        <v/>
      </c>
      <c r="T412" s="5">
        <f>J412</f>
        <v/>
      </c>
      <c r="U412" s="6">
        <f>YEAR(D412)</f>
        <v/>
      </c>
      <c r="V412" s="5">
        <f>TEXT(D412,"yyyy-mm")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  <c r="S413" s="5">
        <f>SUM(F413:I413)+N413</f>
        <v/>
      </c>
      <c r="T413" s="5">
        <f>J413</f>
        <v/>
      </c>
      <c r="U413" s="6">
        <f>YEAR(D413)</f>
        <v/>
      </c>
      <c r="V413" s="5">
        <f>TEXT(D413,"yyyy-mm")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  <c r="S414" s="5">
        <f>SUM(F414:I414)+N414</f>
        <v/>
      </c>
      <c r="T414" s="5">
        <f>J414</f>
        <v/>
      </c>
      <c r="U414" s="6">
        <f>YEAR(D414)</f>
        <v/>
      </c>
      <c r="V414" s="5">
        <f>TEXT(D414,"yyyy-mm")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SUM(F415:I415)+N415</f>
        <v/>
      </c>
      <c r="T415" s="5">
        <f>J415</f>
        <v/>
      </c>
      <c r="U415" s="6">
        <f>YEAR(D415)</f>
        <v/>
      </c>
      <c r="V415" s="5">
        <f>TEXT(D415,"yyyy-mm")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  <c r="S416" s="5">
        <f>SUM(F416:I416)+N416</f>
        <v/>
      </c>
      <c r="T416" s="5">
        <f>J416</f>
        <v/>
      </c>
      <c r="U416" s="6">
        <f>YEAR(D416)</f>
        <v/>
      </c>
      <c r="V416" s="5">
        <f>TEXT(D416,"yyyy-mm")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  <c r="S417" s="5">
        <f>SUM(F417:I417)+N417</f>
        <v/>
      </c>
      <c r="T417" s="5">
        <f>J417</f>
        <v/>
      </c>
      <c r="U417" s="6">
        <f>YEAR(D417)</f>
        <v/>
      </c>
      <c r="V417" s="5">
        <f>TEXT(D417,"yyyy-mm")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  <c r="S418" s="5">
        <f>SUM(F418:I418)+N418</f>
        <v/>
      </c>
      <c r="T418" s="5">
        <f>J418</f>
        <v/>
      </c>
      <c r="U418" s="6">
        <f>YEAR(D418)</f>
        <v/>
      </c>
      <c r="V418" s="5">
        <f>TEXT(D418,"yyyy-mm")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  <c r="S419" s="5">
        <f>SUM(F419:I419)+N419</f>
        <v/>
      </c>
      <c r="T419" s="5">
        <f>J419</f>
        <v/>
      </c>
      <c r="U419" s="6">
        <f>YEAR(D419)</f>
        <v/>
      </c>
      <c r="V419" s="5">
        <f>TEXT(D419,"yyyy-mm")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  <c r="S420" s="5">
        <f>SUM(F420:I420)+N420</f>
        <v/>
      </c>
      <c r="T420" s="5">
        <f>J420</f>
        <v/>
      </c>
      <c r="U420" s="6">
        <f>YEAR(D420)</f>
        <v/>
      </c>
      <c r="V420" s="5">
        <f>TEXT(D420,"yyyy-mm")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  <c r="S421" s="5">
        <f>SUM(F421:I421)+N421</f>
        <v/>
      </c>
      <c r="T421" s="5">
        <f>J421</f>
        <v/>
      </c>
      <c r="U421" s="6">
        <f>YEAR(D421)</f>
        <v/>
      </c>
      <c r="V421" s="5">
        <f>TEXT(D421,"yyyy-mm")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  <c r="S422" s="5">
        <f>SUM(F422:I422)+N422</f>
        <v/>
      </c>
      <c r="T422" s="5">
        <f>J422</f>
        <v/>
      </c>
      <c r="U422" s="6">
        <f>YEAR(D422)</f>
        <v/>
      </c>
      <c r="V422" s="5">
        <f>TEXT(D422,"yyyy-mm")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  <c r="S423" s="5">
        <f>SUM(F423:I423)+N423</f>
        <v/>
      </c>
      <c r="T423" s="5">
        <f>J423</f>
        <v/>
      </c>
      <c r="U423" s="6">
        <f>YEAR(D423)</f>
        <v/>
      </c>
      <c r="V423" s="5">
        <f>TEXT(D423,"yyyy-mm")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  <c r="S424" s="5">
        <f>SUM(F424:I424)+N424</f>
        <v/>
      </c>
      <c r="T424" s="5">
        <f>J424</f>
        <v/>
      </c>
      <c r="U424" s="6">
        <f>YEAR(D424)</f>
        <v/>
      </c>
      <c r="V424" s="5">
        <f>TEXT(D424,"yyyy-mm")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  <c r="S425" s="5">
        <f>SUM(F425:I425)+N425</f>
        <v/>
      </c>
      <c r="T425" s="5">
        <f>J425</f>
        <v/>
      </c>
      <c r="U425" s="6">
        <f>YEAR(D425)</f>
        <v/>
      </c>
      <c r="V425" s="5">
        <f>TEXT(D425,"yyyy-mm")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  <c r="S426" s="5">
        <f>SUM(F426:I426)+N426</f>
        <v/>
      </c>
      <c r="T426" s="5">
        <f>J426</f>
        <v/>
      </c>
      <c r="U426" s="6">
        <f>YEAR(D426)</f>
        <v/>
      </c>
      <c r="V426" s="5">
        <f>TEXT(D426,"yyyy-mm")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>
        <f>SUM(F427:I427)+N427</f>
        <v/>
      </c>
      <c r="T427" s="5">
        <f>J427</f>
        <v/>
      </c>
      <c r="U427" s="6">
        <f>YEAR(D427)</f>
        <v/>
      </c>
      <c r="V427" s="5">
        <f>TEXT(D427,"yyyy-mm")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  <c r="S428" s="5">
        <f>SUM(F428:I428)+N428</f>
        <v/>
      </c>
      <c r="T428" s="5">
        <f>J428</f>
        <v/>
      </c>
      <c r="U428" s="6">
        <f>YEAR(D428)</f>
        <v/>
      </c>
      <c r="V428" s="5">
        <f>TEXT(D428,"yyyy-mm")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  <c r="S429" s="5">
        <f>SUM(F429:I429)+N429</f>
        <v/>
      </c>
      <c r="T429" s="5">
        <f>J429</f>
        <v/>
      </c>
      <c r="U429" s="6">
        <f>YEAR(D429)</f>
        <v/>
      </c>
      <c r="V429" s="5">
        <f>TEXT(D429,"yyyy-mm")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  <c r="S430" s="5">
        <f>SUM(F430:I430)+N430</f>
        <v/>
      </c>
      <c r="T430" s="5">
        <f>J430</f>
        <v/>
      </c>
      <c r="U430" s="6">
        <f>YEAR(D430)</f>
        <v/>
      </c>
      <c r="V430" s="5">
        <f>TEXT(D430,"yyyy-mm")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  <c r="S431" s="5">
        <f>SUM(F431:I431)+N431</f>
        <v/>
      </c>
      <c r="T431" s="5">
        <f>J431</f>
        <v/>
      </c>
      <c r="U431" s="6">
        <f>YEAR(D431)</f>
        <v/>
      </c>
      <c r="V431" s="5">
        <f>TEXT(D431,"yyyy-mm")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SUM(F432:I432)+N432</f>
        <v/>
      </c>
      <c r="T432" s="5">
        <f>J432</f>
        <v/>
      </c>
      <c r="U432" s="6">
        <f>YEAR(D432)</f>
        <v/>
      </c>
      <c r="V432" s="5">
        <f>TEXT(D432,"yyyy-mm")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>
        <f>SUM(F433:I433)+N433</f>
        <v/>
      </c>
      <c r="T433" s="5">
        <f>J433</f>
        <v/>
      </c>
      <c r="U433" s="6">
        <f>YEAR(D433)</f>
        <v/>
      </c>
      <c r="V433" s="5">
        <f>TEXT(D433,"yyyy-mm")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  <c r="S434" s="5">
        <f>SUM(F434:I434)+N434</f>
        <v/>
      </c>
      <c r="T434" s="5">
        <f>J434</f>
        <v/>
      </c>
      <c r="U434" s="6">
        <f>YEAR(D434)</f>
        <v/>
      </c>
      <c r="V434" s="5">
        <f>TEXT(D434,"yyyy-mm")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  <c r="S435" s="5">
        <f>SUM(F435:I435)+N435</f>
        <v/>
      </c>
      <c r="T435" s="5">
        <f>J435</f>
        <v/>
      </c>
      <c r="U435" s="6">
        <f>YEAR(D435)</f>
        <v/>
      </c>
      <c r="V435" s="5">
        <f>TEXT(D435,"yyyy-mm")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  <c r="S436" s="5">
        <f>SUM(F436:I436)+N436</f>
        <v/>
      </c>
      <c r="T436" s="5">
        <f>J436</f>
        <v/>
      </c>
      <c r="U436" s="6">
        <f>YEAR(D436)</f>
        <v/>
      </c>
      <c r="V436" s="5">
        <f>TEXT(D436,"yyyy-mm")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  <c r="S437" s="5">
        <f>SUM(F437:I437)+N437</f>
        <v/>
      </c>
      <c r="T437" s="5">
        <f>J437</f>
        <v/>
      </c>
      <c r="U437" s="6">
        <f>YEAR(D437)</f>
        <v/>
      </c>
      <c r="V437" s="5">
        <f>TEXT(D437,"yyyy-mm")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  <c r="S438" s="5">
        <f>SUM(F438:I438)+N438</f>
        <v/>
      </c>
      <c r="T438" s="5">
        <f>J438</f>
        <v/>
      </c>
      <c r="U438" s="6">
        <f>YEAR(D438)</f>
        <v/>
      </c>
      <c r="V438" s="5">
        <f>TEXT(D438,"yyyy-mm")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  <c r="S439" s="5">
        <f>SUM(F439:I439)+N439</f>
        <v/>
      </c>
      <c r="T439" s="5">
        <f>J439</f>
        <v/>
      </c>
      <c r="U439" s="6">
        <f>YEAR(D439)</f>
        <v/>
      </c>
      <c r="V439" s="5">
        <f>TEXT(D439,"yyyy-mm")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  <c r="S440" s="5">
        <f>SUM(F440:I440)+N440</f>
        <v/>
      </c>
      <c r="T440" s="5">
        <f>J440</f>
        <v/>
      </c>
      <c r="U440" s="6">
        <f>YEAR(D440)</f>
        <v/>
      </c>
      <c r="V440" s="5">
        <f>TEXT(D440,"yyyy-mm")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  <c r="S441" s="5">
        <f>SUM(F441:I441)+N441</f>
        <v/>
      </c>
      <c r="T441" s="5">
        <f>J441</f>
        <v/>
      </c>
      <c r="U441" s="6">
        <f>YEAR(D441)</f>
        <v/>
      </c>
      <c r="V441" s="5">
        <f>TEXT(D441,"yyyy-mm")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  <c r="S442" s="5">
        <f>SUM(F442:I442)+N442</f>
        <v/>
      </c>
      <c r="T442" s="5">
        <f>J442</f>
        <v/>
      </c>
      <c r="U442" s="6">
        <f>YEAR(D442)</f>
        <v/>
      </c>
      <c r="V442" s="5">
        <f>TEXT(D442,"yyyy-mm")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  <c r="S443" s="5">
        <f>SUM(F443:I443)+N443</f>
        <v/>
      </c>
      <c r="T443" s="5">
        <f>J443</f>
        <v/>
      </c>
      <c r="U443" s="6">
        <f>YEAR(D443)</f>
        <v/>
      </c>
      <c r="V443" s="5">
        <f>TEXT(D443,"yyyy-mm")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  <c r="S444" s="5">
        <f>SUM(F444:I444)+N444</f>
        <v/>
      </c>
      <c r="T444" s="5">
        <f>J444</f>
        <v/>
      </c>
      <c r="U444" s="6">
        <f>YEAR(D444)</f>
        <v/>
      </c>
      <c r="V444" s="5">
        <f>TEXT(D444,"yyyy-mm")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  <c r="S445" s="5">
        <f>SUM(F445:I445)+N445</f>
        <v/>
      </c>
      <c r="T445" s="5">
        <f>J445</f>
        <v/>
      </c>
      <c r="U445" s="6">
        <f>YEAR(D445)</f>
        <v/>
      </c>
      <c r="V445" s="5">
        <f>TEXT(D445,"yyyy-mm")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  <c r="S446" s="5">
        <f>SUM(F446:I446)+N446</f>
        <v/>
      </c>
      <c r="T446" s="5">
        <f>J446</f>
        <v/>
      </c>
      <c r="U446" s="6">
        <f>YEAR(D446)</f>
        <v/>
      </c>
      <c r="V446" s="5">
        <f>TEXT(D446,"yyyy-mm")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>
        <f>SUM(F447:I447)+N447</f>
        <v/>
      </c>
      <c r="T447" s="5">
        <f>J447</f>
        <v/>
      </c>
      <c r="U447" s="6">
        <f>YEAR(D447)</f>
        <v/>
      </c>
      <c r="V447" s="5">
        <f>TEXT(D447,"yyyy-mm")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  <c r="S448" s="5">
        <f>SUM(F448:I448)+N448</f>
        <v/>
      </c>
      <c r="T448" s="5">
        <f>J448</f>
        <v/>
      </c>
      <c r="U448" s="6">
        <f>YEAR(D448)</f>
        <v/>
      </c>
      <c r="V448" s="5">
        <f>TEXT(D448,"yyyy-mm")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  <c r="S449" s="5">
        <f>SUM(F449:I449)+N449</f>
        <v/>
      </c>
      <c r="T449" s="5">
        <f>J449</f>
        <v/>
      </c>
      <c r="U449" s="6">
        <f>YEAR(D449)</f>
        <v/>
      </c>
      <c r="V449" s="5">
        <f>TEXT(D449,"yyyy-mm")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  <c r="S450" s="5">
        <f>SUM(F450:I450)+N450</f>
        <v/>
      </c>
      <c r="T450" s="5">
        <f>J450</f>
        <v/>
      </c>
      <c r="U450" s="6">
        <f>YEAR(D450)</f>
        <v/>
      </c>
      <c r="V450" s="5">
        <f>TEXT(D450,"yyyy-mm")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>
        <f>SUM(F451:I451)+N451</f>
        <v/>
      </c>
      <c r="T451" s="5">
        <f>J451</f>
        <v/>
      </c>
      <c r="U451" s="6">
        <f>YEAR(D451)</f>
        <v/>
      </c>
      <c r="V451" s="5">
        <f>TEXT(D451,"yyyy-mm")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SUM(F452:I452)+N452</f>
        <v/>
      </c>
      <c r="T452" s="5">
        <f>J452</f>
        <v/>
      </c>
      <c r="U452" s="6">
        <f>YEAR(D452)</f>
        <v/>
      </c>
      <c r="V452" s="5">
        <f>TEXT(D452,"yyyy-mm")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  <c r="S453" s="5">
        <f>SUM(F453:I453)+N453</f>
        <v/>
      </c>
      <c r="T453" s="5">
        <f>J453</f>
        <v/>
      </c>
      <c r="U453" s="6">
        <f>YEAR(D453)</f>
        <v/>
      </c>
      <c r="V453" s="5">
        <f>TEXT(D453,"yyyy-mm")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  <c r="S454" s="5">
        <f>SUM(F454:I454)+N454</f>
        <v/>
      </c>
      <c r="T454" s="5">
        <f>J454</f>
        <v/>
      </c>
      <c r="U454" s="6">
        <f>YEAR(D454)</f>
        <v/>
      </c>
      <c r="V454" s="5">
        <f>TEXT(D454,"yyyy-mm")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  <c r="S455" s="5">
        <f>SUM(F455:I455)+N455</f>
        <v/>
      </c>
      <c r="T455" s="5">
        <f>J455</f>
        <v/>
      </c>
      <c r="U455" s="6">
        <f>YEAR(D455)</f>
        <v/>
      </c>
      <c r="V455" s="5">
        <f>TEXT(D455,"yyyy-mm")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  <c r="S456" s="5">
        <f>SUM(F456:I456)+N456</f>
        <v/>
      </c>
      <c r="T456" s="5">
        <f>J456</f>
        <v/>
      </c>
      <c r="U456" s="6">
        <f>YEAR(D456)</f>
        <v/>
      </c>
      <c r="V456" s="5">
        <f>TEXT(D456,"yyyy-mm")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  <c r="S457" s="5">
        <f>SUM(F457:I457)+N457</f>
        <v/>
      </c>
      <c r="T457" s="5">
        <f>J457</f>
        <v/>
      </c>
      <c r="U457" s="6">
        <f>YEAR(D457)</f>
        <v/>
      </c>
      <c r="V457" s="5">
        <f>TEXT(D457,"yyyy-mm")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  <c r="S458" s="5">
        <f>SUM(F458:I458)+N458</f>
        <v/>
      </c>
      <c r="T458" s="5">
        <f>J458</f>
        <v/>
      </c>
      <c r="U458" s="6">
        <f>YEAR(D458)</f>
        <v/>
      </c>
      <c r="V458" s="5">
        <f>TEXT(D458,"yyyy-mm")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  <c r="S459" s="5">
        <f>SUM(F459:I459)+N459</f>
        <v/>
      </c>
      <c r="T459" s="5">
        <f>J459</f>
        <v/>
      </c>
      <c r="U459" s="6">
        <f>YEAR(D459)</f>
        <v/>
      </c>
      <c r="V459" s="5">
        <f>TEXT(D459,"yyyy-mm")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  <c r="S460" s="5">
        <f>SUM(F460:I460)+N460</f>
        <v/>
      </c>
      <c r="T460" s="5">
        <f>J460</f>
        <v/>
      </c>
      <c r="U460" s="6">
        <f>YEAR(D460)</f>
        <v/>
      </c>
      <c r="V460" s="5">
        <f>TEXT(D460,"yyyy-mm")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  <c r="S461" s="5">
        <f>SUM(F461:I461)+N461</f>
        <v/>
      </c>
      <c r="T461" s="5">
        <f>J461</f>
        <v/>
      </c>
      <c r="U461" s="6">
        <f>YEAR(D461)</f>
        <v/>
      </c>
      <c r="V461" s="5">
        <f>TEXT(D461,"yyyy-mm")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  <c r="S462" s="5">
        <f>SUM(F462:I462)+N462</f>
        <v/>
      </c>
      <c r="T462" s="5">
        <f>J462</f>
        <v/>
      </c>
      <c r="U462" s="6">
        <f>YEAR(D462)</f>
        <v/>
      </c>
      <c r="V462" s="5">
        <f>TEXT(D462,"yyyy-mm")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  <c r="S463" s="5">
        <f>SUM(F463:I463)+N463</f>
        <v/>
      </c>
      <c r="T463" s="5">
        <f>J463</f>
        <v/>
      </c>
      <c r="U463" s="6">
        <f>YEAR(D463)</f>
        <v/>
      </c>
      <c r="V463" s="5">
        <f>TEXT(D463,"yyyy-mm")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  <c r="S464" s="5">
        <f>SUM(F464:I464)+N464</f>
        <v/>
      </c>
      <c r="T464" s="5">
        <f>J464</f>
        <v/>
      </c>
      <c r="U464" s="6">
        <f>YEAR(D464)</f>
        <v/>
      </c>
      <c r="V464" s="5">
        <f>TEXT(D464,"yyyy-mm")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  <c r="S465" s="5">
        <f>SUM(F465:I465)+N465</f>
        <v/>
      </c>
      <c r="T465" s="5">
        <f>J465</f>
        <v/>
      </c>
      <c r="U465" s="6">
        <f>YEAR(D465)</f>
        <v/>
      </c>
      <c r="V465" s="5">
        <f>TEXT(D465,"yyyy-mm")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SUM(F466:I466)+N466</f>
        <v/>
      </c>
      <c r="T466" s="5">
        <f>J466</f>
        <v/>
      </c>
      <c r="U466" s="6">
        <f>YEAR(D466)</f>
        <v/>
      </c>
      <c r="V466" s="5">
        <f>TEXT(D466,"yyyy-mm")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  <c r="S467" s="5">
        <f>SUM(F467:I467)+N467</f>
        <v/>
      </c>
      <c r="T467" s="5">
        <f>J467</f>
        <v/>
      </c>
      <c r="U467" s="6">
        <f>YEAR(D467)</f>
        <v/>
      </c>
      <c r="V467" s="5">
        <f>TEXT(D467,"yyyy-mm")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  <c r="S468" s="5">
        <f>SUM(F468:I468)+N468</f>
        <v/>
      </c>
      <c r="T468" s="5">
        <f>J468</f>
        <v/>
      </c>
      <c r="U468" s="6">
        <f>YEAR(D468)</f>
        <v/>
      </c>
      <c r="V468" s="5">
        <f>TEXT(D468,"yyyy-mm")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  <c r="S469" s="5">
        <f>SUM(F469:I469)+N469</f>
        <v/>
      </c>
      <c r="T469" s="5">
        <f>J469</f>
        <v/>
      </c>
      <c r="U469" s="6">
        <f>YEAR(D469)</f>
        <v/>
      </c>
      <c r="V469" s="5">
        <f>TEXT(D469,"yyyy-mm")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  <c r="S470" s="5">
        <f>SUM(F470:I470)+N470</f>
        <v/>
      </c>
      <c r="T470" s="5">
        <f>J470</f>
        <v/>
      </c>
      <c r="U470" s="6">
        <f>YEAR(D470)</f>
        <v/>
      </c>
      <c r="V470" s="5">
        <f>TEXT(D470,"yyyy-mm")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  <c r="S471" s="5">
        <f>SUM(F471:I471)+N471</f>
        <v/>
      </c>
      <c r="T471" s="5">
        <f>J471</f>
        <v/>
      </c>
      <c r="U471" s="6">
        <f>YEAR(D471)</f>
        <v/>
      </c>
      <c r="V471" s="5">
        <f>TEXT(D471,"yyyy-mm")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  <c r="S472" s="5">
        <f>SUM(F472:I472)+N472</f>
        <v/>
      </c>
      <c r="T472" s="5">
        <f>J472</f>
        <v/>
      </c>
      <c r="U472" s="6">
        <f>YEAR(D472)</f>
        <v/>
      </c>
      <c r="V472" s="5">
        <f>TEXT(D472,"yyyy-mm")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  <c r="S473" s="5">
        <f>SUM(F473:I473)+N473</f>
        <v/>
      </c>
      <c r="T473" s="5">
        <f>J473</f>
        <v/>
      </c>
      <c r="U473" s="6">
        <f>YEAR(D473)</f>
        <v/>
      </c>
      <c r="V473" s="5">
        <f>TEXT(D473,"yyyy-mm")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  <c r="S474" s="5">
        <f>SUM(F474:I474)+N474</f>
        <v/>
      </c>
      <c r="T474" s="5">
        <f>J474</f>
        <v/>
      </c>
      <c r="U474" s="6">
        <f>YEAR(D474)</f>
        <v/>
      </c>
      <c r="V474" s="5">
        <f>TEXT(D474,"yyyy-mm")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  <c r="S475" s="5">
        <f>SUM(F475:I475)+N475</f>
        <v/>
      </c>
      <c r="T475" s="5">
        <f>J475</f>
        <v/>
      </c>
      <c r="U475" s="6">
        <f>YEAR(D475)</f>
        <v/>
      </c>
      <c r="V475" s="5">
        <f>TEXT(D475,"yyyy-mm")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  <c r="S476" s="5">
        <f>SUM(F476:I476)+N476</f>
        <v/>
      </c>
      <c r="T476" s="5">
        <f>J476</f>
        <v/>
      </c>
      <c r="U476" s="6">
        <f>YEAR(D476)</f>
        <v/>
      </c>
      <c r="V476" s="5">
        <f>TEXT(D476,"yyyy-mm")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  <c r="S477" s="5">
        <f>SUM(F477:I477)+N477</f>
        <v/>
      </c>
      <c r="T477" s="5">
        <f>J477</f>
        <v/>
      </c>
      <c r="U477" s="6">
        <f>YEAR(D477)</f>
        <v/>
      </c>
      <c r="V477" s="5">
        <f>TEXT(D477,"yyyy-mm")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  <c r="S478" s="5">
        <f>SUM(F478:I478)+N478</f>
        <v/>
      </c>
      <c r="T478" s="5">
        <f>J478</f>
        <v/>
      </c>
      <c r="U478" s="6">
        <f>YEAR(D478)</f>
        <v/>
      </c>
      <c r="V478" s="5">
        <f>TEXT(D478,"yyyy-mm")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>
        <f>SUM(F479:I479)+N479</f>
        <v/>
      </c>
      <c r="T479" s="5">
        <f>J479</f>
        <v/>
      </c>
      <c r="U479" s="6">
        <f>YEAR(D479)</f>
        <v/>
      </c>
      <c r="V479" s="5">
        <f>TEXT(D479,"yyyy-mm")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>
        <f>SUM(F480:I480)+N480</f>
        <v/>
      </c>
      <c r="T480" s="5">
        <f>J480</f>
        <v/>
      </c>
      <c r="U480" s="6">
        <f>YEAR(D480)</f>
        <v/>
      </c>
      <c r="V480" s="5">
        <f>TEXT(D480,"yyyy-mm")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SUM(F481:I481)+N481</f>
        <v/>
      </c>
      <c r="T481" s="5">
        <f>J481</f>
        <v/>
      </c>
      <c r="U481" s="6">
        <f>YEAR(D481)</f>
        <v/>
      </c>
      <c r="V481" s="5">
        <f>TEXT(D481,"yyyy-mm")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  <c r="S482" s="5">
        <f>SUM(F482:I482)+N482</f>
        <v/>
      </c>
      <c r="T482" s="5">
        <f>J482</f>
        <v/>
      </c>
      <c r="U482" s="6">
        <f>YEAR(D482)</f>
        <v/>
      </c>
      <c r="V482" s="5">
        <f>TEXT(D482,"yyyy-mm")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  <c r="S483" s="5">
        <f>SUM(F483:I483)+N483</f>
        <v/>
      </c>
      <c r="T483" s="5">
        <f>J483</f>
        <v/>
      </c>
      <c r="U483" s="6">
        <f>YEAR(D483)</f>
        <v/>
      </c>
      <c r="V483" s="5">
        <f>TEXT(D483,"yyyy-mm")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  <c r="S484" s="5">
        <f>SUM(F484:I484)+N484</f>
        <v/>
      </c>
      <c r="T484" s="5">
        <f>J484</f>
        <v/>
      </c>
      <c r="U484" s="6">
        <f>YEAR(D484)</f>
        <v/>
      </c>
      <c r="V484" s="5">
        <f>TEXT(D484,"yyyy-mm")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  <c r="S485" s="5">
        <f>SUM(F485:I485)+N485</f>
        <v/>
      </c>
      <c r="T485" s="5">
        <f>J485</f>
        <v/>
      </c>
      <c r="U485" s="6">
        <f>YEAR(D485)</f>
        <v/>
      </c>
      <c r="V485" s="5">
        <f>TEXT(D485,"yyyy-mm")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  <c r="S486" s="5">
        <f>SUM(F486:I486)+N486</f>
        <v/>
      </c>
      <c r="T486" s="5">
        <f>J486</f>
        <v/>
      </c>
      <c r="U486" s="6">
        <f>YEAR(D486)</f>
        <v/>
      </c>
      <c r="V486" s="5">
        <f>TEXT(D486,"yyyy-mm")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  <c r="S487" s="5">
        <f>SUM(F487:I487)+N487</f>
        <v/>
      </c>
      <c r="T487" s="5">
        <f>J487</f>
        <v/>
      </c>
      <c r="U487" s="6">
        <f>YEAR(D487)</f>
        <v/>
      </c>
      <c r="V487" s="5">
        <f>TEXT(D487,"yyyy-mm")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>
        <f>SUM(F488:I488)+N488</f>
        <v/>
      </c>
      <c r="T488" s="5">
        <f>J488</f>
        <v/>
      </c>
      <c r="U488" s="6">
        <f>YEAR(D488)</f>
        <v/>
      </c>
      <c r="V488" s="5">
        <f>TEXT(D488,"yyyy-mm")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  <c r="S489" s="5">
        <f>SUM(F489:I489)+N489</f>
        <v/>
      </c>
      <c r="T489" s="5">
        <f>J489</f>
        <v/>
      </c>
      <c r="U489" s="6">
        <f>YEAR(D489)</f>
        <v/>
      </c>
      <c r="V489" s="5">
        <f>TEXT(D489,"yyyy-mm")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  <c r="S490" s="5">
        <f>SUM(F490:I490)+N490</f>
        <v/>
      </c>
      <c r="T490" s="5">
        <f>J490</f>
        <v/>
      </c>
      <c r="U490" s="6">
        <f>YEAR(D490)</f>
        <v/>
      </c>
      <c r="V490" s="5">
        <f>TEXT(D490,"yyyy-mm")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  <c r="S491" s="5">
        <f>SUM(F491:I491)+N491</f>
        <v/>
      </c>
      <c r="T491" s="5">
        <f>J491</f>
        <v/>
      </c>
      <c r="U491" s="6">
        <f>YEAR(D491)</f>
        <v/>
      </c>
      <c r="V491" s="5">
        <f>TEXT(D491,"yyyy-mm")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SUM(F492:I492)+N492</f>
        <v/>
      </c>
      <c r="T492" s="5">
        <f>J492</f>
        <v/>
      </c>
      <c r="U492" s="6">
        <f>YEAR(D492)</f>
        <v/>
      </c>
      <c r="V492" s="5">
        <f>TEXT(D492,"yyyy-mm")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  <c r="S493" s="5">
        <f>SUM(F493:I493)+N493</f>
        <v/>
      </c>
      <c r="T493" s="5">
        <f>J493</f>
        <v/>
      </c>
      <c r="U493" s="6">
        <f>YEAR(D493)</f>
        <v/>
      </c>
      <c r="V493" s="5">
        <f>TEXT(D493,"yyyy-mm")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  <c r="S494" s="5">
        <f>SUM(F494:I494)+N494</f>
        <v/>
      </c>
      <c r="T494" s="5">
        <f>J494</f>
        <v/>
      </c>
      <c r="U494" s="6">
        <f>YEAR(D494)</f>
        <v/>
      </c>
      <c r="V494" s="5">
        <f>TEXT(D494,"yyyy-mm")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  <c r="S495" s="5">
        <f>SUM(F495:I495)+N495</f>
        <v/>
      </c>
      <c r="T495" s="5">
        <f>J495</f>
        <v/>
      </c>
      <c r="U495" s="6">
        <f>YEAR(D495)</f>
        <v/>
      </c>
      <c r="V495" s="5">
        <f>TEXT(D495,"yyyy-mm")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  <c r="S496" s="5">
        <f>SUM(F496:I496)+N496</f>
        <v/>
      </c>
      <c r="T496" s="5">
        <f>J496</f>
        <v/>
      </c>
      <c r="U496" s="6">
        <f>YEAR(D496)</f>
        <v/>
      </c>
      <c r="V496" s="5">
        <f>TEXT(D496,"yyyy-mm")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  <c r="S497" s="5">
        <f>SUM(F497:I497)+N497</f>
        <v/>
      </c>
      <c r="T497" s="5">
        <f>J497</f>
        <v/>
      </c>
      <c r="U497" s="6">
        <f>YEAR(D497)</f>
        <v/>
      </c>
      <c r="V497" s="5">
        <f>TEXT(D497,"yyyy-mm")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  <c r="S498" s="5">
        <f>SUM(F498:I498)+N498</f>
        <v/>
      </c>
      <c r="T498" s="5">
        <f>J498</f>
        <v/>
      </c>
      <c r="U498" s="6">
        <f>YEAR(D498)</f>
        <v/>
      </c>
      <c r="V498" s="5">
        <f>TEXT(D498,"yyyy-mm")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  <c r="S499" s="5">
        <f>SUM(F499:I499)+N499</f>
        <v/>
      </c>
      <c r="T499" s="5">
        <f>J499</f>
        <v/>
      </c>
      <c r="U499" s="6">
        <f>YEAR(D499)</f>
        <v/>
      </c>
      <c r="V499" s="5">
        <f>TEXT(D499,"yyyy-mm")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  <c r="S500" s="5">
        <f>SUM(F500:I500)+N500</f>
        <v/>
      </c>
      <c r="T500" s="5">
        <f>J500</f>
        <v/>
      </c>
      <c r="U500" s="6">
        <f>YEAR(D500)</f>
        <v/>
      </c>
      <c r="V500" s="5">
        <f>TEXT(D500,"yyyy-mm")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  <c r="S501" s="5">
        <f>SUM(F501:I501)+N501</f>
        <v/>
      </c>
      <c r="T501" s="5">
        <f>J501</f>
        <v/>
      </c>
      <c r="U501" s="6">
        <f>YEAR(D501)</f>
        <v/>
      </c>
      <c r="V501" s="5">
        <f>TEXT(D501,"yyyy-mm")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  <c r="S502" s="5">
        <f>SUM(F502:I502)+N502</f>
        <v/>
      </c>
      <c r="T502" s="5">
        <f>J502</f>
        <v/>
      </c>
      <c r="U502" s="6">
        <f>YEAR(D502)</f>
        <v/>
      </c>
      <c r="V502" s="5">
        <f>TEXT(D502,"yyyy-mm")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  <c r="S503" s="5">
        <f>SUM(F503:I503)+N503</f>
        <v/>
      </c>
      <c r="T503" s="5">
        <f>J503</f>
        <v/>
      </c>
      <c r="U503" s="6">
        <f>YEAR(D503)</f>
        <v/>
      </c>
      <c r="V503" s="5">
        <f>TEXT(D503,"yyyy-mm")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  <c r="S504" s="5">
        <f>SUM(F504:I504)+N504</f>
        <v/>
      </c>
      <c r="T504" s="5">
        <f>J504</f>
        <v/>
      </c>
      <c r="U504" s="6">
        <f>YEAR(D504)</f>
        <v/>
      </c>
      <c r="V504" s="5">
        <f>TEXT(D504,"yyyy-mm")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  <c r="S505" s="5">
        <f>SUM(F505:I505)+N505</f>
        <v/>
      </c>
      <c r="T505" s="5">
        <f>J505</f>
        <v/>
      </c>
      <c r="U505" s="6">
        <f>YEAR(D505)</f>
        <v/>
      </c>
      <c r="V505" s="5">
        <f>TEXT(D505,"yyyy-mm")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  <c r="S506" s="5">
        <f>SUM(F506:I506)+N506</f>
        <v/>
      </c>
      <c r="T506" s="5">
        <f>J506</f>
        <v/>
      </c>
      <c r="U506" s="6">
        <f>YEAR(D506)</f>
        <v/>
      </c>
      <c r="V506" s="5">
        <f>TEXT(D506,"yyyy-mm")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  <c r="S507" s="5">
        <f>SUM(F507:I507)+N507</f>
        <v/>
      </c>
      <c r="T507" s="5">
        <f>J507</f>
        <v/>
      </c>
      <c r="U507" s="6">
        <f>YEAR(D507)</f>
        <v/>
      </c>
      <c r="V507" s="5">
        <f>TEXT(D507,"yyyy-mm")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  <c r="S508" s="5">
        <f>SUM(F508:I508)+N508</f>
        <v/>
      </c>
      <c r="T508" s="5">
        <f>J508</f>
        <v/>
      </c>
      <c r="U508" s="6">
        <f>YEAR(D508)</f>
        <v/>
      </c>
      <c r="V508" s="5">
        <f>TEXT(D508,"yyyy-mm")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  <c r="S509" s="5">
        <f>SUM(F509:I509)+N509</f>
        <v/>
      </c>
      <c r="T509" s="5">
        <f>J509</f>
        <v/>
      </c>
      <c r="U509" s="6">
        <f>YEAR(D509)</f>
        <v/>
      </c>
      <c r="V509" s="5">
        <f>TEXT(D509,"yyyy-mm")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  <c r="S510" s="5">
        <f>SUM(F510:I510)+N510</f>
        <v/>
      </c>
      <c r="T510" s="5">
        <f>J510</f>
        <v/>
      </c>
      <c r="U510" s="6">
        <f>YEAR(D510)</f>
        <v/>
      </c>
      <c r="V510" s="5">
        <f>TEXT(D510,"yyyy-mm")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  <c r="S511" s="5">
        <f>SUM(F511:I511)+N511</f>
        <v/>
      </c>
      <c r="T511" s="5">
        <f>J511</f>
        <v/>
      </c>
      <c r="U511" s="6">
        <f>YEAR(D511)</f>
        <v/>
      </c>
      <c r="V511" s="5">
        <f>TEXT(D511,"yyyy-mm")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  <c r="S512" s="5">
        <f>SUM(F512:I512)+N512</f>
        <v/>
      </c>
      <c r="T512" s="5">
        <f>J512</f>
        <v/>
      </c>
      <c r="U512" s="6">
        <f>YEAR(D512)</f>
        <v/>
      </c>
      <c r="V512" s="5">
        <f>TEXT(D512,"yyyy-mm")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  <c r="S513" s="5">
        <f>SUM(F513:I513)+N513</f>
        <v/>
      </c>
      <c r="T513" s="5">
        <f>J513</f>
        <v/>
      </c>
      <c r="U513" s="6">
        <f>YEAR(D513)</f>
        <v/>
      </c>
      <c r="V513" s="5">
        <f>TEXT(D513,"yyyy-mm")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  <c r="S514" s="5">
        <f>SUM(F514:I514)+N514</f>
        <v/>
      </c>
      <c r="T514" s="5">
        <f>J514</f>
        <v/>
      </c>
      <c r="U514" s="6">
        <f>YEAR(D514)</f>
        <v/>
      </c>
      <c r="V514" s="5">
        <f>TEXT(D514,"yyyy-mm")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  <c r="S515" s="5">
        <f>SUM(F515:I515)+N515</f>
        <v/>
      </c>
      <c r="T515" s="5">
        <f>J515</f>
        <v/>
      </c>
      <c r="U515" s="6">
        <f>YEAR(D515)</f>
        <v/>
      </c>
      <c r="V515" s="5">
        <f>TEXT(D515,"yyyy-mm")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  <c r="S516" s="5">
        <f>SUM(F516:I516)+N516</f>
        <v/>
      </c>
      <c r="T516" s="5">
        <f>J516</f>
        <v/>
      </c>
      <c r="U516" s="6">
        <f>YEAR(D516)</f>
        <v/>
      </c>
      <c r="V516" s="5">
        <f>TEXT(D516,"yyyy-mm")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  <c r="S517" s="5">
        <f>SUM(F517:I517)+N517</f>
        <v/>
      </c>
      <c r="T517" s="5">
        <f>J517</f>
        <v/>
      </c>
      <c r="U517" s="6">
        <f>YEAR(D517)</f>
        <v/>
      </c>
      <c r="V517" s="5">
        <f>TEXT(D517,"yyyy-mm")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  <c r="S518" s="5">
        <f>SUM(F518:I518)+N518</f>
        <v/>
      </c>
      <c r="T518" s="5">
        <f>J518</f>
        <v/>
      </c>
      <c r="U518" s="6">
        <f>YEAR(D518)</f>
        <v/>
      </c>
      <c r="V518" s="5">
        <f>TEXT(D518,"yyyy-mm")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  <c r="S519" s="5">
        <f>SUM(F519:I519)+N519</f>
        <v/>
      </c>
      <c r="T519" s="5">
        <f>J519</f>
        <v/>
      </c>
      <c r="U519" s="6">
        <f>YEAR(D519)</f>
        <v/>
      </c>
      <c r="V519" s="5">
        <f>TEXT(D519,"yyyy-mm")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  <c r="S520" s="5">
        <f>SUM(F520:I520)+N520</f>
        <v/>
      </c>
      <c r="T520" s="5">
        <f>J520</f>
        <v/>
      </c>
      <c r="U520" s="6">
        <f>YEAR(D520)</f>
        <v/>
      </c>
      <c r="V520" s="5">
        <f>TEXT(D520,"yyyy-mm")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  <c r="S521" s="5">
        <f>SUM(F521:I521)+N521</f>
        <v/>
      </c>
      <c r="T521" s="5">
        <f>J521</f>
        <v/>
      </c>
      <c r="U521" s="6">
        <f>YEAR(D521)</f>
        <v/>
      </c>
      <c r="V521" s="5">
        <f>TEXT(D521,"yyyy-mm")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  <c r="S522" s="5">
        <f>SUM(F522:I522)+N522</f>
        <v/>
      </c>
      <c r="T522" s="5">
        <f>J522</f>
        <v/>
      </c>
      <c r="U522" s="6">
        <f>YEAR(D522)</f>
        <v/>
      </c>
      <c r="V522" s="5">
        <f>TEXT(D522,"yyyy-mm")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  <c r="S523" s="5">
        <f>SUM(F523:I523)+N523</f>
        <v/>
      </c>
      <c r="T523" s="5">
        <f>J523</f>
        <v/>
      </c>
      <c r="U523" s="6">
        <f>YEAR(D523)</f>
        <v/>
      </c>
      <c r="V523" s="5">
        <f>TEXT(D523,"yyyy-mm")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  <c r="S524" s="5">
        <f>SUM(F524:I524)+N524</f>
        <v/>
      </c>
      <c r="T524" s="5">
        <f>J524</f>
        <v/>
      </c>
      <c r="U524" s="6">
        <f>YEAR(D524)</f>
        <v/>
      </c>
      <c r="V524" s="5">
        <f>TEXT(D524,"yyyy-mm")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  <c r="S525" s="5">
        <f>SUM(F525:I525)+N525</f>
        <v/>
      </c>
      <c r="T525" s="5">
        <f>J525</f>
        <v/>
      </c>
      <c r="U525" s="6">
        <f>YEAR(D525)</f>
        <v/>
      </c>
      <c r="V525" s="5">
        <f>TEXT(D525,"yyyy-mm")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  <c r="S526" s="5">
        <f>SUM(F526:I526)+N526</f>
        <v/>
      </c>
      <c r="T526" s="5">
        <f>J526</f>
        <v/>
      </c>
      <c r="U526" s="6">
        <f>YEAR(D526)</f>
        <v/>
      </c>
      <c r="V526" s="5">
        <f>TEXT(D526,"yyyy-mm")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  <c r="S527" s="5">
        <f>SUM(F527:I527)+N527</f>
        <v/>
      </c>
      <c r="T527" s="5">
        <f>J527</f>
        <v/>
      </c>
      <c r="U527" s="6">
        <f>YEAR(D527)</f>
        <v/>
      </c>
      <c r="V527" s="5">
        <f>TEXT(D527,"yyyy-mm")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  <c r="S528" s="5">
        <f>SUM(F528:I528)+N528</f>
        <v/>
      </c>
      <c r="T528" s="5">
        <f>J528</f>
        <v/>
      </c>
      <c r="U528" s="6">
        <f>YEAR(D528)</f>
        <v/>
      </c>
      <c r="V528" s="5">
        <f>TEXT(D528,"yyyy-mm")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  <c r="S529" s="5">
        <f>SUM(F529:I529)+N529</f>
        <v/>
      </c>
      <c r="T529" s="5">
        <f>J529</f>
        <v/>
      </c>
      <c r="U529" s="6">
        <f>YEAR(D529)</f>
        <v/>
      </c>
      <c r="V529" s="5">
        <f>TEXT(D529,"yyyy-mm")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>
        <f>SUM(F530:I530)+N530</f>
        <v/>
      </c>
      <c r="T530" s="5">
        <f>J530</f>
        <v/>
      </c>
      <c r="U530" s="6">
        <f>YEAR(D530)</f>
        <v/>
      </c>
      <c r="V530" s="5">
        <f>TEXT(D530,"yyyy-mm")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SUM(F531:I531)+N531</f>
        <v/>
      </c>
      <c r="T531" s="5">
        <f>J531</f>
        <v/>
      </c>
      <c r="U531" s="6">
        <f>YEAR(D531)</f>
        <v/>
      </c>
      <c r="V531" s="5">
        <f>TEXT(D531,"yyyy-mm")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SUM(F532:I532)+N532</f>
        <v/>
      </c>
      <c r="T532" s="5">
        <f>J532</f>
        <v/>
      </c>
      <c r="U532" s="6">
        <f>YEAR(D532)</f>
        <v/>
      </c>
      <c r="V532" s="5">
        <f>TEXT(D532,"yyyy-mm")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  <c r="S533" s="5">
        <f>SUM(F533:I533)+N533</f>
        <v/>
      </c>
      <c r="T533" s="5">
        <f>J533</f>
        <v/>
      </c>
      <c r="U533" s="6">
        <f>YEAR(D533)</f>
        <v/>
      </c>
      <c r="V533" s="5">
        <f>TEXT(D533,"yyyy-mm")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  <c r="S534" s="5">
        <f>SUM(F534:I534)+N534</f>
        <v/>
      </c>
      <c r="T534" s="5">
        <f>J534</f>
        <v/>
      </c>
      <c r="U534" s="6">
        <f>YEAR(D534)</f>
        <v/>
      </c>
      <c r="V534" s="5">
        <f>TEXT(D534,"yyyy-mm")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  <c r="S535" s="5">
        <f>SUM(F535:I535)+N535</f>
        <v/>
      </c>
      <c r="T535" s="5">
        <f>J535</f>
        <v/>
      </c>
      <c r="U535" s="6">
        <f>YEAR(D535)</f>
        <v/>
      </c>
      <c r="V535" s="5">
        <f>TEXT(D535,"yyyy-mm")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  <c r="S536" s="5">
        <f>SUM(F536:I536)+N536</f>
        <v/>
      </c>
      <c r="T536" s="5">
        <f>J536</f>
        <v/>
      </c>
      <c r="U536" s="6">
        <f>YEAR(D536)</f>
        <v/>
      </c>
      <c r="V536" s="5">
        <f>TEXT(D536,"yyyy-mm")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  <c r="S537" s="5">
        <f>SUM(F537:I537)+N537</f>
        <v/>
      </c>
      <c r="T537" s="5">
        <f>J537</f>
        <v/>
      </c>
      <c r="U537" s="6">
        <f>YEAR(D537)</f>
        <v/>
      </c>
      <c r="V537" s="5">
        <f>TEXT(D537,"yyyy-mm")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  <c r="S538" s="5">
        <f>SUM(F538:I538)+N538</f>
        <v/>
      </c>
      <c r="T538" s="5">
        <f>J538</f>
        <v/>
      </c>
      <c r="U538" s="6">
        <f>YEAR(D538)</f>
        <v/>
      </c>
      <c r="V538" s="5">
        <f>TEXT(D538,"yyyy-mm")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  <c r="S539" s="5">
        <f>SUM(F539:I539)+N539</f>
        <v/>
      </c>
      <c r="T539" s="5">
        <f>J539</f>
        <v/>
      </c>
      <c r="U539" s="6">
        <f>YEAR(D539)</f>
        <v/>
      </c>
      <c r="V539" s="5">
        <f>TEXT(D539,"yyyy-mm")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>
        <f>SUM(F540:I540)+N540</f>
        <v/>
      </c>
      <c r="T540" s="5">
        <f>J540</f>
        <v/>
      </c>
      <c r="U540" s="6">
        <f>YEAR(D540)</f>
        <v/>
      </c>
      <c r="V540" s="5">
        <f>TEXT(D540,"yyyy-mm")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  <c r="S541" s="5">
        <f>SUM(F541:I541)+N541</f>
        <v/>
      </c>
      <c r="T541" s="5">
        <f>J541</f>
        <v/>
      </c>
      <c r="U541" s="6">
        <f>YEAR(D541)</f>
        <v/>
      </c>
      <c r="V541" s="5">
        <f>TEXT(D541,"yyyy-mm")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  <c r="S542" s="5">
        <f>SUM(F542:I542)+N542</f>
        <v/>
      </c>
      <c r="T542" s="5">
        <f>J542</f>
        <v/>
      </c>
      <c r="U542" s="6">
        <f>YEAR(D542)</f>
        <v/>
      </c>
      <c r="V542" s="5">
        <f>TEXT(D542,"yyyy-mm")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  <c r="S543" s="5">
        <f>SUM(F543:I543)+N543</f>
        <v/>
      </c>
      <c r="T543" s="5">
        <f>J543</f>
        <v/>
      </c>
      <c r="U543" s="6">
        <f>YEAR(D543)</f>
        <v/>
      </c>
      <c r="V543" s="5">
        <f>TEXT(D543,"yyyy-mm")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  <c r="S544" s="5">
        <f>SUM(F544:I544)+N544</f>
        <v/>
      </c>
      <c r="T544" s="5">
        <f>J544</f>
        <v/>
      </c>
      <c r="U544" s="6">
        <f>YEAR(D544)</f>
        <v/>
      </c>
      <c r="V544" s="5">
        <f>TEXT(D544,"yyyy-mm")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  <c r="S545" s="5">
        <f>SUM(F545:I545)+N545</f>
        <v/>
      </c>
      <c r="T545" s="5">
        <f>J545</f>
        <v/>
      </c>
      <c r="U545" s="6">
        <f>YEAR(D545)</f>
        <v/>
      </c>
      <c r="V545" s="5">
        <f>TEXT(D545,"yyyy-mm")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  <c r="S546" s="5">
        <f>SUM(F546:I546)+N546</f>
        <v/>
      </c>
      <c r="T546" s="5">
        <f>J546</f>
        <v/>
      </c>
      <c r="U546" s="6">
        <f>YEAR(D546)</f>
        <v/>
      </c>
      <c r="V546" s="5">
        <f>TEXT(D546,"yyyy-mm")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  <c r="S547" s="5">
        <f>SUM(F547:I547)+N547</f>
        <v/>
      </c>
      <c r="T547" s="5">
        <f>J547</f>
        <v/>
      </c>
      <c r="U547" s="6">
        <f>YEAR(D547)</f>
        <v/>
      </c>
      <c r="V547" s="5">
        <f>TEXT(D547,"yyyy-mm")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  <c r="S548" s="5">
        <f>SUM(F548:I548)+N548</f>
        <v/>
      </c>
      <c r="T548" s="5">
        <f>J548</f>
        <v/>
      </c>
      <c r="U548" s="6">
        <f>YEAR(D548)</f>
        <v/>
      </c>
      <c r="V548" s="5">
        <f>TEXT(D548,"yyyy-mm")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  <c r="S549" s="5">
        <f>SUM(F549:I549)+N549</f>
        <v/>
      </c>
      <c r="T549" s="5">
        <f>J549</f>
        <v/>
      </c>
      <c r="U549" s="6">
        <f>YEAR(D549)</f>
        <v/>
      </c>
      <c r="V549" s="5">
        <f>TEXT(D549,"yyyy-mm")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  <c r="S550" s="5">
        <f>SUM(F550:I550)+N550</f>
        <v/>
      </c>
      <c r="T550" s="5">
        <f>J550</f>
        <v/>
      </c>
      <c r="U550" s="6">
        <f>YEAR(D550)</f>
        <v/>
      </c>
      <c r="V550" s="5">
        <f>TEXT(D550,"yyyy-mm")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  <c r="S551" s="5">
        <f>SUM(F551:I551)+N551</f>
        <v/>
      </c>
      <c r="T551" s="5">
        <f>J551</f>
        <v/>
      </c>
      <c r="U551" s="6">
        <f>YEAR(D551)</f>
        <v/>
      </c>
      <c r="V551" s="5">
        <f>TEXT(D551,"yyyy-mm")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SUM(F552:I552)+N552</f>
        <v/>
      </c>
      <c r="T552" s="5">
        <f>J552</f>
        <v/>
      </c>
      <c r="U552" s="6">
        <f>YEAR(D552)</f>
        <v/>
      </c>
      <c r="V552" s="5">
        <f>TEXT(D552,"yyyy-mm")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  <c r="S553" s="5">
        <f>SUM(F553:I553)+N553</f>
        <v/>
      </c>
      <c r="T553" s="5">
        <f>J553</f>
        <v/>
      </c>
      <c r="U553" s="6">
        <f>YEAR(D553)</f>
        <v/>
      </c>
      <c r="V553" s="5">
        <f>TEXT(D553,"yyyy-mm")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  <c r="S554" s="5">
        <f>SUM(F554:I554)+N554</f>
        <v/>
      </c>
      <c r="T554" s="5">
        <f>J554</f>
        <v/>
      </c>
      <c r="U554" s="6">
        <f>YEAR(D554)</f>
        <v/>
      </c>
      <c r="V554" s="5">
        <f>TEXT(D554,"yyyy-mm")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  <c r="S555" s="5">
        <f>SUM(F555:I555)+N555</f>
        <v/>
      </c>
      <c r="T555" s="5">
        <f>J555</f>
        <v/>
      </c>
      <c r="U555" s="6">
        <f>YEAR(D555)</f>
        <v/>
      </c>
      <c r="V555" s="5">
        <f>TEXT(D555,"yyyy-mm")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  <c r="S556" s="5">
        <f>SUM(F556:I556)+N556</f>
        <v/>
      </c>
      <c r="T556" s="5">
        <f>J556</f>
        <v/>
      </c>
      <c r="U556" s="6">
        <f>YEAR(D556)</f>
        <v/>
      </c>
      <c r="V556" s="5">
        <f>TEXT(D556,"yyyy-mm")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  <c r="S557" s="5">
        <f>SUM(F557:I557)+N557</f>
        <v/>
      </c>
      <c r="T557" s="5">
        <f>J557</f>
        <v/>
      </c>
      <c r="U557" s="6">
        <f>YEAR(D557)</f>
        <v/>
      </c>
      <c r="V557" s="5">
        <f>TEXT(D557,"yyyy-mm")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  <c r="S558" s="5">
        <f>SUM(F558:I558)+N558</f>
        <v/>
      </c>
      <c r="T558" s="5">
        <f>J558</f>
        <v/>
      </c>
      <c r="U558" s="6">
        <f>YEAR(D558)</f>
        <v/>
      </c>
      <c r="V558" s="5">
        <f>TEXT(D558,"yyyy-mm")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  <c r="S559" s="5">
        <f>SUM(F559:I559)+N559</f>
        <v/>
      </c>
      <c r="T559" s="5">
        <f>J559</f>
        <v/>
      </c>
      <c r="U559" s="6">
        <f>YEAR(D559)</f>
        <v/>
      </c>
      <c r="V559" s="5">
        <f>TEXT(D559,"yyyy-mm")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  <c r="S560" s="5">
        <f>SUM(F560:I560)+N560</f>
        <v/>
      </c>
      <c r="T560" s="5">
        <f>J560</f>
        <v/>
      </c>
      <c r="U560" s="6">
        <f>YEAR(D560)</f>
        <v/>
      </c>
      <c r="V560" s="5">
        <f>TEXT(D560,"yyyy-mm")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  <c r="S561" s="5">
        <f>SUM(F561:I561)+N561</f>
        <v/>
      </c>
      <c r="T561" s="5">
        <f>J561</f>
        <v/>
      </c>
      <c r="U561" s="6">
        <f>YEAR(D561)</f>
        <v/>
      </c>
      <c r="V561" s="5">
        <f>TEXT(D561,"yyyy-mm")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  <c r="S562" s="5">
        <f>SUM(F562:I562)+N562</f>
        <v/>
      </c>
      <c r="T562" s="5">
        <f>J562</f>
        <v/>
      </c>
      <c r="U562" s="6">
        <f>YEAR(D562)</f>
        <v/>
      </c>
      <c r="V562" s="5">
        <f>TEXT(D562,"yyyy-mm")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  <c r="S563" s="5">
        <f>SUM(F563:I563)+N563</f>
        <v/>
      </c>
      <c r="T563" s="5">
        <f>J563</f>
        <v/>
      </c>
      <c r="U563" s="6">
        <f>YEAR(D563)</f>
        <v/>
      </c>
      <c r="V563" s="5">
        <f>TEXT(D563,"yyyy-mm")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  <c r="S564" s="5">
        <f>SUM(F564:I564)+N564</f>
        <v/>
      </c>
      <c r="T564" s="5">
        <f>J564</f>
        <v/>
      </c>
      <c r="U564" s="6">
        <f>YEAR(D564)</f>
        <v/>
      </c>
      <c r="V564" s="5">
        <f>TEXT(D564,"yyyy-mm")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  <c r="S565" s="5">
        <f>SUM(F565:I565)+N565</f>
        <v/>
      </c>
      <c r="T565" s="5">
        <f>J565</f>
        <v/>
      </c>
      <c r="U565" s="6">
        <f>YEAR(D565)</f>
        <v/>
      </c>
      <c r="V565" s="5">
        <f>TEXT(D565,"yyyy-mm")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  <c r="S566" s="5">
        <f>SUM(F566:I566)+N566</f>
        <v/>
      </c>
      <c r="T566" s="5">
        <f>J566</f>
        <v/>
      </c>
      <c r="U566" s="6">
        <f>YEAR(D566)</f>
        <v/>
      </c>
      <c r="V566" s="5">
        <f>TEXT(D566,"yyyy-mm")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  <c r="S567" s="5">
        <f>SUM(F567:I567)+N567</f>
        <v/>
      </c>
      <c r="T567" s="5">
        <f>J567</f>
        <v/>
      </c>
      <c r="U567" s="6">
        <f>YEAR(D567)</f>
        <v/>
      </c>
      <c r="V567" s="5">
        <f>TEXT(D567,"yyyy-mm")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  <c r="S568" s="5">
        <f>SUM(F568:I568)+N568</f>
        <v/>
      </c>
      <c r="T568" s="5">
        <f>J568</f>
        <v/>
      </c>
      <c r="U568" s="6">
        <f>YEAR(D568)</f>
        <v/>
      </c>
      <c r="V568" s="5">
        <f>TEXT(D568,"yyyy-mm")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  <c r="S569" s="5">
        <f>SUM(F569:I569)+N569</f>
        <v/>
      </c>
      <c r="T569" s="5">
        <f>J569</f>
        <v/>
      </c>
      <c r="U569" s="6">
        <f>YEAR(D569)</f>
        <v/>
      </c>
      <c r="V569" s="5">
        <f>TEXT(D569,"yyyy-mm")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  <c r="S570" s="5">
        <f>SUM(F570:I570)+N570</f>
        <v/>
      </c>
      <c r="T570" s="5">
        <f>J570</f>
        <v/>
      </c>
      <c r="U570" s="6">
        <f>YEAR(D570)</f>
        <v/>
      </c>
      <c r="V570" s="5">
        <f>TEXT(D570,"yyyy-mm")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  <c r="S571" s="5">
        <f>SUM(F571:I571)+N571</f>
        <v/>
      </c>
      <c r="T571" s="5">
        <f>J571</f>
        <v/>
      </c>
      <c r="U571" s="6">
        <f>YEAR(D571)</f>
        <v/>
      </c>
      <c r="V571" s="5">
        <f>TEXT(D571,"yyyy-mm")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>
        <f>SUM(F572:I572)+N572</f>
        <v/>
      </c>
      <c r="T572" s="5">
        <f>J572</f>
        <v/>
      </c>
      <c r="U572" s="6">
        <f>YEAR(D572)</f>
        <v/>
      </c>
      <c r="V572" s="5">
        <f>TEXT(D572,"yyyy-mm")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  <c r="S573" s="5">
        <f>SUM(F573:I573)+N573</f>
        <v/>
      </c>
      <c r="T573" s="5">
        <f>J573</f>
        <v/>
      </c>
      <c r="U573" s="6">
        <f>YEAR(D573)</f>
        <v/>
      </c>
      <c r="V573" s="5">
        <f>TEXT(D573,"yyyy-mm")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  <c r="S574" s="5">
        <f>SUM(F574:I574)+N574</f>
        <v/>
      </c>
      <c r="T574" s="5">
        <f>J574</f>
        <v/>
      </c>
      <c r="U574" s="6">
        <f>YEAR(D574)</f>
        <v/>
      </c>
      <c r="V574" s="5">
        <f>TEXT(D574,"yyyy-mm")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  <c r="S575" s="5">
        <f>SUM(F575:I575)+N575</f>
        <v/>
      </c>
      <c r="T575" s="5">
        <f>J575</f>
        <v/>
      </c>
      <c r="U575" s="6">
        <f>YEAR(D575)</f>
        <v/>
      </c>
      <c r="V575" s="5">
        <f>TEXT(D575,"yyyy-mm")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  <c r="S576" s="5">
        <f>SUM(F576:I576)+N576</f>
        <v/>
      </c>
      <c r="T576" s="5">
        <f>J576</f>
        <v/>
      </c>
      <c r="U576" s="6">
        <f>YEAR(D576)</f>
        <v/>
      </c>
      <c r="V576" s="5">
        <f>TEXT(D576,"yyyy-mm")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  <c r="S577" s="5">
        <f>SUM(F577:I577)+N577</f>
        <v/>
      </c>
      <c r="T577" s="5">
        <f>J577</f>
        <v/>
      </c>
      <c r="U577" s="6">
        <f>YEAR(D577)</f>
        <v/>
      </c>
      <c r="V577" s="5">
        <f>TEXT(D577,"yyyy-mm")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  <c r="S578" s="5">
        <f>SUM(F578:I578)+N578</f>
        <v/>
      </c>
      <c r="T578" s="5">
        <f>J578</f>
        <v/>
      </c>
      <c r="U578" s="6">
        <f>YEAR(D578)</f>
        <v/>
      </c>
      <c r="V578" s="5">
        <f>TEXT(D578,"yyyy-mm")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  <c r="S579" s="5">
        <f>SUM(F579:I579)+N579</f>
        <v/>
      </c>
      <c r="T579" s="5">
        <f>J579</f>
        <v/>
      </c>
      <c r="U579" s="6">
        <f>YEAR(D579)</f>
        <v/>
      </c>
      <c r="V579" s="5">
        <f>TEXT(D579,"yyyy-mm")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SUM(F580:I580)+N580</f>
        <v/>
      </c>
      <c r="T580" s="5">
        <f>J580</f>
        <v/>
      </c>
      <c r="U580" s="6">
        <f>YEAR(D580)</f>
        <v/>
      </c>
      <c r="V580" s="5">
        <f>TEXT(D580,"yyyy-mm")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  <c r="S581" s="5">
        <f>SUM(F581:I581)+N581</f>
        <v/>
      </c>
      <c r="T581" s="5">
        <f>J581</f>
        <v/>
      </c>
      <c r="U581" s="6">
        <f>YEAR(D581)</f>
        <v/>
      </c>
      <c r="V581" s="5">
        <f>TEXT(D581,"yyyy-mm")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  <c r="S582" s="5">
        <f>SUM(F582:I582)+N582</f>
        <v/>
      </c>
      <c r="T582" s="5">
        <f>J582</f>
        <v/>
      </c>
      <c r="U582" s="6">
        <f>YEAR(D582)</f>
        <v/>
      </c>
      <c r="V582" s="5">
        <f>TEXT(D582,"yyyy-mm")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  <c r="S583" s="5">
        <f>SUM(F583:I583)+N583</f>
        <v/>
      </c>
      <c r="T583" s="5">
        <f>J583</f>
        <v/>
      </c>
      <c r="U583" s="6">
        <f>YEAR(D583)</f>
        <v/>
      </c>
      <c r="V583" s="5">
        <f>TEXT(D583,"yyyy-mm")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  <c r="S584" s="5">
        <f>SUM(F584:I584)+N584</f>
        <v/>
      </c>
      <c r="T584" s="5">
        <f>J584</f>
        <v/>
      </c>
      <c r="U584" s="6">
        <f>YEAR(D584)</f>
        <v/>
      </c>
      <c r="V584" s="5">
        <f>TEXT(D584,"yyyy-mm")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>
        <f>SUM(F585:I585)+N585</f>
        <v/>
      </c>
      <c r="T585" s="5">
        <f>J585</f>
        <v/>
      </c>
      <c r="U585" s="6">
        <f>YEAR(D585)</f>
        <v/>
      </c>
      <c r="V585" s="5">
        <f>TEXT(D585,"yyyy-mm")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  <c r="S586" s="5">
        <f>SUM(F586:I586)+N586</f>
        <v/>
      </c>
      <c r="T586" s="5">
        <f>J586</f>
        <v/>
      </c>
      <c r="U586" s="6">
        <f>YEAR(D586)</f>
        <v/>
      </c>
      <c r="V586" s="5">
        <f>TEXT(D586,"yyyy-mm")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  <c r="S587" s="5">
        <f>SUM(F587:I587)+N587</f>
        <v/>
      </c>
      <c r="T587" s="5">
        <f>J587</f>
        <v/>
      </c>
      <c r="U587" s="6">
        <f>YEAR(D587)</f>
        <v/>
      </c>
      <c r="V587" s="5">
        <f>TEXT(D587,"yyyy-mm")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  <c r="S588" s="5">
        <f>SUM(F588:I588)+N588</f>
        <v/>
      </c>
      <c r="T588" s="5">
        <f>J588</f>
        <v/>
      </c>
      <c r="U588" s="6">
        <f>YEAR(D588)</f>
        <v/>
      </c>
      <c r="V588" s="5">
        <f>TEXT(D588,"yyyy-mm")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  <c r="S589" s="5">
        <f>SUM(F589:I589)+N589</f>
        <v/>
      </c>
      <c r="T589" s="5">
        <f>J589</f>
        <v/>
      </c>
      <c r="U589" s="6">
        <f>YEAR(D589)</f>
        <v/>
      </c>
      <c r="V589" s="5">
        <f>TEXT(D589,"yyyy-mm")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  <c r="S590" s="5">
        <f>SUM(F590:I590)+N590</f>
        <v/>
      </c>
      <c r="T590" s="5">
        <f>J590</f>
        <v/>
      </c>
      <c r="U590" s="6">
        <f>YEAR(D590)</f>
        <v/>
      </c>
      <c r="V590" s="5">
        <f>TEXT(D590,"yyyy-mm")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  <c r="S591" s="5">
        <f>SUM(F591:I591)+N591</f>
        <v/>
      </c>
      <c r="T591" s="5">
        <f>J591</f>
        <v/>
      </c>
      <c r="U591" s="6">
        <f>YEAR(D591)</f>
        <v/>
      </c>
      <c r="V591" s="5">
        <f>TEXT(D591,"yyyy-mm")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  <c r="S592" s="5">
        <f>SUM(F592:I592)+N592</f>
        <v/>
      </c>
      <c r="T592" s="5">
        <f>J592</f>
        <v/>
      </c>
      <c r="U592" s="6">
        <f>YEAR(D592)</f>
        <v/>
      </c>
      <c r="V592" s="5">
        <f>TEXT(D592,"yyyy-mm")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  <c r="S593" s="5">
        <f>SUM(F593:I593)+N593</f>
        <v/>
      </c>
      <c r="T593" s="5">
        <f>J593</f>
        <v/>
      </c>
      <c r="U593" s="6">
        <f>YEAR(D593)</f>
        <v/>
      </c>
      <c r="V593" s="5">
        <f>TEXT(D593,"yyyy-mm")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  <c r="S594" s="5">
        <f>SUM(F594:I594)+N594</f>
        <v/>
      </c>
      <c r="T594" s="5">
        <f>J594</f>
        <v/>
      </c>
      <c r="U594" s="6">
        <f>YEAR(D594)</f>
        <v/>
      </c>
      <c r="V594" s="5">
        <f>TEXT(D594,"yyyy-mm")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  <c r="S595" s="5">
        <f>SUM(F595:I595)+N595</f>
        <v/>
      </c>
      <c r="T595" s="5">
        <f>J595</f>
        <v/>
      </c>
      <c r="U595" s="6">
        <f>YEAR(D595)</f>
        <v/>
      </c>
      <c r="V595" s="5">
        <f>TEXT(D595,"yyyy-mm")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  <c r="S596" s="5">
        <f>SUM(F596:I596)+N596</f>
        <v/>
      </c>
      <c r="T596" s="5">
        <f>J596</f>
        <v/>
      </c>
      <c r="U596" s="6">
        <f>YEAR(D596)</f>
        <v/>
      </c>
      <c r="V596" s="5">
        <f>TEXT(D596,"yyyy-mm")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  <c r="S597" s="5">
        <f>SUM(F597:I597)+N597</f>
        <v/>
      </c>
      <c r="T597" s="5">
        <f>J597</f>
        <v/>
      </c>
      <c r="U597" s="6">
        <f>YEAR(D597)</f>
        <v/>
      </c>
      <c r="V597" s="5">
        <f>TEXT(D597,"yyyy-mm")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  <c r="S598" s="5">
        <f>SUM(F598:I598)+N598</f>
        <v/>
      </c>
      <c r="T598" s="5">
        <f>J598</f>
        <v/>
      </c>
      <c r="U598" s="6">
        <f>YEAR(D598)</f>
        <v/>
      </c>
      <c r="V598" s="5">
        <f>TEXT(D598,"yyyy-mm")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  <c r="S599" s="5">
        <f>SUM(F599:I599)+N599</f>
        <v/>
      </c>
      <c r="T599" s="5">
        <f>J599</f>
        <v/>
      </c>
      <c r="U599" s="6">
        <f>YEAR(D599)</f>
        <v/>
      </c>
      <c r="V599" s="5">
        <f>TEXT(D599,"yyyy-mm")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  <c r="S600" s="5">
        <f>SUM(F600:I600)+N600</f>
        <v/>
      </c>
      <c r="T600" s="5">
        <f>J600</f>
        <v/>
      </c>
      <c r="U600" s="6">
        <f>YEAR(D600)</f>
        <v/>
      </c>
      <c r="V600" s="5">
        <f>TEXT(D600,"yyyy-mm")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  <c r="S601" s="5">
        <f>SUM(F601:I601)+N601</f>
        <v/>
      </c>
      <c r="T601" s="5">
        <f>J601</f>
        <v/>
      </c>
      <c r="U601" s="6">
        <f>YEAR(D601)</f>
        <v/>
      </c>
      <c r="V601" s="5">
        <f>TEXT(D601,"yyyy-mm")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  <c r="S602" s="5">
        <f>SUM(F602:I602)+N602</f>
        <v/>
      </c>
      <c r="T602" s="5">
        <f>J602</f>
        <v/>
      </c>
      <c r="U602" s="6">
        <f>YEAR(D602)</f>
        <v/>
      </c>
      <c r="V602" s="5">
        <f>TEXT(D602,"yyyy-mm")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  <c r="S603" s="5">
        <f>SUM(F603:I603)+N603</f>
        <v/>
      </c>
      <c r="T603" s="5">
        <f>J603</f>
        <v/>
      </c>
      <c r="U603" s="6">
        <f>YEAR(D603)</f>
        <v/>
      </c>
      <c r="V603" s="5">
        <f>TEXT(D603,"yyyy-mm")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  <c r="S604" s="5">
        <f>SUM(F604:I604)+N604</f>
        <v/>
      </c>
      <c r="T604" s="5">
        <f>J604</f>
        <v/>
      </c>
      <c r="U604" s="6">
        <f>YEAR(D604)</f>
        <v/>
      </c>
      <c r="V604" s="5">
        <f>TEXT(D604,"yyyy-mm")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  <c r="S605" s="5">
        <f>SUM(F605:I605)+N605</f>
        <v/>
      </c>
      <c r="T605" s="5">
        <f>J605</f>
        <v/>
      </c>
      <c r="U605" s="6">
        <f>YEAR(D605)</f>
        <v/>
      </c>
      <c r="V605" s="5">
        <f>TEXT(D605,"yyyy-mm")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  <c r="S606" s="5">
        <f>SUM(F606:I606)+N606</f>
        <v/>
      </c>
      <c r="T606" s="5">
        <f>J606</f>
        <v/>
      </c>
      <c r="U606" s="6">
        <f>YEAR(D606)</f>
        <v/>
      </c>
      <c r="V606" s="5">
        <f>TEXT(D606,"yyyy-mm")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  <c r="S607" s="5">
        <f>SUM(F607:I607)+N607</f>
        <v/>
      </c>
      <c r="T607" s="5">
        <f>J607</f>
        <v/>
      </c>
      <c r="U607" s="6">
        <f>YEAR(D607)</f>
        <v/>
      </c>
      <c r="V607" s="5">
        <f>TEXT(D607,"yyyy-mm")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  <c r="S608" s="5">
        <f>SUM(F608:I608)+N608</f>
        <v/>
      </c>
      <c r="T608" s="5">
        <f>J608</f>
        <v/>
      </c>
      <c r="U608" s="6">
        <f>YEAR(D608)</f>
        <v/>
      </c>
      <c r="V608" s="5">
        <f>TEXT(D608,"yyyy-mm")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  <c r="S609" s="5">
        <f>SUM(F609:I609)+N609</f>
        <v/>
      </c>
      <c r="T609" s="5">
        <f>J609</f>
        <v/>
      </c>
      <c r="U609" s="6">
        <f>YEAR(D609)</f>
        <v/>
      </c>
      <c r="V609" s="5">
        <f>TEXT(D609,"yyyy-mm")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  <c r="S610" s="5">
        <f>SUM(F610:I610)+N610</f>
        <v/>
      </c>
      <c r="T610" s="5">
        <f>J610</f>
        <v/>
      </c>
      <c r="U610" s="6">
        <f>YEAR(D610)</f>
        <v/>
      </c>
      <c r="V610" s="5">
        <f>TEXT(D610,"yyyy-mm")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  <c r="S611" s="5">
        <f>SUM(F611:I611)+N611</f>
        <v/>
      </c>
      <c r="T611" s="5">
        <f>J611</f>
        <v/>
      </c>
      <c r="U611" s="6">
        <f>YEAR(D611)</f>
        <v/>
      </c>
      <c r="V611" s="5">
        <f>TEXT(D611,"yyyy-mm")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  <c r="S612" s="5">
        <f>SUM(F612:I612)+N612</f>
        <v/>
      </c>
      <c r="T612" s="5">
        <f>J612</f>
        <v/>
      </c>
      <c r="U612" s="6">
        <f>YEAR(D612)</f>
        <v/>
      </c>
      <c r="V612" s="5">
        <f>TEXT(D612,"yyyy-mm")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  <c r="S613" s="5">
        <f>SUM(F613:I613)+N613</f>
        <v/>
      </c>
      <c r="T613" s="5">
        <f>J613</f>
        <v/>
      </c>
      <c r="U613" s="6">
        <f>YEAR(D613)</f>
        <v/>
      </c>
      <c r="V613" s="5">
        <f>TEXT(D613,"yyyy-mm")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SUM(F614:I614)+N614</f>
        <v/>
      </c>
      <c r="T614" s="5">
        <f>J614</f>
        <v/>
      </c>
      <c r="U614" s="6">
        <f>YEAR(D614)</f>
        <v/>
      </c>
      <c r="V614" s="5">
        <f>TEXT(D614,"yyyy-mm")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  <c r="S615" s="5">
        <f>SUM(F615:I615)+N615</f>
        <v/>
      </c>
      <c r="T615" s="5">
        <f>J615</f>
        <v/>
      </c>
      <c r="U615" s="6">
        <f>YEAR(D615)</f>
        <v/>
      </c>
      <c r="V615" s="5">
        <f>TEXT(D615,"yyyy-mm")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  <c r="S616" s="5">
        <f>SUM(F616:I616)+N616</f>
        <v/>
      </c>
      <c r="T616" s="5">
        <f>J616</f>
        <v/>
      </c>
      <c r="U616" s="6">
        <f>YEAR(D616)</f>
        <v/>
      </c>
      <c r="V616" s="5">
        <f>TEXT(D616,"yyyy-mm")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  <c r="S617" s="5">
        <f>SUM(F617:I617)+N617</f>
        <v/>
      </c>
      <c r="T617" s="5">
        <f>J617</f>
        <v/>
      </c>
      <c r="U617" s="6">
        <f>YEAR(D617)</f>
        <v/>
      </c>
      <c r="V617" s="5">
        <f>TEXT(D617,"yyyy-mm")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  <c r="S618" s="5">
        <f>SUM(F618:I618)+N618</f>
        <v/>
      </c>
      <c r="T618" s="5">
        <f>J618</f>
        <v/>
      </c>
      <c r="U618" s="6">
        <f>YEAR(D618)</f>
        <v/>
      </c>
      <c r="V618" s="5">
        <f>TEXT(D618,"yyyy-mm")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  <c r="S619" s="5">
        <f>SUM(F619:I619)+N619</f>
        <v/>
      </c>
      <c r="T619" s="5">
        <f>J619</f>
        <v/>
      </c>
      <c r="U619" s="6">
        <f>YEAR(D619)</f>
        <v/>
      </c>
      <c r="V619" s="5">
        <f>TEXT(D619,"yyyy-mm")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  <c r="S620" s="5">
        <f>SUM(F620:I620)+N620</f>
        <v/>
      </c>
      <c r="T620" s="5">
        <f>J620</f>
        <v/>
      </c>
      <c r="U620" s="6">
        <f>YEAR(D620)</f>
        <v/>
      </c>
      <c r="V620" s="5">
        <f>TEXT(D620,"yyyy-mm")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  <c r="S621" s="5">
        <f>SUM(F621:I621)+N621</f>
        <v/>
      </c>
      <c r="T621" s="5">
        <f>J621</f>
        <v/>
      </c>
      <c r="U621" s="6">
        <f>YEAR(D621)</f>
        <v/>
      </c>
      <c r="V621" s="5">
        <f>TEXT(D621,"yyyy-mm")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  <c r="S622" s="5">
        <f>SUM(F622:I622)+N622</f>
        <v/>
      </c>
      <c r="T622" s="5">
        <f>J622</f>
        <v/>
      </c>
      <c r="U622" s="6">
        <f>YEAR(D622)</f>
        <v/>
      </c>
      <c r="V622" s="5">
        <f>TEXT(D622,"yyyy-mm")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  <c r="S623" s="5">
        <f>SUM(F623:I623)+N623</f>
        <v/>
      </c>
      <c r="T623" s="5">
        <f>J623</f>
        <v/>
      </c>
      <c r="U623" s="6">
        <f>YEAR(D623)</f>
        <v/>
      </c>
      <c r="V623" s="5">
        <f>TEXT(D623,"yyyy-mm")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SUM(F624:I624)+N624</f>
        <v/>
      </c>
      <c r="T624" s="5">
        <f>J624</f>
        <v/>
      </c>
      <c r="U624" s="6">
        <f>YEAR(D624)</f>
        <v/>
      </c>
      <c r="V624" s="5">
        <f>TEXT(D624,"yyyy-mm")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SUM(F625:I625)+N625</f>
        <v/>
      </c>
      <c r="T625" s="5">
        <f>J625</f>
        <v/>
      </c>
      <c r="U625" s="6">
        <f>YEAR(D625)</f>
        <v/>
      </c>
      <c r="V625" s="5">
        <f>TEXT(D625,"yyyy-mm")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  <c r="S626" s="5">
        <f>SUM(F626:I626)+N626</f>
        <v/>
      </c>
      <c r="T626" s="5">
        <f>J626</f>
        <v/>
      </c>
      <c r="U626" s="6">
        <f>YEAR(D626)</f>
        <v/>
      </c>
      <c r="V626" s="5">
        <f>TEXT(D626,"yyyy-mm")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  <c r="S627" s="5">
        <f>SUM(F627:I627)+N627</f>
        <v/>
      </c>
      <c r="T627" s="5">
        <f>J627</f>
        <v/>
      </c>
      <c r="U627" s="6">
        <f>YEAR(D627)</f>
        <v/>
      </c>
      <c r="V627" s="5">
        <f>TEXT(D627,"yyyy-mm")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  <c r="S628" s="5">
        <f>SUM(F628:I628)+N628</f>
        <v/>
      </c>
      <c r="T628" s="5">
        <f>J628</f>
        <v/>
      </c>
      <c r="U628" s="6">
        <f>YEAR(D628)</f>
        <v/>
      </c>
      <c r="V628" s="5">
        <f>TEXT(D628,"yyyy-mm")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  <c r="S629" s="5">
        <f>SUM(F629:I629)+N629</f>
        <v/>
      </c>
      <c r="T629" s="5">
        <f>J629</f>
        <v/>
      </c>
      <c r="U629" s="6">
        <f>YEAR(D629)</f>
        <v/>
      </c>
      <c r="V629" s="5">
        <f>TEXT(D629,"yyyy-mm")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  <c r="S630" s="5">
        <f>SUM(F630:I630)+N630</f>
        <v/>
      </c>
      <c r="T630" s="5">
        <f>J630</f>
        <v/>
      </c>
      <c r="U630" s="6">
        <f>YEAR(D630)</f>
        <v/>
      </c>
      <c r="V630" s="5">
        <f>TEXT(D630,"yyyy-mm")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  <c r="S631" s="5">
        <f>SUM(F631:I631)+N631</f>
        <v/>
      </c>
      <c r="T631" s="5">
        <f>J631</f>
        <v/>
      </c>
      <c r="U631" s="6">
        <f>YEAR(D631)</f>
        <v/>
      </c>
      <c r="V631" s="5">
        <f>TEXT(D631,"yyyy-mm")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  <c r="S632" s="5">
        <f>SUM(F632:I632)+N632</f>
        <v/>
      </c>
      <c r="T632" s="5">
        <f>J632</f>
        <v/>
      </c>
      <c r="U632" s="6">
        <f>YEAR(D632)</f>
        <v/>
      </c>
      <c r="V632" s="5">
        <f>TEXT(D632,"yyyy-mm")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  <c r="S633" s="5">
        <f>SUM(F633:I633)+N633</f>
        <v/>
      </c>
      <c r="T633" s="5">
        <f>J633</f>
        <v/>
      </c>
      <c r="U633" s="6">
        <f>YEAR(D633)</f>
        <v/>
      </c>
      <c r="V633" s="5">
        <f>TEXT(D633,"yyyy-mm")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  <c r="S634" s="5">
        <f>SUM(F634:I634)+N634</f>
        <v/>
      </c>
      <c r="T634" s="5">
        <f>J634</f>
        <v/>
      </c>
      <c r="U634" s="6">
        <f>YEAR(D634)</f>
        <v/>
      </c>
      <c r="V634" s="5">
        <f>TEXT(D634,"yyyy-mm")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  <c r="S635" s="5">
        <f>SUM(F635:I635)+N635</f>
        <v/>
      </c>
      <c r="T635" s="5">
        <f>J635</f>
        <v/>
      </c>
      <c r="U635" s="6">
        <f>YEAR(D635)</f>
        <v/>
      </c>
      <c r="V635" s="5">
        <f>TEXT(D635,"yyyy-mm")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  <c r="S636" s="5">
        <f>SUM(F636:I636)+N636</f>
        <v/>
      </c>
      <c r="T636" s="5">
        <f>J636</f>
        <v/>
      </c>
      <c r="U636" s="6">
        <f>YEAR(D636)</f>
        <v/>
      </c>
      <c r="V636" s="5">
        <f>TEXT(D636,"yyyy-mm")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  <c r="S637" s="5">
        <f>SUM(F637:I637)+N637</f>
        <v/>
      </c>
      <c r="T637" s="5">
        <f>J637</f>
        <v/>
      </c>
      <c r="U637" s="6">
        <f>YEAR(D637)</f>
        <v/>
      </c>
      <c r="V637" s="5">
        <f>TEXT(D637,"yyyy-mm")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SUM(F638:I638)+N638</f>
        <v/>
      </c>
      <c r="T638" s="5">
        <f>J638</f>
        <v/>
      </c>
      <c r="U638" s="6">
        <f>YEAR(D638)</f>
        <v/>
      </c>
      <c r="V638" s="5">
        <f>TEXT(D638,"yyyy-mm")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  <c r="S639" s="5">
        <f>SUM(F639:I639)+N639</f>
        <v/>
      </c>
      <c r="T639" s="5">
        <f>J639</f>
        <v/>
      </c>
      <c r="U639" s="6">
        <f>YEAR(D639)</f>
        <v/>
      </c>
      <c r="V639" s="5">
        <f>TEXT(D639,"yyyy-mm")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SUM(F640:I640)+N640</f>
        <v/>
      </c>
      <c r="T640" s="5">
        <f>J640</f>
        <v/>
      </c>
      <c r="U640" s="6">
        <f>YEAR(D640)</f>
        <v/>
      </c>
      <c r="V640" s="5">
        <f>TEXT(D640,"yyyy-mm")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  <c r="S641" s="5">
        <f>SUM(F641:I641)+N641</f>
        <v/>
      </c>
      <c r="T641" s="5">
        <f>J641</f>
        <v/>
      </c>
      <c r="U641" s="6">
        <f>YEAR(D641)</f>
        <v/>
      </c>
      <c r="V641" s="5">
        <f>TEXT(D641,"yyyy-mm")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  <c r="S642" s="5">
        <f>SUM(F642:I642)+N642</f>
        <v/>
      </c>
      <c r="T642" s="5">
        <f>J642</f>
        <v/>
      </c>
      <c r="U642" s="6">
        <f>YEAR(D642)</f>
        <v/>
      </c>
      <c r="V642" s="5">
        <f>TEXT(D642,"yyyy-mm")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  <c r="S643" s="5">
        <f>SUM(F643:I643)+N643</f>
        <v/>
      </c>
      <c r="T643" s="5">
        <f>J643</f>
        <v/>
      </c>
      <c r="U643" s="6">
        <f>YEAR(D643)</f>
        <v/>
      </c>
      <c r="V643" s="5">
        <f>TEXT(D643,"yyyy-mm")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  <c r="S644" s="5">
        <f>SUM(F644:I644)+N644</f>
        <v/>
      </c>
      <c r="T644" s="5">
        <f>J644</f>
        <v/>
      </c>
      <c r="U644" s="6">
        <f>YEAR(D644)</f>
        <v/>
      </c>
      <c r="V644" s="5">
        <f>TEXT(D644,"yyyy-mm")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  <c r="S645" s="5">
        <f>SUM(F645:I645)+N645</f>
        <v/>
      </c>
      <c r="T645" s="5">
        <f>J645</f>
        <v/>
      </c>
      <c r="U645" s="6">
        <f>YEAR(D645)</f>
        <v/>
      </c>
      <c r="V645" s="5">
        <f>TEXT(D645,"yyyy-mm")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  <c r="S646" s="5">
        <f>SUM(F646:I646)+N646</f>
        <v/>
      </c>
      <c r="T646" s="5">
        <f>J646</f>
        <v/>
      </c>
      <c r="U646" s="6">
        <f>YEAR(D646)</f>
        <v/>
      </c>
      <c r="V646" s="5">
        <f>TEXT(D646,"yyyy-mm")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  <c r="S647" s="5">
        <f>SUM(F647:I647)+N647</f>
        <v/>
      </c>
      <c r="T647" s="5">
        <f>J647</f>
        <v/>
      </c>
      <c r="U647" s="6">
        <f>YEAR(D647)</f>
        <v/>
      </c>
      <c r="V647" s="5">
        <f>TEXT(D647,"yyyy-mm")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  <c r="S648" s="5">
        <f>SUM(F648:I648)+N648</f>
        <v/>
      </c>
      <c r="T648" s="5">
        <f>J648</f>
        <v/>
      </c>
      <c r="U648" s="6">
        <f>YEAR(D648)</f>
        <v/>
      </c>
      <c r="V648" s="5">
        <f>TEXT(D648,"yyyy-mm")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  <c r="S649" s="5">
        <f>SUM(F649:I649)+N649</f>
        <v/>
      </c>
      <c r="T649" s="5">
        <f>J649</f>
        <v/>
      </c>
      <c r="U649" s="6">
        <f>YEAR(D649)</f>
        <v/>
      </c>
      <c r="V649" s="5">
        <f>TEXT(D649,"yyyy-mm")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  <c r="S650" s="5">
        <f>SUM(F650:I650)+N650</f>
        <v/>
      </c>
      <c r="T650" s="5">
        <f>J650</f>
        <v/>
      </c>
      <c r="U650" s="6">
        <f>YEAR(D650)</f>
        <v/>
      </c>
      <c r="V650" s="5">
        <f>TEXT(D650,"yyyy-mm")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  <c r="S651" s="5">
        <f>SUM(F651:I651)+N651</f>
        <v/>
      </c>
      <c r="T651" s="5">
        <f>J651</f>
        <v/>
      </c>
      <c r="U651" s="6">
        <f>YEAR(D651)</f>
        <v/>
      </c>
      <c r="V651" s="5">
        <f>TEXT(D651,"yyyy-mm")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  <c r="S652" s="5">
        <f>SUM(F652:I652)+N652</f>
        <v/>
      </c>
      <c r="T652" s="5">
        <f>J652</f>
        <v/>
      </c>
      <c r="U652" s="6">
        <f>YEAR(D652)</f>
        <v/>
      </c>
      <c r="V652" s="5">
        <f>TEXT(D652,"yyyy-mm")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  <c r="S653" s="5">
        <f>SUM(F653:I653)+N653</f>
        <v/>
      </c>
      <c r="T653" s="5">
        <f>J653</f>
        <v/>
      </c>
      <c r="U653" s="6">
        <f>YEAR(D653)</f>
        <v/>
      </c>
      <c r="V653" s="5">
        <f>TEXT(D653,"yyyy-mm")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  <c r="S654" s="5">
        <f>SUM(F654:I654)+N654</f>
        <v/>
      </c>
      <c r="T654" s="5">
        <f>J654</f>
        <v/>
      </c>
      <c r="U654" s="6">
        <f>YEAR(D654)</f>
        <v/>
      </c>
      <c r="V654" s="5">
        <f>TEXT(D654,"yyyy-mm")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  <c r="S655" s="5">
        <f>SUM(F655:I655)+N655</f>
        <v/>
      </c>
      <c r="T655" s="5">
        <f>J655</f>
        <v/>
      </c>
      <c r="U655" s="6">
        <f>YEAR(D655)</f>
        <v/>
      </c>
      <c r="V655" s="5">
        <f>TEXT(D655,"yyyy-mm")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  <c r="S656" s="5">
        <f>SUM(F656:I656)+N656</f>
        <v/>
      </c>
      <c r="T656" s="5">
        <f>J656</f>
        <v/>
      </c>
      <c r="U656" s="6">
        <f>YEAR(D656)</f>
        <v/>
      </c>
      <c r="V656" s="5">
        <f>TEXT(D656,"yyyy-mm")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  <c r="S657" s="5">
        <f>SUM(F657:I657)+N657</f>
        <v/>
      </c>
      <c r="T657" s="5">
        <f>J657</f>
        <v/>
      </c>
      <c r="U657" s="6">
        <f>YEAR(D657)</f>
        <v/>
      </c>
      <c r="V657" s="5">
        <f>TEXT(D657,"yyyy-mm")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  <c r="S658" s="5">
        <f>SUM(F658:I658)+N658</f>
        <v/>
      </c>
      <c r="T658" s="5">
        <f>J658</f>
        <v/>
      </c>
      <c r="U658" s="6">
        <f>YEAR(D658)</f>
        <v/>
      </c>
      <c r="V658" s="5">
        <f>TEXT(D658,"yyyy-mm")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  <c r="S659" s="5">
        <f>SUM(F659:I659)+N659</f>
        <v/>
      </c>
      <c r="T659" s="5">
        <f>J659</f>
        <v/>
      </c>
      <c r="U659" s="6">
        <f>YEAR(D659)</f>
        <v/>
      </c>
      <c r="V659" s="5">
        <f>TEXT(D659,"yyyy-mm")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SUM(F660:I660)+N660</f>
        <v/>
      </c>
      <c r="T660" s="5">
        <f>J660</f>
        <v/>
      </c>
      <c r="U660" s="6">
        <f>YEAR(D660)</f>
        <v/>
      </c>
      <c r="V660" s="5">
        <f>TEXT(D660,"yyyy-mm")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  <c r="S661" s="5">
        <f>SUM(F661:I661)+N661</f>
        <v/>
      </c>
      <c r="T661" s="5">
        <f>J661</f>
        <v/>
      </c>
      <c r="U661" s="6">
        <f>YEAR(D661)</f>
        <v/>
      </c>
      <c r="V661" s="5">
        <f>TEXT(D661,"yyyy-mm")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  <c r="S662" s="5">
        <f>SUM(F662:I662)+N662</f>
        <v/>
      </c>
      <c r="T662" s="5">
        <f>J662</f>
        <v/>
      </c>
      <c r="U662" s="6">
        <f>YEAR(D662)</f>
        <v/>
      </c>
      <c r="V662" s="5">
        <f>TEXT(D662,"yyyy-mm")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  <c r="S663" s="5">
        <f>SUM(F663:I663)+N663</f>
        <v/>
      </c>
      <c r="T663" s="5">
        <f>J663</f>
        <v/>
      </c>
      <c r="U663" s="6">
        <f>YEAR(D663)</f>
        <v/>
      </c>
      <c r="V663" s="5">
        <f>TEXT(D663,"yyyy-mm")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>
        <f>SUM(F664:I664)+N664</f>
        <v/>
      </c>
      <c r="T664" s="5">
        <f>J664</f>
        <v/>
      </c>
      <c r="U664" s="6">
        <f>YEAR(D664)</f>
        <v/>
      </c>
      <c r="V664" s="5">
        <f>TEXT(D664,"yyyy-mm")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  <c r="S665" s="5">
        <f>SUM(F665:I665)+N665</f>
        <v/>
      </c>
      <c r="T665" s="5">
        <f>J665</f>
        <v/>
      </c>
      <c r="U665" s="6">
        <f>YEAR(D665)</f>
        <v/>
      </c>
      <c r="V665" s="5">
        <f>TEXT(D665,"yyyy-mm")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  <c r="S666" s="5">
        <f>SUM(F666:I666)+N666</f>
        <v/>
      </c>
      <c r="T666" s="5">
        <f>J666</f>
        <v/>
      </c>
      <c r="U666" s="6">
        <f>YEAR(D666)</f>
        <v/>
      </c>
      <c r="V666" s="5">
        <f>TEXT(D666,"yyyy-mm")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  <c r="S667" s="5">
        <f>SUM(F667:I667)+N667</f>
        <v/>
      </c>
      <c r="T667" s="5">
        <f>J667</f>
        <v/>
      </c>
      <c r="U667" s="6">
        <f>YEAR(D667)</f>
        <v/>
      </c>
      <c r="V667" s="5">
        <f>TEXT(D667,"yyyy-mm")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  <c r="S668" s="5">
        <f>SUM(F668:I668)+N668</f>
        <v/>
      </c>
      <c r="T668" s="5">
        <f>J668</f>
        <v/>
      </c>
      <c r="U668" s="6">
        <f>YEAR(D668)</f>
        <v/>
      </c>
      <c r="V668" s="5">
        <f>TEXT(D668,"yyyy-mm")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  <c r="S669" s="5">
        <f>SUM(F669:I669)+N669</f>
        <v/>
      </c>
      <c r="T669" s="5">
        <f>J669</f>
        <v/>
      </c>
      <c r="U669" s="6">
        <f>YEAR(D669)</f>
        <v/>
      </c>
      <c r="V669" s="5">
        <f>TEXT(D669,"yyyy-mm")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  <c r="S670" s="5">
        <f>SUM(F670:I670)+N670</f>
        <v/>
      </c>
      <c r="T670" s="5">
        <f>J670</f>
        <v/>
      </c>
      <c r="U670" s="6">
        <f>YEAR(D670)</f>
        <v/>
      </c>
      <c r="V670" s="5">
        <f>TEXT(D670,"yyyy-mm")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  <c r="S671" s="5">
        <f>SUM(F671:I671)+N671</f>
        <v/>
      </c>
      <c r="T671" s="5">
        <f>J671</f>
        <v/>
      </c>
      <c r="U671" s="6">
        <f>YEAR(D671)</f>
        <v/>
      </c>
      <c r="V671" s="5">
        <f>TEXT(D671,"yyyy-mm")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  <c r="S672" s="5">
        <f>SUM(F672:I672)+N672</f>
        <v/>
      </c>
      <c r="T672" s="5">
        <f>J672</f>
        <v/>
      </c>
      <c r="U672" s="6">
        <f>YEAR(D672)</f>
        <v/>
      </c>
      <c r="V672" s="5">
        <f>TEXT(D672,"yyyy-mm")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  <c r="S673" s="5">
        <f>SUM(F673:I673)+N673</f>
        <v/>
      </c>
      <c r="T673" s="5">
        <f>J673</f>
        <v/>
      </c>
      <c r="U673" s="6">
        <f>YEAR(D673)</f>
        <v/>
      </c>
      <c r="V673" s="5">
        <f>TEXT(D673,"yyyy-mm")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  <c r="S674" s="5">
        <f>SUM(F674:I674)+N674</f>
        <v/>
      </c>
      <c r="T674" s="5">
        <f>J674</f>
        <v/>
      </c>
      <c r="U674" s="6">
        <f>YEAR(D674)</f>
        <v/>
      </c>
      <c r="V674" s="5">
        <f>TEXT(D674,"yyyy-mm")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  <c r="S675" s="5">
        <f>SUM(F675:I675)+N675</f>
        <v/>
      </c>
      <c r="T675" s="5">
        <f>J675</f>
        <v/>
      </c>
      <c r="U675" s="6">
        <f>YEAR(D675)</f>
        <v/>
      </c>
      <c r="V675" s="5">
        <f>TEXT(D675,"yyyy-mm")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  <c r="S676" s="5">
        <f>SUM(F676:I676)+N676</f>
        <v/>
      </c>
      <c r="T676" s="5">
        <f>J676</f>
        <v/>
      </c>
      <c r="U676" s="6">
        <f>YEAR(D676)</f>
        <v/>
      </c>
      <c r="V676" s="5">
        <f>TEXT(D676,"yyyy-mm")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  <c r="S677" s="5">
        <f>SUM(F677:I677)+N677</f>
        <v/>
      </c>
      <c r="T677" s="5">
        <f>J677</f>
        <v/>
      </c>
      <c r="U677" s="6">
        <f>YEAR(D677)</f>
        <v/>
      </c>
      <c r="V677" s="5">
        <f>TEXT(D677,"yyyy-mm")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  <c r="S678" s="5">
        <f>SUM(F678:I678)+N678</f>
        <v/>
      </c>
      <c r="T678" s="5">
        <f>J678</f>
        <v/>
      </c>
      <c r="U678" s="6">
        <f>YEAR(D678)</f>
        <v/>
      </c>
      <c r="V678" s="5">
        <f>TEXT(D678,"yyyy-mm")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  <c r="S679" s="5">
        <f>SUM(F679:I679)+N679</f>
        <v/>
      </c>
      <c r="T679" s="5">
        <f>J679</f>
        <v/>
      </c>
      <c r="U679" s="6">
        <f>YEAR(D679)</f>
        <v/>
      </c>
      <c r="V679" s="5">
        <f>TEXT(D679,"yyyy-mm")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  <c r="S680" s="5">
        <f>SUM(F680:I680)+N680</f>
        <v/>
      </c>
      <c r="T680" s="5">
        <f>J680</f>
        <v/>
      </c>
      <c r="U680" s="6">
        <f>YEAR(D680)</f>
        <v/>
      </c>
      <c r="V680" s="5">
        <f>TEXT(D680,"yyyy-mm")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  <c r="S681" s="5">
        <f>SUM(F681:I681)+N681</f>
        <v/>
      </c>
      <c r="T681" s="5">
        <f>J681</f>
        <v/>
      </c>
      <c r="U681" s="6">
        <f>YEAR(D681)</f>
        <v/>
      </c>
      <c r="V681" s="5">
        <f>TEXT(D681,"yyyy-mm")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  <c r="S682" s="5">
        <f>SUM(F682:I682)+N682</f>
        <v/>
      </c>
      <c r="T682" s="5">
        <f>J682</f>
        <v/>
      </c>
      <c r="U682" s="6">
        <f>YEAR(D682)</f>
        <v/>
      </c>
      <c r="V682" s="5">
        <f>TEXT(D682,"yyyy-mm")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  <c r="S683" s="5">
        <f>SUM(F683:I683)+N683</f>
        <v/>
      </c>
      <c r="T683" s="5">
        <f>J683</f>
        <v/>
      </c>
      <c r="U683" s="6">
        <f>YEAR(D683)</f>
        <v/>
      </c>
      <c r="V683" s="5">
        <f>TEXT(D683,"yyyy-mm")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  <c r="S684" s="5">
        <f>SUM(F684:I684)+N684</f>
        <v/>
      </c>
      <c r="T684" s="5">
        <f>J684</f>
        <v/>
      </c>
      <c r="U684" s="6">
        <f>YEAR(D684)</f>
        <v/>
      </c>
      <c r="V684" s="5">
        <f>TEXT(D684,"yyyy-mm")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  <c r="S685" s="5">
        <f>SUM(F685:I685)+N685</f>
        <v/>
      </c>
      <c r="T685" s="5">
        <f>J685</f>
        <v/>
      </c>
      <c r="U685" s="6">
        <f>YEAR(D685)</f>
        <v/>
      </c>
      <c r="V685" s="5">
        <f>TEXT(D685,"yyyy-mm")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  <c r="S686" s="5">
        <f>SUM(F686:I686)+N686</f>
        <v/>
      </c>
      <c r="T686" s="5">
        <f>J686</f>
        <v/>
      </c>
      <c r="U686" s="6">
        <f>YEAR(D686)</f>
        <v/>
      </c>
      <c r="V686" s="5">
        <f>TEXT(D686,"yyyy-mm")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  <c r="S687" s="5">
        <f>SUM(F687:I687)+N687</f>
        <v/>
      </c>
      <c r="T687" s="5">
        <f>J687</f>
        <v/>
      </c>
      <c r="U687" s="6">
        <f>YEAR(D687)</f>
        <v/>
      </c>
      <c r="V687" s="5">
        <f>TEXT(D687,"yyyy-mm")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  <c r="S688" s="5">
        <f>SUM(F688:I688)+N688</f>
        <v/>
      </c>
      <c r="T688" s="5">
        <f>J688</f>
        <v/>
      </c>
      <c r="U688" s="6">
        <f>YEAR(D688)</f>
        <v/>
      </c>
      <c r="V688" s="5">
        <f>TEXT(D688,"yyyy-mm")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  <c r="S689" s="5">
        <f>SUM(F689:I689)+N689</f>
        <v/>
      </c>
      <c r="T689" s="5">
        <f>J689</f>
        <v/>
      </c>
      <c r="U689" s="6">
        <f>YEAR(D689)</f>
        <v/>
      </c>
      <c r="V689" s="5">
        <f>TEXT(D689,"yyyy-mm")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  <c r="S690" s="5">
        <f>SUM(F690:I690)+N690</f>
        <v/>
      </c>
      <c r="T690" s="5">
        <f>J690</f>
        <v/>
      </c>
      <c r="U690" s="6">
        <f>YEAR(D690)</f>
        <v/>
      </c>
      <c r="V690" s="5">
        <f>TEXT(D690,"yyyy-mm")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  <c r="S691" s="5">
        <f>SUM(F691:I691)+N691</f>
        <v/>
      </c>
      <c r="T691" s="5">
        <f>J691</f>
        <v/>
      </c>
      <c r="U691" s="6">
        <f>YEAR(D691)</f>
        <v/>
      </c>
      <c r="V691" s="5">
        <f>TEXT(D691,"yyyy-mm")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  <c r="S692" s="5">
        <f>SUM(F692:I692)+N692</f>
        <v/>
      </c>
      <c r="T692" s="5">
        <f>J692</f>
        <v/>
      </c>
      <c r="U692" s="6">
        <f>YEAR(D692)</f>
        <v/>
      </c>
      <c r="V692" s="5">
        <f>TEXT(D692,"yyyy-mm")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  <c r="S693" s="5">
        <f>SUM(F693:I693)+N693</f>
        <v/>
      </c>
      <c r="T693" s="5">
        <f>J693</f>
        <v/>
      </c>
      <c r="U693" s="6">
        <f>YEAR(D693)</f>
        <v/>
      </c>
      <c r="V693" s="5">
        <f>TEXT(D693,"yyyy-mm")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  <c r="S694" s="5">
        <f>SUM(F694:I694)+N694</f>
        <v/>
      </c>
      <c r="T694" s="5">
        <f>J694</f>
        <v/>
      </c>
      <c r="U694" s="6">
        <f>YEAR(D694)</f>
        <v/>
      </c>
      <c r="V694" s="5">
        <f>TEXT(D694,"yyyy-mm")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  <c r="S695" s="5">
        <f>SUM(F695:I695)+N695</f>
        <v/>
      </c>
      <c r="T695" s="5">
        <f>J695</f>
        <v/>
      </c>
      <c r="U695" s="6">
        <f>YEAR(D695)</f>
        <v/>
      </c>
      <c r="V695" s="5">
        <f>TEXT(D695,"yyyy-mm")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  <c r="S696" s="5">
        <f>SUM(F696:I696)+N696</f>
        <v/>
      </c>
      <c r="T696" s="5">
        <f>J696</f>
        <v/>
      </c>
      <c r="U696" s="6">
        <f>YEAR(D696)</f>
        <v/>
      </c>
      <c r="V696" s="5">
        <f>TEXT(D696,"yyyy-mm")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  <c r="S697" s="5">
        <f>SUM(F697:I697)+N697</f>
        <v/>
      </c>
      <c r="T697" s="5">
        <f>J697</f>
        <v/>
      </c>
      <c r="U697" s="6">
        <f>YEAR(D697)</f>
        <v/>
      </c>
      <c r="V697" s="5">
        <f>TEXT(D697,"yyyy-mm")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  <c r="S698" s="5">
        <f>SUM(F698:I698)+N698</f>
        <v/>
      </c>
      <c r="T698" s="5">
        <f>J698</f>
        <v/>
      </c>
      <c r="U698" s="6">
        <f>YEAR(D698)</f>
        <v/>
      </c>
      <c r="V698" s="5">
        <f>TEXT(D698,"yyyy-mm")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  <c r="S699" s="5">
        <f>SUM(F699:I699)+N699</f>
        <v/>
      </c>
      <c r="T699" s="5">
        <f>J699</f>
        <v/>
      </c>
      <c r="U699" s="6">
        <f>YEAR(D699)</f>
        <v/>
      </c>
      <c r="V699" s="5">
        <f>TEXT(D699,"yyyy-mm")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>
        <f>SUM(F700:I700)+N700</f>
        <v/>
      </c>
      <c r="T700" s="5">
        <f>J700</f>
        <v/>
      </c>
      <c r="U700" s="6">
        <f>YEAR(D700)</f>
        <v/>
      </c>
      <c r="V700" s="5">
        <f>TEXT(D700,"yyyy-mm")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  <c r="S701" s="5">
        <f>SUM(F701:I701)+N701</f>
        <v/>
      </c>
      <c r="T701" s="5">
        <f>J701</f>
        <v/>
      </c>
      <c r="U701" s="6">
        <f>YEAR(D701)</f>
        <v/>
      </c>
      <c r="V701" s="5">
        <f>TEXT(D701,"yyyy-mm")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  <c r="S702" s="5">
        <f>SUM(F702:I702)+N702</f>
        <v/>
      </c>
      <c r="T702" s="5">
        <f>J702</f>
        <v/>
      </c>
      <c r="U702" s="6">
        <f>YEAR(D702)</f>
        <v/>
      </c>
      <c r="V702" s="5">
        <f>TEXT(D702,"yyyy-mm")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  <c r="S703" s="5">
        <f>SUM(F703:I703)+N703</f>
        <v/>
      </c>
      <c r="T703" s="5">
        <f>J703</f>
        <v/>
      </c>
      <c r="U703" s="6">
        <f>YEAR(D703)</f>
        <v/>
      </c>
      <c r="V703" s="5">
        <f>TEXT(D703,"yyyy-mm")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  <c r="S704" s="5">
        <f>SUM(F704:I704)+N704</f>
        <v/>
      </c>
      <c r="T704" s="5">
        <f>J704</f>
        <v/>
      </c>
      <c r="U704" s="6">
        <f>YEAR(D704)</f>
        <v/>
      </c>
      <c r="V704" s="5">
        <f>TEXT(D704,"yyyy-mm")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  <c r="S705" s="5">
        <f>SUM(F705:I705)+N705</f>
        <v/>
      </c>
      <c r="T705" s="5">
        <f>J705</f>
        <v/>
      </c>
      <c r="U705" s="6">
        <f>YEAR(D705)</f>
        <v/>
      </c>
      <c r="V705" s="5">
        <f>TEXT(D705,"yyyy-mm")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  <c r="S706" s="5">
        <f>SUM(F706:I706)+N706</f>
        <v/>
      </c>
      <c r="T706" s="5">
        <f>J706</f>
        <v/>
      </c>
      <c r="U706" s="6">
        <f>YEAR(D706)</f>
        <v/>
      </c>
      <c r="V706" s="5">
        <f>TEXT(D706,"yyyy-mm")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  <c r="S707" s="5">
        <f>SUM(F707:I707)+N707</f>
        <v/>
      </c>
      <c r="T707" s="5">
        <f>J707</f>
        <v/>
      </c>
      <c r="U707" s="6">
        <f>YEAR(D707)</f>
        <v/>
      </c>
      <c r="V707" s="5">
        <f>TEXT(D707,"yyyy-mm")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  <c r="S708" s="5">
        <f>SUM(F708:I708)+N708</f>
        <v/>
      </c>
      <c r="T708" s="5">
        <f>J708</f>
        <v/>
      </c>
      <c r="U708" s="6">
        <f>YEAR(D708)</f>
        <v/>
      </c>
      <c r="V708" s="5">
        <f>TEXT(D708,"yyyy-mm")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  <c r="S709" s="5">
        <f>SUM(F709:I709)+N709</f>
        <v/>
      </c>
      <c r="T709" s="5">
        <f>J709</f>
        <v/>
      </c>
      <c r="U709" s="6">
        <f>YEAR(D709)</f>
        <v/>
      </c>
      <c r="V709" s="5">
        <f>TEXT(D709,"yyyy-mm")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  <c r="S710" s="5">
        <f>SUM(F710:I710)+N710</f>
        <v/>
      </c>
      <c r="T710" s="5">
        <f>J710</f>
        <v/>
      </c>
      <c r="U710" s="6">
        <f>YEAR(D710)</f>
        <v/>
      </c>
      <c r="V710" s="5">
        <f>TEXT(D710,"yyyy-mm")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  <c r="S711" s="5">
        <f>SUM(F711:I711)+N711</f>
        <v/>
      </c>
      <c r="T711" s="5">
        <f>J711</f>
        <v/>
      </c>
      <c r="U711" s="6">
        <f>YEAR(D711)</f>
        <v/>
      </c>
      <c r="V711" s="5">
        <f>TEXT(D711,"yyyy-mm")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  <c r="S712" s="5">
        <f>SUM(F712:I712)+N712</f>
        <v/>
      </c>
      <c r="T712" s="5">
        <f>J712</f>
        <v/>
      </c>
      <c r="U712" s="6">
        <f>YEAR(D712)</f>
        <v/>
      </c>
      <c r="V712" s="5">
        <f>TEXT(D712,"yyyy-mm")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  <c r="S713" s="5">
        <f>SUM(F713:I713)+N713</f>
        <v/>
      </c>
      <c r="T713" s="5">
        <f>J713</f>
        <v/>
      </c>
      <c r="U713" s="6">
        <f>YEAR(D713)</f>
        <v/>
      </c>
      <c r="V713" s="5">
        <f>TEXT(D713,"yyyy-mm")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  <c r="S714" s="5">
        <f>SUM(F714:I714)+N714</f>
        <v/>
      </c>
      <c r="T714" s="5">
        <f>J714</f>
        <v/>
      </c>
      <c r="U714" s="6">
        <f>YEAR(D714)</f>
        <v/>
      </c>
      <c r="V714" s="5">
        <f>TEXT(D714,"yyyy-mm")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  <c r="S715" s="5">
        <f>SUM(F715:I715)+N715</f>
        <v/>
      </c>
      <c r="T715" s="5">
        <f>J715</f>
        <v/>
      </c>
      <c r="U715" s="6">
        <f>YEAR(D715)</f>
        <v/>
      </c>
      <c r="V715" s="5">
        <f>TEXT(D715,"yyyy-mm")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  <c r="S716" s="5">
        <f>SUM(F716:I716)+N716</f>
        <v/>
      </c>
      <c r="T716" s="5">
        <f>J716</f>
        <v/>
      </c>
      <c r="U716" s="6">
        <f>YEAR(D716)</f>
        <v/>
      </c>
      <c r="V716" s="5">
        <f>TEXT(D716,"yyyy-mm")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  <c r="S717" s="5">
        <f>SUM(F717:I717)+N717</f>
        <v/>
      </c>
      <c r="T717" s="5">
        <f>J717</f>
        <v/>
      </c>
      <c r="U717" s="6">
        <f>YEAR(D717)</f>
        <v/>
      </c>
      <c r="V717" s="5">
        <f>TEXT(D717,"yyyy-mm")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  <c r="S718" s="5">
        <f>SUM(F718:I718)+N718</f>
        <v/>
      </c>
      <c r="T718" s="5">
        <f>J718</f>
        <v/>
      </c>
      <c r="U718" s="6">
        <f>YEAR(D718)</f>
        <v/>
      </c>
      <c r="V718" s="5">
        <f>TEXT(D718,"yyyy-mm")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  <c r="S719" s="5">
        <f>SUM(F719:I719)+N719</f>
        <v/>
      </c>
      <c r="T719" s="5">
        <f>J719</f>
        <v/>
      </c>
      <c r="U719" s="6">
        <f>YEAR(D719)</f>
        <v/>
      </c>
      <c r="V719" s="5">
        <f>TEXT(D719,"yyyy-mm")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  <c r="S720" s="5">
        <f>SUM(F720:I720)+N720</f>
        <v/>
      </c>
      <c r="T720" s="5">
        <f>J720</f>
        <v/>
      </c>
      <c r="U720" s="6">
        <f>YEAR(D720)</f>
        <v/>
      </c>
      <c r="V720" s="5">
        <f>TEXT(D720,"yyyy-mm")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  <c r="S721" s="5">
        <f>SUM(F721:I721)+N721</f>
        <v/>
      </c>
      <c r="T721" s="5">
        <f>J721</f>
        <v/>
      </c>
      <c r="U721" s="6">
        <f>YEAR(D721)</f>
        <v/>
      </c>
      <c r="V721" s="5">
        <f>TEXT(D721,"yyyy-mm")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  <c r="S722" s="5">
        <f>SUM(F722:I722)+N722</f>
        <v/>
      </c>
      <c r="T722" s="5">
        <f>J722</f>
        <v/>
      </c>
      <c r="U722" s="6">
        <f>YEAR(D722)</f>
        <v/>
      </c>
      <c r="V722" s="5">
        <f>TEXT(D722,"yyyy-mm")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  <c r="S723" s="5">
        <f>SUM(F723:I723)+N723</f>
        <v/>
      </c>
      <c r="T723" s="5">
        <f>J723</f>
        <v/>
      </c>
      <c r="U723" s="6">
        <f>YEAR(D723)</f>
        <v/>
      </c>
      <c r="V723" s="5">
        <f>TEXT(D723,"yyyy-mm")</f>
        <v/>
      </c>
    </row>
  </sheetData>
  <autoFilter ref="A1:V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SUMIFS('Entetes_CplteAnneeMois'!$O$2:$O$723,'Entetes_CplteAnneeMois'!$V$2:$V$723,B2)</f>
        <v/>
      </c>
      <c r="D2" s="5">
        <f>SUMIFS('Entetes_CplteAnneeMois'!$P$2:$P$723,'Entetes_CplteAnneeMois'!$V$2:$V$723,B2)</f>
        <v/>
      </c>
      <c r="E2" s="5">
        <f>SUMIFS('Entetes_CplteAnneeMois'!$R$2:$R$723,'Entetes_CplteAnneeMois'!$V$2:$V$723,B2)</f>
        <v/>
      </c>
      <c r="F2" s="5">
        <f>SUMIFS('Entetes_CplteAnneeMois'!$Q$2:$Q$723,'Entetes_CplteAnneeMois'!$V$2:$V$723,B2)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SUMIFS('Entetes_CplteAnneeMois'!$O$2:$O$723,'Entetes_CplteAnneeMois'!$V$2:$V$723,B3)</f>
        <v/>
      </c>
      <c r="D3" s="5">
        <f>SUMIFS('Entetes_CplteAnneeMois'!$P$2:$P$723,'Entetes_CplteAnneeMois'!$V$2:$V$723,B3)</f>
        <v/>
      </c>
      <c r="E3" s="5">
        <f>SUMIFS('Entetes_CplteAnneeMois'!$R$2:$R$723,'Entetes_CplteAnneeMois'!$V$2:$V$723,B3)</f>
        <v/>
      </c>
      <c r="F3" s="5">
        <f>SUMIFS('Entetes_CplteAnneeMois'!$Q$2:$Q$723,'Entetes_CplteAnneeMois'!$V$2:$V$723,B3)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SUMIFS('Entetes_CplteAnneeMois'!$O$2:$O$723,'Entetes_CplteAnneeMois'!$V$2:$V$723,B4)</f>
        <v/>
      </c>
      <c r="D4" s="5">
        <f>SUMIFS('Entetes_CplteAnneeMois'!$P$2:$P$723,'Entetes_CplteAnneeMois'!$V$2:$V$723,B4)</f>
        <v/>
      </c>
      <c r="E4" s="5">
        <f>SUMIFS('Entetes_CplteAnneeMois'!$R$2:$R$723,'Entetes_CplteAnneeMois'!$V$2:$V$723,B4)</f>
        <v/>
      </c>
      <c r="F4" s="5">
        <f>SUMIFS('Entetes_CplteAnneeMois'!$Q$2:$Q$723,'Entetes_CplteAnneeMois'!$V$2:$V$723,B4)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SUMIFS('Entetes_CplteAnneeMois'!$O$2:$O$723,'Entetes_CplteAnneeMois'!$V$2:$V$723,B5)</f>
        <v/>
      </c>
      <c r="D5" s="5">
        <f>SUMIFS('Entetes_CplteAnneeMois'!$P$2:$P$723,'Entetes_CplteAnneeMois'!$V$2:$V$723,B5)</f>
        <v/>
      </c>
      <c r="E5" s="5">
        <f>SUMIFS('Entetes_CplteAnneeMois'!$R$2:$R$723,'Entetes_CplteAnneeMois'!$V$2:$V$723,B5)</f>
        <v/>
      </c>
      <c r="F5" s="5">
        <f>SUMIFS('Entetes_CplteAnneeMois'!$Q$2:$Q$723,'Entetes_CplteAnneeMois'!$V$2:$V$723,B5)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SUMIFS('Entetes_CplteAnneeMois'!$O$2:$O$723,'Entetes_CplteAnneeMois'!$V$2:$V$723,B6)</f>
        <v/>
      </c>
      <c r="D6" s="5">
        <f>SUMIFS('Entetes_CplteAnneeMois'!$P$2:$P$723,'Entetes_CplteAnneeMois'!$V$2:$V$723,B6)</f>
        <v/>
      </c>
      <c r="E6" s="5">
        <f>SUMIFS('Entetes_CplteAnneeMois'!$R$2:$R$723,'Entetes_CplteAnneeMois'!$V$2:$V$723,B6)</f>
        <v/>
      </c>
      <c r="F6" s="5">
        <f>SUMIFS('Entetes_CplteAnneeMois'!$Q$2:$Q$723,'Entetes_CplteAnneeMois'!$V$2:$V$723,B6)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SUMIFS('Entetes_CplteAnneeMois'!$O$2:$O$723,'Entetes_CplteAnneeMois'!$V$2:$V$723,B7)</f>
        <v/>
      </c>
      <c r="D7" s="5">
        <f>SUMIFS('Entetes_CplteAnneeMois'!$P$2:$P$723,'Entetes_CplteAnneeMois'!$V$2:$V$723,B7)</f>
        <v/>
      </c>
      <c r="E7" s="5">
        <f>SUMIFS('Entetes_CplteAnneeMois'!$R$2:$R$723,'Entetes_CplteAnneeMois'!$V$2:$V$723,B7)</f>
        <v/>
      </c>
      <c r="F7" s="5">
        <f>SUMIFS('Entetes_CplteAnneeMois'!$Q$2:$Q$723,'Entetes_CplteAnneeMois'!$V$2:$V$723,B7)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SUMIFS('Entetes_CplteAnneeMois'!$O$2:$O$723,'Entetes_CplteAnneeMois'!$V$2:$V$723,B8)</f>
        <v/>
      </c>
      <c r="D8" s="5">
        <f>SUMIFS('Entetes_CplteAnneeMois'!$P$2:$P$723,'Entetes_CplteAnneeMois'!$V$2:$V$723,B8)</f>
        <v/>
      </c>
      <c r="E8" s="5">
        <f>SUMIFS('Entetes_CplteAnneeMois'!$R$2:$R$723,'Entetes_CplteAnneeMois'!$V$2:$V$723,B8)</f>
        <v/>
      </c>
      <c r="F8" s="5">
        <f>SUMIFS('Entetes_CplteAnneeMois'!$Q$2:$Q$723,'Entetes_CplteAnneeMois'!$V$2:$V$723,B8)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SUMIFS('Entetes_CplteAnneeMois'!$O$2:$O$723,'Entetes_CplteAnneeMois'!$V$2:$V$723,B9)</f>
        <v/>
      </c>
      <c r="D9" s="5">
        <f>SUMIFS('Entetes_CplteAnneeMois'!$P$2:$P$723,'Entetes_CplteAnneeMois'!$V$2:$V$723,B9)</f>
        <v/>
      </c>
      <c r="E9" s="5">
        <f>SUMIFS('Entetes_CplteAnneeMois'!$R$2:$R$723,'Entetes_CplteAnneeMois'!$V$2:$V$723,B9)</f>
        <v/>
      </c>
      <c r="F9" s="5">
        <f>SUMIFS('Entetes_CplteAnneeMois'!$Q$2:$Q$723,'Entetes_CplteAnneeMois'!$V$2:$V$723,B9)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SUMIFS('Entetes_CplteAnneeMois'!$O$2:$O$723,'Entetes_CplteAnneeMois'!$V$2:$V$723,B10)</f>
        <v/>
      </c>
      <c r="D10" s="5">
        <f>SUMIFS('Entetes_CplteAnneeMois'!$P$2:$P$723,'Entetes_CplteAnneeMois'!$V$2:$V$723,B10)</f>
        <v/>
      </c>
      <c r="E10" s="5">
        <f>SUMIFS('Entetes_CplteAnneeMois'!$R$2:$R$723,'Entetes_CplteAnneeMois'!$V$2:$V$723,B10)</f>
        <v/>
      </c>
      <c r="F10" s="5">
        <f>SUMIFS('Entetes_CplteAnneeMois'!$Q$2:$Q$723,'Entetes_CplteAnneeMois'!$V$2:$V$723,B10)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SUMIFS('Entetes_CplteAnneeMois'!$O$2:$O$723,'Entetes_CplteAnneeMois'!$V$2:$V$723,B11)</f>
        <v/>
      </c>
      <c r="D11" s="5">
        <f>SUMIFS('Entetes_CplteAnneeMois'!$P$2:$P$723,'Entetes_CplteAnneeMois'!$V$2:$V$723,B11)</f>
        <v/>
      </c>
      <c r="E11" s="5">
        <f>SUMIFS('Entetes_CplteAnneeMois'!$R$2:$R$723,'Entetes_CplteAnneeMois'!$V$2:$V$723,B11)</f>
        <v/>
      </c>
      <c r="F11" s="5">
        <f>SUMIFS('Entetes_CplteAnneeMois'!$Q$2:$Q$723,'Entetes_CplteAnneeMois'!$V$2:$V$723,B11)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SUMIFS('Entetes_CplteAnneeMois'!$O$2:$O$723,'Entetes_CplteAnneeMois'!$V$2:$V$723,B12)</f>
        <v/>
      </c>
      <c r="D12" s="5">
        <f>SUMIFS('Entetes_CplteAnneeMois'!$P$2:$P$723,'Entetes_CplteAnneeMois'!$V$2:$V$723,B12)</f>
        <v/>
      </c>
      <c r="E12" s="5">
        <f>SUMIFS('Entetes_CplteAnneeMois'!$R$2:$R$723,'Entetes_CplteAnneeMois'!$V$2:$V$723,B12)</f>
        <v/>
      </c>
      <c r="F12" s="5">
        <f>SUMIFS('Entetes_CplteAnneeMois'!$Q$2:$Q$723,'Entetes_CplteAnneeMois'!$V$2:$V$723,B12)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SUMIFS('Entetes_CplteAnneeMois'!$O$2:$O$723,'Entetes_CplteAnneeMois'!$V$2:$V$723,B13)</f>
        <v/>
      </c>
      <c r="D13" s="5">
        <f>SUMIFS('Entetes_CplteAnneeMois'!$P$2:$P$723,'Entetes_CplteAnneeMois'!$V$2:$V$723,B13)</f>
        <v/>
      </c>
      <c r="E13" s="5">
        <f>SUMIFS('Entetes_CplteAnneeMois'!$R$2:$R$723,'Entetes_CplteAnneeMois'!$V$2:$V$723,B13)</f>
        <v/>
      </c>
      <c r="F13" s="5">
        <f>SUMIFS('Entetes_CplteAnneeMois'!$Q$2:$Q$723,'Entetes_CplteAnneeMois'!$V$2:$V$723,B13)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SUMIFS('Entetes_CplteAnneeMois'!$O$2:$O$723,'Entetes_CplteAnneeMois'!$V$2:$V$723,B14)</f>
        <v/>
      </c>
      <c r="D14" s="5">
        <f>SUMIFS('Entetes_CplteAnneeMois'!$P$2:$P$723,'Entetes_CplteAnneeMois'!$V$2:$V$723,B14)</f>
        <v/>
      </c>
      <c r="E14" s="5">
        <f>SUMIFS('Entetes_CplteAnneeMois'!$R$2:$R$723,'Entetes_CplteAnneeMois'!$V$2:$V$723,B14)</f>
        <v/>
      </c>
      <c r="F14" s="5">
        <f>SUMIFS('Entetes_CplteAnneeMois'!$Q$2:$Q$723,'Entetes_CplteAnneeMois'!$V$2:$V$723,B14)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SUMIFS('Entetes_CplteAnneeMois'!$O$2:$O$723,'Entetes_CplteAnneeMois'!$V$2:$V$723,B15)</f>
        <v/>
      </c>
      <c r="D15" s="5">
        <f>SUMIFS('Entetes_CplteAnneeMois'!$P$2:$P$723,'Entetes_CplteAnneeMois'!$V$2:$V$723,B15)</f>
        <v/>
      </c>
      <c r="E15" s="5">
        <f>SUMIFS('Entetes_CplteAnneeMois'!$R$2:$R$723,'Entetes_CplteAnneeMois'!$V$2:$V$723,B15)</f>
        <v/>
      </c>
      <c r="F15" s="5">
        <f>SUMIFS('Entetes_CplteAnneeMois'!$Q$2:$Q$723,'Entetes_CplteAnneeMois'!$V$2:$V$723,B15)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SUMIFS('Entetes_CplteAnneeMois'!$O$2:$O$723,'Entetes_CplteAnneeMois'!$V$2:$V$723,B16)</f>
        <v/>
      </c>
      <c r="D16" s="5">
        <f>SUMIFS('Entetes_CplteAnneeMois'!$P$2:$P$723,'Entetes_CplteAnneeMois'!$V$2:$V$723,B16)</f>
        <v/>
      </c>
      <c r="E16" s="5">
        <f>SUMIFS('Entetes_CplteAnneeMois'!$R$2:$R$723,'Entetes_CplteAnneeMois'!$V$2:$V$723,B16)</f>
        <v/>
      </c>
      <c r="F16" s="5">
        <f>SUMIFS('Entetes_CplteAnneeMois'!$Q$2:$Q$723,'Entetes_CplteAnneeMois'!$V$2:$V$723,B16)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SUMIFS('Entetes_CplteAnneeMois'!$O$2:$O$723,'Entetes_CplteAnneeMois'!$V$2:$V$723,B17)</f>
        <v/>
      </c>
      <c r="D17" s="5">
        <f>SUMIFS('Entetes_CplteAnneeMois'!$P$2:$P$723,'Entetes_CplteAnneeMois'!$V$2:$V$723,B17)</f>
        <v/>
      </c>
      <c r="E17" s="5">
        <f>SUMIFS('Entetes_CplteAnneeMois'!$R$2:$R$723,'Entetes_CplteAnneeMois'!$V$2:$V$723,B17)</f>
        <v/>
      </c>
      <c r="F17" s="5">
        <f>SUMIFS('Entetes_CplteAnneeMois'!$Q$2:$Q$723,'Entetes_CplteAnneeMois'!$V$2:$V$723,B17)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SUMIFS('Entetes_CplteAnneeMois'!$O$2:$O$723,'Entetes_CplteAnneeMois'!$V$2:$V$723,B18)</f>
        <v/>
      </c>
      <c r="D18" s="5">
        <f>SUMIFS('Entetes_CplteAnneeMois'!$P$2:$P$723,'Entetes_CplteAnneeMois'!$V$2:$V$723,B18)</f>
        <v/>
      </c>
      <c r="E18" s="5">
        <f>SUMIFS('Entetes_CplteAnneeMois'!$R$2:$R$723,'Entetes_CplteAnneeMois'!$V$2:$V$723,B18)</f>
        <v/>
      </c>
      <c r="F18" s="5">
        <f>SUMIFS('Entetes_CplteAnneeMois'!$Q$2:$Q$723,'Entetes_CplteAnneeMois'!$V$2:$V$723,B18)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SUMIFS('Entetes_CplteAnneeMois'!$O$2:$O$723,'Entetes_CplteAnneeMois'!$V$2:$V$723,B19)</f>
        <v/>
      </c>
      <c r="D19" s="5">
        <f>SUMIFS('Entetes_CplteAnneeMois'!$P$2:$P$723,'Entetes_CplteAnneeMois'!$V$2:$V$723,B19)</f>
        <v/>
      </c>
      <c r="E19" s="5">
        <f>SUMIFS('Entetes_CplteAnneeMois'!$R$2:$R$723,'Entetes_CplteAnneeMois'!$V$2:$V$723,B19)</f>
        <v/>
      </c>
      <c r="F19" s="5">
        <f>SUMIFS('Entetes_CplteAnneeMois'!$Q$2:$Q$723,'Entetes_CplteAnneeMois'!$V$2:$V$723,B19)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SUMIFS('Entetes_CplteAnneeMois'!$O$2:$O$723,'Entetes_CplteAnneeMois'!$V$2:$V$723,B20)</f>
        <v/>
      </c>
      <c r="D20" s="5">
        <f>SUMIFS('Entetes_CplteAnneeMois'!$P$2:$P$723,'Entetes_CplteAnneeMois'!$V$2:$V$723,B20)</f>
        <v/>
      </c>
      <c r="E20" s="5">
        <f>SUMIFS('Entetes_CplteAnneeMois'!$R$2:$R$723,'Entetes_CplteAnneeMois'!$V$2:$V$723,B20)</f>
        <v/>
      </c>
      <c r="F20" s="5">
        <f>SUMIFS('Entetes_CplteAnneeMois'!$Q$2:$Q$723,'Entetes_CplteAnneeMois'!$V$2:$V$723,B20)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SUMIFS('Entetes_CplteAnneeMois'!$O$2:$O$723,'Entetes_CplteAnneeMois'!$V$2:$V$723,B21)</f>
        <v/>
      </c>
      <c r="D21" s="5">
        <f>SUMIFS('Entetes_CplteAnneeMois'!$P$2:$P$723,'Entetes_CplteAnneeMois'!$V$2:$V$723,B21)</f>
        <v/>
      </c>
      <c r="E21" s="5">
        <f>SUMIFS('Entetes_CplteAnneeMois'!$R$2:$R$723,'Entetes_CplteAnneeMois'!$V$2:$V$723,B21)</f>
        <v/>
      </c>
      <c r="F21" s="5">
        <f>SUMIFS('Entetes_CplteAnneeMois'!$Q$2:$Q$723,'Entetes_CplteAnneeMois'!$V$2:$V$723,B21)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SUMIFS('Entetes_CplteAnneeMois'!$O$2:$O$723,'Entetes_CplteAnneeMois'!$V$2:$V$723,B22)</f>
        <v/>
      </c>
      <c r="D22" s="5">
        <f>SUMIFS('Entetes_CplteAnneeMois'!$P$2:$P$723,'Entetes_CplteAnneeMois'!$V$2:$V$723,B22)</f>
        <v/>
      </c>
      <c r="E22" s="5">
        <f>SUMIFS('Entetes_CplteAnneeMois'!$R$2:$R$723,'Entetes_CplteAnneeMois'!$V$2:$V$723,B22)</f>
        <v/>
      </c>
      <c r="F22" s="5">
        <f>SUMIFS('Entetes_CplteAnneeMois'!$Q$2:$Q$723,'Entetes_CplteAnneeMois'!$V$2:$V$723,B22)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SUMIFS('Entetes_CplteAnneeMois'!$O$2:$O$723,'Entetes_CplteAnneeMois'!$V$2:$V$723,B23)</f>
        <v/>
      </c>
      <c r="D23" s="5">
        <f>SUMIFS('Entetes_CplteAnneeMois'!$P$2:$P$723,'Entetes_CplteAnneeMois'!$V$2:$V$723,B23)</f>
        <v/>
      </c>
      <c r="E23" s="5">
        <f>SUMIFS('Entetes_CplteAnneeMois'!$R$2:$R$723,'Entetes_CplteAnneeMois'!$V$2:$V$723,B23)</f>
        <v/>
      </c>
      <c r="F23" s="5">
        <f>SUMIFS('Entetes_CplteAnneeMois'!$Q$2:$Q$723,'Entetes_CplteAnneeMois'!$V$2:$V$723,B23)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SUMIFS('Entetes_CplteAnneeMois'!$O$2:$O$723,'Entetes_CplteAnneeMois'!$V$2:$V$723,B24)</f>
        <v/>
      </c>
      <c r="D24" s="5">
        <f>SUMIFS('Entetes_CplteAnneeMois'!$P$2:$P$723,'Entetes_CplteAnneeMois'!$V$2:$V$723,B24)</f>
        <v/>
      </c>
      <c r="E24" s="5">
        <f>SUMIFS('Entetes_CplteAnneeMois'!$R$2:$R$723,'Entetes_CplteAnneeMois'!$V$2:$V$723,B24)</f>
        <v/>
      </c>
      <c r="F24" s="5">
        <f>SUMIFS('Entetes_CplteAnneeMois'!$Q$2:$Q$723,'Entetes_CplteAnneeMois'!$V$2:$V$723,B24)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SUMIFS('Entetes_CplteAnneeMois'!$O$2:$O$723,'Entetes_CplteAnneeMois'!$V$2:$V$723,B25)</f>
        <v/>
      </c>
      <c r="D25" s="5">
        <f>SUMIFS('Entetes_CplteAnneeMois'!$P$2:$P$723,'Entetes_CplteAnneeMois'!$V$2:$V$723,B25)</f>
        <v/>
      </c>
      <c r="E25" s="5">
        <f>SUMIFS('Entetes_CplteAnneeMois'!$R$2:$R$723,'Entetes_CplteAnneeMois'!$V$2:$V$723,B25)</f>
        <v/>
      </c>
      <c r="F25" s="5">
        <f>SUMIFS('Entetes_CplteAnneeMois'!$Q$2:$Q$723,'Entetes_CplteAnneeMois'!$V$2:$V$723,B25)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SUMIFS('Entetes_CplteAnneeMois'!$O$2:$O$723,'Entetes_CplteAnneeMois'!$V$2:$V$723,B26)</f>
        <v/>
      </c>
      <c r="D26" s="5">
        <f>SUMIFS('Entetes_CplteAnneeMois'!$P$2:$P$723,'Entetes_CplteAnneeMois'!$V$2:$V$723,B26)</f>
        <v/>
      </c>
      <c r="E26" s="5">
        <f>SUMIFS('Entetes_CplteAnneeMois'!$R$2:$R$723,'Entetes_CplteAnneeMois'!$V$2:$V$723,B26)</f>
        <v/>
      </c>
      <c r="F26" s="5">
        <f>SUMIFS('Entetes_CplteAnneeMois'!$Q$2:$Q$723,'Entetes_CplteAnneeMois'!$V$2:$V$723,B26)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SUMIFS('Entetes_CplteAnneeMois'!$O$2:$O$723,'Entetes_CplteAnneeMois'!$V$2:$V$723,B27)</f>
        <v/>
      </c>
      <c r="D27" s="5">
        <f>SUMIFS('Entetes_CplteAnneeMois'!$P$2:$P$723,'Entetes_CplteAnneeMois'!$V$2:$V$723,B27)</f>
        <v/>
      </c>
      <c r="E27" s="5">
        <f>SUMIFS('Entetes_CplteAnneeMois'!$R$2:$R$723,'Entetes_CplteAnneeMois'!$V$2:$V$723,B27)</f>
        <v/>
      </c>
      <c r="F27" s="5">
        <f>SUMIFS('Entetes_CplteAnneeMois'!$Q$2:$Q$723,'Entetes_CplteAnneeMois'!$V$2:$V$723,B27)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SUMIFS('Entetes_CplteAnneeMois'!$O$2:$O$723,'Entetes_CplteAnneeMois'!$V$2:$V$723,B28)</f>
        <v/>
      </c>
      <c r="D28" s="5">
        <f>SUMIFS('Entetes_CplteAnneeMois'!$P$2:$P$723,'Entetes_CplteAnneeMois'!$V$2:$V$723,B28)</f>
        <v/>
      </c>
      <c r="E28" s="5">
        <f>SUMIFS('Entetes_CplteAnneeMois'!$R$2:$R$723,'Entetes_CplteAnneeMois'!$V$2:$V$723,B28)</f>
        <v/>
      </c>
      <c r="F28" s="5">
        <f>SUMIFS('Entetes_CplteAnneeMois'!$Q$2:$Q$723,'Entetes_CplteAnneeMois'!$V$2:$V$723,B28)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SUMIFS('Entetes_CplteAnneeMois'!$O$2:$O$723,'Entetes_CplteAnneeMois'!$V$2:$V$723,B29)</f>
        <v/>
      </c>
      <c r="D29" s="5">
        <f>SUMIFS('Entetes_CplteAnneeMois'!$P$2:$P$723,'Entetes_CplteAnneeMois'!$V$2:$V$723,B29)</f>
        <v/>
      </c>
      <c r="E29" s="5">
        <f>SUMIFS('Entetes_CplteAnneeMois'!$R$2:$R$723,'Entetes_CplteAnneeMois'!$V$2:$V$723,B29)</f>
        <v/>
      </c>
      <c r="F29" s="5">
        <f>SUMIFS('Entetes_CplteAnneeMois'!$Q$2:$Q$723,'Entetes_CplteAnneeMois'!$V$2:$V$723,B29)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SUMIFS('Entetes_CplteAnneeMois'!$O$2:$O$723,'Entetes_CplteAnneeMois'!$V$2:$V$723,B30)</f>
        <v/>
      </c>
      <c r="D30" s="5">
        <f>SUMIFS('Entetes_CplteAnneeMois'!$P$2:$P$723,'Entetes_CplteAnneeMois'!$V$2:$V$723,B30)</f>
        <v/>
      </c>
      <c r="E30" s="5">
        <f>SUMIFS('Entetes_CplteAnneeMois'!$R$2:$R$723,'Entetes_CplteAnneeMois'!$V$2:$V$723,B30)</f>
        <v/>
      </c>
      <c r="F30" s="5">
        <f>SUMIFS('Entetes_CplteAnneeMois'!$Q$2:$Q$723,'Entetes_CplteAnneeMois'!$V$2:$V$723,B30)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SUMIFS('Entetes_CplteAnneeMois'!$O$2:$O$723,'Entetes_CplteAnneeMois'!$V$2:$V$723,B31)</f>
        <v/>
      </c>
      <c r="D31" s="5">
        <f>SUMIFS('Entetes_CplteAnneeMois'!$P$2:$P$723,'Entetes_CplteAnneeMois'!$V$2:$V$723,B31)</f>
        <v/>
      </c>
      <c r="E31" s="5">
        <f>SUMIFS('Entetes_CplteAnneeMois'!$R$2:$R$723,'Entetes_CplteAnneeMois'!$V$2:$V$723,B31)</f>
        <v/>
      </c>
      <c r="F31" s="5">
        <f>SUMIFS('Entetes_CplteAnneeMois'!$Q$2:$Q$723,'Entetes_CplteAnneeMois'!$V$2:$V$723,B31)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SUMIFS('Entetes_CplteAnneeMois'!$O$2:$O$723,'Entetes_CplteAnneeMois'!$V$2:$V$723,B32)</f>
        <v/>
      </c>
      <c r="D32" s="5">
        <f>SUMIFS('Entetes_CplteAnneeMois'!$P$2:$P$723,'Entetes_CplteAnneeMois'!$V$2:$V$723,B32)</f>
        <v/>
      </c>
      <c r="E32" s="5">
        <f>SUMIFS('Entetes_CplteAnneeMois'!$R$2:$R$723,'Entetes_CplteAnneeMois'!$V$2:$V$723,B32)</f>
        <v/>
      </c>
      <c r="F32" s="5">
        <f>SUMIFS('Entetes_CplteAnneeMois'!$Q$2:$Q$723,'Entetes_CplteAnneeMois'!$V$2:$V$723,B32)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SUMIFS('Entetes_CplteAnneeMois'!$O$2:$O$723,'Entetes_CplteAnneeMois'!$V$2:$V$723,B33)</f>
        <v/>
      </c>
      <c r="D33" s="5">
        <f>SUMIFS('Entetes_CplteAnneeMois'!$P$2:$P$723,'Entetes_CplteAnneeMois'!$V$2:$V$723,B33)</f>
        <v/>
      </c>
      <c r="E33" s="5">
        <f>SUMIFS('Entetes_CplteAnneeMois'!$R$2:$R$723,'Entetes_CplteAnneeMois'!$V$2:$V$723,B33)</f>
        <v/>
      </c>
      <c r="F33" s="5">
        <f>SUMIFS('Entetes_CplteAnneeMois'!$Q$2:$Q$723,'Entetes_CplteAnneeMois'!$V$2:$V$723,B33)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>
        <f>'TD_TotalEnctTTC'!A2</f>
        <v/>
      </c>
      <c r="B2" s="5">
        <f>'TD_TotalEnctTTC'!B2</f>
        <v/>
      </c>
      <c r="C2" s="5">
        <f>'TD_TotalEnctTTC'!C2</f>
        <v/>
      </c>
      <c r="D2" s="5">
        <f>'TD_TotalEnctTTC'!D2</f>
        <v/>
      </c>
      <c r="E2" s="5">
        <f>'TD_TotalEnctTTC'!E2</f>
        <v/>
      </c>
      <c r="F2" s="5">
        <f>'TD_TotalEnctTTC'!F2</f>
        <v/>
      </c>
    </row>
    <row r="3">
      <c r="A3" s="6">
        <f>'TD_TotalEnctTTC'!A3</f>
        <v/>
      </c>
      <c r="B3" s="5">
        <f>'TD_TotalEnctTTC'!B3</f>
        <v/>
      </c>
      <c r="C3" s="5">
        <f>'TD_TotalEnctTTC'!C3</f>
        <v/>
      </c>
      <c r="D3" s="5">
        <f>'TD_TotalEnctTTC'!D3</f>
        <v/>
      </c>
      <c r="E3" s="5">
        <f>'TD_TotalEnctTTC'!E3</f>
        <v/>
      </c>
      <c r="F3" s="5">
        <f>'TD_TotalEnctTTC'!F3</f>
        <v/>
      </c>
    </row>
    <row r="4">
      <c r="A4" s="6">
        <f>'TD_TotalEnctTTC'!A4</f>
        <v/>
      </c>
      <c r="B4" s="5">
        <f>'TD_TotalEnctTTC'!B4</f>
        <v/>
      </c>
      <c r="C4" s="5">
        <f>'TD_TotalEnctTTC'!C4</f>
        <v/>
      </c>
      <c r="D4" s="5">
        <f>'TD_TotalEnctTTC'!D4</f>
        <v/>
      </c>
      <c r="E4" s="5">
        <f>'TD_TotalEnctTTC'!E4</f>
        <v/>
      </c>
      <c r="F4" s="5">
        <f>'TD_TotalEnctTTC'!F4</f>
        <v/>
      </c>
    </row>
    <row r="5">
      <c r="A5" s="6">
        <f>'TD_TotalEnctTTC'!A5</f>
        <v/>
      </c>
      <c r="B5" s="5">
        <f>'TD_TotalEnctTTC'!B5</f>
        <v/>
      </c>
      <c r="C5" s="5">
        <f>'TD_TotalEnctTTC'!C5</f>
        <v/>
      </c>
      <c r="D5" s="5">
        <f>'TD_TotalEnctTTC'!D5</f>
        <v/>
      </c>
      <c r="E5" s="5">
        <f>'TD_TotalEnctTTC'!E5</f>
        <v/>
      </c>
      <c r="F5" s="5">
        <f>'TD_TotalEnctTTC'!F5</f>
        <v/>
      </c>
    </row>
    <row r="6">
      <c r="A6" s="6">
        <f>'TD_TotalEnctTTC'!A6</f>
        <v/>
      </c>
      <c r="B6" s="5">
        <f>'TD_TotalEnctTTC'!B6</f>
        <v/>
      </c>
      <c r="C6" s="5">
        <f>'TD_TotalEnctTTC'!C6</f>
        <v/>
      </c>
      <c r="D6" s="5">
        <f>'TD_TotalEnctTTC'!D6</f>
        <v/>
      </c>
      <c r="E6" s="5">
        <f>'TD_TotalEnctTTC'!E6</f>
        <v/>
      </c>
      <c r="F6" s="5">
        <f>'TD_TotalEnctTTC'!F6</f>
        <v/>
      </c>
    </row>
    <row r="7">
      <c r="A7" s="6">
        <f>'TD_TotalEnctTTC'!A7</f>
        <v/>
      </c>
      <c r="B7" s="5">
        <f>'TD_TotalEnctTTC'!B7</f>
        <v/>
      </c>
      <c r="C7" s="5">
        <f>'TD_TotalEnctTTC'!C7</f>
        <v/>
      </c>
      <c r="D7" s="5">
        <f>'TD_TotalEnctTTC'!D7</f>
        <v/>
      </c>
      <c r="E7" s="5">
        <f>'TD_TotalEnctTTC'!E7</f>
        <v/>
      </c>
      <c r="F7" s="5">
        <f>'TD_TotalEnctTTC'!F7</f>
        <v/>
      </c>
    </row>
    <row r="8">
      <c r="A8" s="6">
        <f>'TD_TotalEnctTTC'!A8</f>
        <v/>
      </c>
      <c r="B8" s="5">
        <f>'TD_TotalEnctTTC'!B8</f>
        <v/>
      </c>
      <c r="C8" s="5">
        <f>'TD_TotalEnctTTC'!C8</f>
        <v/>
      </c>
      <c r="D8" s="5">
        <f>'TD_TotalEnctTTC'!D8</f>
        <v/>
      </c>
      <c r="E8" s="5">
        <f>'TD_TotalEnctTTC'!E8</f>
        <v/>
      </c>
      <c r="F8" s="5">
        <f>'TD_TotalEnctTTC'!F8</f>
        <v/>
      </c>
    </row>
    <row r="9">
      <c r="A9" s="6">
        <f>'TD_TotalEnctTTC'!A9</f>
        <v/>
      </c>
      <c r="B9" s="5">
        <f>'TD_TotalEnctTTC'!B9</f>
        <v/>
      </c>
      <c r="C9" s="5">
        <f>'TD_TotalEnctTTC'!C9</f>
        <v/>
      </c>
      <c r="D9" s="5">
        <f>'TD_TotalEnctTTC'!D9</f>
        <v/>
      </c>
      <c r="E9" s="5">
        <f>'TD_TotalEnctTTC'!E9</f>
        <v/>
      </c>
      <c r="F9" s="5">
        <f>'TD_TotalEnctTTC'!F9</f>
        <v/>
      </c>
    </row>
    <row r="10">
      <c r="A10" s="6">
        <f>'TD_TotalEnctTTC'!A10</f>
        <v/>
      </c>
      <c r="B10" s="5">
        <f>'TD_TotalEnctTTC'!B10</f>
        <v/>
      </c>
      <c r="C10" s="5">
        <f>'TD_TotalEnctTTC'!C10</f>
        <v/>
      </c>
      <c r="D10" s="5">
        <f>'TD_TotalEnctTTC'!D10</f>
        <v/>
      </c>
      <c r="E10" s="5">
        <f>'TD_TotalEnctTTC'!E10</f>
        <v/>
      </c>
      <c r="F10" s="5">
        <f>'TD_TotalEnctTTC'!F10</f>
        <v/>
      </c>
    </row>
    <row r="11">
      <c r="A11" s="6">
        <f>'TD_TotalEnctTTC'!A11</f>
        <v/>
      </c>
      <c r="B11" s="5">
        <f>'TD_TotalEnctTTC'!B11</f>
        <v/>
      </c>
      <c r="C11" s="5">
        <f>'TD_TotalEnctTTC'!C11</f>
        <v/>
      </c>
      <c r="D11" s="5">
        <f>'TD_TotalEnctTTC'!D11</f>
        <v/>
      </c>
      <c r="E11" s="5">
        <f>'TD_TotalEnctTTC'!E11</f>
        <v/>
      </c>
      <c r="F11" s="5">
        <f>'TD_TotalEnctTTC'!F11</f>
        <v/>
      </c>
    </row>
    <row r="12">
      <c r="A12" s="6">
        <f>'TD_TotalEnctTTC'!A12</f>
        <v/>
      </c>
      <c r="B12" s="5">
        <f>'TD_TotalEnctTTC'!B12</f>
        <v/>
      </c>
      <c r="C12" s="5">
        <f>'TD_TotalEnctTTC'!C12</f>
        <v/>
      </c>
      <c r="D12" s="5">
        <f>'TD_TotalEnctTTC'!D12</f>
        <v/>
      </c>
      <c r="E12" s="5">
        <f>'TD_TotalEnctTTC'!E12</f>
        <v/>
      </c>
      <c r="F12" s="5">
        <f>'TD_TotalEnctTTC'!F12</f>
        <v/>
      </c>
    </row>
    <row r="13">
      <c r="A13" s="6">
        <f>'TD_TotalEnctTTC'!A13</f>
        <v/>
      </c>
      <c r="B13" s="5">
        <f>'TD_TotalEnctTTC'!B13</f>
        <v/>
      </c>
      <c r="C13" s="5">
        <f>'TD_TotalEnctTTC'!C13</f>
        <v/>
      </c>
      <c r="D13" s="5">
        <f>'TD_TotalEnctTTC'!D13</f>
        <v/>
      </c>
      <c r="E13" s="5">
        <f>'TD_TotalEnctTTC'!E13</f>
        <v/>
      </c>
      <c r="F13" s="5">
        <f>'TD_TotalEnctTTC'!F13</f>
        <v/>
      </c>
    </row>
    <row r="14">
      <c r="A14" s="6">
        <f>'TD_TotalEnctTTC'!A14</f>
        <v/>
      </c>
      <c r="B14" s="5">
        <f>'TD_TotalEnctTTC'!B14</f>
        <v/>
      </c>
      <c r="C14" s="5">
        <f>'TD_TotalEnctTTC'!C14</f>
        <v/>
      </c>
      <c r="D14" s="5">
        <f>'TD_TotalEnctTTC'!D14</f>
        <v/>
      </c>
      <c r="E14" s="5">
        <f>'TD_TotalEnctTTC'!E14</f>
        <v/>
      </c>
      <c r="F14" s="5">
        <f>'TD_TotalEnctTTC'!F14</f>
        <v/>
      </c>
    </row>
    <row r="15">
      <c r="A15" s="6">
        <f>'TD_TotalEnctTTC'!A15</f>
        <v/>
      </c>
      <c r="B15" s="5">
        <f>'TD_TotalEnctTTC'!B15</f>
        <v/>
      </c>
      <c r="C15" s="5">
        <f>'TD_TotalEnctTTC'!C15</f>
        <v/>
      </c>
      <c r="D15" s="5">
        <f>'TD_TotalEnctTTC'!D15</f>
        <v/>
      </c>
      <c r="E15" s="5">
        <f>'TD_TotalEnctTTC'!E15</f>
        <v/>
      </c>
      <c r="F15" s="5">
        <f>'TD_TotalEnctTTC'!F15</f>
        <v/>
      </c>
    </row>
    <row r="16">
      <c r="A16" s="6">
        <f>'TD_TotalEnctTTC'!A16</f>
        <v/>
      </c>
      <c r="B16" s="5">
        <f>'TD_TotalEnctTTC'!B16</f>
        <v/>
      </c>
      <c r="C16" s="5">
        <f>'TD_TotalEnctTTC'!C16</f>
        <v/>
      </c>
      <c r="D16" s="5">
        <f>'TD_TotalEnctTTC'!D16</f>
        <v/>
      </c>
      <c r="E16" s="5">
        <f>'TD_TotalEnctTTC'!E16</f>
        <v/>
      </c>
      <c r="F16" s="5">
        <f>'TD_TotalEnctTTC'!F16</f>
        <v/>
      </c>
    </row>
    <row r="17">
      <c r="A17" s="6">
        <f>'TD_TotalEnctTTC'!A17</f>
        <v/>
      </c>
      <c r="B17" s="5">
        <f>'TD_TotalEnctTTC'!B17</f>
        <v/>
      </c>
      <c r="C17" s="5">
        <f>'TD_TotalEnctTTC'!C17</f>
        <v/>
      </c>
      <c r="D17" s="5">
        <f>'TD_TotalEnctTTC'!D17</f>
        <v/>
      </c>
      <c r="E17" s="5">
        <f>'TD_TotalEnctTTC'!E17</f>
        <v/>
      </c>
      <c r="F17" s="5">
        <f>'TD_TotalEnctTTC'!F17</f>
        <v/>
      </c>
    </row>
    <row r="18">
      <c r="A18" s="6">
        <f>'TD_TotalEnctTTC'!A18</f>
        <v/>
      </c>
      <c r="B18" s="5">
        <f>'TD_TotalEnctTTC'!B18</f>
        <v/>
      </c>
      <c r="C18" s="5">
        <f>'TD_TotalEnctTTC'!C18</f>
        <v/>
      </c>
      <c r="D18" s="5">
        <f>'TD_TotalEnctTTC'!D18</f>
        <v/>
      </c>
      <c r="E18" s="5">
        <f>'TD_TotalEnctTTC'!E18</f>
        <v/>
      </c>
      <c r="F18" s="5">
        <f>'TD_TotalEnctTTC'!F18</f>
        <v/>
      </c>
    </row>
    <row r="19">
      <c r="A19" s="6">
        <f>'TD_TotalEnctTTC'!A19</f>
        <v/>
      </c>
      <c r="B19" s="5">
        <f>'TD_TotalEnctTTC'!B19</f>
        <v/>
      </c>
      <c r="C19" s="5">
        <f>'TD_TotalEnctTTC'!C19</f>
        <v/>
      </c>
      <c r="D19" s="5">
        <f>'TD_TotalEnctTTC'!D19</f>
        <v/>
      </c>
      <c r="E19" s="5">
        <f>'TD_TotalEnctTTC'!E19</f>
        <v/>
      </c>
      <c r="F19" s="5">
        <f>'TD_TotalEnctTTC'!F19</f>
        <v/>
      </c>
    </row>
    <row r="20">
      <c r="A20" s="6">
        <f>'TD_TotalEnctTTC'!A20</f>
        <v/>
      </c>
      <c r="B20" s="5">
        <f>'TD_TotalEnctTTC'!B20</f>
        <v/>
      </c>
      <c r="C20" s="5">
        <f>'TD_TotalEnctTTC'!C20</f>
        <v/>
      </c>
      <c r="D20" s="5">
        <f>'TD_TotalEnctTTC'!D20</f>
        <v/>
      </c>
      <c r="E20" s="5">
        <f>'TD_TotalEnctTTC'!E20</f>
        <v/>
      </c>
      <c r="F20" s="5">
        <f>'TD_TotalEnctTTC'!F20</f>
        <v/>
      </c>
    </row>
    <row r="21">
      <c r="A21" s="6">
        <f>'TD_TotalEnctTTC'!A21</f>
        <v/>
      </c>
      <c r="B21" s="5">
        <f>'TD_TotalEnctTTC'!B21</f>
        <v/>
      </c>
      <c r="C21" s="5">
        <f>'TD_TotalEnctTTC'!C21</f>
        <v/>
      </c>
      <c r="D21" s="5">
        <f>'TD_TotalEnctTTC'!D21</f>
        <v/>
      </c>
      <c r="E21" s="5">
        <f>'TD_TotalEnctTTC'!E21</f>
        <v/>
      </c>
      <c r="F21" s="5">
        <f>'TD_TotalEnctTTC'!F21</f>
        <v/>
      </c>
    </row>
    <row r="22">
      <c r="A22" s="6">
        <f>'TD_TotalEnctTTC'!A22</f>
        <v/>
      </c>
      <c r="B22" s="5">
        <f>'TD_TotalEnctTTC'!B22</f>
        <v/>
      </c>
      <c r="C22" s="5">
        <f>'TD_TotalEnctTTC'!C22</f>
        <v/>
      </c>
      <c r="D22" s="5">
        <f>'TD_TotalEnctTTC'!D22</f>
        <v/>
      </c>
      <c r="E22" s="5">
        <f>'TD_TotalEnctTTC'!E22</f>
        <v/>
      </c>
      <c r="F22" s="5">
        <f>'TD_TotalEnctTTC'!F22</f>
        <v/>
      </c>
    </row>
    <row r="23">
      <c r="A23" s="6">
        <f>'TD_TotalEnctTTC'!A23</f>
        <v/>
      </c>
      <c r="B23" s="5">
        <f>'TD_TotalEnctTTC'!B23</f>
        <v/>
      </c>
      <c r="C23" s="5">
        <f>'TD_TotalEnctTTC'!C23</f>
        <v/>
      </c>
      <c r="D23" s="5">
        <f>'TD_TotalEnctTTC'!D23</f>
        <v/>
      </c>
      <c r="E23" s="5">
        <f>'TD_TotalEnctTTC'!E23</f>
        <v/>
      </c>
      <c r="F23" s="5">
        <f>'TD_TotalEnctTTC'!F23</f>
        <v/>
      </c>
    </row>
    <row r="24">
      <c r="A24" s="6">
        <f>'TD_TotalEnctTTC'!A24</f>
        <v/>
      </c>
      <c r="B24" s="5">
        <f>'TD_TotalEnctTTC'!B24</f>
        <v/>
      </c>
      <c r="C24" s="5">
        <f>'TD_TotalEnctTTC'!C24</f>
        <v/>
      </c>
      <c r="D24" s="5">
        <f>'TD_TotalEnctTTC'!D24</f>
        <v/>
      </c>
      <c r="E24" s="5">
        <f>'TD_TotalEnctTTC'!E24</f>
        <v/>
      </c>
      <c r="F24" s="5">
        <f>'TD_TotalEnctTTC'!F24</f>
        <v/>
      </c>
    </row>
    <row r="25">
      <c r="A25" s="6">
        <f>'TD_TotalEnctTTC'!A25</f>
        <v/>
      </c>
      <c r="B25" s="5">
        <f>'TD_TotalEnctTTC'!B25</f>
        <v/>
      </c>
      <c r="C25" s="5">
        <f>'TD_TotalEnctTTC'!C25</f>
        <v/>
      </c>
      <c r="D25" s="5">
        <f>'TD_TotalEnctTTC'!D25</f>
        <v/>
      </c>
      <c r="E25" s="5">
        <f>'TD_TotalEnctTTC'!E25</f>
        <v/>
      </c>
      <c r="F25" s="5">
        <f>'TD_TotalEnctTTC'!F25</f>
        <v/>
      </c>
    </row>
    <row r="26">
      <c r="A26" s="6">
        <f>'TD_TotalEnctTTC'!A26</f>
        <v/>
      </c>
      <c r="B26" s="5">
        <f>'TD_TotalEnctTTC'!B26</f>
        <v/>
      </c>
      <c r="C26" s="5">
        <f>'TD_TotalEnctTTC'!C26</f>
        <v/>
      </c>
      <c r="D26" s="5">
        <f>'TD_TotalEnctTTC'!D26</f>
        <v/>
      </c>
      <c r="E26" s="5">
        <f>'TD_TotalEnctTTC'!E26</f>
        <v/>
      </c>
      <c r="F26" s="5">
        <f>'TD_TotalEnctTTC'!F26</f>
        <v/>
      </c>
    </row>
    <row r="27">
      <c r="A27" s="6">
        <f>'TD_TotalEnctTTC'!A27</f>
        <v/>
      </c>
      <c r="B27" s="5">
        <f>'TD_TotalEnctTTC'!B27</f>
        <v/>
      </c>
      <c r="C27" s="5">
        <f>'TD_TotalEnctTTC'!C27</f>
        <v/>
      </c>
      <c r="D27" s="5">
        <f>'TD_TotalEnctTTC'!D27</f>
        <v/>
      </c>
      <c r="E27" s="5">
        <f>'TD_TotalEnctTTC'!E27</f>
        <v/>
      </c>
      <c r="F27" s="5">
        <f>'TD_TotalEnctTTC'!F27</f>
        <v/>
      </c>
    </row>
    <row r="28">
      <c r="A28" s="6">
        <f>'TD_TotalEnctTTC'!A28</f>
        <v/>
      </c>
      <c r="B28" s="5">
        <f>'TD_TotalEnctTTC'!B28</f>
        <v/>
      </c>
      <c r="C28" s="5">
        <f>'TD_TotalEnctTTC'!C28</f>
        <v/>
      </c>
      <c r="D28" s="5">
        <f>'TD_TotalEnctTTC'!D28</f>
        <v/>
      </c>
      <c r="E28" s="5">
        <f>'TD_TotalEnctTTC'!E28</f>
        <v/>
      </c>
      <c r="F28" s="5">
        <f>'TD_TotalEnctTTC'!F28</f>
        <v/>
      </c>
    </row>
    <row r="29">
      <c r="A29" s="6">
        <f>'TD_TotalEnctTTC'!A29</f>
        <v/>
      </c>
      <c r="B29" s="5">
        <f>'TD_TotalEnctTTC'!B29</f>
        <v/>
      </c>
      <c r="C29" s="5">
        <f>'TD_TotalEnctTTC'!C29</f>
        <v/>
      </c>
      <c r="D29" s="5">
        <f>'TD_TotalEnctTTC'!D29</f>
        <v/>
      </c>
      <c r="E29" s="5">
        <f>'TD_TotalEnctTTC'!E29</f>
        <v/>
      </c>
      <c r="F29" s="5">
        <f>'TD_TotalEnctTTC'!F29</f>
        <v/>
      </c>
    </row>
    <row r="30">
      <c r="A30" s="6">
        <f>'TD_TotalEnctTTC'!A30</f>
        <v/>
      </c>
      <c r="B30" s="5">
        <f>'TD_TotalEnctTTC'!B30</f>
        <v/>
      </c>
      <c r="C30" s="5">
        <f>'TD_TotalEnctTTC'!C30</f>
        <v/>
      </c>
      <c r="D30" s="5">
        <f>'TD_TotalEnctTTC'!D30</f>
        <v/>
      </c>
      <c r="E30" s="5">
        <f>'TD_TotalEnctTTC'!E30</f>
        <v/>
      </c>
      <c r="F30" s="5">
        <f>'TD_TotalEnctTTC'!F30</f>
        <v/>
      </c>
    </row>
    <row r="31">
      <c r="A31" s="6">
        <f>'TD_TotalEnctTTC'!A31</f>
        <v/>
      </c>
      <c r="B31" s="5">
        <f>'TD_TotalEnctTTC'!B31</f>
        <v/>
      </c>
      <c r="C31" s="5">
        <f>'TD_TotalEnctTTC'!C31</f>
        <v/>
      </c>
      <c r="D31" s="5">
        <f>'TD_TotalEnctTTC'!D31</f>
        <v/>
      </c>
      <c r="E31" s="5">
        <f>'TD_TotalEnctTTC'!E31</f>
        <v/>
      </c>
      <c r="F31" s="5">
        <f>'TD_TotalEnctTTC'!F31</f>
        <v/>
      </c>
    </row>
    <row r="32">
      <c r="A32" s="6">
        <f>'TD_TotalEnctTTC'!A32</f>
        <v/>
      </c>
      <c r="B32" s="5">
        <f>'TD_TotalEnctTTC'!B32</f>
        <v/>
      </c>
      <c r="C32" s="5">
        <f>'TD_TotalEnctTTC'!C32</f>
        <v/>
      </c>
      <c r="D32" s="5">
        <f>'TD_TotalEnctTTC'!D32</f>
        <v/>
      </c>
      <c r="E32" s="5">
        <f>'TD_TotalEnctTTC'!E32</f>
        <v/>
      </c>
      <c r="F32" s="5">
        <f>'TD_TotalEnctTTC'!F32</f>
        <v/>
      </c>
    </row>
    <row r="33">
      <c r="A33" s="6">
        <f>'TD_TotalEnctTTC'!A33</f>
        <v/>
      </c>
      <c r="B33" s="5">
        <f>'TD_TotalEnctTTC'!B33</f>
        <v/>
      </c>
      <c r="C33" s="5">
        <f>'TD_TotalEnctTTC'!C33</f>
        <v/>
      </c>
      <c r="D33" s="5">
        <f>'TD_TotalEnctTTC'!D33</f>
        <v/>
      </c>
      <c r="E33" s="5">
        <f>'TD_TotalEnctTTC'!E33</f>
        <v/>
      </c>
      <c r="F33" s="5">
        <f>'TD_TotalEnctTTC'!F33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SUMIFS('Entetes_CplteAnneeMois'!$S$2:$S$723,'Entetes_CplteAnneeMois'!$V$2:$V$723,B2)</f>
        <v/>
      </c>
      <c r="D2" s="5">
        <f>SUMIFS('Entetes_CplteAnneeMois'!$T$2:$T$723,'Entetes_CplteAnneeMois'!$V$2:$V$723,B2)</f>
        <v/>
      </c>
      <c r="E2" s="5">
        <f>SUMIFS('Entetes_CplteAnneeMois'!$O$2:$O$723,'Entetes_CplteAnneeMois'!$V$2:$V$723,B2)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SUMIFS('Entetes_CplteAnneeMois'!$S$2:$S$723,'Entetes_CplteAnneeMois'!$V$2:$V$723,B3)</f>
        <v/>
      </c>
      <c r="D3" s="5">
        <f>SUMIFS('Entetes_CplteAnneeMois'!$T$2:$T$723,'Entetes_CplteAnneeMois'!$V$2:$V$723,B3)</f>
        <v/>
      </c>
      <c r="E3" s="5">
        <f>SUMIFS('Entetes_CplteAnneeMois'!$O$2:$O$723,'Entetes_CplteAnneeMois'!$V$2:$V$723,B3)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SUMIFS('Entetes_CplteAnneeMois'!$S$2:$S$723,'Entetes_CplteAnneeMois'!$V$2:$V$723,B4)</f>
        <v/>
      </c>
      <c r="D4" s="5">
        <f>SUMIFS('Entetes_CplteAnneeMois'!$T$2:$T$723,'Entetes_CplteAnneeMois'!$V$2:$V$723,B4)</f>
        <v/>
      </c>
      <c r="E4" s="5">
        <f>SUMIFS('Entetes_CplteAnneeMois'!$O$2:$O$723,'Entetes_CplteAnneeMois'!$V$2:$V$723,B4)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SUMIFS('Entetes_CplteAnneeMois'!$S$2:$S$723,'Entetes_CplteAnneeMois'!$V$2:$V$723,B5)</f>
        <v/>
      </c>
      <c r="D5" s="5">
        <f>SUMIFS('Entetes_CplteAnneeMois'!$T$2:$T$723,'Entetes_CplteAnneeMois'!$V$2:$V$723,B5)</f>
        <v/>
      </c>
      <c r="E5" s="5">
        <f>SUMIFS('Entetes_CplteAnneeMois'!$O$2:$O$723,'Entetes_CplteAnneeMois'!$V$2:$V$723,B5)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SUMIFS('Entetes_CplteAnneeMois'!$S$2:$S$723,'Entetes_CplteAnneeMois'!$V$2:$V$723,B6)</f>
        <v/>
      </c>
      <c r="D6" s="5">
        <f>SUMIFS('Entetes_CplteAnneeMois'!$T$2:$T$723,'Entetes_CplteAnneeMois'!$V$2:$V$723,B6)</f>
        <v/>
      </c>
      <c r="E6" s="5">
        <f>SUMIFS('Entetes_CplteAnneeMois'!$O$2:$O$723,'Entetes_CplteAnneeMois'!$V$2:$V$723,B6)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SUMIFS('Entetes_CplteAnneeMois'!$S$2:$S$723,'Entetes_CplteAnneeMois'!$V$2:$V$723,B7)</f>
        <v/>
      </c>
      <c r="D7" s="5">
        <f>SUMIFS('Entetes_CplteAnneeMois'!$T$2:$T$723,'Entetes_CplteAnneeMois'!$V$2:$V$723,B7)</f>
        <v/>
      </c>
      <c r="E7" s="5">
        <f>SUMIFS('Entetes_CplteAnneeMois'!$O$2:$O$723,'Entetes_CplteAnneeMois'!$V$2:$V$723,B7)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SUMIFS('Entetes_CplteAnneeMois'!$S$2:$S$723,'Entetes_CplteAnneeMois'!$V$2:$V$723,B8)</f>
        <v/>
      </c>
      <c r="D8" s="5">
        <f>SUMIFS('Entetes_CplteAnneeMois'!$T$2:$T$723,'Entetes_CplteAnneeMois'!$V$2:$V$723,B8)</f>
        <v/>
      </c>
      <c r="E8" s="5">
        <f>SUMIFS('Entetes_CplteAnneeMois'!$O$2:$O$723,'Entetes_CplteAnneeMois'!$V$2:$V$723,B8)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SUMIFS('Entetes_CplteAnneeMois'!$S$2:$S$723,'Entetes_CplteAnneeMois'!$V$2:$V$723,B9)</f>
        <v/>
      </c>
      <c r="D9" s="5">
        <f>SUMIFS('Entetes_CplteAnneeMois'!$T$2:$T$723,'Entetes_CplteAnneeMois'!$V$2:$V$723,B9)</f>
        <v/>
      </c>
      <c r="E9" s="5">
        <f>SUMIFS('Entetes_CplteAnneeMois'!$O$2:$O$723,'Entetes_CplteAnneeMois'!$V$2:$V$723,B9)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SUMIFS('Entetes_CplteAnneeMois'!$S$2:$S$723,'Entetes_CplteAnneeMois'!$V$2:$V$723,B10)</f>
        <v/>
      </c>
      <c r="D10" s="5">
        <f>SUMIFS('Entetes_CplteAnneeMois'!$T$2:$T$723,'Entetes_CplteAnneeMois'!$V$2:$V$723,B10)</f>
        <v/>
      </c>
      <c r="E10" s="5">
        <f>SUMIFS('Entetes_CplteAnneeMois'!$O$2:$O$723,'Entetes_CplteAnneeMois'!$V$2:$V$723,B10)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SUMIFS('Entetes_CplteAnneeMois'!$S$2:$S$723,'Entetes_CplteAnneeMois'!$V$2:$V$723,B11)</f>
        <v/>
      </c>
      <c r="D11" s="5">
        <f>SUMIFS('Entetes_CplteAnneeMois'!$T$2:$T$723,'Entetes_CplteAnneeMois'!$V$2:$V$723,B11)</f>
        <v/>
      </c>
      <c r="E11" s="5">
        <f>SUMIFS('Entetes_CplteAnneeMois'!$O$2:$O$723,'Entetes_CplteAnneeMois'!$V$2:$V$723,B11)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SUMIFS('Entetes_CplteAnneeMois'!$S$2:$S$723,'Entetes_CplteAnneeMois'!$V$2:$V$723,B12)</f>
        <v/>
      </c>
      <c r="D12" s="5">
        <f>SUMIFS('Entetes_CplteAnneeMois'!$T$2:$T$723,'Entetes_CplteAnneeMois'!$V$2:$V$723,B12)</f>
        <v/>
      </c>
      <c r="E12" s="5">
        <f>SUMIFS('Entetes_CplteAnneeMois'!$O$2:$O$723,'Entetes_CplteAnneeMois'!$V$2:$V$723,B12)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SUMIFS('Entetes_CplteAnneeMois'!$S$2:$S$723,'Entetes_CplteAnneeMois'!$V$2:$V$723,B13)</f>
        <v/>
      </c>
      <c r="D13" s="5">
        <f>SUMIFS('Entetes_CplteAnneeMois'!$T$2:$T$723,'Entetes_CplteAnneeMois'!$V$2:$V$723,B13)</f>
        <v/>
      </c>
      <c r="E13" s="5">
        <f>SUMIFS('Entetes_CplteAnneeMois'!$O$2:$O$723,'Entetes_CplteAnneeMois'!$V$2:$V$723,B13)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SUMIFS('Entetes_CplteAnneeMois'!$S$2:$S$723,'Entetes_CplteAnneeMois'!$V$2:$V$723,B14)</f>
        <v/>
      </c>
      <c r="D14" s="5">
        <f>SUMIFS('Entetes_CplteAnneeMois'!$T$2:$T$723,'Entetes_CplteAnneeMois'!$V$2:$V$723,B14)</f>
        <v/>
      </c>
      <c r="E14" s="5">
        <f>SUMIFS('Entetes_CplteAnneeMois'!$O$2:$O$723,'Entetes_CplteAnneeMois'!$V$2:$V$723,B14)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SUMIFS('Entetes_CplteAnneeMois'!$S$2:$S$723,'Entetes_CplteAnneeMois'!$V$2:$V$723,B15)</f>
        <v/>
      </c>
      <c r="D15" s="5">
        <f>SUMIFS('Entetes_CplteAnneeMois'!$T$2:$T$723,'Entetes_CplteAnneeMois'!$V$2:$V$723,B15)</f>
        <v/>
      </c>
      <c r="E15" s="5">
        <f>SUMIFS('Entetes_CplteAnneeMois'!$O$2:$O$723,'Entetes_CplteAnneeMois'!$V$2:$V$723,B15)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SUMIFS('Entetes_CplteAnneeMois'!$S$2:$S$723,'Entetes_CplteAnneeMois'!$V$2:$V$723,B16)</f>
        <v/>
      </c>
      <c r="D16" s="5">
        <f>SUMIFS('Entetes_CplteAnneeMois'!$T$2:$T$723,'Entetes_CplteAnneeMois'!$V$2:$V$723,B16)</f>
        <v/>
      </c>
      <c r="E16" s="5">
        <f>SUMIFS('Entetes_CplteAnneeMois'!$O$2:$O$723,'Entetes_CplteAnneeMois'!$V$2:$V$723,B16)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SUMIFS('Entetes_CplteAnneeMois'!$S$2:$S$723,'Entetes_CplteAnneeMois'!$V$2:$V$723,B17)</f>
        <v/>
      </c>
      <c r="D17" s="5">
        <f>SUMIFS('Entetes_CplteAnneeMois'!$T$2:$T$723,'Entetes_CplteAnneeMois'!$V$2:$V$723,B17)</f>
        <v/>
      </c>
      <c r="E17" s="5">
        <f>SUMIFS('Entetes_CplteAnneeMois'!$O$2:$O$723,'Entetes_CplteAnneeMois'!$V$2:$V$723,B17)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SUMIFS('Entetes_CplteAnneeMois'!$S$2:$S$723,'Entetes_CplteAnneeMois'!$V$2:$V$723,B18)</f>
        <v/>
      </c>
      <c r="D18" s="5">
        <f>SUMIFS('Entetes_CplteAnneeMois'!$T$2:$T$723,'Entetes_CplteAnneeMois'!$V$2:$V$723,B18)</f>
        <v/>
      </c>
      <c r="E18" s="5">
        <f>SUMIFS('Entetes_CplteAnneeMois'!$O$2:$O$723,'Entetes_CplteAnneeMois'!$V$2:$V$723,B18)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SUMIFS('Entetes_CplteAnneeMois'!$S$2:$S$723,'Entetes_CplteAnneeMois'!$V$2:$V$723,B19)</f>
        <v/>
      </c>
      <c r="D19" s="5">
        <f>SUMIFS('Entetes_CplteAnneeMois'!$T$2:$T$723,'Entetes_CplteAnneeMois'!$V$2:$V$723,B19)</f>
        <v/>
      </c>
      <c r="E19" s="5">
        <f>SUMIFS('Entetes_CplteAnneeMois'!$O$2:$O$723,'Entetes_CplteAnneeMois'!$V$2:$V$723,B19)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SUMIFS('Entetes_CplteAnneeMois'!$S$2:$S$723,'Entetes_CplteAnneeMois'!$V$2:$V$723,B20)</f>
        <v/>
      </c>
      <c r="D20" s="5">
        <f>SUMIFS('Entetes_CplteAnneeMois'!$T$2:$T$723,'Entetes_CplteAnneeMois'!$V$2:$V$723,B20)</f>
        <v/>
      </c>
      <c r="E20" s="5">
        <f>SUMIFS('Entetes_CplteAnneeMois'!$O$2:$O$723,'Entetes_CplteAnneeMois'!$V$2:$V$723,B20)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SUMIFS('Entetes_CplteAnneeMois'!$S$2:$S$723,'Entetes_CplteAnneeMois'!$V$2:$V$723,B21)</f>
        <v/>
      </c>
      <c r="D21" s="5">
        <f>SUMIFS('Entetes_CplteAnneeMois'!$T$2:$T$723,'Entetes_CplteAnneeMois'!$V$2:$V$723,B21)</f>
        <v/>
      </c>
      <c r="E21" s="5">
        <f>SUMIFS('Entetes_CplteAnneeMois'!$O$2:$O$723,'Entetes_CplteAnneeMois'!$V$2:$V$723,B21)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SUMIFS('Entetes_CplteAnneeMois'!$S$2:$S$723,'Entetes_CplteAnneeMois'!$V$2:$V$723,B22)</f>
        <v/>
      </c>
      <c r="D22" s="5">
        <f>SUMIFS('Entetes_CplteAnneeMois'!$T$2:$T$723,'Entetes_CplteAnneeMois'!$V$2:$V$723,B22)</f>
        <v/>
      </c>
      <c r="E22" s="5">
        <f>SUMIFS('Entetes_CplteAnneeMois'!$O$2:$O$723,'Entetes_CplteAnneeMois'!$V$2:$V$723,B22)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SUMIFS('Entetes_CplteAnneeMois'!$S$2:$S$723,'Entetes_CplteAnneeMois'!$V$2:$V$723,B23)</f>
        <v/>
      </c>
      <c r="D23" s="5">
        <f>SUMIFS('Entetes_CplteAnneeMois'!$T$2:$T$723,'Entetes_CplteAnneeMois'!$V$2:$V$723,B23)</f>
        <v/>
      </c>
      <c r="E23" s="5">
        <f>SUMIFS('Entetes_CplteAnneeMois'!$O$2:$O$723,'Entetes_CplteAnneeMois'!$V$2:$V$723,B23)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SUMIFS('Entetes_CplteAnneeMois'!$S$2:$S$723,'Entetes_CplteAnneeMois'!$V$2:$V$723,B24)</f>
        <v/>
      </c>
      <c r="D24" s="5">
        <f>SUMIFS('Entetes_CplteAnneeMois'!$T$2:$T$723,'Entetes_CplteAnneeMois'!$V$2:$V$723,B24)</f>
        <v/>
      </c>
      <c r="E24" s="5">
        <f>SUMIFS('Entetes_CplteAnneeMois'!$O$2:$O$723,'Entetes_CplteAnneeMois'!$V$2:$V$723,B24)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SUMIFS('Entetes_CplteAnneeMois'!$S$2:$S$723,'Entetes_CplteAnneeMois'!$V$2:$V$723,B25)</f>
        <v/>
      </c>
      <c r="D25" s="5">
        <f>SUMIFS('Entetes_CplteAnneeMois'!$T$2:$T$723,'Entetes_CplteAnneeMois'!$V$2:$V$723,B25)</f>
        <v/>
      </c>
      <c r="E25" s="5">
        <f>SUMIFS('Entetes_CplteAnneeMois'!$O$2:$O$723,'Entetes_CplteAnneeMois'!$V$2:$V$723,B25)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SUMIFS('Entetes_CplteAnneeMois'!$S$2:$S$723,'Entetes_CplteAnneeMois'!$V$2:$V$723,B26)</f>
        <v/>
      </c>
      <c r="D26" s="5">
        <f>SUMIFS('Entetes_CplteAnneeMois'!$T$2:$T$723,'Entetes_CplteAnneeMois'!$V$2:$V$723,B26)</f>
        <v/>
      </c>
      <c r="E26" s="5">
        <f>SUMIFS('Entetes_CplteAnneeMois'!$O$2:$O$723,'Entetes_CplteAnneeMois'!$V$2:$V$723,B26)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SUMIFS('Entetes_CplteAnneeMois'!$S$2:$S$723,'Entetes_CplteAnneeMois'!$V$2:$V$723,B27)</f>
        <v/>
      </c>
      <c r="D27" s="5">
        <f>SUMIFS('Entetes_CplteAnneeMois'!$T$2:$T$723,'Entetes_CplteAnneeMois'!$V$2:$V$723,B27)</f>
        <v/>
      </c>
      <c r="E27" s="5">
        <f>SUMIFS('Entetes_CplteAnneeMois'!$O$2:$O$723,'Entetes_CplteAnneeMois'!$V$2:$V$723,B27)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SUMIFS('Entetes_CplteAnneeMois'!$S$2:$S$723,'Entetes_CplteAnneeMois'!$V$2:$V$723,B28)</f>
        <v/>
      </c>
      <c r="D28" s="5">
        <f>SUMIFS('Entetes_CplteAnneeMois'!$T$2:$T$723,'Entetes_CplteAnneeMois'!$V$2:$V$723,B28)</f>
        <v/>
      </c>
      <c r="E28" s="5">
        <f>SUMIFS('Entetes_CplteAnneeMois'!$O$2:$O$723,'Entetes_CplteAnneeMois'!$V$2:$V$723,B28)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SUMIFS('Entetes_CplteAnneeMois'!$S$2:$S$723,'Entetes_CplteAnneeMois'!$V$2:$V$723,B29)</f>
        <v/>
      </c>
      <c r="D29" s="5">
        <f>SUMIFS('Entetes_CplteAnneeMois'!$T$2:$T$723,'Entetes_CplteAnneeMois'!$V$2:$V$723,B29)</f>
        <v/>
      </c>
      <c r="E29" s="5">
        <f>SUMIFS('Entetes_CplteAnneeMois'!$O$2:$O$723,'Entetes_CplteAnneeMois'!$V$2:$V$723,B29)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SUMIFS('Entetes_CplteAnneeMois'!$S$2:$S$723,'Entetes_CplteAnneeMois'!$V$2:$V$723,B30)</f>
        <v/>
      </c>
      <c r="D30" s="5">
        <f>SUMIFS('Entetes_CplteAnneeMois'!$T$2:$T$723,'Entetes_CplteAnneeMois'!$V$2:$V$723,B30)</f>
        <v/>
      </c>
      <c r="E30" s="5">
        <f>SUMIFS('Entetes_CplteAnneeMois'!$O$2:$O$723,'Entetes_CplteAnneeMois'!$V$2:$V$723,B30)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SUMIFS('Entetes_CplteAnneeMois'!$S$2:$S$723,'Entetes_CplteAnneeMois'!$V$2:$V$723,B31)</f>
        <v/>
      </c>
      <c r="D31" s="5">
        <f>SUMIFS('Entetes_CplteAnneeMois'!$T$2:$T$723,'Entetes_CplteAnneeMois'!$V$2:$V$723,B31)</f>
        <v/>
      </c>
      <c r="E31" s="5">
        <f>SUMIFS('Entetes_CplteAnneeMois'!$O$2:$O$723,'Entetes_CplteAnneeMois'!$V$2:$V$723,B31)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SUMIFS('Entetes_CplteAnneeMois'!$S$2:$S$723,'Entetes_CplteAnneeMois'!$V$2:$V$723,B32)</f>
        <v/>
      </c>
      <c r="D32" s="5">
        <f>SUMIFS('Entetes_CplteAnneeMois'!$T$2:$T$723,'Entetes_CplteAnneeMois'!$V$2:$V$723,B32)</f>
        <v/>
      </c>
      <c r="E32" s="5">
        <f>SUMIFS('Entetes_CplteAnneeMois'!$O$2:$O$723,'Entetes_CplteAnneeMois'!$V$2:$V$723,B32)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SUMIFS('Entetes_CplteAnneeMois'!$S$2:$S$723,'Entetes_CplteAnneeMois'!$V$2:$V$723,B33)</f>
        <v/>
      </c>
      <c r="D33" s="5">
        <f>SUMIFS('Entetes_CplteAnneeMois'!$T$2:$T$723,'Entetes_CplteAnneeMois'!$V$2:$V$723,B33)</f>
        <v/>
      </c>
      <c r="E33" s="5">
        <f>SUMIFS('Entetes_CplteAnneeMois'!$O$2:$O$723,'Entetes_CplteAnneeMois'!$V$2:$V$723,B33)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>
        <f>'TD_TotalHtTvaTtc'!A2</f>
        <v/>
      </c>
      <c r="B2" s="5">
        <f>'TD_TotalHtTvaTtc'!B2</f>
        <v/>
      </c>
      <c r="C2" s="5">
        <f>'TD_TotalHtTvaTtc'!C2</f>
        <v/>
      </c>
      <c r="D2" s="5">
        <f>'TD_TotalHtTvaTtc'!D2</f>
        <v/>
      </c>
      <c r="E2" s="5">
        <f>'TD_TotalHtTvaTtc'!E2</f>
        <v/>
      </c>
    </row>
    <row r="3">
      <c r="A3" s="6">
        <f>'TD_TotalHtTvaTtc'!A3</f>
        <v/>
      </c>
      <c r="B3" s="5">
        <f>'TD_TotalHtTvaTtc'!B3</f>
        <v/>
      </c>
      <c r="C3" s="5">
        <f>'TD_TotalHtTvaTtc'!C3</f>
        <v/>
      </c>
      <c r="D3" s="5">
        <f>'TD_TotalHtTvaTtc'!D3</f>
        <v/>
      </c>
      <c r="E3" s="5">
        <f>'TD_TotalHtTvaTtc'!E3</f>
        <v/>
      </c>
    </row>
    <row r="4">
      <c r="A4" s="6">
        <f>'TD_TotalHtTvaTtc'!A4</f>
        <v/>
      </c>
      <c r="B4" s="5">
        <f>'TD_TotalHtTvaTtc'!B4</f>
        <v/>
      </c>
      <c r="C4" s="5">
        <f>'TD_TotalHtTvaTtc'!C4</f>
        <v/>
      </c>
      <c r="D4" s="5">
        <f>'TD_TotalHtTvaTtc'!D4</f>
        <v/>
      </c>
      <c r="E4" s="5">
        <f>'TD_TotalHtTvaTtc'!E4</f>
        <v/>
      </c>
    </row>
    <row r="5">
      <c r="A5" s="6">
        <f>'TD_TotalHtTvaTtc'!A5</f>
        <v/>
      </c>
      <c r="B5" s="5">
        <f>'TD_TotalHtTvaTtc'!B5</f>
        <v/>
      </c>
      <c r="C5" s="5">
        <f>'TD_TotalHtTvaTtc'!C5</f>
        <v/>
      </c>
      <c r="D5" s="5">
        <f>'TD_TotalHtTvaTtc'!D5</f>
        <v/>
      </c>
      <c r="E5" s="5">
        <f>'TD_TotalHtTvaTtc'!E5</f>
        <v/>
      </c>
    </row>
    <row r="6">
      <c r="A6" s="6">
        <f>'TD_TotalHtTvaTtc'!A6</f>
        <v/>
      </c>
      <c r="B6" s="5">
        <f>'TD_TotalHtTvaTtc'!B6</f>
        <v/>
      </c>
      <c r="C6" s="5">
        <f>'TD_TotalHtTvaTtc'!C6</f>
        <v/>
      </c>
      <c r="D6" s="5">
        <f>'TD_TotalHtTvaTtc'!D6</f>
        <v/>
      </c>
      <c r="E6" s="5">
        <f>'TD_TotalHtTvaTtc'!E6</f>
        <v/>
      </c>
    </row>
    <row r="7">
      <c r="A7" s="6">
        <f>'TD_TotalHtTvaTtc'!A7</f>
        <v/>
      </c>
      <c r="B7" s="5">
        <f>'TD_TotalHtTvaTtc'!B7</f>
        <v/>
      </c>
      <c r="C7" s="5">
        <f>'TD_TotalHtTvaTtc'!C7</f>
        <v/>
      </c>
      <c r="D7" s="5">
        <f>'TD_TotalHtTvaTtc'!D7</f>
        <v/>
      </c>
      <c r="E7" s="5">
        <f>'TD_TotalHtTvaTtc'!E7</f>
        <v/>
      </c>
    </row>
    <row r="8">
      <c r="A8" s="6">
        <f>'TD_TotalHtTvaTtc'!A8</f>
        <v/>
      </c>
      <c r="B8" s="5">
        <f>'TD_TotalHtTvaTtc'!B8</f>
        <v/>
      </c>
      <c r="C8" s="5">
        <f>'TD_TotalHtTvaTtc'!C8</f>
        <v/>
      </c>
      <c r="D8" s="5">
        <f>'TD_TotalHtTvaTtc'!D8</f>
        <v/>
      </c>
      <c r="E8" s="5">
        <f>'TD_TotalHtTvaTtc'!E8</f>
        <v/>
      </c>
    </row>
    <row r="9">
      <c r="A9" s="6">
        <f>'TD_TotalHtTvaTtc'!A9</f>
        <v/>
      </c>
      <c r="B9" s="5">
        <f>'TD_TotalHtTvaTtc'!B9</f>
        <v/>
      </c>
      <c r="C9" s="5">
        <f>'TD_TotalHtTvaTtc'!C9</f>
        <v/>
      </c>
      <c r="D9" s="5">
        <f>'TD_TotalHtTvaTtc'!D9</f>
        <v/>
      </c>
      <c r="E9" s="5">
        <f>'TD_TotalHtTvaTtc'!E9</f>
        <v/>
      </c>
    </row>
    <row r="10">
      <c r="A10" s="6">
        <f>'TD_TotalHtTvaTtc'!A10</f>
        <v/>
      </c>
      <c r="B10" s="5">
        <f>'TD_TotalHtTvaTtc'!B10</f>
        <v/>
      </c>
      <c r="C10" s="5">
        <f>'TD_TotalHtTvaTtc'!C10</f>
        <v/>
      </c>
      <c r="D10" s="5">
        <f>'TD_TotalHtTvaTtc'!D10</f>
        <v/>
      </c>
      <c r="E10" s="5">
        <f>'TD_TotalHtTvaTtc'!E10</f>
        <v/>
      </c>
    </row>
    <row r="11">
      <c r="A11" s="6">
        <f>'TD_TotalHtTvaTtc'!A11</f>
        <v/>
      </c>
      <c r="B11" s="5">
        <f>'TD_TotalHtTvaTtc'!B11</f>
        <v/>
      </c>
      <c r="C11" s="5">
        <f>'TD_TotalHtTvaTtc'!C11</f>
        <v/>
      </c>
      <c r="D11" s="5">
        <f>'TD_TotalHtTvaTtc'!D11</f>
        <v/>
      </c>
      <c r="E11" s="5">
        <f>'TD_TotalHtTvaTtc'!E11</f>
        <v/>
      </c>
    </row>
    <row r="12">
      <c r="A12" s="6">
        <f>'TD_TotalHtTvaTtc'!A12</f>
        <v/>
      </c>
      <c r="B12" s="5">
        <f>'TD_TotalHtTvaTtc'!B12</f>
        <v/>
      </c>
      <c r="C12" s="5">
        <f>'TD_TotalHtTvaTtc'!C12</f>
        <v/>
      </c>
      <c r="D12" s="5">
        <f>'TD_TotalHtTvaTtc'!D12</f>
        <v/>
      </c>
      <c r="E12" s="5">
        <f>'TD_TotalHtTvaTtc'!E12</f>
        <v/>
      </c>
    </row>
    <row r="13">
      <c r="A13" s="6">
        <f>'TD_TotalHtTvaTtc'!A13</f>
        <v/>
      </c>
      <c r="B13" s="5">
        <f>'TD_TotalHtTvaTtc'!B13</f>
        <v/>
      </c>
      <c r="C13" s="5">
        <f>'TD_TotalHtTvaTtc'!C13</f>
        <v/>
      </c>
      <c r="D13" s="5">
        <f>'TD_TotalHtTvaTtc'!D13</f>
        <v/>
      </c>
      <c r="E13" s="5">
        <f>'TD_TotalHtTvaTtc'!E13</f>
        <v/>
      </c>
    </row>
    <row r="14">
      <c r="A14" s="6">
        <f>'TD_TotalHtTvaTtc'!A14</f>
        <v/>
      </c>
      <c r="B14" s="5">
        <f>'TD_TotalHtTvaTtc'!B14</f>
        <v/>
      </c>
      <c r="C14" s="5">
        <f>'TD_TotalHtTvaTtc'!C14</f>
        <v/>
      </c>
      <c r="D14" s="5">
        <f>'TD_TotalHtTvaTtc'!D14</f>
        <v/>
      </c>
      <c r="E14" s="5">
        <f>'TD_TotalHtTvaTtc'!E14</f>
        <v/>
      </c>
    </row>
    <row r="15">
      <c r="A15" s="6">
        <f>'TD_TotalHtTvaTtc'!A15</f>
        <v/>
      </c>
      <c r="B15" s="5">
        <f>'TD_TotalHtTvaTtc'!B15</f>
        <v/>
      </c>
      <c r="C15" s="5">
        <f>'TD_TotalHtTvaTtc'!C15</f>
        <v/>
      </c>
      <c r="D15" s="5">
        <f>'TD_TotalHtTvaTtc'!D15</f>
        <v/>
      </c>
      <c r="E15" s="5">
        <f>'TD_TotalHtTvaTtc'!E15</f>
        <v/>
      </c>
    </row>
    <row r="16">
      <c r="A16" s="6">
        <f>'TD_TotalHtTvaTtc'!A16</f>
        <v/>
      </c>
      <c r="B16" s="5">
        <f>'TD_TotalHtTvaTtc'!B16</f>
        <v/>
      </c>
      <c r="C16" s="5">
        <f>'TD_TotalHtTvaTtc'!C16</f>
        <v/>
      </c>
      <c r="D16" s="5">
        <f>'TD_TotalHtTvaTtc'!D16</f>
        <v/>
      </c>
      <c r="E16" s="5">
        <f>'TD_TotalHtTvaTtc'!E16</f>
        <v/>
      </c>
    </row>
    <row r="17">
      <c r="A17" s="6">
        <f>'TD_TotalHtTvaTtc'!A17</f>
        <v/>
      </c>
      <c r="B17" s="5">
        <f>'TD_TotalHtTvaTtc'!B17</f>
        <v/>
      </c>
      <c r="C17" s="5">
        <f>'TD_TotalHtTvaTtc'!C17</f>
        <v/>
      </c>
      <c r="D17" s="5">
        <f>'TD_TotalHtTvaTtc'!D17</f>
        <v/>
      </c>
      <c r="E17" s="5">
        <f>'TD_TotalHtTvaTtc'!E17</f>
        <v/>
      </c>
    </row>
    <row r="18">
      <c r="A18" s="6">
        <f>'TD_TotalHtTvaTtc'!A18</f>
        <v/>
      </c>
      <c r="B18" s="5">
        <f>'TD_TotalHtTvaTtc'!B18</f>
        <v/>
      </c>
      <c r="C18" s="5">
        <f>'TD_TotalHtTvaTtc'!C18</f>
        <v/>
      </c>
      <c r="D18" s="5">
        <f>'TD_TotalHtTvaTtc'!D18</f>
        <v/>
      </c>
      <c r="E18" s="5">
        <f>'TD_TotalHtTvaTtc'!E18</f>
        <v/>
      </c>
    </row>
    <row r="19">
      <c r="A19" s="6">
        <f>'TD_TotalHtTvaTtc'!A19</f>
        <v/>
      </c>
      <c r="B19" s="5">
        <f>'TD_TotalHtTvaTtc'!B19</f>
        <v/>
      </c>
      <c r="C19" s="5">
        <f>'TD_TotalHtTvaTtc'!C19</f>
        <v/>
      </c>
      <c r="D19" s="5">
        <f>'TD_TotalHtTvaTtc'!D19</f>
        <v/>
      </c>
      <c r="E19" s="5">
        <f>'TD_TotalHtTvaTtc'!E19</f>
        <v/>
      </c>
    </row>
    <row r="20">
      <c r="A20" s="6">
        <f>'TD_TotalHtTvaTtc'!A20</f>
        <v/>
      </c>
      <c r="B20" s="5">
        <f>'TD_TotalHtTvaTtc'!B20</f>
        <v/>
      </c>
      <c r="C20" s="5">
        <f>'TD_TotalHtTvaTtc'!C20</f>
        <v/>
      </c>
      <c r="D20" s="5">
        <f>'TD_TotalHtTvaTtc'!D20</f>
        <v/>
      </c>
      <c r="E20" s="5">
        <f>'TD_TotalHtTvaTtc'!E20</f>
        <v/>
      </c>
    </row>
    <row r="21">
      <c r="A21" s="6">
        <f>'TD_TotalHtTvaTtc'!A21</f>
        <v/>
      </c>
      <c r="B21" s="5">
        <f>'TD_TotalHtTvaTtc'!B21</f>
        <v/>
      </c>
      <c r="C21" s="5">
        <f>'TD_TotalHtTvaTtc'!C21</f>
        <v/>
      </c>
      <c r="D21" s="5">
        <f>'TD_TotalHtTvaTtc'!D21</f>
        <v/>
      </c>
      <c r="E21" s="5">
        <f>'TD_TotalHtTvaTtc'!E21</f>
        <v/>
      </c>
    </row>
    <row r="22">
      <c r="A22" s="6">
        <f>'TD_TotalHtTvaTtc'!A22</f>
        <v/>
      </c>
      <c r="B22" s="5">
        <f>'TD_TotalHtTvaTtc'!B22</f>
        <v/>
      </c>
      <c r="C22" s="5">
        <f>'TD_TotalHtTvaTtc'!C22</f>
        <v/>
      </c>
      <c r="D22" s="5">
        <f>'TD_TotalHtTvaTtc'!D22</f>
        <v/>
      </c>
      <c r="E22" s="5">
        <f>'TD_TotalHtTvaTtc'!E22</f>
        <v/>
      </c>
    </row>
    <row r="23">
      <c r="A23" s="6">
        <f>'TD_TotalHtTvaTtc'!A23</f>
        <v/>
      </c>
      <c r="B23" s="5">
        <f>'TD_TotalHtTvaTtc'!B23</f>
        <v/>
      </c>
      <c r="C23" s="5">
        <f>'TD_TotalHtTvaTtc'!C23</f>
        <v/>
      </c>
      <c r="D23" s="5">
        <f>'TD_TotalHtTvaTtc'!D23</f>
        <v/>
      </c>
      <c r="E23" s="5">
        <f>'TD_TotalHtTvaTtc'!E23</f>
        <v/>
      </c>
    </row>
    <row r="24">
      <c r="A24" s="6">
        <f>'TD_TotalHtTvaTtc'!A24</f>
        <v/>
      </c>
      <c r="B24" s="5">
        <f>'TD_TotalHtTvaTtc'!B24</f>
        <v/>
      </c>
      <c r="C24" s="5">
        <f>'TD_TotalHtTvaTtc'!C24</f>
        <v/>
      </c>
      <c r="D24" s="5">
        <f>'TD_TotalHtTvaTtc'!D24</f>
        <v/>
      </c>
      <c r="E24" s="5">
        <f>'TD_TotalHtTvaTtc'!E24</f>
        <v/>
      </c>
    </row>
    <row r="25">
      <c r="A25" s="6">
        <f>'TD_TotalHtTvaTtc'!A25</f>
        <v/>
      </c>
      <c r="B25" s="5">
        <f>'TD_TotalHtTvaTtc'!B25</f>
        <v/>
      </c>
      <c r="C25" s="5">
        <f>'TD_TotalHtTvaTtc'!C25</f>
        <v/>
      </c>
      <c r="D25" s="5">
        <f>'TD_TotalHtTvaTtc'!D25</f>
        <v/>
      </c>
      <c r="E25" s="5">
        <f>'TD_TotalHtTvaTtc'!E25</f>
        <v/>
      </c>
    </row>
    <row r="26">
      <c r="A26" s="6">
        <f>'TD_TotalHtTvaTtc'!A26</f>
        <v/>
      </c>
      <c r="B26" s="5">
        <f>'TD_TotalHtTvaTtc'!B26</f>
        <v/>
      </c>
      <c r="C26" s="5">
        <f>'TD_TotalHtTvaTtc'!C26</f>
        <v/>
      </c>
      <c r="D26" s="5">
        <f>'TD_TotalHtTvaTtc'!D26</f>
        <v/>
      </c>
      <c r="E26" s="5">
        <f>'TD_TotalHtTvaTtc'!E26</f>
        <v/>
      </c>
    </row>
    <row r="27">
      <c r="A27" s="6">
        <f>'TD_TotalHtTvaTtc'!A27</f>
        <v/>
      </c>
      <c r="B27" s="5">
        <f>'TD_TotalHtTvaTtc'!B27</f>
        <v/>
      </c>
      <c r="C27" s="5">
        <f>'TD_TotalHtTvaTtc'!C27</f>
        <v/>
      </c>
      <c r="D27" s="5">
        <f>'TD_TotalHtTvaTtc'!D27</f>
        <v/>
      </c>
      <c r="E27" s="5">
        <f>'TD_TotalHtTvaTtc'!E27</f>
        <v/>
      </c>
    </row>
    <row r="28">
      <c r="A28" s="6">
        <f>'TD_TotalHtTvaTtc'!A28</f>
        <v/>
      </c>
      <c r="B28" s="5">
        <f>'TD_TotalHtTvaTtc'!B28</f>
        <v/>
      </c>
      <c r="C28" s="5">
        <f>'TD_TotalHtTvaTtc'!C28</f>
        <v/>
      </c>
      <c r="D28" s="5">
        <f>'TD_TotalHtTvaTtc'!D28</f>
        <v/>
      </c>
      <c r="E28" s="5">
        <f>'TD_TotalHtTvaTtc'!E28</f>
        <v/>
      </c>
    </row>
    <row r="29">
      <c r="A29" s="6">
        <f>'TD_TotalHtTvaTtc'!A29</f>
        <v/>
      </c>
      <c r="B29" s="5">
        <f>'TD_TotalHtTvaTtc'!B29</f>
        <v/>
      </c>
      <c r="C29" s="5">
        <f>'TD_TotalHtTvaTtc'!C29</f>
        <v/>
      </c>
      <c r="D29" s="5">
        <f>'TD_TotalHtTvaTtc'!D29</f>
        <v/>
      </c>
      <c r="E29" s="5">
        <f>'TD_TotalHtTvaTtc'!E29</f>
        <v/>
      </c>
    </row>
    <row r="30">
      <c r="A30" s="6">
        <f>'TD_TotalHtTvaTtc'!A30</f>
        <v/>
      </c>
      <c r="B30" s="5">
        <f>'TD_TotalHtTvaTtc'!B30</f>
        <v/>
      </c>
      <c r="C30" s="5">
        <f>'TD_TotalHtTvaTtc'!C30</f>
        <v/>
      </c>
      <c r="D30" s="5">
        <f>'TD_TotalHtTvaTtc'!D30</f>
        <v/>
      </c>
      <c r="E30" s="5">
        <f>'TD_TotalHtTvaTtc'!E30</f>
        <v/>
      </c>
    </row>
    <row r="31">
      <c r="A31" s="6">
        <f>'TD_TotalHtTvaTtc'!A31</f>
        <v/>
      </c>
      <c r="B31" s="5">
        <f>'TD_TotalHtTvaTtc'!B31</f>
        <v/>
      </c>
      <c r="C31" s="5">
        <f>'TD_TotalHtTvaTtc'!C31</f>
        <v/>
      </c>
      <c r="D31" s="5">
        <f>'TD_TotalHtTvaTtc'!D31</f>
        <v/>
      </c>
      <c r="E31" s="5">
        <f>'TD_TotalHtTvaTtc'!E31</f>
        <v/>
      </c>
    </row>
    <row r="32">
      <c r="A32" s="6">
        <f>'TD_TotalHtTvaTtc'!A32</f>
        <v/>
      </c>
      <c r="B32" s="5">
        <f>'TD_TotalHtTvaTtc'!B32</f>
        <v/>
      </c>
      <c r="C32" s="5">
        <f>'TD_TotalHtTvaTtc'!C32</f>
        <v/>
      </c>
      <c r="D32" s="5">
        <f>'TD_TotalHtTvaTtc'!D32</f>
        <v/>
      </c>
      <c r="E32" s="5">
        <f>'TD_TotalHtTvaTtc'!E32</f>
        <v/>
      </c>
    </row>
    <row r="33">
      <c r="A33" s="6">
        <f>'TD_TotalHtTvaTtc'!A33</f>
        <v/>
      </c>
      <c r="B33" s="5">
        <f>'TD_TotalHtTvaTtc'!B33</f>
        <v/>
      </c>
      <c r="C33" s="5">
        <f>'TD_TotalHtTvaTtc'!C33</f>
        <v/>
      </c>
      <c r="D33" s="5">
        <f>'TD_TotalHtTvaTtc'!D33</f>
        <v/>
      </c>
      <c r="E33" s="5">
        <f>'TD_TotalHtTvaTtc'!E33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2026-08-14T13:11:15Z</dcterms:created>
  <dcterms:modified xsi:type="dcterms:W3CDTF">2026-08-14T13:11:20Z</dcterms:modified>
</cp:coreProperties>
</file>
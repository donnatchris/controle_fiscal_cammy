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ETES_MATURIN_0" sheetId="1" state="visible" r:id="rId1"/>
    <sheet name="Entetes_TriNumInterne" sheetId="2" state="visible" r:id="rId2"/>
    <sheet name="Entetes_CtrlCoherence" sheetId="3" state="visible" r:id="rId3"/>
    <sheet name="Entetes_sequentialite" sheetId="4" state="visible" r:id="rId4"/>
    <sheet name="TD_OccurenceNumInterne" sheetId="5" state="visible" r:id="rId5"/>
    <sheet name="DoublonNumInterne" sheetId="6" state="visible" r:id="rId6"/>
    <sheet name="TD_OccurenceNumTicket" sheetId="7" state="visible" r:id="rId7"/>
    <sheet name="DoublonNumTicket" sheetId="8" state="visible" r:id="rId8"/>
    <sheet name="Entetes_CplteAnneeMois" sheetId="9" state="visible" r:id="rId9"/>
    <sheet name="TD_TotalEnctTTC" sheetId="10" state="visible" r:id="rId10"/>
    <sheet name="enct_mensuels_MATURIN" sheetId="11" state="visible" r:id="rId11"/>
    <sheet name="TD_TotalHtTvaTtc" sheetId="12" state="visible" r:id="rId12"/>
    <sheet name="recettes_mensuelles_MATURIN" sheetId="13" state="visible" r:id="rId13"/>
  </sheets>
  <definedNames>
    <definedName name="_xlnm._FilterDatabase" localSheetId="0" hidden="1">'ENTETES_MATURIN_0'!$A$1:$R$723</definedName>
    <definedName name="_xlnm._FilterDatabase" localSheetId="1" hidden="1">'Entetes_TriNumInterne'!$A$1:$R$723</definedName>
    <definedName name="_xlnm._FilterDatabase" localSheetId="2" hidden="1">'Entetes_CtrlCoherence'!$A$1:$X$723</definedName>
    <definedName name="_xlnm._FilterDatabase" localSheetId="3" hidden="1">'Entetes_sequentialite'!$A$1:$H$723</definedName>
    <definedName name="_xlnm._FilterDatabase" localSheetId="4" hidden="1">'TD_OccurenceNumInterne'!$A$1:$B$723</definedName>
    <definedName name="_xlnm._FilterDatabase" localSheetId="5" hidden="1">'DoublonNumInterne'!$A$1:$B$2</definedName>
    <definedName name="_xlnm._FilterDatabase" localSheetId="6" hidden="1">'TD_OccurenceNumTicket'!$A$1:$B$723</definedName>
    <definedName name="_xlnm._FilterDatabase" localSheetId="7" hidden="1">'DoublonNumTicket'!$A$1:$B$2</definedName>
    <definedName name="_xlnm._FilterDatabase" localSheetId="8" hidden="1">'Entetes_CplteAnneeMois'!$A$1:$V$723</definedName>
    <definedName name="_xlnm._FilterDatabase" localSheetId="9" hidden="1">'TD_TotalEnctTTC'!$A$1:$F$33</definedName>
    <definedName name="_xlnm._FilterDatabase" localSheetId="10" hidden="1">'enct_mensuels_MATURIN'!$A$1:$F$33</definedName>
    <definedName name="_xlnm._FilterDatabase" localSheetId="11" hidden="1">'TD_TotalHtTvaTtc'!$A$1:$E$33</definedName>
    <definedName name="_xlnm._FilterDatabase" localSheetId="12" hidden="1">'recettes_mensuelles_MATURIN'!$A$1:$E$33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#,##0.00;[Red]-#,##0.00"/>
  </numFmts>
  <fonts count="3">
    <font>
      <name val="Calibri"/>
      <family val="2"/>
      <color theme="1"/>
      <sz val="11"/>
      <scheme val="minor"/>
    </font>
    <font>
      <name val="Aptos Display"/>
      <b val="1"/>
      <color rgb="00FFFFFF"/>
      <sz val="10"/>
    </font>
    <font>
      <name val="Aptos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medium">
        <color rgb="001F4E78"/>
      </left>
      <right style="medium">
        <color rgb="001F4E78"/>
      </right>
      <top style="medium">
        <color rgb="001F4E78"/>
      </top>
      <bottom style="medium">
        <color rgb="001F4E78"/>
      </bottom>
    </border>
    <border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  <xf numFmtId="49" fontId="2" fillId="0" borderId="2" applyAlignment="1" pivotButton="0" quotePrefix="0" xfId="0">
      <alignment vertical="center"/>
    </xf>
    <xf numFmtId="165" fontId="2" fillId="0" borderId="2" applyAlignment="1" pivotButton="0" quotePrefix="0" xfId="0">
      <alignment vertical="center"/>
    </xf>
    <xf numFmtId="166" fontId="2" fillId="0" borderId="2" applyAlignment="1" pivotButton="0" quotePrefix="0" xfId="0">
      <alignment vertical="center"/>
    </xf>
    <xf numFmtId="1" fontId="2" fillId="0" borderId="2" applyAlignment="1" pivotButton="0" quotePrefix="0" xfId="0">
      <alignment vertical="center"/>
    </xf>
  </cellXfs>
  <cellStyles count="1">
    <cellStyle name="Normal" xfId="0" builtinId="0" hidden="0"/>
  </cellStyles>
  <dxfs count="2">
    <dxf>
      <font>
        <name val="Aptos"/>
        <b val="1"/>
        <color rgb="00991B1B"/>
        <sz val="9"/>
      </font>
      <fill>
        <patternFill patternType="solid">
          <fgColor rgb="00FECACA"/>
        </patternFill>
      </fill>
    </dxf>
    <dxf>
      <font>
        <name val="Aptos"/>
        <b val="1"/>
        <color rgb="0092400E"/>
        <sz val="9"/>
      </font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ables/table1.xml><?xml version="1.0" encoding="utf-8"?>
<table xmlns="http://schemas.openxmlformats.org/spreadsheetml/2006/main" id="1" name="Entetes0" displayName="Entetes0" ref="A1:R723" headerRowCount="1">
  <autoFilter ref="A1:R723"/>
  <tableColumns count="18">
    <tableColumn id="1" name="nomfichier"/>
    <tableColumn id="2" name="E_NUM_INTERNE"/>
    <tableColumn id="3" name="E_NUM_TICKET"/>
    <tableColumn id="4" name="E_DATE_TICKET"/>
    <tableColumn id="5" name="E_HEURE_TICKET"/>
    <tableColumn id="6" name="E_HT1"/>
    <tableColumn id="7" name="E_HT2"/>
    <tableColumn id="8" name="E_HT3"/>
    <tableColumn id="9" name="E_HT4"/>
    <tableColumn id="10" name="E_TVA1"/>
    <tableColumn id="11" name="E_TVA2"/>
    <tableColumn id="12" name="E_TVA3"/>
    <tableColumn id="13" name="E_TVA4"/>
    <tableColumn id="14" name="E_HT_NON_TAXABLE"/>
    <tableColumn id="15" name="E_TTC"/>
    <tableColumn id="16" name="E_MDP_CB"/>
    <tableColumn id="17" name="E_MDP_ESPECES"/>
    <tableColumn id="18" name="E_MDP_CHEQU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EntetesTri" displayName="EntetesTri" ref="A1:R723" headerRowCount="1">
  <autoFilter ref="A1:R723"/>
  <tableColumns count="18">
    <tableColumn id="1" name="nomfichier"/>
    <tableColumn id="2" name="E_NUM_INTERNE"/>
    <tableColumn id="3" name="E_NUM_TICKET"/>
    <tableColumn id="4" name="E_DATE_TICKET"/>
    <tableColumn id="5" name="E_HEURE_TICKET"/>
    <tableColumn id="6" name="E_HT1"/>
    <tableColumn id="7" name="E_HT2"/>
    <tableColumn id="8" name="E_HT3"/>
    <tableColumn id="9" name="E_HT4"/>
    <tableColumn id="10" name="E_TVA1"/>
    <tableColumn id="11" name="E_TVA2"/>
    <tableColumn id="12" name="E_TVA3"/>
    <tableColumn id="13" name="E_TVA4"/>
    <tableColumn id="14" name="E_HT_NON_TAXABLE"/>
    <tableColumn id="15" name="E_TTC"/>
    <tableColumn id="16" name="E_MDP_CB"/>
    <tableColumn id="17" name="E_MDP_ESPECES"/>
    <tableColumn id="18" name="E_MDP_CHEQU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EntetesCtrl" displayName="EntetesCtrl" ref="A1:X723" headerRowCount="1">
  <autoFilter ref="A1:X723"/>
  <tableColumns count="24">
    <tableColumn id="1" name="nomfichier"/>
    <tableColumn id="2" name="E_NUM_INTERNE"/>
    <tableColumn id="3" name="E_NUM_TICKET"/>
    <tableColumn id="4" name="E_DATE_TICKET"/>
    <tableColumn id="5" name="E_HEURE_TICKET"/>
    <tableColumn id="6" name="E_HT1"/>
    <tableColumn id="7" name="E_HT2"/>
    <tableColumn id="8" name="E_HT3"/>
    <tableColumn id="9" name="E_HT4"/>
    <tableColumn id="10" name="E_TVA1"/>
    <tableColumn id="11" name="E_TVA2"/>
    <tableColumn id="12" name="E_TVA3"/>
    <tableColumn id="13" name="E_TVA4"/>
    <tableColumn id="14" name="E_HT_NON_TAXABLE"/>
    <tableColumn id="15" name="E_TTC"/>
    <tableColumn id="16" name="E_MDP_CB"/>
    <tableColumn id="17" name="E_MDP_ESPECES"/>
    <tableColumn id="18" name="E_MDP_CHEQUES"/>
    <tableColumn id="19" name="AJ_TVA1_CALCULE"/>
    <tableColumn id="20" name="AJ_ECART_TVA1"/>
    <tableColumn id="21" name="AJ_TTC_CALCULE"/>
    <tableColumn id="22" name="AJ_ECART_TTC"/>
    <tableColumn id="23" name="AJ_SOLDE_DU"/>
    <tableColumn id="24" name="AJ_SOLDE_TOUS_MDP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EntetesSeq" displayName="EntetesSeq" ref="A1:H723" headerRowCount="1">
  <autoFilter ref="A1:H723"/>
  <tableColumns count="8">
    <tableColumn id="1" name="nomfichier"/>
    <tableColumn id="2" name="E_NUM_INTERNE"/>
    <tableColumn id="3" name="E_NUM_TICKET"/>
    <tableColumn id="4" name="E_DATE_TICKET"/>
    <tableColumn id="5" name="E_HEURE_TICKET"/>
    <tableColumn id="6" name="AJ_TROU_NUM_TICKET"/>
    <tableColumn id="7" name="AJ_TROU_NUM_INTERNE"/>
    <tableColumn id="8" name="OBSERVA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OccInt" displayName="OccInt" ref="A1:B723" headerRowCount="1">
  <autoFilter ref="A1:B723"/>
  <tableColumns count="2">
    <tableColumn id="1" name="E_NUM_INTERNE"/>
    <tableColumn id="2" name="COMPTER_E_NUM_INTERN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DupInt" displayName="DupInt" ref="A1:B2" headerRowCount="1">
  <autoFilter ref="A1:B2"/>
  <tableColumns count="2">
    <tableColumn id="1" name="E_NUM_INTERNE"/>
    <tableColumn id="2" name="COMPTER_E_NUM_INTERN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OccTicket" displayName="OccTicket" ref="A1:B723" headerRowCount="1">
  <autoFilter ref="A1:B723"/>
  <tableColumns count="2">
    <tableColumn id="1" name="E_NUM_TICKET"/>
    <tableColumn id="2" name="COMPTER_E_NUM_TICKE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DupTicket" displayName="DupTicket" ref="A1:B2" headerRowCount="1">
  <autoFilter ref="A1:B2"/>
  <tableColumns count="2">
    <tableColumn id="1" name="E_NUM_TICKET"/>
    <tableColumn id="2" name="COMPTER_E_NUM_TICKE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EntetesCplte" displayName="EntetesCplte" ref="A1:V723" headerRowCount="1">
  <autoFilter ref="A1:V723"/>
  <tableColumns count="22">
    <tableColumn id="1" name="nomfichier"/>
    <tableColumn id="2" name="E_NUM_INTERNE"/>
    <tableColumn id="3" name="E_NUM_TICKET"/>
    <tableColumn id="4" name="E_DATE_TICKET"/>
    <tableColumn id="5" name="E_HEURE_TICKET"/>
    <tableColumn id="6" name="E_HT1"/>
    <tableColumn id="7" name="E_HT2"/>
    <tableColumn id="8" name="E_HT3"/>
    <tableColumn id="9" name="E_HT4"/>
    <tableColumn id="10" name="E_TVA1"/>
    <tableColumn id="11" name="E_TVA2"/>
    <tableColumn id="12" name="E_TVA3"/>
    <tableColumn id="13" name="E_TVA4"/>
    <tableColumn id="14" name="E_HT_NON_TAXABLE"/>
    <tableColumn id="15" name="E_TTC"/>
    <tableColumn id="16" name="E_MDP_CB"/>
    <tableColumn id="17" name="E_MDP_ESPECES"/>
    <tableColumn id="18" name="E_MDP_CHEQUES"/>
    <tableColumn id="19" name="AJ_TOTAL_HT"/>
    <tableColumn id="20" name="AJ_TOTAL_TVA_20"/>
    <tableColumn id="21" name="AJ_ANNEE"/>
    <tableColumn id="22" name="AJ_MOI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EncMensuelTD" displayName="EncMensuelTD" ref="A1:F33" headerRowCount="1">
  <autoFilter ref="A1:F33"/>
  <tableColumns count="6">
    <tableColumn id="1" name="AJ_ANNEE"/>
    <tableColumn id="2" name="AJ_MOIS"/>
    <tableColumn id="3" name="SOMME_E_TTC"/>
    <tableColumn id="4" name="SOMME_E_MDP_CB"/>
    <tableColumn id="5" name="SOMME_E_MDP_CHEQUES"/>
    <tableColumn id="6" name="SOMME_E_MDP_ESPECE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EncMensuelCopie" displayName="EncMensuelCopie" ref="A1:F33" headerRowCount="1">
  <autoFilter ref="A1:F33"/>
  <tableColumns count="6">
    <tableColumn id="1" name="AJ_ANNEE"/>
    <tableColumn id="2" name="AJ_MOIS"/>
    <tableColumn id="3" name="SOMME_E_TTC"/>
    <tableColumn id="4" name="SOMME_E_MDP_CB"/>
    <tableColumn id="5" name="SOMME_E_MDP_CHEQUES"/>
    <tableColumn id="6" name="SOMME_E_MDP_ESPECE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RecMensuelTD" displayName="RecMensuelTD" ref="A1:E33" headerRowCount="1">
  <autoFilter ref="A1:E33"/>
  <tableColumns count="5">
    <tableColumn id="1" name="AJ_ANNEE"/>
    <tableColumn id="2" name="AJ_MOIS"/>
    <tableColumn id="3" name="SOMME_AJ_TOTAL_HT"/>
    <tableColumn id="4" name="SOMME_AJ_TOTAL_TVA_20"/>
    <tableColumn id="5" name="SOMME_E_TTC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RecMensuelCopie" displayName="RecMensuelCopie" ref="A1:E33" headerRowCount="1">
  <autoFilter ref="A1:E33"/>
  <tableColumns count="5">
    <tableColumn id="1" name="AJ_ANNEE"/>
    <tableColumn id="2" name="AJ_MOIS"/>
    <tableColumn id="3" name="SOMME_AJ_TOTAL_HT"/>
    <tableColumn id="4" name="SOMME_AJ_TOTAL_TVA_20"/>
    <tableColumn id="5" name="SOMME_E_TT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34" customHeight="1">
      <c r="A1" s="1" t="inlineStr">
        <is>
          <t>nomfichier</t>
        </is>
      </c>
      <c r="B1" s="1" t="inlineStr">
        <is>
          <t>E_NUM_INTERNE</t>
        </is>
      </c>
      <c r="C1" s="1" t="inlineStr">
        <is>
          <t>E_NUM_TICKET</t>
        </is>
      </c>
      <c r="D1" s="1" t="inlineStr">
        <is>
          <t>E_DATE_TICKET</t>
        </is>
      </c>
      <c r="E1" s="1" t="inlineStr">
        <is>
          <t>E_HEURE_TICKET</t>
        </is>
      </c>
      <c r="F1" s="1" t="inlineStr">
        <is>
          <t>E_HT1</t>
        </is>
      </c>
      <c r="G1" s="1" t="inlineStr">
        <is>
          <t>E_HT2</t>
        </is>
      </c>
      <c r="H1" s="1" t="inlineStr">
        <is>
          <t>E_HT3</t>
        </is>
      </c>
      <c r="I1" s="1" t="inlineStr">
        <is>
          <t>E_HT4</t>
        </is>
      </c>
      <c r="J1" s="1" t="inlineStr">
        <is>
          <t>E_TVA1</t>
        </is>
      </c>
      <c r="K1" s="1" t="inlineStr">
        <is>
          <t>E_TVA2</t>
        </is>
      </c>
      <c r="L1" s="1" t="inlineStr">
        <is>
          <t>E_TVA3</t>
        </is>
      </c>
      <c r="M1" s="1" t="inlineStr">
        <is>
          <t>E_TVA4</t>
        </is>
      </c>
      <c r="N1" s="1" t="inlineStr">
        <is>
          <t>E_HT_NON_TAXABLE</t>
        </is>
      </c>
      <c r="O1" s="1" t="inlineStr">
        <is>
          <t>E_TTC</t>
        </is>
      </c>
      <c r="P1" s="1" t="inlineStr">
        <is>
          <t>E_MDP_CB</t>
        </is>
      </c>
      <c r="Q1" s="1" t="inlineStr">
        <is>
          <t>E_MDP_ESPECES</t>
        </is>
      </c>
      <c r="R1" s="1" t="inlineStr">
        <is>
          <t>E_MDP_CHEQUES</t>
        </is>
      </c>
    </row>
    <row r="2">
      <c r="A2" s="2" t="inlineStr">
        <is>
          <t>EJ010223.TXT</t>
        </is>
      </c>
      <c r="B2" s="3" t="inlineStr">
        <is>
          <t>000977</t>
        </is>
      </c>
      <c r="C2" s="3" t="inlineStr">
        <is>
          <t>000609</t>
        </is>
      </c>
      <c r="D2" s="4" t="n">
        <v>44930</v>
      </c>
      <c r="E2" s="2" t="inlineStr">
        <is>
          <t>12:01</t>
        </is>
      </c>
      <c r="F2" s="5" t="n">
        <v>747.5</v>
      </c>
      <c r="G2" s="5" t="n"/>
      <c r="H2" s="5" t="n"/>
      <c r="I2" s="5" t="n"/>
      <c r="J2" s="5" t="n">
        <v>149.5</v>
      </c>
      <c r="K2" s="5" t="n"/>
      <c r="L2" s="5" t="n"/>
      <c r="M2" s="5" t="n"/>
      <c r="N2" s="5" t="n"/>
      <c r="O2" s="5" t="n">
        <v>897</v>
      </c>
      <c r="P2" s="5" t="n"/>
      <c r="Q2" s="5" t="n">
        <v>897</v>
      </c>
      <c r="R2" s="5" t="n"/>
    </row>
    <row r="3">
      <c r="A3" s="2" t="inlineStr">
        <is>
          <t>EJ010223.TXT</t>
        </is>
      </c>
      <c r="B3" s="3" t="inlineStr">
        <is>
          <t>000978</t>
        </is>
      </c>
      <c r="C3" s="3" t="inlineStr">
        <is>
          <t>000610</t>
        </is>
      </c>
      <c r="D3" s="4" t="n">
        <v>44932</v>
      </c>
      <c r="E3" s="2" t="inlineStr">
        <is>
          <t>11:30</t>
        </is>
      </c>
      <c r="F3" s="5" t="n">
        <v>498.33</v>
      </c>
      <c r="G3" s="5" t="n"/>
      <c r="H3" s="5" t="n"/>
      <c r="I3" s="5" t="n"/>
      <c r="J3" s="5" t="n">
        <v>99.67</v>
      </c>
      <c r="K3" s="5" t="n"/>
      <c r="L3" s="5" t="n"/>
      <c r="M3" s="5" t="n"/>
      <c r="N3" s="5" t="n"/>
      <c r="O3" s="5" t="n">
        <v>598</v>
      </c>
      <c r="P3" s="5" t="n">
        <v>598</v>
      </c>
      <c r="Q3" s="5" t="n"/>
      <c r="R3" s="5" t="n"/>
    </row>
    <row r="4">
      <c r="A4" s="2" t="inlineStr">
        <is>
          <t>EJ010223.TXT</t>
        </is>
      </c>
      <c r="B4" s="3" t="inlineStr">
        <is>
          <t>000979</t>
        </is>
      </c>
      <c r="C4" s="3" t="inlineStr">
        <is>
          <t>000611</t>
        </is>
      </c>
      <c r="D4" s="4" t="n">
        <v>44932</v>
      </c>
      <c r="E4" s="2" t="inlineStr">
        <is>
          <t>13:38</t>
        </is>
      </c>
      <c r="F4" s="5" t="n">
        <v>483.33</v>
      </c>
      <c r="G4" s="5" t="n"/>
      <c r="H4" s="5" t="n"/>
      <c r="I4" s="5" t="n"/>
      <c r="J4" s="5" t="n">
        <v>96.67</v>
      </c>
      <c r="K4" s="5" t="n"/>
      <c r="L4" s="5" t="n"/>
      <c r="M4" s="5" t="n"/>
      <c r="N4" s="5" t="n"/>
      <c r="O4" s="5" t="n">
        <v>580</v>
      </c>
      <c r="P4" s="5" t="n">
        <v>580</v>
      </c>
      <c r="Q4" s="5" t="n"/>
      <c r="R4" s="5" t="n"/>
    </row>
    <row r="5">
      <c r="A5" s="2" t="inlineStr">
        <is>
          <t>EJ010223.TXT</t>
        </is>
      </c>
      <c r="B5" s="3" t="inlineStr">
        <is>
          <t>000980</t>
        </is>
      </c>
      <c r="C5" s="3" t="inlineStr">
        <is>
          <t>000612</t>
        </is>
      </c>
      <c r="D5" s="4" t="n">
        <v>44932</v>
      </c>
      <c r="E5" s="2" t="inlineStr">
        <is>
          <t>13:38</t>
        </is>
      </c>
      <c r="F5" s="5" t="n">
        <v>1450</v>
      </c>
      <c r="G5" s="5" t="n"/>
      <c r="H5" s="5" t="n"/>
      <c r="I5" s="5" t="n"/>
      <c r="J5" s="5" t="n">
        <v>290</v>
      </c>
      <c r="K5" s="5" t="n"/>
      <c r="L5" s="5" t="n"/>
      <c r="M5" s="5" t="n"/>
      <c r="N5" s="5" t="n"/>
      <c r="O5" s="5" t="n">
        <v>1740</v>
      </c>
      <c r="P5" s="5" t="n">
        <v>1740</v>
      </c>
      <c r="Q5" s="5" t="n"/>
      <c r="R5" s="5" t="n"/>
    </row>
    <row r="6">
      <c r="A6" s="2" t="inlineStr">
        <is>
          <t>EJ010223.TXT</t>
        </is>
      </c>
      <c r="B6" s="3" t="inlineStr">
        <is>
          <t>000981</t>
        </is>
      </c>
      <c r="C6" s="3" t="inlineStr">
        <is>
          <t>000613</t>
        </is>
      </c>
      <c r="D6" s="4" t="n">
        <v>44932</v>
      </c>
      <c r="E6" s="2" t="inlineStr">
        <is>
          <t>13:58</t>
        </is>
      </c>
      <c r="F6" s="5" t="n">
        <v>1450</v>
      </c>
      <c r="G6" s="5" t="n"/>
      <c r="H6" s="5" t="n"/>
      <c r="I6" s="5" t="n"/>
      <c r="J6" s="5" t="n">
        <v>290</v>
      </c>
      <c r="K6" s="5" t="n"/>
      <c r="L6" s="5" t="n"/>
      <c r="M6" s="5" t="n"/>
      <c r="N6" s="5" t="n"/>
      <c r="O6" s="5" t="n">
        <v>1740</v>
      </c>
      <c r="P6" s="5" t="n">
        <v>1740</v>
      </c>
      <c r="Q6" s="5" t="n"/>
      <c r="R6" s="5" t="n"/>
    </row>
    <row r="7">
      <c r="A7" s="2" t="inlineStr">
        <is>
          <t>EJ010223.TXT</t>
        </is>
      </c>
      <c r="B7" s="3" t="inlineStr">
        <is>
          <t>000982</t>
        </is>
      </c>
      <c r="C7" s="3" t="inlineStr">
        <is>
          <t>000614</t>
        </is>
      </c>
      <c r="D7" s="4" t="n">
        <v>44932</v>
      </c>
      <c r="E7" s="2" t="inlineStr">
        <is>
          <t>13:59</t>
        </is>
      </c>
      <c r="F7" s="5" t="n">
        <v>2900</v>
      </c>
      <c r="G7" s="5" t="n"/>
      <c r="H7" s="5" t="n"/>
      <c r="I7" s="5" t="n"/>
      <c r="J7" s="5" t="n">
        <v>580</v>
      </c>
      <c r="K7" s="5" t="n"/>
      <c r="L7" s="5" t="n"/>
      <c r="M7" s="5" t="n"/>
      <c r="N7" s="5" t="n"/>
      <c r="O7" s="5" t="n">
        <v>3480</v>
      </c>
      <c r="P7" s="5" t="n">
        <v>3480</v>
      </c>
      <c r="Q7" s="5" t="n"/>
      <c r="R7" s="5" t="n"/>
    </row>
    <row r="8">
      <c r="A8" s="2" t="inlineStr">
        <is>
          <t>EJ010223.TXT</t>
        </is>
      </c>
      <c r="B8" s="3" t="inlineStr">
        <is>
          <t>000983</t>
        </is>
      </c>
      <c r="C8" s="3" t="inlineStr">
        <is>
          <t>000615</t>
        </is>
      </c>
      <c r="D8" s="4" t="n">
        <v>44937</v>
      </c>
      <c r="E8" s="2" t="inlineStr">
        <is>
          <t>12:38</t>
        </is>
      </c>
      <c r="F8" s="5" t="n">
        <v>73.33</v>
      </c>
      <c r="G8" s="5" t="n"/>
      <c r="H8" s="5" t="n"/>
      <c r="I8" s="5" t="n"/>
      <c r="J8" s="5" t="n">
        <v>14.67</v>
      </c>
      <c r="K8" s="5" t="n"/>
      <c r="L8" s="5" t="n"/>
      <c r="M8" s="5" t="n"/>
      <c r="N8" s="5" t="n"/>
      <c r="O8" s="5" t="n">
        <v>88</v>
      </c>
      <c r="P8" s="5" t="n">
        <v>88</v>
      </c>
      <c r="Q8" s="5" t="n"/>
      <c r="R8" s="5" t="n"/>
    </row>
    <row r="9">
      <c r="A9" s="2" t="inlineStr">
        <is>
          <t>EJ010223.TXT</t>
        </is>
      </c>
      <c r="B9" s="3" t="inlineStr">
        <is>
          <t>000984</t>
        </is>
      </c>
      <c r="C9" s="3" t="inlineStr">
        <is>
          <t>000616</t>
        </is>
      </c>
      <c r="D9" s="4" t="n">
        <v>44937</v>
      </c>
      <c r="E9" s="2" t="inlineStr">
        <is>
          <t>14:46</t>
        </is>
      </c>
      <c r="F9" s="5" t="n">
        <v>311.5</v>
      </c>
      <c r="G9" s="5" t="n"/>
      <c r="H9" s="5" t="n"/>
      <c r="I9" s="5" t="n"/>
      <c r="J9" s="5" t="n">
        <v>62.3</v>
      </c>
      <c r="K9" s="5" t="n"/>
      <c r="L9" s="5" t="n"/>
      <c r="M9" s="5" t="n"/>
      <c r="N9" s="5" t="n"/>
      <c r="O9" s="5" t="n">
        <v>373.8</v>
      </c>
      <c r="P9" s="5" t="n">
        <v>373.8</v>
      </c>
      <c r="Q9" s="5" t="n"/>
      <c r="R9" s="5" t="n"/>
    </row>
    <row r="10">
      <c r="A10" s="2" t="inlineStr">
        <is>
          <t>EJ010223.TXT</t>
        </is>
      </c>
      <c r="B10" s="3" t="inlineStr">
        <is>
          <t>000985</t>
        </is>
      </c>
      <c r="C10" s="3" t="inlineStr">
        <is>
          <t>000617</t>
        </is>
      </c>
      <c r="D10" s="4" t="n">
        <v>44939</v>
      </c>
      <c r="E10" s="2" t="inlineStr">
        <is>
          <t>10:27</t>
        </is>
      </c>
      <c r="F10" s="5" t="n">
        <v>249.17</v>
      </c>
      <c r="G10" s="5" t="n"/>
      <c r="H10" s="5" t="n"/>
      <c r="I10" s="5" t="n"/>
      <c r="J10" s="5" t="n">
        <v>49.83</v>
      </c>
      <c r="K10" s="5" t="n"/>
      <c r="L10" s="5" t="n"/>
      <c r="M10" s="5" t="n"/>
      <c r="N10" s="5" t="n"/>
      <c r="O10" s="5" t="n">
        <v>299</v>
      </c>
      <c r="P10" s="5" t="n">
        <v>299</v>
      </c>
      <c r="Q10" s="5" t="n"/>
      <c r="R10" s="5" t="n"/>
    </row>
    <row r="11">
      <c r="A11" s="2" t="inlineStr">
        <is>
          <t>EJ010223.TXT</t>
        </is>
      </c>
      <c r="B11" s="3" t="inlineStr">
        <is>
          <t>000986</t>
        </is>
      </c>
      <c r="C11" s="3" t="inlineStr">
        <is>
          <t>000618</t>
        </is>
      </c>
      <c r="D11" s="4" t="n">
        <v>44939</v>
      </c>
      <c r="E11" s="2" t="inlineStr">
        <is>
          <t>10:48</t>
        </is>
      </c>
      <c r="F11" s="5" t="n">
        <v>146.67</v>
      </c>
      <c r="G11" s="5" t="n"/>
      <c r="H11" s="5" t="n"/>
      <c r="I11" s="5" t="n"/>
      <c r="J11" s="5" t="n">
        <v>29.33</v>
      </c>
      <c r="K11" s="5" t="n"/>
      <c r="L11" s="5" t="n"/>
      <c r="M11" s="5" t="n"/>
      <c r="N11" s="5" t="n"/>
      <c r="O11" s="5" t="n">
        <v>176</v>
      </c>
      <c r="P11" s="5" t="n">
        <v>176</v>
      </c>
      <c r="Q11" s="5" t="n"/>
      <c r="R11" s="5" t="n"/>
    </row>
    <row r="12">
      <c r="A12" s="2" t="inlineStr">
        <is>
          <t>EJ010223.TXT</t>
        </is>
      </c>
      <c r="B12" s="3" t="inlineStr">
        <is>
          <t>000987</t>
        </is>
      </c>
      <c r="C12" s="3" t="inlineStr">
        <is>
          <t>000619</t>
        </is>
      </c>
      <c r="D12" s="4" t="n">
        <v>44939</v>
      </c>
      <c r="E12" s="2" t="inlineStr">
        <is>
          <t>13:05</t>
        </is>
      </c>
      <c r="F12" s="5" t="n">
        <v>498.33</v>
      </c>
      <c r="G12" s="5" t="n"/>
      <c r="H12" s="5" t="n"/>
      <c r="I12" s="5" t="n"/>
      <c r="J12" s="5" t="n">
        <v>99.67</v>
      </c>
      <c r="K12" s="5" t="n"/>
      <c r="L12" s="5" t="n"/>
      <c r="M12" s="5" t="n"/>
      <c r="N12" s="5" t="n"/>
      <c r="O12" s="5" t="n">
        <v>598</v>
      </c>
      <c r="P12" s="5" t="n">
        <v>598</v>
      </c>
      <c r="Q12" s="5" t="n"/>
      <c r="R12" s="5" t="n"/>
    </row>
    <row r="13">
      <c r="A13" s="2" t="inlineStr">
        <is>
          <t>EJ010223.TXT</t>
        </is>
      </c>
      <c r="B13" s="3" t="inlineStr">
        <is>
          <t>000988</t>
        </is>
      </c>
      <c r="C13" s="3" t="inlineStr">
        <is>
          <t>000620</t>
        </is>
      </c>
      <c r="D13" s="4" t="n">
        <v>44940</v>
      </c>
      <c r="E13" s="2" t="inlineStr">
        <is>
          <t>16:39</t>
        </is>
      </c>
      <c r="F13" s="5" t="n">
        <v>498.33</v>
      </c>
      <c r="G13" s="5" t="n"/>
      <c r="H13" s="5" t="n"/>
      <c r="I13" s="5" t="n"/>
      <c r="J13" s="5" t="n">
        <v>99.67</v>
      </c>
      <c r="K13" s="5" t="n"/>
      <c r="L13" s="5" t="n"/>
      <c r="M13" s="5" t="n"/>
      <c r="N13" s="5" t="n"/>
      <c r="O13" s="5" t="n">
        <v>598</v>
      </c>
      <c r="P13" s="5" t="n">
        <v>598</v>
      </c>
      <c r="Q13" s="5" t="n"/>
      <c r="R13" s="5" t="n"/>
    </row>
    <row r="14">
      <c r="A14" s="2" t="inlineStr">
        <is>
          <t>EJ010223.TXT</t>
        </is>
      </c>
      <c r="B14" s="3" t="inlineStr">
        <is>
          <t>000989</t>
        </is>
      </c>
      <c r="C14" s="3" t="inlineStr">
        <is>
          <t>000621</t>
        </is>
      </c>
      <c r="D14" s="4" t="n">
        <v>44940</v>
      </c>
      <c r="E14" s="2" t="inlineStr">
        <is>
          <t>16:53</t>
        </is>
      </c>
      <c r="F14" s="5" t="n">
        <v>288.33</v>
      </c>
      <c r="G14" s="5" t="n"/>
      <c r="H14" s="5" t="n"/>
      <c r="I14" s="5" t="n"/>
      <c r="J14" s="5" t="n">
        <v>57.67</v>
      </c>
      <c r="K14" s="5" t="n"/>
      <c r="L14" s="5" t="n"/>
      <c r="M14" s="5" t="n"/>
      <c r="N14" s="5" t="n"/>
      <c r="O14" s="5" t="n">
        <v>346</v>
      </c>
      <c r="P14" s="5" t="n">
        <v>346</v>
      </c>
      <c r="Q14" s="5" t="n"/>
      <c r="R14" s="5" t="n"/>
    </row>
    <row r="15">
      <c r="A15" s="2" t="inlineStr">
        <is>
          <t>EJ010223.TXT</t>
        </is>
      </c>
      <c r="B15" s="3" t="inlineStr">
        <is>
          <t>000990</t>
        </is>
      </c>
      <c r="C15" s="3" t="inlineStr">
        <is>
          <t>000622</t>
        </is>
      </c>
      <c r="D15" s="4" t="n">
        <v>44942</v>
      </c>
      <c r="E15" s="2" t="inlineStr">
        <is>
          <t>17:36</t>
        </is>
      </c>
      <c r="F15" s="5" t="n">
        <v>658.33</v>
      </c>
      <c r="G15" s="5" t="n"/>
      <c r="H15" s="5" t="n"/>
      <c r="I15" s="5" t="n"/>
      <c r="J15" s="5" t="n">
        <v>131.67</v>
      </c>
      <c r="K15" s="5" t="n"/>
      <c r="L15" s="5" t="n"/>
      <c r="M15" s="5" t="n"/>
      <c r="N15" s="5" t="n"/>
      <c r="O15" s="5" t="n">
        <v>790</v>
      </c>
      <c r="P15" s="5" t="n"/>
      <c r="Q15" s="5" t="n">
        <v>790</v>
      </c>
      <c r="R15" s="5" t="n"/>
    </row>
    <row r="16">
      <c r="A16" s="2" t="inlineStr">
        <is>
          <t>EJ010223.TXT</t>
        </is>
      </c>
      <c r="B16" s="3" t="inlineStr">
        <is>
          <t>000991</t>
        </is>
      </c>
      <c r="C16" s="3" t="inlineStr">
        <is>
          <t>000623</t>
        </is>
      </c>
      <c r="D16" s="4" t="n">
        <v>44942</v>
      </c>
      <c r="E16" s="2" t="inlineStr">
        <is>
          <t>17:44</t>
        </is>
      </c>
      <c r="F16" s="5" t="n">
        <v>241.67</v>
      </c>
      <c r="G16" s="5" t="n"/>
      <c r="H16" s="5" t="n"/>
      <c r="I16" s="5" t="n"/>
      <c r="J16" s="5" t="n">
        <v>48.33</v>
      </c>
      <c r="K16" s="5" t="n"/>
      <c r="L16" s="5" t="n"/>
      <c r="M16" s="5" t="n"/>
      <c r="N16" s="5" t="n"/>
      <c r="O16" s="5" t="n">
        <v>290</v>
      </c>
      <c r="P16" s="5" t="n"/>
      <c r="Q16" s="5" t="n">
        <v>290</v>
      </c>
      <c r="R16" s="5" t="n"/>
    </row>
    <row r="17">
      <c r="A17" s="2" t="inlineStr">
        <is>
          <t>EJ010223.TXT</t>
        </is>
      </c>
      <c r="B17" s="3" t="inlineStr">
        <is>
          <t>000992</t>
        </is>
      </c>
      <c r="C17" s="3" t="inlineStr">
        <is>
          <t>000624</t>
        </is>
      </c>
      <c r="D17" s="4" t="n">
        <v>44942</v>
      </c>
      <c r="E17" s="2" t="inlineStr">
        <is>
          <t>17:44</t>
        </is>
      </c>
      <c r="F17" s="5" t="n">
        <v>241.67</v>
      </c>
      <c r="G17" s="5" t="n"/>
      <c r="H17" s="5" t="n"/>
      <c r="I17" s="5" t="n"/>
      <c r="J17" s="5" t="n">
        <v>48.33</v>
      </c>
      <c r="K17" s="5" t="n"/>
      <c r="L17" s="5" t="n"/>
      <c r="M17" s="5" t="n"/>
      <c r="N17" s="5" t="n"/>
      <c r="O17" s="5" t="n">
        <v>290</v>
      </c>
      <c r="P17" s="5" t="n"/>
      <c r="Q17" s="5" t="n">
        <v>290</v>
      </c>
      <c r="R17" s="5" t="n"/>
    </row>
    <row r="18">
      <c r="A18" s="2" t="inlineStr">
        <is>
          <t>EJ010223.TXT</t>
        </is>
      </c>
      <c r="B18" s="3" t="inlineStr">
        <is>
          <t>000993</t>
        </is>
      </c>
      <c r="C18" s="3" t="inlineStr">
        <is>
          <t>000625</t>
        </is>
      </c>
      <c r="D18" s="4" t="n">
        <v>44942</v>
      </c>
      <c r="E18" s="2" t="inlineStr">
        <is>
          <t>17:44</t>
        </is>
      </c>
      <c r="F18" s="5" t="n">
        <v>241.67</v>
      </c>
      <c r="G18" s="5" t="n"/>
      <c r="H18" s="5" t="n"/>
      <c r="I18" s="5" t="n"/>
      <c r="J18" s="5" t="n">
        <v>48.33</v>
      </c>
      <c r="K18" s="5" t="n"/>
      <c r="L18" s="5" t="n"/>
      <c r="M18" s="5" t="n"/>
      <c r="N18" s="5" t="n"/>
      <c r="O18" s="5" t="n">
        <v>290</v>
      </c>
      <c r="P18" s="5" t="n"/>
      <c r="Q18" s="5" t="n">
        <v>290</v>
      </c>
      <c r="R18" s="5" t="n"/>
    </row>
    <row r="19">
      <c r="A19" s="2" t="inlineStr">
        <is>
          <t>EJ010223.TXT</t>
        </is>
      </c>
      <c r="B19" s="3" t="inlineStr">
        <is>
          <t>000994</t>
        </is>
      </c>
      <c r="C19" s="3" t="inlineStr">
        <is>
          <t>000626</t>
        </is>
      </c>
      <c r="D19" s="4" t="n">
        <v>44943</v>
      </c>
      <c r="E19" s="2" t="inlineStr">
        <is>
          <t>10:05</t>
        </is>
      </c>
      <c r="F19" s="5" t="n">
        <v>747.5</v>
      </c>
      <c r="G19" s="5" t="n"/>
      <c r="H19" s="5" t="n"/>
      <c r="I19" s="5" t="n"/>
      <c r="J19" s="5" t="n">
        <v>149.5</v>
      </c>
      <c r="K19" s="5" t="n"/>
      <c r="L19" s="5" t="n"/>
      <c r="M19" s="5" t="n"/>
      <c r="N19" s="5" t="n"/>
      <c r="O19" s="5" t="n">
        <v>897</v>
      </c>
      <c r="P19" s="5" t="n">
        <v>897</v>
      </c>
      <c r="Q19" s="5" t="n"/>
      <c r="R19" s="5" t="n"/>
    </row>
    <row r="20">
      <c r="A20" s="2" t="inlineStr">
        <is>
          <t>EJ010223.TXT</t>
        </is>
      </c>
      <c r="B20" s="3" t="inlineStr">
        <is>
          <t>000995</t>
        </is>
      </c>
      <c r="C20" s="3" t="inlineStr">
        <is>
          <t>000627</t>
        </is>
      </c>
      <c r="D20" s="4" t="n">
        <v>44943</v>
      </c>
      <c r="E20" s="2" t="inlineStr">
        <is>
          <t>11:17</t>
        </is>
      </c>
      <c r="F20" s="5" t="n">
        <v>115.83</v>
      </c>
      <c r="G20" s="5" t="n"/>
      <c r="H20" s="5" t="n"/>
      <c r="I20" s="5" t="n"/>
      <c r="J20" s="5" t="n">
        <v>23.17</v>
      </c>
      <c r="K20" s="5" t="n"/>
      <c r="L20" s="5" t="n"/>
      <c r="M20" s="5" t="n"/>
      <c r="N20" s="5" t="n"/>
      <c r="O20" s="5" t="n">
        <v>139</v>
      </c>
      <c r="P20" s="5" t="n">
        <v>139</v>
      </c>
      <c r="Q20" s="5" t="n"/>
      <c r="R20" s="5" t="n"/>
    </row>
    <row r="21">
      <c r="A21" s="2" t="inlineStr">
        <is>
          <t>EJ010223.TXT</t>
        </is>
      </c>
      <c r="B21" s="3" t="inlineStr">
        <is>
          <t>000996</t>
        </is>
      </c>
      <c r="C21" s="3" t="inlineStr">
        <is>
          <t>000628</t>
        </is>
      </c>
      <c r="D21" s="4" t="n">
        <v>44943</v>
      </c>
      <c r="E21" s="2" t="inlineStr">
        <is>
          <t>11:23</t>
        </is>
      </c>
      <c r="F21" s="5" t="n">
        <v>2900</v>
      </c>
      <c r="G21" s="5" t="n"/>
      <c r="H21" s="5" t="n"/>
      <c r="I21" s="5" t="n"/>
      <c r="J21" s="5" t="n">
        <v>580</v>
      </c>
      <c r="K21" s="5" t="n"/>
      <c r="L21" s="5" t="n"/>
      <c r="M21" s="5" t="n"/>
      <c r="N21" s="5" t="n"/>
      <c r="O21" s="5" t="n">
        <v>3480</v>
      </c>
      <c r="P21" s="5" t="n">
        <v>3480</v>
      </c>
      <c r="Q21" s="5" t="n"/>
      <c r="R21" s="5" t="n"/>
    </row>
    <row r="22">
      <c r="A22" s="2" t="inlineStr">
        <is>
          <t>EJ010223.TXT</t>
        </is>
      </c>
      <c r="B22" s="3" t="inlineStr">
        <is>
          <t>000997</t>
        </is>
      </c>
      <c r="C22" s="3" t="inlineStr">
        <is>
          <t>000629</t>
        </is>
      </c>
      <c r="D22" s="4" t="n">
        <v>44943</v>
      </c>
      <c r="E22" s="2" t="inlineStr">
        <is>
          <t>12:30</t>
        </is>
      </c>
      <c r="F22" s="5" t="n">
        <v>144.17</v>
      </c>
      <c r="G22" s="5" t="n"/>
      <c r="H22" s="5" t="n"/>
      <c r="I22" s="5" t="n"/>
      <c r="J22" s="5" t="n">
        <v>28.83</v>
      </c>
      <c r="K22" s="5" t="n"/>
      <c r="L22" s="5" t="n"/>
      <c r="M22" s="5" t="n"/>
      <c r="N22" s="5" t="n"/>
      <c r="O22" s="5" t="n">
        <v>173</v>
      </c>
      <c r="P22" s="5" t="n">
        <v>173</v>
      </c>
      <c r="Q22" s="5" t="n"/>
      <c r="R22" s="5" t="n"/>
    </row>
    <row r="23">
      <c r="A23" s="2" t="inlineStr">
        <is>
          <t>EJ010223.TXT</t>
        </is>
      </c>
      <c r="B23" s="3" t="inlineStr">
        <is>
          <t>000998</t>
        </is>
      </c>
      <c r="C23" s="3" t="inlineStr">
        <is>
          <t>000630</t>
        </is>
      </c>
      <c r="D23" s="4" t="n">
        <v>44943</v>
      </c>
      <c r="E23" s="2" t="inlineStr">
        <is>
          <t>13:47</t>
        </is>
      </c>
      <c r="F23" s="5" t="n">
        <v>498.33</v>
      </c>
      <c r="G23" s="5" t="n"/>
      <c r="H23" s="5" t="n"/>
      <c r="I23" s="5" t="n"/>
      <c r="J23" s="5" t="n">
        <v>99.67</v>
      </c>
      <c r="K23" s="5" t="n"/>
      <c r="L23" s="5" t="n"/>
      <c r="M23" s="5" t="n"/>
      <c r="N23" s="5" t="n"/>
      <c r="O23" s="5" t="n">
        <v>598</v>
      </c>
      <c r="P23" s="5" t="n"/>
      <c r="Q23" s="5" t="n">
        <v>598</v>
      </c>
      <c r="R23" s="5" t="n"/>
    </row>
    <row r="24">
      <c r="A24" s="2" t="inlineStr">
        <is>
          <t>EJ010223.TXT</t>
        </is>
      </c>
      <c r="B24" s="3" t="inlineStr">
        <is>
          <t>000999</t>
        </is>
      </c>
      <c r="C24" s="3" t="inlineStr">
        <is>
          <t>000631</t>
        </is>
      </c>
      <c r="D24" s="4" t="n">
        <v>44944</v>
      </c>
      <c r="E24" s="2" t="inlineStr">
        <is>
          <t>12:59</t>
        </is>
      </c>
      <c r="F24" s="5" t="n">
        <v>149</v>
      </c>
      <c r="G24" s="5" t="n"/>
      <c r="H24" s="5" t="n"/>
      <c r="I24" s="5" t="n"/>
      <c r="J24" s="5" t="n">
        <v>29.8</v>
      </c>
      <c r="K24" s="5" t="n"/>
      <c r="L24" s="5" t="n"/>
      <c r="M24" s="5" t="n"/>
      <c r="N24" s="5" t="n"/>
      <c r="O24" s="5" t="n">
        <v>178.8</v>
      </c>
      <c r="P24" s="5" t="n">
        <v>178.8</v>
      </c>
      <c r="Q24" s="5" t="n"/>
      <c r="R24" s="5" t="n"/>
    </row>
    <row r="25">
      <c r="A25" s="2" t="inlineStr">
        <is>
          <t>EJ010223.TXT</t>
        </is>
      </c>
      <c r="B25" s="3" t="inlineStr">
        <is>
          <t>001000</t>
        </is>
      </c>
      <c r="C25" s="3" t="inlineStr">
        <is>
          <t>000632</t>
        </is>
      </c>
      <c r="D25" s="4" t="n">
        <v>44944</v>
      </c>
      <c r="E25" s="2" t="inlineStr">
        <is>
          <t>17:24</t>
        </is>
      </c>
      <c r="F25" s="5" t="n">
        <v>73.33</v>
      </c>
      <c r="G25" s="5" t="n"/>
      <c r="H25" s="5" t="n"/>
      <c r="I25" s="5" t="n"/>
      <c r="J25" s="5" t="n">
        <v>14.67</v>
      </c>
      <c r="K25" s="5" t="n"/>
      <c r="L25" s="5" t="n"/>
      <c r="M25" s="5" t="n"/>
      <c r="N25" s="5" t="n"/>
      <c r="O25" s="5" t="n">
        <v>88</v>
      </c>
      <c r="P25" s="5" t="n">
        <v>88</v>
      </c>
      <c r="Q25" s="5" t="n"/>
      <c r="R25" s="5" t="n"/>
    </row>
    <row r="26">
      <c r="A26" s="2" t="inlineStr">
        <is>
          <t>EJ010223.TXT</t>
        </is>
      </c>
      <c r="B26" s="3" t="inlineStr">
        <is>
          <t>001001</t>
        </is>
      </c>
      <c r="C26" s="3" t="inlineStr">
        <is>
          <t>000633</t>
        </is>
      </c>
      <c r="D26" s="4" t="n">
        <v>44945</v>
      </c>
      <c r="E26" s="2" t="inlineStr">
        <is>
          <t>12:34</t>
        </is>
      </c>
      <c r="F26" s="5" t="n">
        <v>498.33</v>
      </c>
      <c r="G26" s="5" t="n"/>
      <c r="H26" s="5" t="n"/>
      <c r="I26" s="5" t="n"/>
      <c r="J26" s="5" t="n">
        <v>99.67</v>
      </c>
      <c r="K26" s="5" t="n"/>
      <c r="L26" s="5" t="n"/>
      <c r="M26" s="5" t="n"/>
      <c r="N26" s="5" t="n"/>
      <c r="O26" s="5" t="n">
        <v>598</v>
      </c>
      <c r="P26" s="5" t="n"/>
      <c r="Q26" s="5" t="n">
        <v>598</v>
      </c>
      <c r="R26" s="5" t="n"/>
    </row>
    <row r="27">
      <c r="A27" s="2" t="inlineStr">
        <is>
          <t>EJ010223.TXT</t>
        </is>
      </c>
      <c r="B27" s="3" t="inlineStr">
        <is>
          <t>001002</t>
        </is>
      </c>
      <c r="C27" s="3" t="inlineStr">
        <is>
          <t>000634</t>
        </is>
      </c>
      <c r="D27" s="4" t="n">
        <v>44947</v>
      </c>
      <c r="E27" s="2" t="inlineStr">
        <is>
          <t>14:43</t>
        </is>
      </c>
      <c r="F27" s="5" t="n">
        <v>498.33</v>
      </c>
      <c r="G27" s="5" t="n"/>
      <c r="H27" s="5" t="n"/>
      <c r="I27" s="5" t="n"/>
      <c r="J27" s="5" t="n">
        <v>99.67</v>
      </c>
      <c r="K27" s="5" t="n"/>
      <c r="L27" s="5" t="n"/>
      <c r="M27" s="5" t="n"/>
      <c r="N27" s="5" t="n"/>
      <c r="O27" s="5" t="n">
        <v>598</v>
      </c>
      <c r="P27" s="5" t="n">
        <v>598</v>
      </c>
      <c r="Q27" s="5" t="n"/>
      <c r="R27" s="5" t="n"/>
    </row>
    <row r="28">
      <c r="A28" s="2" t="inlineStr">
        <is>
          <t>EJ010223.TXT</t>
        </is>
      </c>
      <c r="B28" s="3" t="inlineStr">
        <is>
          <t>001003</t>
        </is>
      </c>
      <c r="C28" s="3" t="inlineStr">
        <is>
          <t>000635</t>
        </is>
      </c>
      <c r="D28" s="4" t="n">
        <v>44951</v>
      </c>
      <c r="E28" s="2" t="inlineStr">
        <is>
          <t>09:58</t>
        </is>
      </c>
      <c r="F28" s="5" t="n">
        <v>249.17</v>
      </c>
      <c r="G28" s="5" t="n"/>
      <c r="H28" s="5" t="n"/>
      <c r="I28" s="5" t="n"/>
      <c r="J28" s="5" t="n">
        <v>49.83</v>
      </c>
      <c r="K28" s="5" t="n"/>
      <c r="L28" s="5" t="n"/>
      <c r="M28" s="5" t="n"/>
      <c r="N28" s="5" t="n"/>
      <c r="O28" s="5" t="n">
        <v>299</v>
      </c>
      <c r="P28" s="5" t="n"/>
      <c r="Q28" s="5" t="n">
        <v>299</v>
      </c>
      <c r="R28" s="5" t="n"/>
    </row>
    <row r="29">
      <c r="A29" s="2" t="inlineStr">
        <is>
          <t>EJ010223.TXT</t>
        </is>
      </c>
      <c r="B29" s="3" t="inlineStr">
        <is>
          <t>001004</t>
        </is>
      </c>
      <c r="C29" s="3" t="inlineStr">
        <is>
          <t>000636</t>
        </is>
      </c>
      <c r="D29" s="4" t="n">
        <v>44951</v>
      </c>
      <c r="E29" s="2" t="inlineStr">
        <is>
          <t>16:08</t>
        </is>
      </c>
      <c r="F29" s="5" t="n">
        <v>498.33</v>
      </c>
      <c r="G29" s="5" t="n"/>
      <c r="H29" s="5" t="n"/>
      <c r="I29" s="5" t="n"/>
      <c r="J29" s="5" t="n">
        <v>99.67</v>
      </c>
      <c r="K29" s="5" t="n"/>
      <c r="L29" s="5" t="n"/>
      <c r="M29" s="5" t="n"/>
      <c r="N29" s="5" t="n"/>
      <c r="O29" s="5" t="n">
        <v>598</v>
      </c>
      <c r="P29" s="5" t="n">
        <v>598</v>
      </c>
      <c r="Q29" s="5" t="n"/>
      <c r="R29" s="5" t="n"/>
    </row>
    <row r="30">
      <c r="A30" s="2" t="inlineStr">
        <is>
          <t>EJ010223.TXT</t>
        </is>
      </c>
      <c r="B30" s="3" t="inlineStr">
        <is>
          <t>001005</t>
        </is>
      </c>
      <c r="C30" s="3" t="inlineStr">
        <is>
          <t>000637</t>
        </is>
      </c>
      <c r="D30" s="4" t="n">
        <v>44951</v>
      </c>
      <c r="E30" s="2" t="inlineStr">
        <is>
          <t>16:46</t>
        </is>
      </c>
      <c r="F30" s="5" t="n">
        <v>498.33</v>
      </c>
      <c r="G30" s="5" t="n"/>
      <c r="H30" s="5" t="n"/>
      <c r="I30" s="5" t="n"/>
      <c r="J30" s="5" t="n">
        <v>99.67</v>
      </c>
      <c r="K30" s="5" t="n"/>
      <c r="L30" s="5" t="n"/>
      <c r="M30" s="5" t="n"/>
      <c r="N30" s="5" t="n"/>
      <c r="O30" s="5" t="n">
        <v>598</v>
      </c>
      <c r="P30" s="5" t="n"/>
      <c r="Q30" s="5" t="n">
        <v>598</v>
      </c>
      <c r="R30" s="5" t="n"/>
    </row>
    <row r="31">
      <c r="A31" s="2" t="inlineStr">
        <is>
          <t>EJ010223.TXT</t>
        </is>
      </c>
      <c r="B31" s="3" t="inlineStr">
        <is>
          <t>001006</t>
        </is>
      </c>
      <c r="C31" s="3" t="inlineStr">
        <is>
          <t>000638</t>
        </is>
      </c>
      <c r="D31" s="4" t="n">
        <v>44952</v>
      </c>
      <c r="E31" s="2" t="inlineStr">
        <is>
          <t>16:05</t>
        </is>
      </c>
      <c r="F31" s="5" t="n">
        <v>498.33</v>
      </c>
      <c r="G31" s="5" t="n"/>
      <c r="H31" s="5" t="n"/>
      <c r="I31" s="5" t="n"/>
      <c r="J31" s="5" t="n">
        <v>99.67</v>
      </c>
      <c r="K31" s="5" t="n"/>
      <c r="L31" s="5" t="n"/>
      <c r="M31" s="5" t="n"/>
      <c r="N31" s="5" t="n"/>
      <c r="O31" s="5" t="n">
        <v>598</v>
      </c>
      <c r="P31" s="5" t="n"/>
      <c r="Q31" s="5" t="n">
        <v>598</v>
      </c>
      <c r="R31" s="5" t="n"/>
    </row>
    <row r="32">
      <c r="A32" s="2" t="inlineStr">
        <is>
          <t>EJ010223.TXT</t>
        </is>
      </c>
      <c r="B32" s="3" t="inlineStr">
        <is>
          <t>001007</t>
        </is>
      </c>
      <c r="C32" s="3" t="inlineStr">
        <is>
          <t>000639</t>
        </is>
      </c>
      <c r="D32" s="4" t="n">
        <v>44953</v>
      </c>
      <c r="E32" s="2" t="inlineStr">
        <is>
          <t>13:19</t>
        </is>
      </c>
      <c r="F32" s="5" t="n">
        <v>498.33</v>
      </c>
      <c r="G32" s="5" t="n"/>
      <c r="H32" s="5" t="n"/>
      <c r="I32" s="5" t="n"/>
      <c r="J32" s="5" t="n">
        <v>99.67</v>
      </c>
      <c r="K32" s="5" t="n"/>
      <c r="L32" s="5" t="n"/>
      <c r="M32" s="5" t="n"/>
      <c r="N32" s="5" t="n"/>
      <c r="O32" s="5" t="n">
        <v>598</v>
      </c>
      <c r="P32" s="5" t="n">
        <v>598</v>
      </c>
      <c r="Q32" s="5" t="n"/>
      <c r="R32" s="5" t="n"/>
    </row>
    <row r="33">
      <c r="A33" s="2" t="inlineStr">
        <is>
          <t>EJ010223.TXT</t>
        </is>
      </c>
      <c r="B33" s="3" t="inlineStr">
        <is>
          <t>001008</t>
        </is>
      </c>
      <c r="C33" s="3" t="inlineStr">
        <is>
          <t>000640</t>
        </is>
      </c>
      <c r="D33" s="4" t="n">
        <v>44953</v>
      </c>
      <c r="E33" s="2" t="inlineStr">
        <is>
          <t>17:19</t>
        </is>
      </c>
      <c r="F33" s="5" t="n">
        <v>498.33</v>
      </c>
      <c r="G33" s="5" t="n"/>
      <c r="H33" s="5" t="n"/>
      <c r="I33" s="5" t="n"/>
      <c r="J33" s="5" t="n">
        <v>99.67</v>
      </c>
      <c r="K33" s="5" t="n"/>
      <c r="L33" s="5" t="n"/>
      <c r="M33" s="5" t="n"/>
      <c r="N33" s="5" t="n"/>
      <c r="O33" s="5" t="n">
        <v>598</v>
      </c>
      <c r="P33" s="5" t="n">
        <v>598</v>
      </c>
      <c r="Q33" s="5" t="n"/>
      <c r="R33" s="5" t="n"/>
    </row>
    <row r="34">
      <c r="A34" s="2" t="inlineStr">
        <is>
          <t>EJ010323.TXT</t>
        </is>
      </c>
      <c r="B34" s="3" t="inlineStr">
        <is>
          <t>001015</t>
        </is>
      </c>
      <c r="C34" s="3" t="inlineStr">
        <is>
          <t>000641</t>
        </is>
      </c>
      <c r="D34" s="4" t="n">
        <v>44958</v>
      </c>
      <c r="E34" s="2" t="inlineStr">
        <is>
          <t>15:26</t>
        </is>
      </c>
      <c r="F34" s="5" t="n">
        <v>24.83</v>
      </c>
      <c r="G34" s="5" t="n"/>
      <c r="H34" s="5" t="n"/>
      <c r="I34" s="5" t="n"/>
      <c r="J34" s="5" t="n">
        <v>4.97</v>
      </c>
      <c r="K34" s="5" t="n"/>
      <c r="L34" s="5" t="n"/>
      <c r="M34" s="5" t="n"/>
      <c r="N34" s="5" t="n"/>
      <c r="O34" s="5" t="n">
        <v>29.8</v>
      </c>
      <c r="P34" s="5" t="n"/>
      <c r="Q34" s="5" t="n">
        <v>29.8</v>
      </c>
      <c r="R34" s="5" t="n"/>
    </row>
    <row r="35">
      <c r="A35" s="2" t="inlineStr">
        <is>
          <t>EJ010323.TXT</t>
        </is>
      </c>
      <c r="B35" s="3" t="inlineStr">
        <is>
          <t>001017</t>
        </is>
      </c>
      <c r="C35" s="3" t="inlineStr">
        <is>
          <t>000642</t>
        </is>
      </c>
      <c r="D35" s="4" t="n">
        <v>44959</v>
      </c>
      <c r="E35" s="2" t="inlineStr">
        <is>
          <t>12:55</t>
        </is>
      </c>
      <c r="F35" s="5" t="n">
        <v>274.17</v>
      </c>
      <c r="G35" s="5" t="n"/>
      <c r="H35" s="5" t="n"/>
      <c r="I35" s="5" t="n"/>
      <c r="J35" s="5" t="n">
        <v>54.83</v>
      </c>
      <c r="K35" s="5" t="n"/>
      <c r="L35" s="5" t="n"/>
      <c r="M35" s="5" t="n"/>
      <c r="N35" s="5" t="n"/>
      <c r="O35" s="5" t="n">
        <v>329</v>
      </c>
      <c r="P35" s="5" t="n">
        <v>329</v>
      </c>
      <c r="Q35" s="5" t="n"/>
      <c r="R35" s="5" t="n"/>
    </row>
    <row r="36">
      <c r="A36" s="2" t="inlineStr">
        <is>
          <t>EJ010323.TXT</t>
        </is>
      </c>
      <c r="B36" s="3" t="inlineStr">
        <is>
          <t>001020</t>
        </is>
      </c>
      <c r="C36" s="3" t="inlineStr">
        <is>
          <t>000643</t>
        </is>
      </c>
      <c r="D36" s="4" t="n">
        <v>44959</v>
      </c>
      <c r="E36" s="2" t="inlineStr">
        <is>
          <t>14:04</t>
        </is>
      </c>
      <c r="F36" s="5" t="n">
        <v>274.17</v>
      </c>
      <c r="G36" s="5" t="n"/>
      <c r="H36" s="5" t="n"/>
      <c r="I36" s="5" t="n"/>
      <c r="J36" s="5" t="n">
        <v>54.83</v>
      </c>
      <c r="K36" s="5" t="n"/>
      <c r="L36" s="5" t="n"/>
      <c r="M36" s="5" t="n"/>
      <c r="N36" s="5" t="n"/>
      <c r="O36" s="5" t="n">
        <v>329</v>
      </c>
      <c r="P36" s="5" t="n"/>
      <c r="Q36" s="5" t="n">
        <v>329</v>
      </c>
      <c r="R36" s="5" t="n"/>
    </row>
    <row r="37">
      <c r="A37" s="2" t="inlineStr">
        <is>
          <t>EJ010323.TXT</t>
        </is>
      </c>
      <c r="B37" s="3" t="inlineStr">
        <is>
          <t>001021</t>
        </is>
      </c>
      <c r="C37" s="3" t="inlineStr">
        <is>
          <t>000644</t>
        </is>
      </c>
      <c r="D37" s="4" t="n">
        <v>44961</v>
      </c>
      <c r="E37" s="2" t="inlineStr">
        <is>
          <t>15:31</t>
        </is>
      </c>
      <c r="F37" s="5" t="n">
        <v>548.33</v>
      </c>
      <c r="G37" s="5" t="n"/>
      <c r="H37" s="5" t="n"/>
      <c r="I37" s="5" t="n"/>
      <c r="J37" s="5" t="n">
        <v>109.67</v>
      </c>
      <c r="K37" s="5" t="n"/>
      <c r="L37" s="5" t="n"/>
      <c r="M37" s="5" t="n"/>
      <c r="N37" s="5" t="n"/>
      <c r="O37" s="5" t="n">
        <v>658</v>
      </c>
      <c r="P37" s="5" t="n"/>
      <c r="Q37" s="5" t="n">
        <v>658</v>
      </c>
      <c r="R37" s="5" t="n"/>
    </row>
    <row r="38">
      <c r="A38" s="2" t="inlineStr">
        <is>
          <t>EJ010323.TXT</t>
        </is>
      </c>
      <c r="B38" s="3" t="inlineStr">
        <is>
          <t>001022</t>
        </is>
      </c>
      <c r="C38" s="3" t="inlineStr">
        <is>
          <t>000645</t>
        </is>
      </c>
      <c r="D38" s="4" t="n">
        <v>44961</v>
      </c>
      <c r="E38" s="2" t="inlineStr">
        <is>
          <t>15:34</t>
        </is>
      </c>
      <c r="F38" s="5" t="n">
        <v>548.33</v>
      </c>
      <c r="G38" s="5" t="n"/>
      <c r="H38" s="5" t="n"/>
      <c r="I38" s="5" t="n"/>
      <c r="J38" s="5" t="n">
        <v>109.67</v>
      </c>
      <c r="K38" s="5" t="n"/>
      <c r="L38" s="5" t="n"/>
      <c r="M38" s="5" t="n"/>
      <c r="N38" s="5" t="n"/>
      <c r="O38" s="5" t="n">
        <v>658</v>
      </c>
      <c r="P38" s="5" t="n">
        <v>658</v>
      </c>
      <c r="Q38" s="5" t="n"/>
      <c r="R38" s="5" t="n"/>
    </row>
    <row r="39">
      <c r="A39" s="2" t="inlineStr">
        <is>
          <t>EJ010323.TXT</t>
        </is>
      </c>
      <c r="B39" s="3" t="inlineStr">
        <is>
          <t>001023</t>
        </is>
      </c>
      <c r="C39" s="3" t="inlineStr">
        <is>
          <t>000646</t>
        </is>
      </c>
      <c r="D39" s="4" t="n">
        <v>44961</v>
      </c>
      <c r="E39" s="2" t="inlineStr">
        <is>
          <t>16:26</t>
        </is>
      </c>
      <c r="F39" s="5" t="n">
        <v>822.5</v>
      </c>
      <c r="G39" s="5" t="n"/>
      <c r="H39" s="5" t="n"/>
      <c r="I39" s="5" t="n"/>
      <c r="J39" s="5" t="n">
        <v>164.5</v>
      </c>
      <c r="K39" s="5" t="n"/>
      <c r="L39" s="5" t="n"/>
      <c r="M39" s="5" t="n"/>
      <c r="N39" s="5" t="n"/>
      <c r="O39" s="5" t="n">
        <v>987</v>
      </c>
      <c r="P39" s="5" t="n"/>
      <c r="Q39" s="5" t="n">
        <v>987</v>
      </c>
      <c r="R39" s="5" t="n"/>
    </row>
    <row r="40">
      <c r="A40" s="2" t="inlineStr">
        <is>
          <t>EJ010323.TXT</t>
        </is>
      </c>
      <c r="B40" s="3" t="inlineStr">
        <is>
          <t>001024</t>
        </is>
      </c>
      <c r="C40" s="3" t="inlineStr">
        <is>
          <t>000647</t>
        </is>
      </c>
      <c r="D40" s="4" t="n">
        <v>44961</v>
      </c>
      <c r="E40" s="2" t="inlineStr">
        <is>
          <t>16:35</t>
        </is>
      </c>
      <c r="F40" s="5" t="n">
        <v>548.33</v>
      </c>
      <c r="G40" s="5" t="n"/>
      <c r="H40" s="5" t="n"/>
      <c r="I40" s="5" t="n"/>
      <c r="J40" s="5" t="n">
        <v>109.67</v>
      </c>
      <c r="K40" s="5" t="n"/>
      <c r="L40" s="5" t="n"/>
      <c r="M40" s="5" t="n"/>
      <c r="N40" s="5" t="n"/>
      <c r="O40" s="5" t="n">
        <v>658</v>
      </c>
      <c r="P40" s="5" t="n">
        <v>658</v>
      </c>
      <c r="Q40" s="5" t="n"/>
      <c r="R40" s="5" t="n"/>
    </row>
    <row r="41">
      <c r="A41" s="2" t="inlineStr">
        <is>
          <t>EJ010323.TXT</t>
        </is>
      </c>
      <c r="B41" s="3" t="inlineStr">
        <is>
          <t>001025</t>
        </is>
      </c>
      <c r="C41" s="3" t="inlineStr">
        <is>
          <t>000648</t>
        </is>
      </c>
      <c r="D41" s="4" t="n">
        <v>44963</v>
      </c>
      <c r="E41" s="2" t="inlineStr">
        <is>
          <t>13:29</t>
        </is>
      </c>
      <c r="F41" s="5" t="n">
        <v>1495</v>
      </c>
      <c r="G41" s="5" t="n"/>
      <c r="H41" s="5" t="n"/>
      <c r="I41" s="5" t="n"/>
      <c r="J41" s="5" t="n">
        <v>299</v>
      </c>
      <c r="K41" s="5" t="n"/>
      <c r="L41" s="5" t="n"/>
      <c r="M41" s="5" t="n"/>
      <c r="N41" s="5" t="n"/>
      <c r="O41" s="5" t="n">
        <v>1794</v>
      </c>
      <c r="P41" s="5" t="n">
        <v>1794</v>
      </c>
      <c r="Q41" s="5" t="n"/>
      <c r="R41" s="5" t="n"/>
    </row>
    <row r="42">
      <c r="A42" s="2" t="inlineStr">
        <is>
          <t>EJ010323.TXT</t>
        </is>
      </c>
      <c r="B42" s="3" t="inlineStr">
        <is>
          <t>001026</t>
        </is>
      </c>
      <c r="C42" s="3" t="inlineStr">
        <is>
          <t>000649</t>
        </is>
      </c>
      <c r="D42" s="4" t="n">
        <v>44963</v>
      </c>
      <c r="E42" s="2" t="inlineStr">
        <is>
          <t>17:56</t>
        </is>
      </c>
      <c r="F42" s="5" t="n">
        <v>897.5</v>
      </c>
      <c r="G42" s="5" t="n"/>
      <c r="H42" s="5" t="n"/>
      <c r="I42" s="5" t="n"/>
      <c r="J42" s="5" t="n">
        <v>179.5</v>
      </c>
      <c r="K42" s="5" t="n"/>
      <c r="L42" s="5" t="n"/>
      <c r="M42" s="5" t="n"/>
      <c r="N42" s="5" t="n"/>
      <c r="O42" s="5" t="n">
        <v>1077</v>
      </c>
      <c r="P42" s="5" t="n"/>
      <c r="Q42" s="5" t="n">
        <v>1077</v>
      </c>
      <c r="R42" s="5" t="n"/>
    </row>
    <row r="43">
      <c r="A43" s="2" t="inlineStr">
        <is>
          <t>EJ010323.TXT</t>
        </is>
      </c>
      <c r="B43" s="3" t="inlineStr">
        <is>
          <t>001027</t>
        </is>
      </c>
      <c r="C43" s="3" t="inlineStr">
        <is>
          <t>000650</t>
        </is>
      </c>
      <c r="D43" s="4" t="n">
        <v>44966</v>
      </c>
      <c r="E43" s="2" t="inlineStr">
        <is>
          <t>15:16</t>
        </is>
      </c>
      <c r="F43" s="5" t="n">
        <v>548.33</v>
      </c>
      <c r="G43" s="5" t="n"/>
      <c r="H43" s="5" t="n"/>
      <c r="I43" s="5" t="n"/>
      <c r="J43" s="5" t="n">
        <v>109.67</v>
      </c>
      <c r="K43" s="5" t="n"/>
      <c r="L43" s="5" t="n"/>
      <c r="M43" s="5" t="n"/>
      <c r="N43" s="5" t="n"/>
      <c r="O43" s="5" t="n">
        <v>658</v>
      </c>
      <c r="P43" s="5" t="n">
        <v>58</v>
      </c>
      <c r="Q43" s="5" t="n">
        <v>600</v>
      </c>
      <c r="R43" s="5" t="n"/>
    </row>
    <row r="44">
      <c r="A44" s="2" t="inlineStr">
        <is>
          <t>EJ010323.TXT</t>
        </is>
      </c>
      <c r="B44" s="3" t="inlineStr">
        <is>
          <t>001029</t>
        </is>
      </c>
      <c r="C44" s="3" t="inlineStr">
        <is>
          <t>000651</t>
        </is>
      </c>
      <c r="D44" s="4" t="n">
        <v>44967</v>
      </c>
      <c r="E44" s="2" t="inlineStr">
        <is>
          <t>17:03</t>
        </is>
      </c>
      <c r="F44" s="5" t="n">
        <v>1449.17</v>
      </c>
      <c r="G44" s="5" t="n"/>
      <c r="H44" s="5" t="n"/>
      <c r="I44" s="5" t="n"/>
      <c r="J44" s="5" t="n">
        <v>289.83</v>
      </c>
      <c r="K44" s="5" t="n"/>
      <c r="L44" s="5" t="n"/>
      <c r="M44" s="5" t="n"/>
      <c r="N44" s="5" t="n"/>
      <c r="O44" s="5" t="n">
        <v>1739</v>
      </c>
      <c r="P44" s="5" t="n">
        <v>1739</v>
      </c>
      <c r="Q44" s="5" t="n"/>
      <c r="R44" s="5" t="n"/>
    </row>
    <row r="45">
      <c r="A45" s="2" t="inlineStr">
        <is>
          <t>EJ010323.TXT</t>
        </is>
      </c>
      <c r="B45" s="3" t="inlineStr">
        <is>
          <t>001030</t>
        </is>
      </c>
      <c r="C45" s="3" t="inlineStr">
        <is>
          <t>000652</t>
        </is>
      </c>
      <c r="D45" s="4" t="n">
        <v>44970</v>
      </c>
      <c r="E45" s="2" t="inlineStr">
        <is>
          <t>11:49</t>
        </is>
      </c>
      <c r="F45" s="5" t="n">
        <v>646.67</v>
      </c>
      <c r="G45" s="5" t="n"/>
      <c r="H45" s="5" t="n"/>
      <c r="I45" s="5" t="n"/>
      <c r="J45" s="5" t="n">
        <v>129.33</v>
      </c>
      <c r="K45" s="5" t="n"/>
      <c r="L45" s="5" t="n"/>
      <c r="M45" s="5" t="n"/>
      <c r="N45" s="5" t="n"/>
      <c r="O45" s="5" t="n">
        <v>776</v>
      </c>
      <c r="P45" s="5" t="n"/>
      <c r="Q45" s="5" t="n">
        <v>776</v>
      </c>
      <c r="R45" s="5" t="n"/>
    </row>
    <row r="46">
      <c r="A46" s="2" t="inlineStr">
        <is>
          <t>EJ010323.TXT</t>
        </is>
      </c>
      <c r="B46" s="3" t="inlineStr">
        <is>
          <t>001031</t>
        </is>
      </c>
      <c r="C46" s="3" t="inlineStr">
        <is>
          <t>000653</t>
        </is>
      </c>
      <c r="D46" s="4" t="n">
        <v>44972</v>
      </c>
      <c r="E46" s="2" t="inlineStr">
        <is>
          <t>10:22</t>
        </is>
      </c>
      <c r="F46" s="5" t="n">
        <v>1600</v>
      </c>
      <c r="G46" s="5" t="n"/>
      <c r="H46" s="5" t="n"/>
      <c r="I46" s="5" t="n"/>
      <c r="J46" s="5" t="n">
        <v>320</v>
      </c>
      <c r="K46" s="5" t="n"/>
      <c r="L46" s="5" t="n"/>
      <c r="M46" s="5" t="n"/>
      <c r="N46" s="5" t="n"/>
      <c r="O46" s="5" t="n">
        <v>1920</v>
      </c>
      <c r="P46" s="5" t="n">
        <v>920</v>
      </c>
      <c r="Q46" s="5" t="n">
        <v>1000</v>
      </c>
      <c r="R46" s="5" t="n"/>
    </row>
    <row r="47">
      <c r="A47" s="2" t="inlineStr">
        <is>
          <t>EJ010323.TXT</t>
        </is>
      </c>
      <c r="B47" s="3" t="inlineStr">
        <is>
          <t>001033</t>
        </is>
      </c>
      <c r="C47" s="3" t="inlineStr">
        <is>
          <t>000654</t>
        </is>
      </c>
      <c r="D47" s="4" t="n">
        <v>44972</v>
      </c>
      <c r="E47" s="2" t="inlineStr">
        <is>
          <t>10:50</t>
        </is>
      </c>
      <c r="F47" s="5" t="n">
        <v>274.17</v>
      </c>
      <c r="G47" s="5" t="n"/>
      <c r="H47" s="5" t="n"/>
      <c r="I47" s="5" t="n"/>
      <c r="J47" s="5" t="n">
        <v>54.83</v>
      </c>
      <c r="K47" s="5" t="n"/>
      <c r="L47" s="5" t="n"/>
      <c r="M47" s="5" t="n"/>
      <c r="N47" s="5" t="n"/>
      <c r="O47" s="5" t="n">
        <v>329</v>
      </c>
      <c r="P47" s="5" t="n"/>
      <c r="Q47" s="5" t="n"/>
      <c r="R47" s="5" t="n">
        <v>329</v>
      </c>
    </row>
    <row r="48">
      <c r="A48" s="2" t="inlineStr">
        <is>
          <t>EJ010323.TXT</t>
        </is>
      </c>
      <c r="B48" s="3" t="inlineStr">
        <is>
          <t>001034</t>
        </is>
      </c>
      <c r="C48" s="3" t="inlineStr">
        <is>
          <t>000655</t>
        </is>
      </c>
      <c r="D48" s="4" t="n">
        <v>44972</v>
      </c>
      <c r="E48" s="2" t="inlineStr">
        <is>
          <t>13:58</t>
        </is>
      </c>
      <c r="F48" s="5" t="n">
        <v>465</v>
      </c>
      <c r="G48" s="5" t="n"/>
      <c r="H48" s="5" t="n"/>
      <c r="I48" s="5" t="n"/>
      <c r="J48" s="5" t="n">
        <v>93</v>
      </c>
      <c r="K48" s="5" t="n"/>
      <c r="L48" s="5" t="n"/>
      <c r="M48" s="5" t="n"/>
      <c r="N48" s="5" t="n"/>
      <c r="O48" s="5" t="n">
        <v>558</v>
      </c>
      <c r="P48" s="5" t="n">
        <v>558</v>
      </c>
      <c r="Q48" s="5" t="n"/>
      <c r="R48" s="5" t="n"/>
    </row>
    <row r="49">
      <c r="A49" s="2" t="inlineStr">
        <is>
          <t>EJ010323.TXT</t>
        </is>
      </c>
      <c r="B49" s="3" t="inlineStr">
        <is>
          <t>001035</t>
        </is>
      </c>
      <c r="C49" s="3" t="inlineStr">
        <is>
          <t>000656</t>
        </is>
      </c>
      <c r="D49" s="4" t="n">
        <v>44972</v>
      </c>
      <c r="E49" s="2" t="inlineStr">
        <is>
          <t>15:51</t>
        </is>
      </c>
      <c r="F49" s="5" t="n">
        <v>548.33</v>
      </c>
      <c r="G49" s="5" t="n"/>
      <c r="H49" s="5" t="n"/>
      <c r="I49" s="5" t="n"/>
      <c r="J49" s="5" t="n">
        <v>109.67</v>
      </c>
      <c r="K49" s="5" t="n"/>
      <c r="L49" s="5" t="n"/>
      <c r="M49" s="5" t="n"/>
      <c r="N49" s="5" t="n"/>
      <c r="O49" s="5" t="n">
        <v>658</v>
      </c>
      <c r="P49" s="5" t="n">
        <v>158</v>
      </c>
      <c r="Q49" s="5" t="n">
        <v>500</v>
      </c>
      <c r="R49" s="5" t="n"/>
    </row>
    <row r="50">
      <c r="A50" s="2" t="inlineStr">
        <is>
          <t>EJ010323.TXT</t>
        </is>
      </c>
      <c r="B50" s="3" t="inlineStr">
        <is>
          <t>001038</t>
        </is>
      </c>
      <c r="C50" s="3" t="inlineStr">
        <is>
          <t>000657</t>
        </is>
      </c>
      <c r="D50" s="4" t="n">
        <v>44974</v>
      </c>
      <c r="E50" s="2" t="inlineStr">
        <is>
          <t>13:43</t>
        </is>
      </c>
      <c r="F50" s="5" t="n">
        <v>548.33</v>
      </c>
      <c r="G50" s="5" t="n"/>
      <c r="H50" s="5" t="n"/>
      <c r="I50" s="5" t="n"/>
      <c r="J50" s="5" t="n">
        <v>109.67</v>
      </c>
      <c r="K50" s="5" t="n"/>
      <c r="L50" s="5" t="n"/>
      <c r="M50" s="5" t="n"/>
      <c r="N50" s="5" t="n"/>
      <c r="O50" s="5" t="n">
        <v>658</v>
      </c>
      <c r="P50" s="5" t="n"/>
      <c r="Q50" s="5" t="n">
        <v>658</v>
      </c>
      <c r="R50" s="5" t="n"/>
    </row>
    <row r="51">
      <c r="A51" s="2" t="inlineStr">
        <is>
          <t>EJ010323.TXT</t>
        </is>
      </c>
      <c r="B51" s="3" t="inlineStr">
        <is>
          <t>001039</t>
        </is>
      </c>
      <c r="C51" s="3" t="inlineStr">
        <is>
          <t>000658</t>
        </is>
      </c>
      <c r="D51" s="4" t="n">
        <v>44974</v>
      </c>
      <c r="E51" s="2" t="inlineStr">
        <is>
          <t>13:43</t>
        </is>
      </c>
      <c r="F51" s="5" t="n">
        <v>548.33</v>
      </c>
      <c r="G51" s="5" t="n"/>
      <c r="H51" s="5" t="n"/>
      <c r="I51" s="5" t="n"/>
      <c r="J51" s="5" t="n">
        <v>109.67</v>
      </c>
      <c r="K51" s="5" t="n"/>
      <c r="L51" s="5" t="n"/>
      <c r="M51" s="5" t="n"/>
      <c r="N51" s="5" t="n"/>
      <c r="O51" s="5" t="n">
        <v>658</v>
      </c>
      <c r="P51" s="5" t="n"/>
      <c r="Q51" s="5" t="n">
        <v>658</v>
      </c>
      <c r="R51" s="5" t="n"/>
    </row>
    <row r="52">
      <c r="A52" s="2" t="inlineStr">
        <is>
          <t>EJ010323.TXT</t>
        </is>
      </c>
      <c r="B52" s="3" t="inlineStr">
        <is>
          <t>001040</t>
        </is>
      </c>
      <c r="C52" s="3" t="inlineStr">
        <is>
          <t>000659</t>
        </is>
      </c>
      <c r="D52" s="4" t="n">
        <v>44975</v>
      </c>
      <c r="E52" s="2" t="inlineStr">
        <is>
          <t>17:47</t>
        </is>
      </c>
      <c r="F52" s="5" t="n">
        <v>533.33</v>
      </c>
      <c r="G52" s="5" t="n"/>
      <c r="H52" s="5" t="n"/>
      <c r="I52" s="5" t="n"/>
      <c r="J52" s="5" t="n">
        <v>106.67</v>
      </c>
      <c r="K52" s="5" t="n"/>
      <c r="L52" s="5" t="n"/>
      <c r="M52" s="5" t="n"/>
      <c r="N52" s="5" t="n"/>
      <c r="O52" s="5" t="n">
        <v>640</v>
      </c>
      <c r="P52" s="5" t="n"/>
      <c r="Q52" s="5" t="n">
        <v>640</v>
      </c>
      <c r="R52" s="5" t="n"/>
    </row>
    <row r="53">
      <c r="A53" s="2" t="inlineStr">
        <is>
          <t>EJ010323.TXT</t>
        </is>
      </c>
      <c r="B53" s="3" t="inlineStr">
        <is>
          <t>001041</t>
        </is>
      </c>
      <c r="C53" s="3" t="inlineStr">
        <is>
          <t>000660</t>
        </is>
      </c>
      <c r="D53" s="4" t="n">
        <v>44978</v>
      </c>
      <c r="E53" s="2" t="inlineStr">
        <is>
          <t>11:02</t>
        </is>
      </c>
      <c r="F53" s="5" t="n">
        <v>548.33</v>
      </c>
      <c r="G53" s="5" t="n"/>
      <c r="H53" s="5" t="n"/>
      <c r="I53" s="5" t="n"/>
      <c r="J53" s="5" t="n">
        <v>109.67</v>
      </c>
      <c r="K53" s="5" t="n"/>
      <c r="L53" s="5" t="n"/>
      <c r="M53" s="5" t="n"/>
      <c r="N53" s="5" t="n"/>
      <c r="O53" s="5" t="n">
        <v>658</v>
      </c>
      <c r="P53" s="5" t="n">
        <v>658</v>
      </c>
      <c r="Q53" s="5" t="n"/>
      <c r="R53" s="5" t="n"/>
    </row>
    <row r="54">
      <c r="A54" s="2" t="inlineStr">
        <is>
          <t>EJ010323.TXT</t>
        </is>
      </c>
      <c r="B54" s="3" t="inlineStr">
        <is>
          <t>001042</t>
        </is>
      </c>
      <c r="C54" s="3" t="inlineStr">
        <is>
          <t>000661</t>
        </is>
      </c>
      <c r="D54" s="4" t="n">
        <v>44978</v>
      </c>
      <c r="E54" s="2" t="inlineStr">
        <is>
          <t>11:03</t>
        </is>
      </c>
      <c r="F54" s="5" t="n">
        <v>548.33</v>
      </c>
      <c r="G54" s="5" t="n"/>
      <c r="H54" s="5" t="n"/>
      <c r="I54" s="5" t="n"/>
      <c r="J54" s="5" t="n">
        <v>109.67</v>
      </c>
      <c r="K54" s="5" t="n"/>
      <c r="L54" s="5" t="n"/>
      <c r="M54" s="5" t="n"/>
      <c r="N54" s="5" t="n"/>
      <c r="O54" s="5" t="n">
        <v>658</v>
      </c>
      <c r="P54" s="5" t="n">
        <v>658</v>
      </c>
      <c r="Q54" s="5" t="n"/>
      <c r="R54" s="5" t="n"/>
    </row>
    <row r="55">
      <c r="A55" s="2" t="inlineStr">
        <is>
          <t>EJ010323.TXT</t>
        </is>
      </c>
      <c r="B55" s="3" t="inlineStr">
        <is>
          <t>001043</t>
        </is>
      </c>
      <c r="C55" s="3" t="inlineStr">
        <is>
          <t>000662</t>
        </is>
      </c>
      <c r="D55" s="4" t="n">
        <v>44978</v>
      </c>
      <c r="E55" s="2" t="inlineStr">
        <is>
          <t>11:09</t>
        </is>
      </c>
      <c r="F55" s="5" t="n">
        <v>274.17</v>
      </c>
      <c r="G55" s="5" t="n"/>
      <c r="H55" s="5" t="n"/>
      <c r="I55" s="5" t="n"/>
      <c r="J55" s="5" t="n">
        <v>54.83</v>
      </c>
      <c r="K55" s="5" t="n"/>
      <c r="L55" s="5" t="n"/>
      <c r="M55" s="5" t="n"/>
      <c r="N55" s="5" t="n"/>
      <c r="O55" s="5" t="n">
        <v>329</v>
      </c>
      <c r="P55" s="5" t="n">
        <v>329</v>
      </c>
      <c r="Q55" s="5" t="n"/>
      <c r="R55" s="5" t="n"/>
    </row>
    <row r="56">
      <c r="A56" s="2" t="inlineStr">
        <is>
          <t>EJ010323.TXT</t>
        </is>
      </c>
      <c r="B56" s="3" t="inlineStr">
        <is>
          <t>001044</t>
        </is>
      </c>
      <c r="C56" s="3" t="inlineStr">
        <is>
          <t>000663</t>
        </is>
      </c>
      <c r="D56" s="4" t="n">
        <v>44978</v>
      </c>
      <c r="E56" s="2" t="inlineStr">
        <is>
          <t>13:53</t>
        </is>
      </c>
      <c r="F56" s="5" t="n">
        <v>2466.67</v>
      </c>
      <c r="G56" s="5" t="n"/>
      <c r="H56" s="5" t="n"/>
      <c r="I56" s="5" t="n"/>
      <c r="J56" s="5" t="n">
        <v>493.33</v>
      </c>
      <c r="K56" s="5" t="n"/>
      <c r="L56" s="5" t="n"/>
      <c r="M56" s="5" t="n"/>
      <c r="N56" s="5" t="n"/>
      <c r="O56" s="5" t="n">
        <v>2960</v>
      </c>
      <c r="P56" s="5" t="n">
        <v>2960</v>
      </c>
      <c r="Q56" s="5" t="n"/>
      <c r="R56" s="5" t="n"/>
    </row>
    <row r="57">
      <c r="A57" s="2" t="inlineStr">
        <is>
          <t>EJ010323.TXT</t>
        </is>
      </c>
      <c r="B57" s="3" t="inlineStr">
        <is>
          <t>001045</t>
        </is>
      </c>
      <c r="C57" s="3" t="inlineStr">
        <is>
          <t>000664</t>
        </is>
      </c>
      <c r="D57" s="4" t="n">
        <v>44982</v>
      </c>
      <c r="E57" s="2" t="inlineStr">
        <is>
          <t>15:57</t>
        </is>
      </c>
      <c r="F57" s="5" t="n">
        <v>274.17</v>
      </c>
      <c r="G57" s="5" t="n"/>
      <c r="H57" s="5" t="n"/>
      <c r="I57" s="5" t="n"/>
      <c r="J57" s="5" t="n">
        <v>54.83</v>
      </c>
      <c r="K57" s="5" t="n"/>
      <c r="L57" s="5" t="n"/>
      <c r="M57" s="5" t="n"/>
      <c r="N57" s="5" t="n"/>
      <c r="O57" s="5" t="n">
        <v>329</v>
      </c>
      <c r="P57" s="5" t="n"/>
      <c r="Q57" s="5" t="n">
        <v>329</v>
      </c>
      <c r="R57" s="5" t="n"/>
    </row>
    <row r="58">
      <c r="A58" s="2" t="inlineStr">
        <is>
          <t>EJ010323.TXT</t>
        </is>
      </c>
      <c r="B58" s="3" t="inlineStr">
        <is>
          <t>001046</t>
        </is>
      </c>
      <c r="C58" s="3" t="inlineStr">
        <is>
          <t>000665</t>
        </is>
      </c>
      <c r="D58" s="4" t="n">
        <v>44982</v>
      </c>
      <c r="E58" s="2" t="inlineStr">
        <is>
          <t>15:58</t>
        </is>
      </c>
      <c r="F58" s="5" t="n">
        <v>274.17</v>
      </c>
      <c r="G58" s="5" t="n"/>
      <c r="H58" s="5" t="n"/>
      <c r="I58" s="5" t="n"/>
      <c r="J58" s="5" t="n">
        <v>54.83</v>
      </c>
      <c r="K58" s="5" t="n"/>
      <c r="L58" s="5" t="n"/>
      <c r="M58" s="5" t="n"/>
      <c r="N58" s="5" t="n"/>
      <c r="O58" s="5" t="n">
        <v>329</v>
      </c>
      <c r="P58" s="5" t="n"/>
      <c r="Q58" s="5" t="n">
        <v>329</v>
      </c>
      <c r="R58" s="5" t="n"/>
    </row>
    <row r="59">
      <c r="A59" s="2" t="inlineStr">
        <is>
          <t>EJ010423.TXT</t>
        </is>
      </c>
      <c r="B59" s="3" t="inlineStr">
        <is>
          <t>001055</t>
        </is>
      </c>
      <c r="C59" s="3" t="inlineStr">
        <is>
          <t>000666</t>
        </is>
      </c>
      <c r="D59" s="4" t="n">
        <v>44988</v>
      </c>
      <c r="E59" s="2" t="inlineStr">
        <is>
          <t>15:04</t>
        </is>
      </c>
      <c r="F59" s="5" t="n">
        <v>329.17</v>
      </c>
      <c r="G59" s="5" t="n"/>
      <c r="H59" s="5" t="n"/>
      <c r="I59" s="5" t="n"/>
      <c r="J59" s="5" t="n">
        <v>65.83</v>
      </c>
      <c r="K59" s="5" t="n"/>
      <c r="L59" s="5" t="n"/>
      <c r="M59" s="5" t="n"/>
      <c r="N59" s="5" t="n"/>
      <c r="O59" s="5" t="n">
        <v>395</v>
      </c>
      <c r="P59" s="5" t="n">
        <v>395</v>
      </c>
      <c r="Q59" s="5" t="n"/>
      <c r="R59" s="5" t="n"/>
    </row>
    <row r="60">
      <c r="A60" s="2" t="inlineStr">
        <is>
          <t>EJ010423.TXT</t>
        </is>
      </c>
      <c r="B60" s="3" t="inlineStr">
        <is>
          <t>001056</t>
        </is>
      </c>
      <c r="C60" s="3" t="inlineStr">
        <is>
          <t>000667</t>
        </is>
      </c>
      <c r="D60" s="4" t="n">
        <v>44988</v>
      </c>
      <c r="E60" s="2" t="inlineStr">
        <is>
          <t>16:02</t>
        </is>
      </c>
      <c r="F60" s="5" t="n">
        <v>274.17</v>
      </c>
      <c r="G60" s="5" t="n"/>
      <c r="H60" s="5" t="n"/>
      <c r="I60" s="5" t="n"/>
      <c r="J60" s="5" t="n">
        <v>54.83</v>
      </c>
      <c r="K60" s="5" t="n"/>
      <c r="L60" s="5" t="n"/>
      <c r="M60" s="5" t="n"/>
      <c r="N60" s="5" t="n"/>
      <c r="O60" s="5" t="n">
        <v>329</v>
      </c>
      <c r="P60" s="5" t="n">
        <v>329</v>
      </c>
      <c r="Q60" s="5" t="n"/>
      <c r="R60" s="5" t="n"/>
    </row>
    <row r="61">
      <c r="A61" s="2" t="inlineStr">
        <is>
          <t>EJ010423.TXT</t>
        </is>
      </c>
      <c r="B61" s="3" t="inlineStr">
        <is>
          <t>001057</t>
        </is>
      </c>
      <c r="C61" s="3" t="inlineStr">
        <is>
          <t>000668</t>
        </is>
      </c>
      <c r="D61" s="4" t="n">
        <v>44991</v>
      </c>
      <c r="E61" s="2" t="inlineStr">
        <is>
          <t>17:27</t>
        </is>
      </c>
      <c r="F61" s="5" t="n">
        <v>274.17</v>
      </c>
      <c r="G61" s="5" t="n"/>
      <c r="H61" s="5" t="n"/>
      <c r="I61" s="5" t="n"/>
      <c r="J61" s="5" t="n">
        <v>54.83</v>
      </c>
      <c r="K61" s="5" t="n"/>
      <c r="L61" s="5" t="n"/>
      <c r="M61" s="5" t="n"/>
      <c r="N61" s="5" t="n"/>
      <c r="O61" s="5" t="n">
        <v>329</v>
      </c>
      <c r="P61" s="5" t="n"/>
      <c r="Q61" s="5" t="n">
        <v>329</v>
      </c>
      <c r="R61" s="5" t="n"/>
    </row>
    <row r="62">
      <c r="A62" s="2" t="inlineStr">
        <is>
          <t>EJ010423.TXT</t>
        </is>
      </c>
      <c r="B62" s="3" t="inlineStr">
        <is>
          <t>001058</t>
        </is>
      </c>
      <c r="C62" s="3" t="inlineStr">
        <is>
          <t>000669</t>
        </is>
      </c>
      <c r="D62" s="4" t="n">
        <v>44993</v>
      </c>
      <c r="E62" s="2" t="inlineStr">
        <is>
          <t>10:18</t>
        </is>
      </c>
      <c r="F62" s="5" t="n">
        <v>548.33</v>
      </c>
      <c r="G62" s="5" t="n"/>
      <c r="H62" s="5" t="n"/>
      <c r="I62" s="5" t="n"/>
      <c r="J62" s="5" t="n">
        <v>109.67</v>
      </c>
      <c r="K62" s="5" t="n"/>
      <c r="L62" s="5" t="n"/>
      <c r="M62" s="5" t="n"/>
      <c r="N62" s="5" t="n"/>
      <c r="O62" s="5" t="n">
        <v>658</v>
      </c>
      <c r="P62" s="5" t="n"/>
      <c r="Q62" s="5" t="n">
        <v>658</v>
      </c>
      <c r="R62" s="5" t="n"/>
    </row>
    <row r="63">
      <c r="A63" s="2" t="inlineStr">
        <is>
          <t>EJ010423.TXT</t>
        </is>
      </c>
      <c r="B63" s="3" t="inlineStr">
        <is>
          <t>001059</t>
        </is>
      </c>
      <c r="C63" s="3" t="inlineStr">
        <is>
          <t>000670</t>
        </is>
      </c>
      <c r="D63" s="4" t="n">
        <v>44996</v>
      </c>
      <c r="E63" s="2" t="inlineStr">
        <is>
          <t>17:07</t>
        </is>
      </c>
      <c r="F63" s="5" t="n">
        <v>199.17</v>
      </c>
      <c r="G63" s="5" t="n"/>
      <c r="H63" s="5" t="n"/>
      <c r="I63" s="5" t="n"/>
      <c r="J63" s="5" t="n">
        <v>39.83</v>
      </c>
      <c r="K63" s="5" t="n"/>
      <c r="L63" s="5" t="n"/>
      <c r="M63" s="5" t="n"/>
      <c r="N63" s="5" t="n"/>
      <c r="O63" s="5" t="n">
        <v>239</v>
      </c>
      <c r="P63" s="5" t="n"/>
      <c r="Q63" s="5" t="n">
        <v>239</v>
      </c>
      <c r="R63" s="5" t="n"/>
    </row>
    <row r="64">
      <c r="A64" s="2" t="inlineStr">
        <is>
          <t>EJ010423.TXT</t>
        </is>
      </c>
      <c r="B64" s="3" t="inlineStr">
        <is>
          <t>001060</t>
        </is>
      </c>
      <c r="C64" s="3" t="inlineStr">
        <is>
          <t>000671</t>
        </is>
      </c>
      <c r="D64" s="4" t="n">
        <v>45001</v>
      </c>
      <c r="E64" s="2" t="inlineStr">
        <is>
          <t>11:14</t>
        </is>
      </c>
      <c r="F64" s="5" t="n">
        <v>548.33</v>
      </c>
      <c r="G64" s="5" t="n"/>
      <c r="H64" s="5" t="n"/>
      <c r="I64" s="5" t="n"/>
      <c r="J64" s="5" t="n">
        <v>109.67</v>
      </c>
      <c r="K64" s="5" t="n"/>
      <c r="L64" s="5" t="n"/>
      <c r="M64" s="5" t="n"/>
      <c r="N64" s="5" t="n"/>
      <c r="O64" s="5" t="n">
        <v>658</v>
      </c>
      <c r="P64" s="5" t="n">
        <v>8</v>
      </c>
      <c r="Q64" s="5" t="n">
        <v>650</v>
      </c>
      <c r="R64" s="5" t="n"/>
    </row>
    <row r="65">
      <c r="A65" s="2" t="inlineStr">
        <is>
          <t>EJ010423.TXT</t>
        </is>
      </c>
      <c r="B65" s="3" t="inlineStr">
        <is>
          <t>001062</t>
        </is>
      </c>
      <c r="C65" s="3" t="inlineStr">
        <is>
          <t>000672</t>
        </is>
      </c>
      <c r="D65" s="4" t="n">
        <v>45001</v>
      </c>
      <c r="E65" s="2" t="inlineStr">
        <is>
          <t>11:24</t>
        </is>
      </c>
      <c r="F65" s="5" t="n">
        <v>822.5</v>
      </c>
      <c r="G65" s="5" t="n"/>
      <c r="H65" s="5" t="n"/>
      <c r="I65" s="5" t="n"/>
      <c r="J65" s="5" t="n">
        <v>164.5</v>
      </c>
      <c r="K65" s="5" t="n"/>
      <c r="L65" s="5" t="n"/>
      <c r="M65" s="5" t="n"/>
      <c r="N65" s="5" t="n"/>
      <c r="O65" s="5" t="n">
        <v>987</v>
      </c>
      <c r="P65" s="5" t="n">
        <v>987</v>
      </c>
      <c r="Q65" s="5" t="n"/>
      <c r="R65" s="5" t="n"/>
    </row>
    <row r="66">
      <c r="A66" s="2" t="inlineStr">
        <is>
          <t>EJ010423.TXT</t>
        </is>
      </c>
      <c r="B66" s="3" t="inlineStr">
        <is>
          <t>001063</t>
        </is>
      </c>
      <c r="C66" s="3" t="inlineStr">
        <is>
          <t>000673</t>
        </is>
      </c>
      <c r="D66" s="4" t="n">
        <v>45002</v>
      </c>
      <c r="E66" s="2" t="inlineStr">
        <is>
          <t>17:35</t>
        </is>
      </c>
      <c r="F66" s="5" t="n">
        <v>3200</v>
      </c>
      <c r="G66" s="5" t="n"/>
      <c r="H66" s="5" t="n"/>
      <c r="I66" s="5" t="n"/>
      <c r="J66" s="5" t="n">
        <v>640</v>
      </c>
      <c r="K66" s="5" t="n"/>
      <c r="L66" s="5" t="n"/>
      <c r="M66" s="5" t="n"/>
      <c r="N66" s="5" t="n"/>
      <c r="O66" s="5" t="n">
        <v>3840</v>
      </c>
      <c r="P66" s="5" t="n">
        <v>3840</v>
      </c>
      <c r="Q66" s="5" t="n"/>
      <c r="R66" s="5" t="n"/>
    </row>
    <row r="67">
      <c r="A67" s="2" t="inlineStr">
        <is>
          <t>EJ010423.TXT</t>
        </is>
      </c>
      <c r="B67" s="3" t="inlineStr">
        <is>
          <t>001064</t>
        </is>
      </c>
      <c r="C67" s="3" t="inlineStr">
        <is>
          <t>000674</t>
        </is>
      </c>
      <c r="D67" s="4" t="n">
        <v>45003</v>
      </c>
      <c r="E67" s="2" t="inlineStr">
        <is>
          <t>14:58</t>
        </is>
      </c>
      <c r="F67" s="5" t="n">
        <v>548.33</v>
      </c>
      <c r="G67" s="5" t="n"/>
      <c r="H67" s="5" t="n"/>
      <c r="I67" s="5" t="n"/>
      <c r="J67" s="5" t="n">
        <v>109.67</v>
      </c>
      <c r="K67" s="5" t="n"/>
      <c r="L67" s="5" t="n"/>
      <c r="M67" s="5" t="n"/>
      <c r="N67" s="5" t="n"/>
      <c r="O67" s="5" t="n">
        <v>658</v>
      </c>
      <c r="P67" s="5" t="n">
        <v>58</v>
      </c>
      <c r="Q67" s="5" t="n">
        <v>600</v>
      </c>
      <c r="R67" s="5" t="n"/>
    </row>
    <row r="68">
      <c r="A68" s="2" t="inlineStr">
        <is>
          <t>EJ010423.TXT</t>
        </is>
      </c>
      <c r="B68" s="3" t="inlineStr">
        <is>
          <t>001066</t>
        </is>
      </c>
      <c r="C68" s="3" t="inlineStr">
        <is>
          <t>000675</t>
        </is>
      </c>
      <c r="D68" s="4" t="n">
        <v>45003</v>
      </c>
      <c r="E68" s="2" t="inlineStr">
        <is>
          <t>16:53</t>
        </is>
      </c>
      <c r="F68" s="5" t="n">
        <v>1770</v>
      </c>
      <c r="G68" s="5" t="n"/>
      <c r="H68" s="5" t="n"/>
      <c r="I68" s="5" t="n"/>
      <c r="J68" s="5" t="n">
        <v>354</v>
      </c>
      <c r="K68" s="5" t="n"/>
      <c r="L68" s="5" t="n"/>
      <c r="M68" s="5" t="n"/>
      <c r="N68" s="5" t="n"/>
      <c r="O68" s="5" t="n">
        <v>2124</v>
      </c>
      <c r="P68" s="5" t="n">
        <v>2124</v>
      </c>
      <c r="Q68" s="5" t="n"/>
      <c r="R68" s="5" t="n"/>
    </row>
    <row r="69">
      <c r="A69" s="2" t="inlineStr">
        <is>
          <t>EJ010423.TXT</t>
        </is>
      </c>
      <c r="B69" s="3" t="inlineStr">
        <is>
          <t>001067</t>
        </is>
      </c>
      <c r="C69" s="3" t="inlineStr">
        <is>
          <t>000676</t>
        </is>
      </c>
      <c r="D69" s="4" t="n">
        <v>45005</v>
      </c>
      <c r="E69" s="2" t="inlineStr">
        <is>
          <t>13:47</t>
        </is>
      </c>
      <c r="F69" s="5" t="n">
        <v>548.33</v>
      </c>
      <c r="G69" s="5" t="n"/>
      <c r="H69" s="5" t="n"/>
      <c r="I69" s="5" t="n"/>
      <c r="J69" s="5" t="n">
        <v>109.67</v>
      </c>
      <c r="K69" s="5" t="n"/>
      <c r="L69" s="5" t="n"/>
      <c r="M69" s="5" t="n"/>
      <c r="N69" s="5" t="n"/>
      <c r="O69" s="5" t="n">
        <v>658</v>
      </c>
      <c r="P69" s="5" t="n"/>
      <c r="Q69" s="5" t="n">
        <v>658</v>
      </c>
      <c r="R69" s="5" t="n"/>
    </row>
    <row r="70">
      <c r="A70" s="2" t="inlineStr">
        <is>
          <t>EJ010423.TXT</t>
        </is>
      </c>
      <c r="B70" s="3" t="inlineStr">
        <is>
          <t>001070</t>
        </is>
      </c>
      <c r="C70" s="3" t="inlineStr">
        <is>
          <t>000677</t>
        </is>
      </c>
      <c r="D70" s="4" t="n">
        <v>45010</v>
      </c>
      <c r="E70" s="2" t="inlineStr">
        <is>
          <t>14:47</t>
        </is>
      </c>
      <c r="F70" s="5" t="n">
        <v>797.5</v>
      </c>
      <c r="G70" s="5" t="n"/>
      <c r="H70" s="5" t="n"/>
      <c r="I70" s="5" t="n"/>
      <c r="J70" s="5" t="n">
        <v>159.5</v>
      </c>
      <c r="K70" s="5" t="n"/>
      <c r="L70" s="5" t="n"/>
      <c r="M70" s="5" t="n"/>
      <c r="N70" s="5" t="n"/>
      <c r="O70" s="5" t="n">
        <v>957</v>
      </c>
      <c r="P70" s="5" t="n"/>
      <c r="Q70" s="5" t="n">
        <v>957</v>
      </c>
      <c r="R70" s="5" t="n"/>
    </row>
    <row r="71">
      <c r="A71" s="2" t="inlineStr">
        <is>
          <t>EJ010423.TXT</t>
        </is>
      </c>
      <c r="B71" s="3" t="inlineStr">
        <is>
          <t>001071</t>
        </is>
      </c>
      <c r="C71" s="3" t="inlineStr">
        <is>
          <t>000678</t>
        </is>
      </c>
      <c r="D71" s="4" t="n">
        <v>45010</v>
      </c>
      <c r="E71" s="2" t="inlineStr">
        <is>
          <t>15:18</t>
        </is>
      </c>
      <c r="F71" s="5" t="n">
        <v>797.5</v>
      </c>
      <c r="G71" s="5" t="n"/>
      <c r="H71" s="5" t="n"/>
      <c r="I71" s="5" t="n"/>
      <c r="J71" s="5" t="n">
        <v>159.5</v>
      </c>
      <c r="K71" s="5" t="n"/>
      <c r="L71" s="5" t="n"/>
      <c r="M71" s="5" t="n"/>
      <c r="N71" s="5" t="n"/>
      <c r="O71" s="5" t="n">
        <v>957</v>
      </c>
      <c r="P71" s="5" t="n"/>
      <c r="Q71" s="5" t="n">
        <v>957</v>
      </c>
      <c r="R71" s="5" t="n"/>
    </row>
    <row r="72">
      <c r="A72" s="2" t="inlineStr">
        <is>
          <t>EJ010423.TXT</t>
        </is>
      </c>
      <c r="B72" s="3" t="inlineStr">
        <is>
          <t>001072</t>
        </is>
      </c>
      <c r="C72" s="3" t="inlineStr">
        <is>
          <t>000679</t>
        </is>
      </c>
      <c r="D72" s="4" t="n">
        <v>45010</v>
      </c>
      <c r="E72" s="2" t="inlineStr">
        <is>
          <t>15:26</t>
        </is>
      </c>
      <c r="F72" s="5" t="n">
        <v>800</v>
      </c>
      <c r="G72" s="5" t="n"/>
      <c r="H72" s="5" t="n"/>
      <c r="I72" s="5" t="n"/>
      <c r="J72" s="5" t="n">
        <v>160</v>
      </c>
      <c r="K72" s="5" t="n"/>
      <c r="L72" s="5" t="n"/>
      <c r="M72" s="5" t="n"/>
      <c r="N72" s="5" t="n"/>
      <c r="O72" s="5" t="n">
        <v>960</v>
      </c>
      <c r="P72" s="5" t="n"/>
      <c r="Q72" s="5" t="n">
        <v>960</v>
      </c>
      <c r="R72" s="5" t="n"/>
    </row>
    <row r="73">
      <c r="A73" s="2" t="inlineStr">
        <is>
          <t>EJ010423.TXT</t>
        </is>
      </c>
      <c r="B73" s="3" t="inlineStr">
        <is>
          <t>001074</t>
        </is>
      </c>
      <c r="C73" s="3" t="inlineStr">
        <is>
          <t>000680</t>
        </is>
      </c>
      <c r="D73" s="4" t="n">
        <v>45010</v>
      </c>
      <c r="E73" s="2" t="inlineStr">
        <is>
          <t>15:31</t>
        </is>
      </c>
      <c r="F73" s="5" t="n">
        <v>2400</v>
      </c>
      <c r="G73" s="5" t="n"/>
      <c r="H73" s="5" t="n"/>
      <c r="I73" s="5" t="n"/>
      <c r="J73" s="5" t="n">
        <v>480</v>
      </c>
      <c r="K73" s="5" t="n"/>
      <c r="L73" s="5" t="n"/>
      <c r="M73" s="5" t="n"/>
      <c r="N73" s="5" t="n"/>
      <c r="O73" s="5" t="n">
        <v>2880</v>
      </c>
      <c r="P73" s="5" t="n">
        <v>2880</v>
      </c>
      <c r="Q73" s="5" t="n"/>
      <c r="R73" s="5" t="n"/>
    </row>
    <row r="74">
      <c r="A74" s="2" t="inlineStr">
        <is>
          <t>EJ010423.TXT</t>
        </is>
      </c>
      <c r="B74" s="3" t="inlineStr">
        <is>
          <t>001075</t>
        </is>
      </c>
      <c r="C74" s="3" t="inlineStr">
        <is>
          <t>000681</t>
        </is>
      </c>
      <c r="D74" s="4" t="n">
        <v>45010</v>
      </c>
      <c r="E74" s="2" t="inlineStr">
        <is>
          <t>15:41</t>
        </is>
      </c>
      <c r="F74" s="5" t="n">
        <v>548.33</v>
      </c>
      <c r="G74" s="5" t="n"/>
      <c r="H74" s="5" t="n"/>
      <c r="I74" s="5" t="n"/>
      <c r="J74" s="5" t="n">
        <v>109.67</v>
      </c>
      <c r="K74" s="5" t="n"/>
      <c r="L74" s="5" t="n"/>
      <c r="M74" s="5" t="n"/>
      <c r="N74" s="5" t="n"/>
      <c r="O74" s="5" t="n">
        <v>658</v>
      </c>
      <c r="P74" s="5" t="n">
        <v>658</v>
      </c>
      <c r="Q74" s="5" t="n"/>
      <c r="R74" s="5" t="n"/>
    </row>
    <row r="75">
      <c r="A75" s="2" t="inlineStr">
        <is>
          <t>EJ010423.TXT</t>
        </is>
      </c>
      <c r="B75" s="3" t="inlineStr">
        <is>
          <t>001076</t>
        </is>
      </c>
      <c r="C75" s="3" t="inlineStr">
        <is>
          <t>000682</t>
        </is>
      </c>
      <c r="D75" s="4" t="n">
        <v>45010</v>
      </c>
      <c r="E75" s="2" t="inlineStr">
        <is>
          <t>16:05</t>
        </is>
      </c>
      <c r="F75" s="5" t="n">
        <v>797.5</v>
      </c>
      <c r="G75" s="5" t="n"/>
      <c r="H75" s="5" t="n"/>
      <c r="I75" s="5" t="n"/>
      <c r="J75" s="5" t="n">
        <v>159.5</v>
      </c>
      <c r="K75" s="5" t="n"/>
      <c r="L75" s="5" t="n"/>
      <c r="M75" s="5" t="n"/>
      <c r="N75" s="5" t="n"/>
      <c r="O75" s="5" t="n">
        <v>957</v>
      </c>
      <c r="P75" s="5" t="n"/>
      <c r="Q75" s="5" t="n">
        <v>957</v>
      </c>
      <c r="R75" s="5" t="n"/>
    </row>
    <row r="76">
      <c r="A76" s="2" t="inlineStr">
        <is>
          <t>EJ010423.TXT</t>
        </is>
      </c>
      <c r="B76" s="3" t="inlineStr">
        <is>
          <t>001077</t>
        </is>
      </c>
      <c r="C76" s="3" t="inlineStr">
        <is>
          <t>000683</t>
        </is>
      </c>
      <c r="D76" s="4" t="n">
        <v>45010</v>
      </c>
      <c r="E76" s="2" t="inlineStr">
        <is>
          <t>16:06</t>
        </is>
      </c>
      <c r="F76" s="5" t="n">
        <v>797.5</v>
      </c>
      <c r="G76" s="5" t="n"/>
      <c r="H76" s="5" t="n"/>
      <c r="I76" s="5" t="n"/>
      <c r="J76" s="5" t="n">
        <v>159.5</v>
      </c>
      <c r="K76" s="5" t="n"/>
      <c r="L76" s="5" t="n"/>
      <c r="M76" s="5" t="n"/>
      <c r="N76" s="5" t="n"/>
      <c r="O76" s="5" t="n">
        <v>957</v>
      </c>
      <c r="P76" s="5" t="n"/>
      <c r="Q76" s="5" t="n">
        <v>957</v>
      </c>
      <c r="R76" s="5" t="n"/>
    </row>
    <row r="77">
      <c r="A77" s="2" t="inlineStr">
        <is>
          <t>EJ010423.TXT</t>
        </is>
      </c>
      <c r="B77" s="3" t="inlineStr">
        <is>
          <t>001078</t>
        </is>
      </c>
      <c r="C77" s="3" t="inlineStr">
        <is>
          <t>000684</t>
        </is>
      </c>
      <c r="D77" s="4" t="n">
        <v>45010</v>
      </c>
      <c r="E77" s="2" t="inlineStr">
        <is>
          <t>16:09</t>
        </is>
      </c>
      <c r="F77" s="5" t="n">
        <v>274.17</v>
      </c>
      <c r="G77" s="5" t="n"/>
      <c r="H77" s="5" t="n"/>
      <c r="I77" s="5" t="n"/>
      <c r="J77" s="5" t="n">
        <v>54.83</v>
      </c>
      <c r="K77" s="5" t="n"/>
      <c r="L77" s="5" t="n"/>
      <c r="M77" s="5" t="n"/>
      <c r="N77" s="5" t="n"/>
      <c r="O77" s="5" t="n">
        <v>329</v>
      </c>
      <c r="P77" s="5" t="n">
        <v>329</v>
      </c>
      <c r="Q77" s="5" t="n"/>
      <c r="R77" s="5" t="n"/>
    </row>
    <row r="78">
      <c r="A78" s="2" t="inlineStr">
        <is>
          <t>EJ010423.TXT</t>
        </is>
      </c>
      <c r="B78" s="3" t="inlineStr">
        <is>
          <t>001079</t>
        </is>
      </c>
      <c r="C78" s="3" t="inlineStr">
        <is>
          <t>000685</t>
        </is>
      </c>
      <c r="D78" s="4" t="n">
        <v>45010</v>
      </c>
      <c r="E78" s="2" t="inlineStr">
        <is>
          <t>16:19</t>
        </is>
      </c>
      <c r="F78" s="5" t="n">
        <v>531.67</v>
      </c>
      <c r="G78" s="5" t="n"/>
      <c r="H78" s="5" t="n"/>
      <c r="I78" s="5" t="n"/>
      <c r="J78" s="5" t="n">
        <v>106.33</v>
      </c>
      <c r="K78" s="5" t="n"/>
      <c r="L78" s="5" t="n"/>
      <c r="M78" s="5" t="n"/>
      <c r="N78" s="5" t="n"/>
      <c r="O78" s="5" t="n">
        <v>638</v>
      </c>
      <c r="P78" s="5" t="n">
        <v>638</v>
      </c>
      <c r="Q78" s="5" t="n"/>
      <c r="R78" s="5" t="n"/>
    </row>
    <row r="79">
      <c r="A79" s="2" t="inlineStr">
        <is>
          <t>EJ010423.TXT</t>
        </is>
      </c>
      <c r="B79" s="3" t="inlineStr">
        <is>
          <t>001080</t>
        </is>
      </c>
      <c r="C79" s="3" t="inlineStr">
        <is>
          <t>000686</t>
        </is>
      </c>
      <c r="D79" s="4" t="n">
        <v>45011</v>
      </c>
      <c r="E79" s="2" t="inlineStr">
        <is>
          <t>17:15</t>
        </is>
      </c>
      <c r="F79" s="5" t="n">
        <v>797.5</v>
      </c>
      <c r="G79" s="5" t="n"/>
      <c r="H79" s="5" t="n"/>
      <c r="I79" s="5" t="n"/>
      <c r="J79" s="5" t="n">
        <v>159.5</v>
      </c>
      <c r="K79" s="5" t="n"/>
      <c r="L79" s="5" t="n"/>
      <c r="M79" s="5" t="n"/>
      <c r="N79" s="5" t="n"/>
      <c r="O79" s="5" t="n">
        <v>957</v>
      </c>
      <c r="P79" s="5" t="n"/>
      <c r="Q79" s="5" t="n">
        <v>957</v>
      </c>
      <c r="R79" s="5" t="n"/>
    </row>
    <row r="80">
      <c r="A80" s="2" t="inlineStr">
        <is>
          <t>EJ010423.TXT</t>
        </is>
      </c>
      <c r="B80" s="3" t="inlineStr">
        <is>
          <t>001081</t>
        </is>
      </c>
      <c r="C80" s="3" t="inlineStr">
        <is>
          <t>000687</t>
        </is>
      </c>
      <c r="D80" s="4" t="n">
        <v>45011</v>
      </c>
      <c r="E80" s="2" t="inlineStr">
        <is>
          <t>17:18</t>
        </is>
      </c>
      <c r="F80" s="5" t="n">
        <v>797.5</v>
      </c>
      <c r="G80" s="5" t="n"/>
      <c r="H80" s="5" t="n"/>
      <c r="I80" s="5" t="n"/>
      <c r="J80" s="5" t="n">
        <v>159.5</v>
      </c>
      <c r="K80" s="5" t="n"/>
      <c r="L80" s="5" t="n"/>
      <c r="M80" s="5" t="n"/>
      <c r="N80" s="5" t="n"/>
      <c r="O80" s="5" t="n">
        <v>957</v>
      </c>
      <c r="P80" s="5" t="n"/>
      <c r="Q80" s="5" t="n">
        <v>957</v>
      </c>
      <c r="R80" s="5" t="n"/>
    </row>
    <row r="81">
      <c r="A81" s="2" t="inlineStr">
        <is>
          <t>EJ010423.TXT</t>
        </is>
      </c>
      <c r="B81" s="3" t="inlineStr">
        <is>
          <t>001082</t>
        </is>
      </c>
      <c r="C81" s="3" t="inlineStr">
        <is>
          <t>000688</t>
        </is>
      </c>
      <c r="D81" s="4" t="n">
        <v>45013</v>
      </c>
      <c r="E81" s="2" t="inlineStr">
        <is>
          <t>09:40</t>
        </is>
      </c>
      <c r="F81" s="5" t="n">
        <v>548.33</v>
      </c>
      <c r="G81" s="5" t="n"/>
      <c r="H81" s="5" t="n"/>
      <c r="I81" s="5" t="n"/>
      <c r="J81" s="5" t="n">
        <v>109.67</v>
      </c>
      <c r="K81" s="5" t="n"/>
      <c r="L81" s="5" t="n"/>
      <c r="M81" s="5" t="n"/>
      <c r="N81" s="5" t="n"/>
      <c r="O81" s="5" t="n">
        <v>658</v>
      </c>
      <c r="P81" s="5" t="n">
        <v>658</v>
      </c>
      <c r="Q81" s="5" t="n"/>
      <c r="R81" s="5" t="n"/>
    </row>
    <row r="82">
      <c r="A82" s="2" t="inlineStr">
        <is>
          <t>EJ010423.TXT</t>
        </is>
      </c>
      <c r="B82" s="3" t="inlineStr">
        <is>
          <t>001083</t>
        </is>
      </c>
      <c r="C82" s="3" t="inlineStr">
        <is>
          <t>000689</t>
        </is>
      </c>
      <c r="D82" s="4" t="n">
        <v>45014</v>
      </c>
      <c r="E82" s="2" t="inlineStr">
        <is>
          <t>11:47</t>
        </is>
      </c>
      <c r="F82" s="5" t="n">
        <v>548.33</v>
      </c>
      <c r="G82" s="5" t="n"/>
      <c r="H82" s="5" t="n"/>
      <c r="I82" s="5" t="n"/>
      <c r="J82" s="5" t="n">
        <v>109.67</v>
      </c>
      <c r="K82" s="5" t="n"/>
      <c r="L82" s="5" t="n"/>
      <c r="M82" s="5" t="n"/>
      <c r="N82" s="5" t="n"/>
      <c r="O82" s="5" t="n">
        <v>658</v>
      </c>
      <c r="P82" s="5" t="n">
        <v>658</v>
      </c>
      <c r="Q82" s="5" t="n"/>
      <c r="R82" s="5" t="n"/>
    </row>
    <row r="83">
      <c r="A83" s="2" t="inlineStr">
        <is>
          <t>EJ010423.TXT</t>
        </is>
      </c>
      <c r="B83" s="3" t="inlineStr">
        <is>
          <t>001084</t>
        </is>
      </c>
      <c r="C83" s="3" t="inlineStr">
        <is>
          <t>000690</t>
        </is>
      </c>
      <c r="D83" s="4" t="n">
        <v>45016</v>
      </c>
      <c r="E83" s="2" t="inlineStr">
        <is>
          <t>08:58</t>
        </is>
      </c>
      <c r="F83" s="5" t="n">
        <v>1645</v>
      </c>
      <c r="G83" s="5" t="n"/>
      <c r="H83" s="5" t="n"/>
      <c r="I83" s="5" t="n"/>
      <c r="J83" s="5" t="n">
        <v>329</v>
      </c>
      <c r="K83" s="5" t="n"/>
      <c r="L83" s="5" t="n"/>
      <c r="M83" s="5" t="n"/>
      <c r="N83" s="5" t="n"/>
      <c r="O83" s="5" t="n">
        <v>1974</v>
      </c>
      <c r="P83" s="5" t="n">
        <v>1974</v>
      </c>
      <c r="Q83" s="5" t="n"/>
      <c r="R83" s="5" t="n"/>
    </row>
    <row r="84">
      <c r="A84" s="2" t="inlineStr">
        <is>
          <t>EJ020523.TXT</t>
        </is>
      </c>
      <c r="B84" s="3" t="inlineStr">
        <is>
          <t>001092</t>
        </is>
      </c>
      <c r="C84" s="3" t="inlineStr">
        <is>
          <t>000691</t>
        </is>
      </c>
      <c r="D84" s="4" t="n">
        <v>45020</v>
      </c>
      <c r="E84" s="2" t="inlineStr">
        <is>
          <t>12:37</t>
        </is>
      </c>
      <c r="F84" s="5" t="n">
        <v>398.33</v>
      </c>
      <c r="G84" s="5" t="n"/>
      <c r="H84" s="5" t="n"/>
      <c r="I84" s="5" t="n"/>
      <c r="J84" s="5" t="n">
        <v>79.67</v>
      </c>
      <c r="K84" s="5" t="n"/>
      <c r="L84" s="5" t="n"/>
      <c r="M84" s="5" t="n"/>
      <c r="N84" s="5" t="n"/>
      <c r="O84" s="5" t="n">
        <v>478</v>
      </c>
      <c r="P84" s="5" t="n">
        <v>478</v>
      </c>
      <c r="Q84" s="5" t="n"/>
      <c r="R84" s="5" t="n"/>
    </row>
    <row r="85">
      <c r="A85" s="2" t="inlineStr">
        <is>
          <t>EJ020523.TXT</t>
        </is>
      </c>
      <c r="B85" s="3" t="inlineStr">
        <is>
          <t>001098</t>
        </is>
      </c>
      <c r="C85" s="3" t="inlineStr">
        <is>
          <t>000692</t>
        </is>
      </c>
      <c r="D85" s="4" t="n">
        <v>45023</v>
      </c>
      <c r="E85" s="2" t="inlineStr">
        <is>
          <t>12:24</t>
        </is>
      </c>
      <c r="F85" s="5" t="n">
        <v>548.33</v>
      </c>
      <c r="G85" s="5" t="n"/>
      <c r="H85" s="5" t="n"/>
      <c r="I85" s="5" t="n"/>
      <c r="J85" s="5" t="n">
        <v>109.67</v>
      </c>
      <c r="K85" s="5" t="n"/>
      <c r="L85" s="5" t="n"/>
      <c r="M85" s="5" t="n"/>
      <c r="N85" s="5" t="n"/>
      <c r="O85" s="5" t="n">
        <v>658</v>
      </c>
      <c r="P85" s="5" t="n">
        <v>658</v>
      </c>
      <c r="Q85" s="5" t="n"/>
      <c r="R85" s="5" t="n"/>
    </row>
    <row r="86">
      <c r="A86" s="2" t="inlineStr">
        <is>
          <t>EJ020523.TXT</t>
        </is>
      </c>
      <c r="B86" s="3" t="inlineStr">
        <is>
          <t>001099</t>
        </is>
      </c>
      <c r="C86" s="3" t="inlineStr">
        <is>
          <t>000693</t>
        </is>
      </c>
      <c r="D86" s="4" t="n">
        <v>45028</v>
      </c>
      <c r="E86" s="2" t="inlineStr">
        <is>
          <t>12:43</t>
        </is>
      </c>
      <c r="F86" s="5" t="n">
        <v>274.17</v>
      </c>
      <c r="G86" s="5" t="n"/>
      <c r="H86" s="5" t="n"/>
      <c r="I86" s="5" t="n"/>
      <c r="J86" s="5" t="n">
        <v>54.83</v>
      </c>
      <c r="K86" s="5" t="n"/>
      <c r="L86" s="5" t="n"/>
      <c r="M86" s="5" t="n"/>
      <c r="N86" s="5" t="n"/>
      <c r="O86" s="5" t="n">
        <v>329</v>
      </c>
      <c r="P86" s="5" t="n">
        <v>329</v>
      </c>
      <c r="Q86" s="5" t="n"/>
      <c r="R86" s="5" t="n"/>
    </row>
    <row r="87">
      <c r="A87" s="2" t="inlineStr">
        <is>
          <t>EJ020523.TXT</t>
        </is>
      </c>
      <c r="B87" s="3" t="inlineStr">
        <is>
          <t>001100</t>
        </is>
      </c>
      <c r="C87" s="3" t="inlineStr">
        <is>
          <t>000694</t>
        </is>
      </c>
      <c r="D87" s="4" t="n">
        <v>45030</v>
      </c>
      <c r="E87" s="2" t="inlineStr">
        <is>
          <t>12:11</t>
        </is>
      </c>
      <c r="F87" s="5" t="n">
        <v>73.33</v>
      </c>
      <c r="G87" s="5" t="n"/>
      <c r="H87" s="5" t="n"/>
      <c r="I87" s="5" t="n"/>
      <c r="J87" s="5" t="n">
        <v>14.67</v>
      </c>
      <c r="K87" s="5" t="n"/>
      <c r="L87" s="5" t="n"/>
      <c r="M87" s="5" t="n"/>
      <c r="N87" s="5" t="n"/>
      <c r="O87" s="5" t="n">
        <v>88</v>
      </c>
      <c r="P87" s="5" t="n"/>
      <c r="Q87" s="5" t="n">
        <v>88</v>
      </c>
      <c r="R87" s="5" t="n"/>
    </row>
    <row r="88">
      <c r="A88" s="2" t="inlineStr">
        <is>
          <t>EJ020523.TXT</t>
        </is>
      </c>
      <c r="B88" s="3" t="inlineStr">
        <is>
          <t>001107</t>
        </is>
      </c>
      <c r="C88" s="3" t="inlineStr">
        <is>
          <t>000695</t>
        </is>
      </c>
      <c r="D88" s="4" t="n">
        <v>45038</v>
      </c>
      <c r="E88" s="2" t="inlineStr">
        <is>
          <t>15:55</t>
        </is>
      </c>
      <c r="F88" s="5" t="n">
        <v>548.33</v>
      </c>
      <c r="G88" s="5" t="n"/>
      <c r="H88" s="5" t="n"/>
      <c r="I88" s="5" t="n"/>
      <c r="J88" s="5" t="n">
        <v>109.67</v>
      </c>
      <c r="K88" s="5" t="n"/>
      <c r="L88" s="5" t="n"/>
      <c r="M88" s="5" t="n"/>
      <c r="N88" s="5" t="n"/>
      <c r="O88" s="5" t="n">
        <v>658</v>
      </c>
      <c r="P88" s="5" t="n">
        <v>658</v>
      </c>
      <c r="Q88" s="5" t="n"/>
      <c r="R88" s="5" t="n"/>
    </row>
    <row r="89">
      <c r="A89" s="2" t="inlineStr">
        <is>
          <t>EJ020523.TXT</t>
        </is>
      </c>
      <c r="B89" s="3" t="inlineStr">
        <is>
          <t>001109</t>
        </is>
      </c>
      <c r="C89" s="3" t="inlineStr">
        <is>
          <t>000696</t>
        </is>
      </c>
      <c r="D89" s="4" t="n">
        <v>45041</v>
      </c>
      <c r="E89" s="2" t="inlineStr">
        <is>
          <t>15:17</t>
        </is>
      </c>
      <c r="F89" s="5" t="n">
        <v>73.33</v>
      </c>
      <c r="G89" s="5" t="n"/>
      <c r="H89" s="5" t="n"/>
      <c r="I89" s="5" t="n"/>
      <c r="J89" s="5" t="n">
        <v>14.67</v>
      </c>
      <c r="K89" s="5" t="n"/>
      <c r="L89" s="5" t="n"/>
      <c r="M89" s="5" t="n"/>
      <c r="N89" s="5" t="n"/>
      <c r="O89" s="5" t="n">
        <v>88</v>
      </c>
      <c r="P89" s="5" t="n"/>
      <c r="Q89" s="5" t="n">
        <v>88</v>
      </c>
      <c r="R89" s="5" t="n"/>
    </row>
    <row r="90">
      <c r="A90" s="2" t="inlineStr">
        <is>
          <t>EJ020523.TXT</t>
        </is>
      </c>
      <c r="B90" s="3" t="inlineStr">
        <is>
          <t>001110</t>
        </is>
      </c>
      <c r="C90" s="3" t="inlineStr">
        <is>
          <t>000697</t>
        </is>
      </c>
      <c r="D90" s="4" t="n">
        <v>45041</v>
      </c>
      <c r="E90" s="2" t="inlineStr">
        <is>
          <t>15:48</t>
        </is>
      </c>
      <c r="F90" s="5" t="n">
        <v>822.5</v>
      </c>
      <c r="G90" s="5" t="n"/>
      <c r="H90" s="5" t="n"/>
      <c r="I90" s="5" t="n"/>
      <c r="J90" s="5" t="n">
        <v>164.5</v>
      </c>
      <c r="K90" s="5" t="n"/>
      <c r="L90" s="5" t="n"/>
      <c r="M90" s="5" t="n"/>
      <c r="N90" s="5" t="n"/>
      <c r="O90" s="5" t="n">
        <v>987</v>
      </c>
      <c r="P90" s="5" t="n"/>
      <c r="Q90" s="5" t="n">
        <v>987</v>
      </c>
      <c r="R90" s="5" t="n"/>
    </row>
    <row r="91">
      <c r="A91" s="2" t="inlineStr">
        <is>
          <t>EJ020523.TXT</t>
        </is>
      </c>
      <c r="B91" s="3" t="inlineStr">
        <is>
          <t>001111</t>
        </is>
      </c>
      <c r="C91" s="3" t="inlineStr">
        <is>
          <t>000698</t>
        </is>
      </c>
      <c r="D91" s="4" t="n">
        <v>45041</v>
      </c>
      <c r="E91" s="2" t="inlineStr">
        <is>
          <t>15:57</t>
        </is>
      </c>
      <c r="F91" s="5" t="n">
        <v>822.5</v>
      </c>
      <c r="G91" s="5" t="n"/>
      <c r="H91" s="5" t="n"/>
      <c r="I91" s="5" t="n"/>
      <c r="J91" s="5" t="n">
        <v>164.5</v>
      </c>
      <c r="K91" s="5" t="n"/>
      <c r="L91" s="5" t="n"/>
      <c r="M91" s="5" t="n"/>
      <c r="N91" s="5" t="n"/>
      <c r="O91" s="5" t="n">
        <v>987</v>
      </c>
      <c r="P91" s="5" t="n"/>
      <c r="Q91" s="5" t="n">
        <v>987</v>
      </c>
      <c r="R91" s="5" t="n"/>
    </row>
    <row r="92">
      <c r="A92" s="2" t="inlineStr">
        <is>
          <t>EJ020523.TXT</t>
        </is>
      </c>
      <c r="B92" s="3" t="inlineStr">
        <is>
          <t>001112</t>
        </is>
      </c>
      <c r="C92" s="3" t="inlineStr">
        <is>
          <t>000699</t>
        </is>
      </c>
      <c r="D92" s="4" t="n">
        <v>45041</v>
      </c>
      <c r="E92" s="2" t="inlineStr">
        <is>
          <t>17:02</t>
        </is>
      </c>
      <c r="F92" s="5" t="n">
        <v>5298.33</v>
      </c>
      <c r="G92" s="5" t="n"/>
      <c r="H92" s="5" t="n"/>
      <c r="I92" s="5" t="n"/>
      <c r="J92" s="5" t="n">
        <v>1059.67</v>
      </c>
      <c r="K92" s="5" t="n"/>
      <c r="L92" s="5" t="n"/>
      <c r="M92" s="5" t="n"/>
      <c r="N92" s="5" t="n"/>
      <c r="O92" s="5" t="n">
        <v>6358</v>
      </c>
      <c r="P92" s="5" t="n">
        <v>6358</v>
      </c>
      <c r="Q92" s="5" t="n"/>
      <c r="R92" s="5" t="n"/>
    </row>
    <row r="93">
      <c r="A93" s="2" t="inlineStr">
        <is>
          <t>EJ020523.TXT</t>
        </is>
      </c>
      <c r="B93" s="3" t="inlineStr">
        <is>
          <t>001114</t>
        </is>
      </c>
      <c r="C93" s="3" t="inlineStr">
        <is>
          <t>000700</t>
        </is>
      </c>
      <c r="D93" s="4" t="n">
        <v>45042</v>
      </c>
      <c r="E93" s="2" t="inlineStr">
        <is>
          <t>09:36</t>
        </is>
      </c>
      <c r="F93" s="5" t="n">
        <v>548.33</v>
      </c>
      <c r="G93" s="5" t="n"/>
      <c r="H93" s="5" t="n"/>
      <c r="I93" s="5" t="n"/>
      <c r="J93" s="5" t="n">
        <v>109.67</v>
      </c>
      <c r="K93" s="5" t="n"/>
      <c r="L93" s="5" t="n"/>
      <c r="M93" s="5" t="n"/>
      <c r="N93" s="5" t="n"/>
      <c r="O93" s="5" t="n">
        <v>658</v>
      </c>
      <c r="P93" s="5" t="n"/>
      <c r="Q93" s="5" t="n">
        <v>658</v>
      </c>
      <c r="R93" s="5" t="n"/>
    </row>
    <row r="94">
      <c r="A94" s="2" t="inlineStr">
        <is>
          <t>EJ020523.TXT</t>
        </is>
      </c>
      <c r="B94" s="3" t="inlineStr">
        <is>
          <t>001115</t>
        </is>
      </c>
      <c r="C94" s="3" t="inlineStr">
        <is>
          <t>000701</t>
        </is>
      </c>
      <c r="D94" s="4" t="n">
        <v>45042</v>
      </c>
      <c r="E94" s="2" t="inlineStr">
        <is>
          <t>09:50</t>
        </is>
      </c>
      <c r="F94" s="5" t="n">
        <v>146.67</v>
      </c>
      <c r="G94" s="5" t="n"/>
      <c r="H94" s="5" t="n"/>
      <c r="I94" s="5" t="n"/>
      <c r="J94" s="5" t="n">
        <v>29.33</v>
      </c>
      <c r="K94" s="5" t="n"/>
      <c r="L94" s="5" t="n"/>
      <c r="M94" s="5" t="n"/>
      <c r="N94" s="5" t="n"/>
      <c r="O94" s="5" t="n">
        <v>176</v>
      </c>
      <c r="P94" s="5" t="n"/>
      <c r="Q94" s="5" t="n">
        <v>176</v>
      </c>
      <c r="R94" s="5" t="n"/>
    </row>
    <row r="95">
      <c r="A95" s="2" t="inlineStr">
        <is>
          <t>EJ020523.TXT</t>
        </is>
      </c>
      <c r="B95" s="3" t="inlineStr">
        <is>
          <t>001119</t>
        </is>
      </c>
      <c r="C95" s="3" t="inlineStr">
        <is>
          <t>000702</t>
        </is>
      </c>
      <c r="D95" s="4" t="n">
        <v>45043</v>
      </c>
      <c r="E95" s="2" t="inlineStr">
        <is>
          <t>12:23</t>
        </is>
      </c>
      <c r="F95" s="5" t="n">
        <v>49.17</v>
      </c>
      <c r="G95" s="5" t="n"/>
      <c r="H95" s="5" t="n"/>
      <c r="I95" s="5" t="n"/>
      <c r="J95" s="5" t="n">
        <v>9.83</v>
      </c>
      <c r="K95" s="5" t="n"/>
      <c r="L95" s="5" t="n"/>
      <c r="M95" s="5" t="n"/>
      <c r="N95" s="5" t="n"/>
      <c r="O95" s="5" t="n">
        <v>59</v>
      </c>
      <c r="P95" s="5" t="n">
        <v>59</v>
      </c>
      <c r="Q95" s="5" t="n"/>
      <c r="R95" s="5" t="n"/>
    </row>
    <row r="96">
      <c r="A96" s="2" t="inlineStr">
        <is>
          <t>EJ020523.TXT</t>
        </is>
      </c>
      <c r="B96" s="3" t="inlineStr">
        <is>
          <t>001120</t>
        </is>
      </c>
      <c r="C96" s="3" t="inlineStr">
        <is>
          <t>000703</t>
        </is>
      </c>
      <c r="D96" s="4" t="n">
        <v>45043</v>
      </c>
      <c r="E96" s="2" t="inlineStr">
        <is>
          <t>16:00</t>
        </is>
      </c>
      <c r="F96" s="5" t="n">
        <v>615</v>
      </c>
      <c r="G96" s="5" t="n"/>
      <c r="H96" s="5" t="n"/>
      <c r="I96" s="5" t="n"/>
      <c r="J96" s="5" t="n">
        <v>123</v>
      </c>
      <c r="K96" s="5" t="n"/>
      <c r="L96" s="5" t="n"/>
      <c r="M96" s="5" t="n"/>
      <c r="N96" s="5" t="n"/>
      <c r="O96" s="5" t="n">
        <v>738</v>
      </c>
      <c r="P96" s="5" t="n">
        <v>738</v>
      </c>
      <c r="Q96" s="5" t="n"/>
      <c r="R96" s="5" t="n"/>
    </row>
    <row r="97">
      <c r="A97" s="2" t="inlineStr">
        <is>
          <t>EJ020523.TXT</t>
        </is>
      </c>
      <c r="B97" s="3" t="inlineStr">
        <is>
          <t>001122</t>
        </is>
      </c>
      <c r="C97" s="3" t="inlineStr">
        <is>
          <t>000704</t>
        </is>
      </c>
      <c r="D97" s="4" t="n">
        <v>45045</v>
      </c>
      <c r="E97" s="2" t="inlineStr">
        <is>
          <t>16:12</t>
        </is>
      </c>
      <c r="F97" s="5" t="n">
        <v>597.5</v>
      </c>
      <c r="G97" s="5" t="n"/>
      <c r="H97" s="5" t="n"/>
      <c r="I97" s="5" t="n"/>
      <c r="J97" s="5" t="n">
        <v>119.5</v>
      </c>
      <c r="K97" s="5" t="n"/>
      <c r="L97" s="5" t="n"/>
      <c r="M97" s="5" t="n"/>
      <c r="N97" s="5" t="n"/>
      <c r="O97" s="5" t="n">
        <v>717</v>
      </c>
      <c r="P97" s="5" t="n">
        <v>717</v>
      </c>
      <c r="Q97" s="5" t="n"/>
      <c r="R97" s="5" t="n"/>
    </row>
    <row r="98">
      <c r="A98" s="2" t="inlineStr">
        <is>
          <t>EJ020523.TXT</t>
        </is>
      </c>
      <c r="B98" s="3" t="inlineStr">
        <is>
          <t>001123</t>
        </is>
      </c>
      <c r="C98" s="3" t="inlineStr">
        <is>
          <t>000705</t>
        </is>
      </c>
      <c r="D98" s="4" t="n">
        <v>45045</v>
      </c>
      <c r="E98" s="2" t="inlineStr">
        <is>
          <t>16:55</t>
        </is>
      </c>
      <c r="F98" s="5" t="n">
        <v>381.67</v>
      </c>
      <c r="G98" s="5" t="n"/>
      <c r="H98" s="5" t="n"/>
      <c r="I98" s="5" t="n"/>
      <c r="J98" s="5" t="n">
        <v>76.33</v>
      </c>
      <c r="K98" s="5" t="n"/>
      <c r="L98" s="5" t="n"/>
      <c r="M98" s="5" t="n"/>
      <c r="N98" s="5" t="n"/>
      <c r="O98" s="5" t="n">
        <v>458</v>
      </c>
      <c r="P98" s="5" t="n"/>
      <c r="Q98" s="5" t="n">
        <v>458</v>
      </c>
      <c r="R98" s="5" t="n"/>
    </row>
    <row r="99">
      <c r="A99" s="2" t="inlineStr">
        <is>
          <t>EJ010623.TXT</t>
        </is>
      </c>
      <c r="B99" s="3" t="inlineStr">
        <is>
          <t>001130</t>
        </is>
      </c>
      <c r="C99" s="3" t="inlineStr">
        <is>
          <t>000706</t>
        </is>
      </c>
      <c r="D99" s="4" t="n">
        <v>45048</v>
      </c>
      <c r="E99" s="2" t="inlineStr">
        <is>
          <t>12:22</t>
        </is>
      </c>
      <c r="F99" s="5" t="n">
        <v>548.33</v>
      </c>
      <c r="G99" s="5" t="n"/>
      <c r="H99" s="5" t="n"/>
      <c r="I99" s="5" t="n"/>
      <c r="J99" s="5" t="n">
        <v>109.67</v>
      </c>
      <c r="K99" s="5" t="n"/>
      <c r="L99" s="5" t="n"/>
      <c r="M99" s="5" t="n"/>
      <c r="N99" s="5" t="n"/>
      <c r="O99" s="5" t="n">
        <v>658</v>
      </c>
      <c r="P99" s="5" t="n">
        <v>658</v>
      </c>
      <c r="Q99" s="5" t="n"/>
      <c r="R99" s="5" t="n"/>
    </row>
    <row r="100">
      <c r="A100" s="2" t="inlineStr">
        <is>
          <t>EJ010623.TXT</t>
        </is>
      </c>
      <c r="B100" s="3" t="inlineStr">
        <is>
          <t>001131</t>
        </is>
      </c>
      <c r="C100" s="3" t="inlineStr">
        <is>
          <t>000707</t>
        </is>
      </c>
      <c r="D100" s="4" t="n">
        <v>45048</v>
      </c>
      <c r="E100" s="2" t="inlineStr">
        <is>
          <t>13:04</t>
        </is>
      </c>
      <c r="F100" s="5" t="n">
        <v>581.67</v>
      </c>
      <c r="G100" s="5" t="n"/>
      <c r="H100" s="5" t="n"/>
      <c r="I100" s="5" t="n"/>
      <c r="J100" s="5" t="n">
        <v>116.33</v>
      </c>
      <c r="K100" s="5" t="n"/>
      <c r="L100" s="5" t="n"/>
      <c r="M100" s="5" t="n"/>
      <c r="N100" s="5" t="n"/>
      <c r="O100" s="5" t="n">
        <v>698</v>
      </c>
      <c r="P100" s="5" t="n">
        <v>698</v>
      </c>
      <c r="Q100" s="5" t="n"/>
      <c r="R100" s="5" t="n"/>
    </row>
    <row r="101">
      <c r="A101" s="2" t="inlineStr">
        <is>
          <t>EJ010623.TXT</t>
        </is>
      </c>
      <c r="B101" s="3" t="inlineStr">
        <is>
          <t>001132</t>
        </is>
      </c>
      <c r="C101" s="3" t="inlineStr">
        <is>
          <t>000708</t>
        </is>
      </c>
      <c r="D101" s="4" t="n">
        <v>45049</v>
      </c>
      <c r="E101" s="2" t="inlineStr">
        <is>
          <t>12:24</t>
        </is>
      </c>
      <c r="F101" s="5" t="n">
        <v>274.17</v>
      </c>
      <c r="G101" s="5" t="n"/>
      <c r="H101" s="5" t="n"/>
      <c r="I101" s="5" t="n"/>
      <c r="J101" s="5" t="n">
        <v>54.83</v>
      </c>
      <c r="K101" s="5" t="n"/>
      <c r="L101" s="5" t="n"/>
      <c r="M101" s="5" t="n"/>
      <c r="N101" s="5" t="n"/>
      <c r="O101" s="5" t="n">
        <v>329</v>
      </c>
      <c r="P101" s="5" t="n">
        <v>329</v>
      </c>
      <c r="Q101" s="5" t="n"/>
      <c r="R101" s="5" t="n"/>
    </row>
    <row r="102">
      <c r="A102" s="2" t="inlineStr">
        <is>
          <t>EJ010623.TXT</t>
        </is>
      </c>
      <c r="B102" s="3" t="inlineStr">
        <is>
          <t>001134</t>
        </is>
      </c>
      <c r="C102" s="3" t="inlineStr">
        <is>
          <t>000709</t>
        </is>
      </c>
      <c r="D102" s="4" t="n">
        <v>45050</v>
      </c>
      <c r="E102" s="2" t="inlineStr">
        <is>
          <t>14:46</t>
        </is>
      </c>
      <c r="F102" s="5" t="n">
        <v>548.33</v>
      </c>
      <c r="G102" s="5" t="n"/>
      <c r="H102" s="5" t="n"/>
      <c r="I102" s="5" t="n"/>
      <c r="J102" s="5" t="n">
        <v>109.67</v>
      </c>
      <c r="K102" s="5" t="n"/>
      <c r="L102" s="5" t="n"/>
      <c r="M102" s="5" t="n"/>
      <c r="N102" s="5" t="n"/>
      <c r="O102" s="5" t="n">
        <v>658</v>
      </c>
      <c r="P102" s="5" t="n">
        <v>658</v>
      </c>
      <c r="Q102" s="5" t="n"/>
      <c r="R102" s="5" t="n"/>
    </row>
    <row r="103">
      <c r="A103" s="2" t="inlineStr">
        <is>
          <t>EJ010623.TXT</t>
        </is>
      </c>
      <c r="B103" s="3" t="inlineStr">
        <is>
          <t>001136</t>
        </is>
      </c>
      <c r="C103" s="3" t="inlineStr">
        <is>
          <t>000710</t>
        </is>
      </c>
      <c r="D103" s="4" t="n">
        <v>45058</v>
      </c>
      <c r="E103" s="2" t="inlineStr">
        <is>
          <t>14:37</t>
        </is>
      </c>
      <c r="F103" s="5" t="n">
        <v>115</v>
      </c>
      <c r="G103" s="5" t="n"/>
      <c r="H103" s="5" t="n"/>
      <c r="I103" s="5" t="n"/>
      <c r="J103" s="5" t="n">
        <v>23</v>
      </c>
      <c r="K103" s="5" t="n"/>
      <c r="L103" s="5" t="n"/>
      <c r="M103" s="5" t="n"/>
      <c r="N103" s="5" t="n"/>
      <c r="O103" s="5" t="n">
        <v>138</v>
      </c>
      <c r="P103" s="5" t="n">
        <v>138</v>
      </c>
      <c r="Q103" s="5" t="n"/>
      <c r="R103" s="5" t="n"/>
    </row>
    <row r="104">
      <c r="A104" s="2" t="inlineStr">
        <is>
          <t>EJ010623.TXT</t>
        </is>
      </c>
      <c r="B104" s="3" t="inlineStr">
        <is>
          <t>001137</t>
        </is>
      </c>
      <c r="C104" s="3" t="inlineStr">
        <is>
          <t>000711</t>
        </is>
      </c>
      <c r="D104" s="4" t="n">
        <v>45058</v>
      </c>
      <c r="E104" s="2" t="inlineStr">
        <is>
          <t>16:20</t>
        </is>
      </c>
      <c r="F104" s="5" t="n">
        <v>1645</v>
      </c>
      <c r="G104" s="5" t="n"/>
      <c r="H104" s="5" t="n"/>
      <c r="I104" s="5" t="n"/>
      <c r="J104" s="5" t="n">
        <v>329</v>
      </c>
      <c r="K104" s="5" t="n"/>
      <c r="L104" s="5" t="n"/>
      <c r="M104" s="5" t="n"/>
      <c r="N104" s="5" t="n"/>
      <c r="O104" s="5" t="n">
        <v>1974</v>
      </c>
      <c r="P104" s="5" t="n">
        <v>1974</v>
      </c>
      <c r="Q104" s="5" t="n"/>
      <c r="R104" s="5" t="n"/>
    </row>
    <row r="105">
      <c r="A105" s="2" t="inlineStr">
        <is>
          <t>EJ010623.TXT</t>
        </is>
      </c>
      <c r="B105" s="3" t="inlineStr">
        <is>
          <t>001138</t>
        </is>
      </c>
      <c r="C105" s="3" t="inlineStr">
        <is>
          <t>000712</t>
        </is>
      </c>
      <c r="D105" s="4" t="n">
        <v>45059</v>
      </c>
      <c r="E105" s="2" t="inlineStr">
        <is>
          <t>13:45</t>
        </is>
      </c>
      <c r="F105" s="5" t="n">
        <v>548.33</v>
      </c>
      <c r="G105" s="5" t="n"/>
      <c r="H105" s="5" t="n"/>
      <c r="I105" s="5" t="n"/>
      <c r="J105" s="5" t="n">
        <v>109.67</v>
      </c>
      <c r="K105" s="5" t="n"/>
      <c r="L105" s="5" t="n"/>
      <c r="M105" s="5" t="n"/>
      <c r="N105" s="5" t="n"/>
      <c r="O105" s="5" t="n">
        <v>658</v>
      </c>
      <c r="P105" s="5" t="n">
        <v>658</v>
      </c>
      <c r="Q105" s="5" t="n"/>
      <c r="R105" s="5" t="n"/>
    </row>
    <row r="106">
      <c r="A106" s="2" t="inlineStr">
        <is>
          <t>EJ010623.TXT</t>
        </is>
      </c>
      <c r="B106" s="3" t="inlineStr">
        <is>
          <t>001139</t>
        </is>
      </c>
      <c r="C106" s="3" t="inlineStr">
        <is>
          <t>000713</t>
        </is>
      </c>
      <c r="D106" s="4" t="n">
        <v>45059</v>
      </c>
      <c r="E106" s="2" t="inlineStr">
        <is>
          <t>14:04</t>
        </is>
      </c>
      <c r="F106" s="5" t="n">
        <v>548.33</v>
      </c>
      <c r="G106" s="5" t="n"/>
      <c r="H106" s="5" t="n"/>
      <c r="I106" s="5" t="n"/>
      <c r="J106" s="5" t="n">
        <v>109.67</v>
      </c>
      <c r="K106" s="5" t="n"/>
      <c r="L106" s="5" t="n"/>
      <c r="M106" s="5" t="n"/>
      <c r="N106" s="5" t="n"/>
      <c r="O106" s="5" t="n">
        <v>658</v>
      </c>
      <c r="P106" s="5" t="n"/>
      <c r="Q106" s="5" t="n">
        <v>658</v>
      </c>
      <c r="R106" s="5" t="n"/>
    </row>
    <row r="107">
      <c r="A107" s="2" t="inlineStr">
        <is>
          <t>EJ010623.TXT</t>
        </is>
      </c>
      <c r="B107" s="3" t="inlineStr">
        <is>
          <t>001140</t>
        </is>
      </c>
      <c r="C107" s="3" t="inlineStr">
        <is>
          <t>000714</t>
        </is>
      </c>
      <c r="D107" s="4" t="n">
        <v>45059</v>
      </c>
      <c r="E107" s="2" t="inlineStr">
        <is>
          <t>14:43</t>
        </is>
      </c>
      <c r="F107" s="5" t="n">
        <v>266.67</v>
      </c>
      <c r="G107" s="5" t="n"/>
      <c r="H107" s="5" t="n"/>
      <c r="I107" s="5" t="n"/>
      <c r="J107" s="5" t="n">
        <v>53.33</v>
      </c>
      <c r="K107" s="5" t="n"/>
      <c r="L107" s="5" t="n"/>
      <c r="M107" s="5" t="n"/>
      <c r="N107" s="5" t="n"/>
      <c r="O107" s="5" t="n">
        <v>320</v>
      </c>
      <c r="P107" s="5" t="n">
        <v>320</v>
      </c>
      <c r="Q107" s="5" t="n"/>
      <c r="R107" s="5" t="n"/>
    </row>
    <row r="108">
      <c r="A108" s="2" t="inlineStr">
        <is>
          <t>EJ010623.TXT</t>
        </is>
      </c>
      <c r="B108" s="3" t="inlineStr">
        <is>
          <t>001141</t>
        </is>
      </c>
      <c r="C108" s="3" t="inlineStr">
        <is>
          <t>000715</t>
        </is>
      </c>
      <c r="D108" s="4" t="n">
        <v>45059</v>
      </c>
      <c r="E108" s="2" t="inlineStr">
        <is>
          <t>15:13</t>
        </is>
      </c>
      <c r="F108" s="5" t="n">
        <v>65.83</v>
      </c>
      <c r="G108" s="5" t="n"/>
      <c r="H108" s="5" t="n"/>
      <c r="I108" s="5" t="n"/>
      <c r="J108" s="5" t="n">
        <v>13.17</v>
      </c>
      <c r="K108" s="5" t="n"/>
      <c r="L108" s="5" t="n"/>
      <c r="M108" s="5" t="n"/>
      <c r="N108" s="5" t="n"/>
      <c r="O108" s="5" t="n">
        <v>79</v>
      </c>
      <c r="P108" s="5" t="n">
        <v>79</v>
      </c>
      <c r="Q108" s="5" t="n"/>
      <c r="R108" s="5" t="n"/>
    </row>
    <row r="109">
      <c r="A109" s="2" t="inlineStr">
        <is>
          <t>EJ010623.TXT</t>
        </is>
      </c>
      <c r="B109" s="3" t="inlineStr">
        <is>
          <t>001142</t>
        </is>
      </c>
      <c r="C109" s="3" t="inlineStr">
        <is>
          <t>000716</t>
        </is>
      </c>
      <c r="D109" s="4" t="n">
        <v>45062</v>
      </c>
      <c r="E109" s="2" t="inlineStr">
        <is>
          <t>13:26</t>
        </is>
      </c>
      <c r="F109" s="5" t="n">
        <v>548.33</v>
      </c>
      <c r="G109" s="5" t="n"/>
      <c r="H109" s="5" t="n"/>
      <c r="I109" s="5" t="n"/>
      <c r="J109" s="5" t="n">
        <v>109.67</v>
      </c>
      <c r="K109" s="5" t="n"/>
      <c r="L109" s="5" t="n"/>
      <c r="M109" s="5" t="n"/>
      <c r="N109" s="5" t="n"/>
      <c r="O109" s="5" t="n">
        <v>658</v>
      </c>
      <c r="P109" s="5" t="n"/>
      <c r="Q109" s="5" t="n">
        <v>658</v>
      </c>
      <c r="R109" s="5" t="n"/>
    </row>
    <row r="110">
      <c r="A110" s="2" t="inlineStr">
        <is>
          <t>EJ010623.TXT</t>
        </is>
      </c>
      <c r="B110" s="3" t="inlineStr">
        <is>
          <t>001144</t>
        </is>
      </c>
      <c r="C110" s="3" t="inlineStr">
        <is>
          <t>000717</t>
        </is>
      </c>
      <c r="D110" s="4" t="n">
        <v>45065</v>
      </c>
      <c r="E110" s="2" t="inlineStr">
        <is>
          <t>09:52</t>
        </is>
      </c>
      <c r="F110" s="5" t="n">
        <v>1733.33</v>
      </c>
      <c r="G110" s="5" t="n"/>
      <c r="H110" s="5" t="n"/>
      <c r="I110" s="5" t="n"/>
      <c r="J110" s="5" t="n">
        <v>346.67</v>
      </c>
      <c r="K110" s="5" t="n"/>
      <c r="L110" s="5" t="n"/>
      <c r="M110" s="5" t="n"/>
      <c r="N110" s="5" t="n"/>
      <c r="O110" s="5" t="n">
        <v>2080</v>
      </c>
      <c r="P110" s="5" t="n">
        <v>2080</v>
      </c>
      <c r="Q110" s="5" t="n"/>
      <c r="R110" s="5" t="n"/>
    </row>
    <row r="111">
      <c r="A111" s="2" t="inlineStr">
        <is>
          <t>EJ010623.TXT</t>
        </is>
      </c>
      <c r="B111" s="3" t="inlineStr">
        <is>
          <t>001145</t>
        </is>
      </c>
      <c r="C111" s="3" t="inlineStr">
        <is>
          <t>000718</t>
        </is>
      </c>
      <c r="D111" s="4" t="n">
        <v>45065</v>
      </c>
      <c r="E111" s="2" t="inlineStr">
        <is>
          <t>11:25</t>
        </is>
      </c>
      <c r="F111" s="5" t="n">
        <v>822.5</v>
      </c>
      <c r="G111" s="5" t="n"/>
      <c r="H111" s="5" t="n"/>
      <c r="I111" s="5" t="n"/>
      <c r="J111" s="5" t="n">
        <v>164.5</v>
      </c>
      <c r="K111" s="5" t="n"/>
      <c r="L111" s="5" t="n"/>
      <c r="M111" s="5" t="n"/>
      <c r="N111" s="5" t="n"/>
      <c r="O111" s="5" t="n">
        <v>987</v>
      </c>
      <c r="P111" s="5" t="n"/>
      <c r="Q111" s="5" t="n">
        <v>987</v>
      </c>
      <c r="R111" s="5" t="n"/>
    </row>
    <row r="112">
      <c r="A112" s="2" t="inlineStr">
        <is>
          <t>EJ010623.TXT</t>
        </is>
      </c>
      <c r="B112" s="3" t="inlineStr">
        <is>
          <t>001146</t>
        </is>
      </c>
      <c r="C112" s="3" t="inlineStr">
        <is>
          <t>000719</t>
        </is>
      </c>
      <c r="D112" s="4" t="n">
        <v>45065</v>
      </c>
      <c r="E112" s="2" t="inlineStr">
        <is>
          <t>15:19</t>
        </is>
      </c>
      <c r="F112" s="5" t="n">
        <v>274.17</v>
      </c>
      <c r="G112" s="5" t="n"/>
      <c r="H112" s="5" t="n"/>
      <c r="I112" s="5" t="n"/>
      <c r="J112" s="5" t="n">
        <v>54.83</v>
      </c>
      <c r="K112" s="5" t="n"/>
      <c r="L112" s="5" t="n"/>
      <c r="M112" s="5" t="n"/>
      <c r="N112" s="5" t="n"/>
      <c r="O112" s="5" t="n">
        <v>329</v>
      </c>
      <c r="P112" s="5" t="n">
        <v>329</v>
      </c>
      <c r="Q112" s="5" t="n"/>
      <c r="R112" s="5" t="n"/>
    </row>
    <row r="113">
      <c r="A113" s="2" t="inlineStr">
        <is>
          <t>EJ010623.TXT</t>
        </is>
      </c>
      <c r="B113" s="3" t="inlineStr">
        <is>
          <t>001147</t>
        </is>
      </c>
      <c r="C113" s="3" t="inlineStr">
        <is>
          <t>000720</t>
        </is>
      </c>
      <c r="D113" s="4" t="n">
        <v>45066</v>
      </c>
      <c r="E113" s="2" t="inlineStr">
        <is>
          <t>15:12</t>
        </is>
      </c>
      <c r="F113" s="5" t="n">
        <v>548.33</v>
      </c>
      <c r="G113" s="5" t="n"/>
      <c r="H113" s="5" t="n"/>
      <c r="I113" s="5" t="n"/>
      <c r="J113" s="5" t="n">
        <v>109.67</v>
      </c>
      <c r="K113" s="5" t="n"/>
      <c r="L113" s="5" t="n"/>
      <c r="M113" s="5" t="n"/>
      <c r="N113" s="5" t="n"/>
      <c r="O113" s="5" t="n">
        <v>658</v>
      </c>
      <c r="P113" s="5" t="n">
        <v>658</v>
      </c>
      <c r="Q113" s="5" t="n"/>
      <c r="R113" s="5" t="n"/>
    </row>
    <row r="114">
      <c r="A114" s="2" t="inlineStr">
        <is>
          <t>EJ010623.TXT</t>
        </is>
      </c>
      <c r="B114" s="3" t="inlineStr">
        <is>
          <t>001148</t>
        </is>
      </c>
      <c r="C114" s="3" t="inlineStr">
        <is>
          <t>000721</t>
        </is>
      </c>
      <c r="D114" s="4" t="n">
        <v>45068</v>
      </c>
      <c r="E114" s="2" t="inlineStr">
        <is>
          <t>13:01</t>
        </is>
      </c>
      <c r="F114" s="5" t="n">
        <v>82.5</v>
      </c>
      <c r="G114" s="5" t="n"/>
      <c r="H114" s="5" t="n"/>
      <c r="I114" s="5" t="n"/>
      <c r="J114" s="5" t="n">
        <v>16.5</v>
      </c>
      <c r="K114" s="5" t="n"/>
      <c r="L114" s="5" t="n"/>
      <c r="M114" s="5" t="n"/>
      <c r="N114" s="5" t="n"/>
      <c r="O114" s="5" t="n">
        <v>99</v>
      </c>
      <c r="P114" s="5" t="n">
        <v>99</v>
      </c>
      <c r="Q114" s="5" t="n"/>
      <c r="R114" s="5" t="n"/>
    </row>
    <row r="115">
      <c r="A115" s="2" t="inlineStr">
        <is>
          <t>EJ010623.TXT</t>
        </is>
      </c>
      <c r="B115" s="3" t="inlineStr">
        <is>
          <t>001149</t>
        </is>
      </c>
      <c r="C115" s="3" t="inlineStr">
        <is>
          <t>000722</t>
        </is>
      </c>
      <c r="D115" s="4" t="n">
        <v>45069</v>
      </c>
      <c r="E115" s="2" t="inlineStr">
        <is>
          <t>13:58</t>
        </is>
      </c>
      <c r="F115" s="5" t="n">
        <v>199.17</v>
      </c>
      <c r="G115" s="5" t="n"/>
      <c r="H115" s="5" t="n"/>
      <c r="I115" s="5" t="n"/>
      <c r="J115" s="5" t="n">
        <v>39.83</v>
      </c>
      <c r="K115" s="5" t="n"/>
      <c r="L115" s="5" t="n"/>
      <c r="M115" s="5" t="n"/>
      <c r="N115" s="5" t="n"/>
      <c r="O115" s="5" t="n">
        <v>239</v>
      </c>
      <c r="P115" s="5" t="n">
        <v>239</v>
      </c>
      <c r="Q115" s="5" t="n"/>
      <c r="R115" s="5" t="n"/>
    </row>
    <row r="116">
      <c r="A116" s="2" t="inlineStr">
        <is>
          <t>EJ010623.TXT</t>
        </is>
      </c>
      <c r="B116" s="3" t="inlineStr">
        <is>
          <t>001150</t>
        </is>
      </c>
      <c r="C116" s="3" t="inlineStr">
        <is>
          <t>000723</t>
        </is>
      </c>
      <c r="D116" s="4" t="n">
        <v>45073</v>
      </c>
      <c r="E116" s="2" t="inlineStr">
        <is>
          <t>13:56</t>
        </is>
      </c>
      <c r="F116" s="5" t="n">
        <v>548.33</v>
      </c>
      <c r="G116" s="5" t="n"/>
      <c r="H116" s="5" t="n"/>
      <c r="I116" s="5" t="n"/>
      <c r="J116" s="5" t="n">
        <v>109.67</v>
      </c>
      <c r="K116" s="5" t="n"/>
      <c r="L116" s="5" t="n"/>
      <c r="M116" s="5" t="n"/>
      <c r="N116" s="5" t="n"/>
      <c r="O116" s="5" t="n">
        <v>658</v>
      </c>
      <c r="P116" s="5" t="n"/>
      <c r="Q116" s="5" t="n">
        <v>658</v>
      </c>
      <c r="R116" s="5" t="n"/>
    </row>
    <row r="117">
      <c r="A117" s="2" t="inlineStr">
        <is>
          <t>EJ010623.TXT</t>
        </is>
      </c>
      <c r="B117" s="3" t="inlineStr">
        <is>
          <t>001152</t>
        </is>
      </c>
      <c r="C117" s="3" t="inlineStr">
        <is>
          <t>000724</t>
        </is>
      </c>
      <c r="D117" s="4" t="n">
        <v>45073</v>
      </c>
      <c r="E117" s="2" t="inlineStr">
        <is>
          <t>14:45</t>
        </is>
      </c>
      <c r="F117" s="5" t="n">
        <v>1769.17</v>
      </c>
      <c r="G117" s="5" t="n"/>
      <c r="H117" s="5" t="n"/>
      <c r="I117" s="5" t="n"/>
      <c r="J117" s="5" t="n">
        <v>353.83</v>
      </c>
      <c r="K117" s="5" t="n"/>
      <c r="L117" s="5" t="n"/>
      <c r="M117" s="5" t="n"/>
      <c r="N117" s="5" t="n"/>
      <c r="O117" s="5" t="n">
        <v>2123</v>
      </c>
      <c r="P117" s="5" t="n">
        <v>2123</v>
      </c>
      <c r="Q117" s="5" t="n"/>
      <c r="R117" s="5" t="n"/>
    </row>
    <row r="118">
      <c r="A118" s="2" t="inlineStr">
        <is>
          <t>EJ010623.TXT</t>
        </is>
      </c>
      <c r="B118" s="3" t="inlineStr">
        <is>
          <t>001153</t>
        </is>
      </c>
      <c r="C118" s="3" t="inlineStr">
        <is>
          <t>000725</t>
        </is>
      </c>
      <c r="D118" s="4" t="n">
        <v>45073</v>
      </c>
      <c r="E118" s="2" t="inlineStr">
        <is>
          <t>14:51</t>
        </is>
      </c>
      <c r="F118" s="5" t="n">
        <v>124.17</v>
      </c>
      <c r="G118" s="5" t="n"/>
      <c r="H118" s="5" t="n"/>
      <c r="I118" s="5" t="n"/>
      <c r="J118" s="5" t="n">
        <v>24.83</v>
      </c>
      <c r="K118" s="5" t="n"/>
      <c r="L118" s="5" t="n"/>
      <c r="M118" s="5" t="n"/>
      <c r="N118" s="5" t="n"/>
      <c r="O118" s="5" t="n">
        <v>149</v>
      </c>
      <c r="P118" s="5" t="n">
        <v>149</v>
      </c>
      <c r="Q118" s="5" t="n"/>
      <c r="R118" s="5" t="n"/>
    </row>
    <row r="119">
      <c r="A119" s="2" t="inlineStr">
        <is>
          <t>EJ010623.TXT</t>
        </is>
      </c>
      <c r="B119" s="3" t="inlineStr">
        <is>
          <t>001154</t>
        </is>
      </c>
      <c r="C119" s="3" t="inlineStr">
        <is>
          <t>000726</t>
        </is>
      </c>
      <c r="D119" s="4" t="n">
        <v>45073</v>
      </c>
      <c r="E119" s="2" t="inlineStr">
        <is>
          <t>15:50</t>
        </is>
      </c>
      <c r="F119" s="5" t="n">
        <v>548.33</v>
      </c>
      <c r="G119" s="5" t="n"/>
      <c r="H119" s="5" t="n"/>
      <c r="I119" s="5" t="n"/>
      <c r="J119" s="5" t="n">
        <v>109.67</v>
      </c>
      <c r="K119" s="5" t="n"/>
      <c r="L119" s="5" t="n"/>
      <c r="M119" s="5" t="n"/>
      <c r="N119" s="5" t="n"/>
      <c r="O119" s="5" t="n">
        <v>658</v>
      </c>
      <c r="P119" s="5" t="n">
        <v>658</v>
      </c>
      <c r="Q119" s="5" t="n"/>
      <c r="R119" s="5" t="n"/>
    </row>
    <row r="120">
      <c r="A120" s="2" t="inlineStr">
        <is>
          <t>EJ010623.TXT</t>
        </is>
      </c>
      <c r="B120" s="3" t="inlineStr">
        <is>
          <t>001155</t>
        </is>
      </c>
      <c r="C120" s="3" t="inlineStr">
        <is>
          <t>000727</t>
        </is>
      </c>
      <c r="D120" s="4" t="n">
        <v>45073</v>
      </c>
      <c r="E120" s="2" t="inlineStr">
        <is>
          <t>16:21</t>
        </is>
      </c>
      <c r="F120" s="5" t="n">
        <v>199.17</v>
      </c>
      <c r="G120" s="5" t="n"/>
      <c r="H120" s="5" t="n"/>
      <c r="I120" s="5" t="n"/>
      <c r="J120" s="5" t="n">
        <v>39.83</v>
      </c>
      <c r="K120" s="5" t="n"/>
      <c r="L120" s="5" t="n"/>
      <c r="M120" s="5" t="n"/>
      <c r="N120" s="5" t="n"/>
      <c r="O120" s="5" t="n">
        <v>239</v>
      </c>
      <c r="P120" s="5" t="n">
        <v>239</v>
      </c>
      <c r="Q120" s="5" t="n"/>
      <c r="R120" s="5" t="n"/>
    </row>
    <row r="121">
      <c r="A121" s="2" t="inlineStr">
        <is>
          <t>EJ010623.TXT</t>
        </is>
      </c>
      <c r="B121" s="3" t="inlineStr">
        <is>
          <t>001156</t>
        </is>
      </c>
      <c r="C121" s="3" t="inlineStr">
        <is>
          <t>000728</t>
        </is>
      </c>
      <c r="D121" s="4" t="n">
        <v>45075</v>
      </c>
      <c r="E121" s="2" t="inlineStr">
        <is>
          <t>12:21</t>
        </is>
      </c>
      <c r="F121" s="5" t="n">
        <v>65.83</v>
      </c>
      <c r="G121" s="5" t="n"/>
      <c r="H121" s="5" t="n"/>
      <c r="I121" s="5" t="n"/>
      <c r="J121" s="5" t="n">
        <v>13.17</v>
      </c>
      <c r="K121" s="5" t="n"/>
      <c r="L121" s="5" t="n"/>
      <c r="M121" s="5" t="n"/>
      <c r="N121" s="5" t="n"/>
      <c r="O121" s="5" t="n">
        <v>79</v>
      </c>
      <c r="P121" s="5" t="n">
        <v>79</v>
      </c>
      <c r="Q121" s="5" t="n"/>
      <c r="R121" s="5" t="n"/>
    </row>
    <row r="122">
      <c r="A122" s="2" t="inlineStr">
        <is>
          <t>EJ010623.TXT</t>
        </is>
      </c>
      <c r="B122" s="3" t="inlineStr">
        <is>
          <t>001157</t>
        </is>
      </c>
      <c r="C122" s="3" t="inlineStr">
        <is>
          <t>000729</t>
        </is>
      </c>
      <c r="D122" s="4" t="n">
        <v>45076</v>
      </c>
      <c r="E122" s="2" t="inlineStr">
        <is>
          <t>14:56</t>
        </is>
      </c>
      <c r="F122" s="5" t="n">
        <v>350</v>
      </c>
      <c r="G122" s="5" t="n"/>
      <c r="H122" s="5" t="n"/>
      <c r="I122" s="5" t="n"/>
      <c r="J122" s="5" t="n">
        <v>70</v>
      </c>
      <c r="K122" s="5" t="n"/>
      <c r="L122" s="5" t="n"/>
      <c r="M122" s="5" t="n"/>
      <c r="N122" s="5" t="n"/>
      <c r="O122" s="5" t="n">
        <v>420</v>
      </c>
      <c r="P122" s="5" t="n">
        <v>420</v>
      </c>
      <c r="Q122" s="5" t="n"/>
      <c r="R122" s="5" t="n"/>
    </row>
    <row r="123">
      <c r="A123" s="2" t="inlineStr">
        <is>
          <t>EJ010723.TXT</t>
        </is>
      </c>
      <c r="B123" s="3" t="inlineStr">
        <is>
          <t>001162</t>
        </is>
      </c>
      <c r="C123" s="3" t="inlineStr">
        <is>
          <t>000730</t>
        </is>
      </c>
      <c r="D123" s="4" t="n">
        <v>45079</v>
      </c>
      <c r="E123" s="2" t="inlineStr">
        <is>
          <t>10:37</t>
        </is>
      </c>
      <c r="F123" s="5" t="n">
        <v>3200</v>
      </c>
      <c r="G123" s="5" t="n"/>
      <c r="H123" s="5" t="n"/>
      <c r="I123" s="5" t="n"/>
      <c r="J123" s="5" t="n">
        <v>640</v>
      </c>
      <c r="K123" s="5" t="n"/>
      <c r="L123" s="5" t="n"/>
      <c r="M123" s="5" t="n"/>
      <c r="N123" s="5" t="n"/>
      <c r="O123" s="5" t="n">
        <v>3840</v>
      </c>
      <c r="P123" s="5" t="n">
        <v>3840</v>
      </c>
      <c r="Q123" s="5" t="n"/>
      <c r="R123" s="5" t="n"/>
    </row>
    <row r="124">
      <c r="A124" s="2" t="inlineStr">
        <is>
          <t>EJ010723.TXT</t>
        </is>
      </c>
      <c r="B124" s="3" t="inlineStr">
        <is>
          <t>001164</t>
        </is>
      </c>
      <c r="C124" s="3" t="inlineStr">
        <is>
          <t>000731</t>
        </is>
      </c>
      <c r="D124" s="4" t="n">
        <v>45079</v>
      </c>
      <c r="E124" s="2" t="inlineStr">
        <is>
          <t>16:54</t>
        </is>
      </c>
      <c r="F124" s="5" t="n">
        <v>274.17</v>
      </c>
      <c r="G124" s="5" t="n"/>
      <c r="H124" s="5" t="n"/>
      <c r="I124" s="5" t="n"/>
      <c r="J124" s="5" t="n">
        <v>54.83</v>
      </c>
      <c r="K124" s="5" t="n"/>
      <c r="L124" s="5" t="n"/>
      <c r="M124" s="5" t="n"/>
      <c r="N124" s="5" t="n"/>
      <c r="O124" s="5" t="n">
        <v>329</v>
      </c>
      <c r="P124" s="5" t="n">
        <v>329</v>
      </c>
      <c r="Q124" s="5" t="n"/>
      <c r="R124" s="5" t="n"/>
    </row>
    <row r="125">
      <c r="A125" s="2" t="inlineStr">
        <is>
          <t>EJ010723.TXT</t>
        </is>
      </c>
      <c r="B125" s="3" t="inlineStr">
        <is>
          <t>001165</t>
        </is>
      </c>
      <c r="C125" s="3" t="inlineStr">
        <is>
          <t>000732</t>
        </is>
      </c>
      <c r="D125" s="4" t="n">
        <v>45079</v>
      </c>
      <c r="E125" s="2" t="inlineStr">
        <is>
          <t>16:59</t>
        </is>
      </c>
      <c r="F125" s="5" t="n">
        <v>65.83</v>
      </c>
      <c r="G125" s="5" t="n"/>
      <c r="H125" s="5" t="n"/>
      <c r="I125" s="5" t="n"/>
      <c r="J125" s="5" t="n">
        <v>13.17</v>
      </c>
      <c r="K125" s="5" t="n"/>
      <c r="L125" s="5" t="n"/>
      <c r="M125" s="5" t="n"/>
      <c r="N125" s="5" t="n"/>
      <c r="O125" s="5" t="n">
        <v>79</v>
      </c>
      <c r="P125" s="5" t="n">
        <v>79</v>
      </c>
      <c r="Q125" s="5" t="n"/>
      <c r="R125" s="5" t="n"/>
    </row>
    <row r="126">
      <c r="A126" s="2" t="inlineStr">
        <is>
          <t>EJ010723.TXT</t>
        </is>
      </c>
      <c r="B126" s="3" t="inlineStr">
        <is>
          <t>001166</t>
        </is>
      </c>
      <c r="C126" s="3" t="inlineStr">
        <is>
          <t>000733</t>
        </is>
      </c>
      <c r="D126" s="4" t="n">
        <v>45080</v>
      </c>
      <c r="E126" s="2" t="inlineStr">
        <is>
          <t>13:47</t>
        </is>
      </c>
      <c r="F126" s="5" t="n">
        <v>307.5</v>
      </c>
      <c r="G126" s="5" t="n"/>
      <c r="H126" s="5" t="n"/>
      <c r="I126" s="5" t="n"/>
      <c r="J126" s="5" t="n">
        <v>61.5</v>
      </c>
      <c r="K126" s="5" t="n"/>
      <c r="L126" s="5" t="n"/>
      <c r="M126" s="5" t="n"/>
      <c r="N126" s="5" t="n"/>
      <c r="O126" s="5" t="n">
        <v>369</v>
      </c>
      <c r="P126" s="5" t="n">
        <v>369</v>
      </c>
      <c r="Q126" s="5" t="n"/>
      <c r="R126" s="5" t="n"/>
    </row>
    <row r="127">
      <c r="A127" s="2" t="inlineStr">
        <is>
          <t>EJ010723.TXT</t>
        </is>
      </c>
      <c r="B127" s="3" t="inlineStr">
        <is>
          <t>001167</t>
        </is>
      </c>
      <c r="C127" s="3" t="inlineStr">
        <is>
          <t>000734</t>
        </is>
      </c>
      <c r="D127" s="4" t="n">
        <v>45082</v>
      </c>
      <c r="E127" s="2" t="inlineStr">
        <is>
          <t>13:43</t>
        </is>
      </c>
      <c r="F127" s="5" t="n">
        <v>49.17</v>
      </c>
      <c r="G127" s="5" t="n"/>
      <c r="H127" s="5" t="n"/>
      <c r="I127" s="5" t="n"/>
      <c r="J127" s="5" t="n">
        <v>9.83</v>
      </c>
      <c r="K127" s="5" t="n"/>
      <c r="L127" s="5" t="n"/>
      <c r="M127" s="5" t="n"/>
      <c r="N127" s="5" t="n"/>
      <c r="O127" s="5" t="n">
        <v>59</v>
      </c>
      <c r="P127" s="5" t="n">
        <v>59</v>
      </c>
      <c r="Q127" s="5" t="n"/>
      <c r="R127" s="5" t="n"/>
    </row>
    <row r="128">
      <c r="A128" s="2" t="inlineStr">
        <is>
          <t>EJ010723.TXT</t>
        </is>
      </c>
      <c r="B128" s="3" t="inlineStr">
        <is>
          <t>001168</t>
        </is>
      </c>
      <c r="C128" s="3" t="inlineStr">
        <is>
          <t>000735</t>
        </is>
      </c>
      <c r="D128" s="4" t="n">
        <v>45085</v>
      </c>
      <c r="E128" s="2" t="inlineStr">
        <is>
          <t>09:45</t>
        </is>
      </c>
      <c r="F128" s="5" t="n">
        <v>822.5</v>
      </c>
      <c r="G128" s="5" t="n"/>
      <c r="H128" s="5" t="n"/>
      <c r="I128" s="5" t="n"/>
      <c r="J128" s="5" t="n">
        <v>164.5</v>
      </c>
      <c r="K128" s="5" t="n"/>
      <c r="L128" s="5" t="n"/>
      <c r="M128" s="5" t="n"/>
      <c r="N128" s="5" t="n"/>
      <c r="O128" s="5" t="n">
        <v>987</v>
      </c>
      <c r="P128" s="5" t="n">
        <v>987</v>
      </c>
      <c r="Q128" s="5" t="n"/>
      <c r="R128" s="5" t="n"/>
    </row>
    <row r="129">
      <c r="A129" s="2" t="inlineStr">
        <is>
          <t>EJ010723.TXT</t>
        </is>
      </c>
      <c r="B129" s="3" t="inlineStr">
        <is>
          <t>001169</t>
        </is>
      </c>
      <c r="C129" s="3" t="inlineStr">
        <is>
          <t>000736</t>
        </is>
      </c>
      <c r="D129" s="4" t="n">
        <v>45085</v>
      </c>
      <c r="E129" s="2" t="inlineStr">
        <is>
          <t>09:51</t>
        </is>
      </c>
      <c r="F129" s="5" t="n">
        <v>822.5</v>
      </c>
      <c r="G129" s="5" t="n"/>
      <c r="H129" s="5" t="n"/>
      <c r="I129" s="5" t="n"/>
      <c r="J129" s="5" t="n">
        <v>164.5</v>
      </c>
      <c r="K129" s="5" t="n"/>
      <c r="L129" s="5" t="n"/>
      <c r="M129" s="5" t="n"/>
      <c r="N129" s="5" t="n"/>
      <c r="O129" s="5" t="n">
        <v>987</v>
      </c>
      <c r="P129" s="5" t="n">
        <v>987</v>
      </c>
      <c r="Q129" s="5" t="n"/>
      <c r="R129" s="5" t="n"/>
    </row>
    <row r="130">
      <c r="A130" s="2" t="inlineStr">
        <is>
          <t>EJ010723.TXT</t>
        </is>
      </c>
      <c r="B130" s="3" t="inlineStr">
        <is>
          <t>001170</t>
        </is>
      </c>
      <c r="C130" s="3" t="inlineStr">
        <is>
          <t>000737</t>
        </is>
      </c>
      <c r="D130" s="4" t="n">
        <v>45085</v>
      </c>
      <c r="E130" s="2" t="inlineStr">
        <is>
          <t>14:06</t>
        </is>
      </c>
      <c r="F130" s="5" t="n">
        <v>274.17</v>
      </c>
      <c r="G130" s="5" t="n"/>
      <c r="H130" s="5" t="n"/>
      <c r="I130" s="5" t="n"/>
      <c r="J130" s="5" t="n">
        <v>54.83</v>
      </c>
      <c r="K130" s="5" t="n"/>
      <c r="L130" s="5" t="n"/>
      <c r="M130" s="5" t="n"/>
      <c r="N130" s="5" t="n"/>
      <c r="O130" s="5" t="n">
        <v>329</v>
      </c>
      <c r="P130" s="5" t="n">
        <v>329</v>
      </c>
      <c r="Q130" s="5" t="n"/>
      <c r="R130" s="5" t="n"/>
    </row>
    <row r="131">
      <c r="A131" s="2" t="inlineStr">
        <is>
          <t>EJ010723.TXT</t>
        </is>
      </c>
      <c r="B131" s="3" t="inlineStr">
        <is>
          <t>001171</t>
        </is>
      </c>
      <c r="C131" s="3" t="inlineStr">
        <is>
          <t>000738</t>
        </is>
      </c>
      <c r="D131" s="4" t="n">
        <v>45086</v>
      </c>
      <c r="E131" s="2" t="inlineStr">
        <is>
          <t>13:15</t>
        </is>
      </c>
      <c r="F131" s="5" t="n">
        <v>2.74</v>
      </c>
      <c r="G131" s="5" t="n"/>
      <c r="H131" s="5" t="n"/>
      <c r="I131" s="5" t="n"/>
      <c r="J131" s="5" t="n">
        <v>0.55</v>
      </c>
      <c r="K131" s="5" t="n"/>
      <c r="L131" s="5" t="n"/>
      <c r="M131" s="5" t="n"/>
      <c r="N131" s="5" t="n"/>
      <c r="O131" s="5" t="n">
        <v>3.29</v>
      </c>
      <c r="P131" s="5" t="n"/>
      <c r="Q131" s="5" t="n">
        <v>3.29</v>
      </c>
      <c r="R131" s="5" t="n"/>
    </row>
    <row r="132">
      <c r="A132" s="2" t="inlineStr">
        <is>
          <t>EJ010723.TXT</t>
        </is>
      </c>
      <c r="B132" s="3" t="inlineStr">
        <is>
          <t>001172</t>
        </is>
      </c>
      <c r="C132" s="3" t="inlineStr">
        <is>
          <t>000739</t>
        </is>
      </c>
      <c r="D132" s="4" t="n">
        <v>45086</v>
      </c>
      <c r="E132" s="2" t="inlineStr">
        <is>
          <t>13:16</t>
        </is>
      </c>
      <c r="F132" s="5" t="n">
        <v>274.17</v>
      </c>
      <c r="G132" s="5" t="n"/>
      <c r="H132" s="5" t="n"/>
      <c r="I132" s="5" t="n"/>
      <c r="J132" s="5" t="n">
        <v>54.83</v>
      </c>
      <c r="K132" s="5" t="n"/>
      <c r="L132" s="5" t="n"/>
      <c r="M132" s="5" t="n"/>
      <c r="N132" s="5" t="n"/>
      <c r="O132" s="5" t="n">
        <v>329</v>
      </c>
      <c r="P132" s="5" t="n"/>
      <c r="Q132" s="5" t="n">
        <v>329</v>
      </c>
      <c r="R132" s="5" t="n"/>
    </row>
    <row r="133">
      <c r="A133" s="2" t="inlineStr">
        <is>
          <t>EJ010723.TXT</t>
        </is>
      </c>
      <c r="B133" s="3" t="inlineStr">
        <is>
          <t>001174</t>
        </is>
      </c>
      <c r="C133" s="3" t="inlineStr">
        <is>
          <t>000740</t>
        </is>
      </c>
      <c r="D133" s="4" t="n">
        <v>45086</v>
      </c>
      <c r="E133" s="2" t="inlineStr">
        <is>
          <t>15:11</t>
        </is>
      </c>
      <c r="F133" s="5" t="n">
        <v>1656.65</v>
      </c>
      <c r="G133" s="5" t="n"/>
      <c r="H133" s="5" t="n"/>
      <c r="I133" s="5" t="n"/>
      <c r="J133" s="5" t="n">
        <v>331.33</v>
      </c>
      <c r="K133" s="5" t="n"/>
      <c r="L133" s="5" t="n"/>
      <c r="M133" s="5" t="n"/>
      <c r="N133" s="5" t="n"/>
      <c r="O133" s="5" t="n">
        <v>1987.98</v>
      </c>
      <c r="P133" s="5" t="n">
        <v>1987.98</v>
      </c>
      <c r="Q133" s="5" t="n"/>
      <c r="R133" s="5" t="n"/>
    </row>
    <row r="134">
      <c r="A134" s="2" t="inlineStr">
        <is>
          <t>EJ010723.TXT</t>
        </is>
      </c>
      <c r="B134" s="3" t="inlineStr">
        <is>
          <t>001175</t>
        </is>
      </c>
      <c r="C134" s="3" t="inlineStr">
        <is>
          <t>000741</t>
        </is>
      </c>
      <c r="D134" s="4" t="n">
        <v>45086</v>
      </c>
      <c r="E134" s="2" t="inlineStr">
        <is>
          <t>15:17</t>
        </is>
      </c>
      <c r="F134" s="5" t="n">
        <v>1165</v>
      </c>
      <c r="G134" s="5" t="n"/>
      <c r="H134" s="5" t="n"/>
      <c r="I134" s="5" t="n"/>
      <c r="J134" s="5" t="n">
        <v>233</v>
      </c>
      <c r="K134" s="5" t="n"/>
      <c r="L134" s="5" t="n"/>
      <c r="M134" s="5" t="n"/>
      <c r="N134" s="5" t="n"/>
      <c r="O134" s="5" t="n">
        <v>1398</v>
      </c>
      <c r="P134" s="5" t="n">
        <v>1398</v>
      </c>
      <c r="Q134" s="5" t="n"/>
      <c r="R134" s="5" t="n"/>
    </row>
    <row r="135">
      <c r="A135" s="2" t="inlineStr">
        <is>
          <t>EJ010723.TXT</t>
        </is>
      </c>
      <c r="B135" s="3" t="inlineStr">
        <is>
          <t>001176</t>
        </is>
      </c>
      <c r="C135" s="3" t="inlineStr">
        <is>
          <t>000742</t>
        </is>
      </c>
      <c r="D135" s="4" t="n">
        <v>45086</v>
      </c>
      <c r="E135" s="2" t="inlineStr">
        <is>
          <t>15:19</t>
        </is>
      </c>
      <c r="F135" s="5" t="n">
        <v>1645</v>
      </c>
      <c r="G135" s="5" t="n"/>
      <c r="H135" s="5" t="n"/>
      <c r="I135" s="5" t="n"/>
      <c r="J135" s="5" t="n">
        <v>329</v>
      </c>
      <c r="K135" s="5" t="n"/>
      <c r="L135" s="5" t="n"/>
      <c r="M135" s="5" t="n"/>
      <c r="N135" s="5" t="n"/>
      <c r="O135" s="5" t="n">
        <v>1974</v>
      </c>
      <c r="P135" s="5" t="n">
        <v>1974</v>
      </c>
      <c r="Q135" s="5" t="n"/>
      <c r="R135" s="5" t="n"/>
    </row>
    <row r="136">
      <c r="A136" s="2" t="inlineStr">
        <is>
          <t>EJ010723.TXT</t>
        </is>
      </c>
      <c r="B136" s="3" t="inlineStr">
        <is>
          <t>001177</t>
        </is>
      </c>
      <c r="C136" s="3" t="inlineStr">
        <is>
          <t>000743</t>
        </is>
      </c>
      <c r="D136" s="4" t="n">
        <v>45086</v>
      </c>
      <c r="E136" s="2" t="inlineStr">
        <is>
          <t>15:29</t>
        </is>
      </c>
      <c r="F136" s="5" t="n">
        <v>615</v>
      </c>
      <c r="G136" s="5" t="n"/>
      <c r="H136" s="5" t="n"/>
      <c r="I136" s="5" t="n"/>
      <c r="J136" s="5" t="n">
        <v>123</v>
      </c>
      <c r="K136" s="5" t="n"/>
      <c r="L136" s="5" t="n"/>
      <c r="M136" s="5" t="n"/>
      <c r="N136" s="5" t="n"/>
      <c r="O136" s="5" t="n">
        <v>738</v>
      </c>
      <c r="P136" s="5" t="n">
        <v>738</v>
      </c>
      <c r="Q136" s="5" t="n"/>
      <c r="R136" s="5" t="n"/>
    </row>
    <row r="137">
      <c r="A137" s="2" t="inlineStr">
        <is>
          <t>EJ010723.TXT</t>
        </is>
      </c>
      <c r="B137" s="3" t="inlineStr">
        <is>
          <t>001178</t>
        </is>
      </c>
      <c r="C137" s="3" t="inlineStr">
        <is>
          <t>000744</t>
        </is>
      </c>
      <c r="D137" s="4" t="n">
        <v>45090</v>
      </c>
      <c r="E137" s="2" t="inlineStr">
        <is>
          <t>13:37</t>
        </is>
      </c>
      <c r="F137" s="5" t="n">
        <v>1747.5</v>
      </c>
      <c r="G137" s="5" t="n"/>
      <c r="H137" s="5" t="n"/>
      <c r="I137" s="5" t="n"/>
      <c r="J137" s="5" t="n">
        <v>349.5</v>
      </c>
      <c r="K137" s="5" t="n"/>
      <c r="L137" s="5" t="n"/>
      <c r="M137" s="5" t="n"/>
      <c r="N137" s="5" t="n"/>
      <c r="O137" s="5" t="n">
        <v>2097</v>
      </c>
      <c r="P137" s="5" t="n">
        <v>2097</v>
      </c>
      <c r="Q137" s="5" t="n"/>
      <c r="R137" s="5" t="n"/>
    </row>
    <row r="138">
      <c r="A138" s="2" t="inlineStr">
        <is>
          <t>EJ010723.TXT</t>
        </is>
      </c>
      <c r="B138" s="3" t="inlineStr">
        <is>
          <t>001179</t>
        </is>
      </c>
      <c r="C138" s="3" t="inlineStr">
        <is>
          <t>000745</t>
        </is>
      </c>
      <c r="D138" s="4" t="n">
        <v>45091</v>
      </c>
      <c r="E138" s="2" t="inlineStr">
        <is>
          <t>14:56</t>
        </is>
      </c>
      <c r="F138" s="5" t="n">
        <v>331.67</v>
      </c>
      <c r="G138" s="5" t="n"/>
      <c r="H138" s="5" t="n"/>
      <c r="I138" s="5" t="n"/>
      <c r="J138" s="5" t="n">
        <v>66.33</v>
      </c>
      <c r="K138" s="5" t="n"/>
      <c r="L138" s="5" t="n"/>
      <c r="M138" s="5" t="n"/>
      <c r="N138" s="5" t="n"/>
      <c r="O138" s="5" t="n">
        <v>398</v>
      </c>
      <c r="P138" s="5" t="n"/>
      <c r="Q138" s="5" t="n">
        <v>398</v>
      </c>
      <c r="R138" s="5" t="n"/>
    </row>
    <row r="139">
      <c r="A139" s="2" t="inlineStr">
        <is>
          <t>EJ010723.TXT</t>
        </is>
      </c>
      <c r="B139" s="3" t="inlineStr">
        <is>
          <t>001180</t>
        </is>
      </c>
      <c r="C139" s="3" t="inlineStr">
        <is>
          <t>000746</t>
        </is>
      </c>
      <c r="D139" s="4" t="n">
        <v>45091</v>
      </c>
      <c r="E139" s="2" t="inlineStr">
        <is>
          <t>16:43</t>
        </is>
      </c>
      <c r="F139" s="5" t="n">
        <v>548.33</v>
      </c>
      <c r="G139" s="5" t="n"/>
      <c r="H139" s="5" t="n"/>
      <c r="I139" s="5" t="n"/>
      <c r="J139" s="5" t="n">
        <v>109.67</v>
      </c>
      <c r="K139" s="5" t="n"/>
      <c r="L139" s="5" t="n"/>
      <c r="M139" s="5" t="n"/>
      <c r="N139" s="5" t="n"/>
      <c r="O139" s="5" t="n">
        <v>658</v>
      </c>
      <c r="P139" s="5" t="n">
        <v>658</v>
      </c>
      <c r="Q139" s="5" t="n"/>
      <c r="R139" s="5" t="n"/>
    </row>
    <row r="140">
      <c r="A140" s="2" t="inlineStr">
        <is>
          <t>EJ010723.TXT</t>
        </is>
      </c>
      <c r="B140" s="3" t="inlineStr">
        <is>
          <t>001181</t>
        </is>
      </c>
      <c r="C140" s="3" t="inlineStr">
        <is>
          <t>000747</t>
        </is>
      </c>
      <c r="D140" s="4" t="n">
        <v>45093</v>
      </c>
      <c r="E140" s="2" t="inlineStr">
        <is>
          <t>14:32</t>
        </is>
      </c>
      <c r="F140" s="5" t="n">
        <v>548.33</v>
      </c>
      <c r="G140" s="5" t="n"/>
      <c r="H140" s="5" t="n"/>
      <c r="I140" s="5" t="n"/>
      <c r="J140" s="5" t="n">
        <v>109.67</v>
      </c>
      <c r="K140" s="5" t="n"/>
      <c r="L140" s="5" t="n"/>
      <c r="M140" s="5" t="n"/>
      <c r="N140" s="5" t="n"/>
      <c r="O140" s="5" t="n">
        <v>658</v>
      </c>
      <c r="P140" s="5" t="n">
        <v>658</v>
      </c>
      <c r="Q140" s="5" t="n"/>
      <c r="R140" s="5" t="n"/>
    </row>
    <row r="141">
      <c r="A141" s="2" t="inlineStr">
        <is>
          <t>EJ010723.TXT</t>
        </is>
      </c>
      <c r="B141" s="3" t="inlineStr">
        <is>
          <t>001182</t>
        </is>
      </c>
      <c r="C141" s="3" t="inlineStr">
        <is>
          <t>000748</t>
        </is>
      </c>
      <c r="D141" s="4" t="n">
        <v>45094</v>
      </c>
      <c r="E141" s="2" t="inlineStr">
        <is>
          <t>13:56</t>
        </is>
      </c>
      <c r="F141" s="5" t="n">
        <v>3290</v>
      </c>
      <c r="G141" s="5" t="n"/>
      <c r="H141" s="5" t="n"/>
      <c r="I141" s="5" t="n"/>
      <c r="J141" s="5" t="n">
        <v>658</v>
      </c>
      <c r="K141" s="5" t="n"/>
      <c r="L141" s="5" t="n"/>
      <c r="M141" s="5" t="n"/>
      <c r="N141" s="5" t="n"/>
      <c r="O141" s="5" t="n">
        <v>3948</v>
      </c>
      <c r="P141" s="5" t="n">
        <v>2948</v>
      </c>
      <c r="Q141" s="5" t="n">
        <v>1000</v>
      </c>
      <c r="R141" s="5" t="n"/>
    </row>
    <row r="142">
      <c r="A142" s="2" t="inlineStr">
        <is>
          <t>EJ010723.TXT</t>
        </is>
      </c>
      <c r="B142" s="3" t="inlineStr">
        <is>
          <t>001184</t>
        </is>
      </c>
      <c r="C142" s="3" t="inlineStr">
        <is>
          <t>000749</t>
        </is>
      </c>
      <c r="D142" s="4" t="n">
        <v>45096</v>
      </c>
      <c r="E142" s="2" t="inlineStr">
        <is>
          <t>12:10</t>
        </is>
      </c>
      <c r="F142" s="5" t="n">
        <v>548.33</v>
      </c>
      <c r="G142" s="5" t="n"/>
      <c r="H142" s="5" t="n"/>
      <c r="I142" s="5" t="n"/>
      <c r="J142" s="5" t="n">
        <v>109.67</v>
      </c>
      <c r="K142" s="5" t="n"/>
      <c r="L142" s="5" t="n"/>
      <c r="M142" s="5" t="n"/>
      <c r="N142" s="5" t="n"/>
      <c r="O142" s="5" t="n">
        <v>658</v>
      </c>
      <c r="P142" s="5" t="n">
        <v>658</v>
      </c>
      <c r="Q142" s="5" t="n"/>
      <c r="R142" s="5" t="n"/>
    </row>
    <row r="143">
      <c r="A143" s="2" t="inlineStr">
        <is>
          <t>EJ010723.TXT</t>
        </is>
      </c>
      <c r="B143" s="3" t="inlineStr">
        <is>
          <t>001186</t>
        </is>
      </c>
      <c r="C143" s="3" t="inlineStr">
        <is>
          <t>000750</t>
        </is>
      </c>
      <c r="D143" s="4" t="n">
        <v>45101</v>
      </c>
      <c r="E143" s="2" t="inlineStr">
        <is>
          <t>15:57</t>
        </is>
      </c>
      <c r="F143" s="5" t="n">
        <v>274.17</v>
      </c>
      <c r="G143" s="5" t="n"/>
      <c r="H143" s="5" t="n"/>
      <c r="I143" s="5" t="n"/>
      <c r="J143" s="5" t="n">
        <v>54.83</v>
      </c>
      <c r="K143" s="5" t="n"/>
      <c r="L143" s="5" t="n"/>
      <c r="M143" s="5" t="n"/>
      <c r="N143" s="5" t="n"/>
      <c r="O143" s="5" t="n">
        <v>329</v>
      </c>
      <c r="P143" s="5" t="n">
        <v>329</v>
      </c>
      <c r="Q143" s="5" t="n"/>
      <c r="R143" s="5" t="n"/>
    </row>
    <row r="144">
      <c r="A144" s="2" t="inlineStr">
        <is>
          <t>EJ010723.TXT</t>
        </is>
      </c>
      <c r="B144" s="3" t="inlineStr">
        <is>
          <t>001187</t>
        </is>
      </c>
      <c r="C144" s="3" t="inlineStr">
        <is>
          <t>000751</t>
        </is>
      </c>
      <c r="D144" s="4" t="n">
        <v>45104</v>
      </c>
      <c r="E144" s="2" t="inlineStr">
        <is>
          <t>14:36</t>
        </is>
      </c>
      <c r="F144" s="5" t="n">
        <v>1713.33</v>
      </c>
      <c r="G144" s="5" t="n"/>
      <c r="H144" s="5" t="n"/>
      <c r="I144" s="5" t="n"/>
      <c r="J144" s="5" t="n">
        <v>342.67</v>
      </c>
      <c r="K144" s="5" t="n"/>
      <c r="L144" s="5" t="n"/>
      <c r="M144" s="5" t="n"/>
      <c r="N144" s="5" t="n"/>
      <c r="O144" s="5" t="n">
        <v>2056</v>
      </c>
      <c r="P144" s="5" t="n">
        <v>2056</v>
      </c>
      <c r="Q144" s="5" t="n"/>
      <c r="R144" s="5" t="n"/>
    </row>
    <row r="145">
      <c r="A145" s="2" t="inlineStr">
        <is>
          <t>EJ010723.TXT</t>
        </is>
      </c>
      <c r="B145" s="3" t="inlineStr">
        <is>
          <t>001188</t>
        </is>
      </c>
      <c r="C145" s="3" t="inlineStr">
        <is>
          <t>000752</t>
        </is>
      </c>
      <c r="D145" s="4" t="n">
        <v>45104</v>
      </c>
      <c r="E145" s="2" t="inlineStr">
        <is>
          <t>14:46</t>
        </is>
      </c>
      <c r="F145" s="5" t="n">
        <v>1165</v>
      </c>
      <c r="G145" s="5" t="n"/>
      <c r="H145" s="5" t="n"/>
      <c r="I145" s="5" t="n"/>
      <c r="J145" s="5" t="n">
        <v>233</v>
      </c>
      <c r="K145" s="5" t="n"/>
      <c r="L145" s="5" t="n"/>
      <c r="M145" s="5" t="n"/>
      <c r="N145" s="5" t="n"/>
      <c r="O145" s="5" t="n">
        <v>1398</v>
      </c>
      <c r="P145" s="5" t="n">
        <v>1398</v>
      </c>
      <c r="Q145" s="5" t="n"/>
      <c r="R145" s="5" t="n"/>
    </row>
    <row r="146">
      <c r="A146" s="2" t="inlineStr">
        <is>
          <t>EJ010723.TXT</t>
        </is>
      </c>
      <c r="B146" s="3" t="inlineStr">
        <is>
          <t>001189</t>
        </is>
      </c>
      <c r="C146" s="3" t="inlineStr">
        <is>
          <t>000753</t>
        </is>
      </c>
      <c r="D146" s="4" t="n">
        <v>45105</v>
      </c>
      <c r="E146" s="2" t="inlineStr">
        <is>
          <t>15:03</t>
        </is>
      </c>
      <c r="F146" s="5" t="n">
        <v>2481.67</v>
      </c>
      <c r="G146" s="5" t="n"/>
      <c r="H146" s="5" t="n"/>
      <c r="I146" s="5" t="n"/>
      <c r="J146" s="5" t="n">
        <v>496.33</v>
      </c>
      <c r="K146" s="5" t="n"/>
      <c r="L146" s="5" t="n"/>
      <c r="M146" s="5" t="n"/>
      <c r="N146" s="5" t="n"/>
      <c r="O146" s="5" t="n">
        <v>2978</v>
      </c>
      <c r="P146" s="5" t="n">
        <v>2978</v>
      </c>
      <c r="Q146" s="5" t="n"/>
      <c r="R146" s="5" t="n"/>
    </row>
    <row r="147">
      <c r="A147" s="2" t="inlineStr">
        <is>
          <t>EJ010723.TXT</t>
        </is>
      </c>
      <c r="B147" s="3" t="inlineStr">
        <is>
          <t>001190</t>
        </is>
      </c>
      <c r="C147" s="3" t="inlineStr">
        <is>
          <t>000754</t>
        </is>
      </c>
      <c r="D147" s="4" t="n">
        <v>45107</v>
      </c>
      <c r="E147" s="2" t="inlineStr">
        <is>
          <t>09:08</t>
        </is>
      </c>
      <c r="F147" s="5" t="n">
        <v>274.17</v>
      </c>
      <c r="G147" s="5" t="n"/>
      <c r="H147" s="5" t="n"/>
      <c r="I147" s="5" t="n"/>
      <c r="J147" s="5" t="n">
        <v>54.83</v>
      </c>
      <c r="K147" s="5" t="n"/>
      <c r="L147" s="5" t="n"/>
      <c r="M147" s="5" t="n"/>
      <c r="N147" s="5" t="n"/>
      <c r="O147" s="5" t="n">
        <v>329</v>
      </c>
      <c r="P147" s="5" t="n">
        <v>329</v>
      </c>
      <c r="Q147" s="5" t="n"/>
      <c r="R147" s="5" t="n"/>
    </row>
    <row r="148">
      <c r="A148" s="2" t="inlineStr">
        <is>
          <t>EJ010823.TXT</t>
        </is>
      </c>
      <c r="B148" s="3" t="inlineStr">
        <is>
          <t>001194</t>
        </is>
      </c>
      <c r="C148" s="3" t="inlineStr">
        <is>
          <t>000755</t>
        </is>
      </c>
      <c r="D148" s="4" t="n">
        <v>45108</v>
      </c>
      <c r="E148" s="2" t="inlineStr">
        <is>
          <t>13:41</t>
        </is>
      </c>
      <c r="F148" s="5" t="n">
        <v>2370</v>
      </c>
      <c r="G148" s="5" t="n"/>
      <c r="H148" s="5" t="n"/>
      <c r="I148" s="5" t="n"/>
      <c r="J148" s="5" t="n">
        <v>474</v>
      </c>
      <c r="K148" s="5" t="n"/>
      <c r="L148" s="5" t="n"/>
      <c r="M148" s="5" t="n"/>
      <c r="N148" s="5" t="n"/>
      <c r="O148" s="5" t="n">
        <v>2844</v>
      </c>
      <c r="P148" s="5" t="n">
        <v>2844</v>
      </c>
      <c r="Q148" s="5" t="n"/>
      <c r="R148" s="5" t="n"/>
    </row>
    <row r="149">
      <c r="A149" s="2" t="inlineStr">
        <is>
          <t>EJ010823.TXT</t>
        </is>
      </c>
      <c r="B149" s="3" t="inlineStr">
        <is>
          <t>001195</t>
        </is>
      </c>
      <c r="C149" s="3" t="inlineStr">
        <is>
          <t>000756</t>
        </is>
      </c>
      <c r="D149" s="4" t="n">
        <v>45108</v>
      </c>
      <c r="E149" s="2" t="inlineStr">
        <is>
          <t>14:04</t>
        </is>
      </c>
      <c r="F149" s="5" t="n">
        <v>548.33</v>
      </c>
      <c r="G149" s="5" t="n"/>
      <c r="H149" s="5" t="n"/>
      <c r="I149" s="5" t="n"/>
      <c r="J149" s="5" t="n">
        <v>109.67</v>
      </c>
      <c r="K149" s="5" t="n"/>
      <c r="L149" s="5" t="n"/>
      <c r="M149" s="5" t="n"/>
      <c r="N149" s="5" t="n"/>
      <c r="O149" s="5" t="n">
        <v>658</v>
      </c>
      <c r="P149" s="5" t="n">
        <v>658</v>
      </c>
      <c r="Q149" s="5" t="n"/>
      <c r="R149" s="5" t="n"/>
    </row>
    <row r="150">
      <c r="A150" s="2" t="inlineStr">
        <is>
          <t>EJ010823.TXT</t>
        </is>
      </c>
      <c r="B150" s="3" t="inlineStr">
        <is>
          <t>001196</t>
        </is>
      </c>
      <c r="C150" s="3" t="inlineStr">
        <is>
          <t>000757</t>
        </is>
      </c>
      <c r="D150" s="4" t="n">
        <v>45108</v>
      </c>
      <c r="E150" s="2" t="inlineStr">
        <is>
          <t>14:05</t>
        </is>
      </c>
      <c r="F150" s="5" t="n">
        <v>274.17</v>
      </c>
      <c r="G150" s="5" t="n"/>
      <c r="H150" s="5" t="n"/>
      <c r="I150" s="5" t="n"/>
      <c r="J150" s="5" t="n">
        <v>54.83</v>
      </c>
      <c r="K150" s="5" t="n"/>
      <c r="L150" s="5" t="n"/>
      <c r="M150" s="5" t="n"/>
      <c r="N150" s="5" t="n"/>
      <c r="O150" s="5" t="n">
        <v>329</v>
      </c>
      <c r="P150" s="5" t="n">
        <v>329</v>
      </c>
      <c r="Q150" s="5" t="n"/>
      <c r="R150" s="5" t="n"/>
    </row>
    <row r="151">
      <c r="A151" s="2" t="inlineStr">
        <is>
          <t>EJ010823.TXT</t>
        </is>
      </c>
      <c r="B151" s="3" t="inlineStr">
        <is>
          <t>001197</t>
        </is>
      </c>
      <c r="C151" s="3" t="inlineStr">
        <is>
          <t>000758</t>
        </is>
      </c>
      <c r="D151" s="4" t="n">
        <v>45108</v>
      </c>
      <c r="E151" s="2" t="inlineStr">
        <is>
          <t>15:09</t>
        </is>
      </c>
      <c r="F151" s="5" t="n">
        <v>548.33</v>
      </c>
      <c r="G151" s="5" t="n"/>
      <c r="H151" s="5" t="n"/>
      <c r="I151" s="5" t="n"/>
      <c r="J151" s="5" t="n">
        <v>109.67</v>
      </c>
      <c r="K151" s="5" t="n"/>
      <c r="L151" s="5" t="n"/>
      <c r="M151" s="5" t="n"/>
      <c r="N151" s="5" t="n"/>
      <c r="O151" s="5" t="n">
        <v>658</v>
      </c>
      <c r="P151" s="5" t="n">
        <v>658</v>
      </c>
      <c r="Q151" s="5" t="n"/>
      <c r="R151" s="5" t="n"/>
    </row>
    <row r="152">
      <c r="A152" s="2" t="inlineStr">
        <is>
          <t>EJ010823.TXT</t>
        </is>
      </c>
      <c r="B152" s="3" t="inlineStr">
        <is>
          <t>001198</t>
        </is>
      </c>
      <c r="C152" s="3" t="inlineStr">
        <is>
          <t>000759</t>
        </is>
      </c>
      <c r="D152" s="4" t="n">
        <v>45108</v>
      </c>
      <c r="E152" s="2" t="inlineStr">
        <is>
          <t>15:10</t>
        </is>
      </c>
      <c r="F152" s="5" t="n">
        <v>395</v>
      </c>
      <c r="G152" s="5" t="n"/>
      <c r="H152" s="5" t="n"/>
      <c r="I152" s="5" t="n"/>
      <c r="J152" s="5" t="n">
        <v>79</v>
      </c>
      <c r="K152" s="5" t="n"/>
      <c r="L152" s="5" t="n"/>
      <c r="M152" s="5" t="n"/>
      <c r="N152" s="5" t="n"/>
      <c r="O152" s="5" t="n">
        <v>474</v>
      </c>
      <c r="P152" s="5" t="n">
        <v>474</v>
      </c>
      <c r="Q152" s="5" t="n"/>
      <c r="R152" s="5" t="n"/>
    </row>
    <row r="153">
      <c r="A153" s="2" t="inlineStr">
        <is>
          <t>EJ010823.TXT</t>
        </is>
      </c>
      <c r="B153" s="3" t="inlineStr">
        <is>
          <t>001202</t>
        </is>
      </c>
      <c r="C153" s="3" t="inlineStr">
        <is>
          <t>000760</t>
        </is>
      </c>
      <c r="D153" s="4" t="n">
        <v>45110</v>
      </c>
      <c r="E153" s="2" t="inlineStr">
        <is>
          <t>15:57</t>
        </is>
      </c>
      <c r="F153" s="5" t="n">
        <v>1645</v>
      </c>
      <c r="G153" s="5" t="n"/>
      <c r="H153" s="5" t="n"/>
      <c r="I153" s="5" t="n"/>
      <c r="J153" s="5" t="n">
        <v>329</v>
      </c>
      <c r="K153" s="5" t="n"/>
      <c r="L153" s="5" t="n"/>
      <c r="M153" s="5" t="n"/>
      <c r="N153" s="5" t="n"/>
      <c r="O153" s="5" t="n">
        <v>1974</v>
      </c>
      <c r="P153" s="5" t="n">
        <v>1974</v>
      </c>
      <c r="Q153" s="5" t="n"/>
      <c r="R153" s="5" t="n"/>
    </row>
    <row r="154">
      <c r="A154" s="2" t="inlineStr">
        <is>
          <t>EJ010823.TXT</t>
        </is>
      </c>
      <c r="B154" s="3" t="inlineStr">
        <is>
          <t>001203</t>
        </is>
      </c>
      <c r="C154" s="3" t="inlineStr">
        <is>
          <t>000761</t>
        </is>
      </c>
      <c r="D154" s="4" t="n">
        <v>45111</v>
      </c>
      <c r="E154" s="2" t="inlineStr">
        <is>
          <t>12:07</t>
        </is>
      </c>
      <c r="F154" s="5" t="n">
        <v>548.33</v>
      </c>
      <c r="G154" s="5" t="n"/>
      <c r="H154" s="5" t="n"/>
      <c r="I154" s="5" t="n"/>
      <c r="J154" s="5" t="n">
        <v>109.67</v>
      </c>
      <c r="K154" s="5" t="n"/>
      <c r="L154" s="5" t="n"/>
      <c r="M154" s="5" t="n"/>
      <c r="N154" s="5" t="n"/>
      <c r="O154" s="5" t="n">
        <v>658</v>
      </c>
      <c r="P154" s="5" t="n">
        <v>658</v>
      </c>
      <c r="Q154" s="5" t="n"/>
      <c r="R154" s="5" t="n"/>
    </row>
    <row r="155">
      <c r="A155" s="2" t="inlineStr">
        <is>
          <t>EJ010823.TXT</t>
        </is>
      </c>
      <c r="B155" s="3" t="inlineStr">
        <is>
          <t>001204</t>
        </is>
      </c>
      <c r="C155" s="3" t="inlineStr">
        <is>
          <t>000762</t>
        </is>
      </c>
      <c r="D155" s="4" t="n">
        <v>45112</v>
      </c>
      <c r="E155" s="2" t="inlineStr">
        <is>
          <t>15:23</t>
        </is>
      </c>
      <c r="F155" s="5" t="n">
        <v>548.33</v>
      </c>
      <c r="G155" s="5" t="n"/>
      <c r="H155" s="5" t="n"/>
      <c r="I155" s="5" t="n"/>
      <c r="J155" s="5" t="n">
        <v>109.67</v>
      </c>
      <c r="K155" s="5" t="n"/>
      <c r="L155" s="5" t="n"/>
      <c r="M155" s="5" t="n"/>
      <c r="N155" s="5" t="n"/>
      <c r="O155" s="5" t="n">
        <v>658</v>
      </c>
      <c r="P155" s="5" t="n">
        <v>658</v>
      </c>
      <c r="Q155" s="5" t="n"/>
      <c r="R155" s="5" t="n"/>
    </row>
    <row r="156">
      <c r="A156" s="2" t="inlineStr">
        <is>
          <t>EJ010823.TXT</t>
        </is>
      </c>
      <c r="B156" s="3" t="inlineStr">
        <is>
          <t>001205</t>
        </is>
      </c>
      <c r="C156" s="3" t="inlineStr">
        <is>
          <t>000763</t>
        </is>
      </c>
      <c r="D156" s="4" t="n">
        <v>45112</v>
      </c>
      <c r="E156" s="2" t="inlineStr">
        <is>
          <t>16:19</t>
        </is>
      </c>
      <c r="F156" s="5" t="n">
        <v>124.17</v>
      </c>
      <c r="G156" s="5" t="n"/>
      <c r="H156" s="5" t="n"/>
      <c r="I156" s="5" t="n"/>
      <c r="J156" s="5" t="n">
        <v>24.83</v>
      </c>
      <c r="K156" s="5" t="n"/>
      <c r="L156" s="5" t="n"/>
      <c r="M156" s="5" t="n"/>
      <c r="N156" s="5" t="n"/>
      <c r="O156" s="5" t="n">
        <v>149</v>
      </c>
      <c r="P156" s="5" t="n">
        <v>149</v>
      </c>
      <c r="Q156" s="5" t="n"/>
      <c r="R156" s="5" t="n"/>
    </row>
    <row r="157">
      <c r="A157" s="2" t="inlineStr">
        <is>
          <t>EJ010823.TXT</t>
        </is>
      </c>
      <c r="B157" s="3" t="inlineStr">
        <is>
          <t>001206</t>
        </is>
      </c>
      <c r="C157" s="3" t="inlineStr">
        <is>
          <t>000764</t>
        </is>
      </c>
      <c r="D157" s="4" t="n">
        <v>45113</v>
      </c>
      <c r="E157" s="2" t="inlineStr">
        <is>
          <t>13:21</t>
        </is>
      </c>
      <c r="F157" s="5" t="n">
        <v>1123.33</v>
      </c>
      <c r="G157" s="5" t="n"/>
      <c r="H157" s="5" t="n"/>
      <c r="I157" s="5" t="n"/>
      <c r="J157" s="5" t="n">
        <v>224.67</v>
      </c>
      <c r="K157" s="5" t="n"/>
      <c r="L157" s="5" t="n"/>
      <c r="M157" s="5" t="n"/>
      <c r="N157" s="5" t="n"/>
      <c r="O157" s="5" t="n">
        <v>1348</v>
      </c>
      <c r="P157" s="5" t="n">
        <v>1348</v>
      </c>
      <c r="Q157" s="5" t="n"/>
      <c r="R157" s="5" t="n"/>
    </row>
    <row r="158">
      <c r="A158" s="2" t="inlineStr">
        <is>
          <t>EJ010823.TXT</t>
        </is>
      </c>
      <c r="B158" s="3" t="inlineStr">
        <is>
          <t>001207</t>
        </is>
      </c>
      <c r="C158" s="3" t="inlineStr">
        <is>
          <t>000765</t>
        </is>
      </c>
      <c r="D158" s="4" t="n">
        <v>45114</v>
      </c>
      <c r="E158" s="2" t="inlineStr">
        <is>
          <t>12:06</t>
        </is>
      </c>
      <c r="F158" s="5" t="n">
        <v>274.17</v>
      </c>
      <c r="G158" s="5" t="n"/>
      <c r="H158" s="5" t="n"/>
      <c r="I158" s="5" t="n"/>
      <c r="J158" s="5" t="n">
        <v>54.83</v>
      </c>
      <c r="K158" s="5" t="n"/>
      <c r="L158" s="5" t="n"/>
      <c r="M158" s="5" t="n"/>
      <c r="N158" s="5" t="n"/>
      <c r="O158" s="5" t="n">
        <v>329</v>
      </c>
      <c r="P158" s="5" t="n">
        <v>329</v>
      </c>
      <c r="Q158" s="5" t="n"/>
      <c r="R158" s="5" t="n"/>
    </row>
    <row r="159">
      <c r="A159" s="2" t="inlineStr">
        <is>
          <t>EJ010823.TXT</t>
        </is>
      </c>
      <c r="B159" s="3" t="inlineStr">
        <is>
          <t>001208</t>
        </is>
      </c>
      <c r="C159" s="3" t="inlineStr">
        <is>
          <t>000766</t>
        </is>
      </c>
      <c r="D159" s="4" t="n">
        <v>45114</v>
      </c>
      <c r="E159" s="2" t="inlineStr">
        <is>
          <t>15:20</t>
        </is>
      </c>
      <c r="F159" s="5" t="n">
        <v>199.17</v>
      </c>
      <c r="G159" s="5" t="n"/>
      <c r="H159" s="5" t="n"/>
      <c r="I159" s="5" t="n"/>
      <c r="J159" s="5" t="n">
        <v>39.83</v>
      </c>
      <c r="K159" s="5" t="n"/>
      <c r="L159" s="5" t="n"/>
      <c r="M159" s="5" t="n"/>
      <c r="N159" s="5" t="n"/>
      <c r="O159" s="5" t="n">
        <v>239</v>
      </c>
      <c r="P159" s="5" t="n">
        <v>239</v>
      </c>
      <c r="Q159" s="5" t="n"/>
      <c r="R159" s="5" t="n"/>
    </row>
    <row r="160">
      <c r="A160" s="2" t="inlineStr">
        <is>
          <t>EJ010823.TXT</t>
        </is>
      </c>
      <c r="B160" s="3" t="inlineStr">
        <is>
          <t>001209</t>
        </is>
      </c>
      <c r="C160" s="3" t="inlineStr">
        <is>
          <t>000767</t>
        </is>
      </c>
      <c r="D160" s="4" t="n">
        <v>45114</v>
      </c>
      <c r="E160" s="2" t="inlineStr">
        <is>
          <t>16:42</t>
        </is>
      </c>
      <c r="F160" s="5" t="n">
        <v>548.33</v>
      </c>
      <c r="G160" s="5" t="n"/>
      <c r="H160" s="5" t="n"/>
      <c r="I160" s="5" t="n"/>
      <c r="J160" s="5" t="n">
        <v>109.67</v>
      </c>
      <c r="K160" s="5" t="n"/>
      <c r="L160" s="5" t="n"/>
      <c r="M160" s="5" t="n"/>
      <c r="N160" s="5" t="n"/>
      <c r="O160" s="5" t="n">
        <v>658</v>
      </c>
      <c r="P160" s="5" t="n">
        <v>658</v>
      </c>
      <c r="Q160" s="5" t="n"/>
      <c r="R160" s="5" t="n"/>
    </row>
    <row r="161">
      <c r="A161" s="2" t="inlineStr">
        <is>
          <t>EJ010823.TXT</t>
        </is>
      </c>
      <c r="B161" s="3" t="inlineStr">
        <is>
          <t>001210</t>
        </is>
      </c>
      <c r="C161" s="3" t="inlineStr">
        <is>
          <t>000768</t>
        </is>
      </c>
      <c r="D161" s="4" t="n">
        <v>45114</v>
      </c>
      <c r="E161" s="2" t="inlineStr">
        <is>
          <t>16:57</t>
        </is>
      </c>
      <c r="F161" s="5" t="n">
        <v>365.83</v>
      </c>
      <c r="G161" s="5" t="n"/>
      <c r="H161" s="5" t="n"/>
      <c r="I161" s="5" t="n"/>
      <c r="J161" s="5" t="n">
        <v>73.17</v>
      </c>
      <c r="K161" s="5" t="n"/>
      <c r="L161" s="5" t="n"/>
      <c r="M161" s="5" t="n"/>
      <c r="N161" s="5" t="n"/>
      <c r="O161" s="5" t="n">
        <v>439</v>
      </c>
      <c r="P161" s="5" t="n">
        <v>439</v>
      </c>
      <c r="Q161" s="5" t="n"/>
      <c r="R161" s="5" t="n"/>
    </row>
    <row r="162">
      <c r="A162" s="2" t="inlineStr">
        <is>
          <t>EJ010823.TXT</t>
        </is>
      </c>
      <c r="B162" s="3" t="inlineStr">
        <is>
          <t>001211</t>
        </is>
      </c>
      <c r="C162" s="3" t="inlineStr">
        <is>
          <t>000769</t>
        </is>
      </c>
      <c r="D162" s="4" t="n">
        <v>45115</v>
      </c>
      <c r="E162" s="2" t="inlineStr">
        <is>
          <t>12:46</t>
        </is>
      </c>
      <c r="F162" s="5" t="n">
        <v>199.17</v>
      </c>
      <c r="G162" s="5" t="n"/>
      <c r="H162" s="5" t="n"/>
      <c r="I162" s="5" t="n"/>
      <c r="J162" s="5" t="n">
        <v>39.83</v>
      </c>
      <c r="K162" s="5" t="n"/>
      <c r="L162" s="5" t="n"/>
      <c r="M162" s="5" t="n"/>
      <c r="N162" s="5" t="n"/>
      <c r="O162" s="5" t="n">
        <v>239</v>
      </c>
      <c r="P162" s="5" t="n"/>
      <c r="Q162" s="5" t="n">
        <v>239</v>
      </c>
      <c r="R162" s="5" t="n"/>
    </row>
    <row r="163">
      <c r="A163" s="2" t="inlineStr">
        <is>
          <t>EJ010823.TXT</t>
        </is>
      </c>
      <c r="B163" s="3" t="inlineStr">
        <is>
          <t>001212</t>
        </is>
      </c>
      <c r="C163" s="3" t="inlineStr">
        <is>
          <t>000770</t>
        </is>
      </c>
      <c r="D163" s="4" t="n">
        <v>45115</v>
      </c>
      <c r="E163" s="2" t="inlineStr">
        <is>
          <t>15:26</t>
        </is>
      </c>
      <c r="F163" s="5" t="n">
        <v>199.17</v>
      </c>
      <c r="G163" s="5" t="n"/>
      <c r="H163" s="5" t="n"/>
      <c r="I163" s="5" t="n"/>
      <c r="J163" s="5" t="n">
        <v>39.83</v>
      </c>
      <c r="K163" s="5" t="n"/>
      <c r="L163" s="5" t="n"/>
      <c r="M163" s="5" t="n"/>
      <c r="N163" s="5" t="n"/>
      <c r="O163" s="5" t="n">
        <v>239</v>
      </c>
      <c r="P163" s="5" t="n">
        <v>239</v>
      </c>
      <c r="Q163" s="5" t="n"/>
      <c r="R163" s="5" t="n"/>
    </row>
    <row r="164">
      <c r="A164" s="2" t="inlineStr">
        <is>
          <t>EJ010823.TXT</t>
        </is>
      </c>
      <c r="B164" s="3" t="inlineStr">
        <is>
          <t>001213</t>
        </is>
      </c>
      <c r="C164" s="3" t="inlineStr">
        <is>
          <t>000771</t>
        </is>
      </c>
      <c r="D164" s="4" t="n">
        <v>45119</v>
      </c>
      <c r="E164" s="2" t="inlineStr">
        <is>
          <t>11:51</t>
        </is>
      </c>
      <c r="F164" s="5" t="n">
        <v>398.33</v>
      </c>
      <c r="G164" s="5" t="n"/>
      <c r="H164" s="5" t="n"/>
      <c r="I164" s="5" t="n"/>
      <c r="J164" s="5" t="n">
        <v>79.67</v>
      </c>
      <c r="K164" s="5" t="n"/>
      <c r="L164" s="5" t="n"/>
      <c r="M164" s="5" t="n"/>
      <c r="N164" s="5" t="n"/>
      <c r="O164" s="5" t="n">
        <v>478</v>
      </c>
      <c r="P164" s="5" t="n">
        <v>478</v>
      </c>
      <c r="Q164" s="5" t="n"/>
      <c r="R164" s="5" t="n"/>
    </row>
    <row r="165">
      <c r="A165" s="2" t="inlineStr">
        <is>
          <t>EJ010823.TXT</t>
        </is>
      </c>
      <c r="B165" s="3" t="inlineStr">
        <is>
          <t>001214</t>
        </is>
      </c>
      <c r="C165" s="3" t="inlineStr">
        <is>
          <t>000772</t>
        </is>
      </c>
      <c r="D165" s="4" t="n">
        <v>45119</v>
      </c>
      <c r="E165" s="2" t="inlineStr">
        <is>
          <t>13:37</t>
        </is>
      </c>
      <c r="F165" s="5" t="n">
        <v>274.17</v>
      </c>
      <c r="G165" s="5" t="n"/>
      <c r="H165" s="5" t="n"/>
      <c r="I165" s="5" t="n"/>
      <c r="J165" s="5" t="n">
        <v>54.83</v>
      </c>
      <c r="K165" s="5" t="n"/>
      <c r="L165" s="5" t="n"/>
      <c r="M165" s="5" t="n"/>
      <c r="N165" s="5" t="n"/>
      <c r="O165" s="5" t="n">
        <v>329</v>
      </c>
      <c r="P165" s="5" t="n">
        <v>329</v>
      </c>
      <c r="Q165" s="5" t="n"/>
      <c r="R165" s="5" t="n"/>
    </row>
    <row r="166">
      <c r="A166" s="2" t="inlineStr">
        <is>
          <t>EJ010823.TXT</t>
        </is>
      </c>
      <c r="B166" s="3" t="inlineStr">
        <is>
          <t>001215</t>
        </is>
      </c>
      <c r="C166" s="3" t="inlineStr">
        <is>
          <t>000773</t>
        </is>
      </c>
      <c r="D166" s="4" t="n">
        <v>45122</v>
      </c>
      <c r="E166" s="2" t="inlineStr">
        <is>
          <t>13:55</t>
        </is>
      </c>
      <c r="F166" s="5" t="n">
        <v>274.17</v>
      </c>
      <c r="G166" s="5" t="n"/>
      <c r="H166" s="5" t="n"/>
      <c r="I166" s="5" t="n"/>
      <c r="J166" s="5" t="n">
        <v>54.83</v>
      </c>
      <c r="K166" s="5" t="n"/>
      <c r="L166" s="5" t="n"/>
      <c r="M166" s="5" t="n"/>
      <c r="N166" s="5" t="n"/>
      <c r="O166" s="5" t="n">
        <v>329</v>
      </c>
      <c r="P166" s="5" t="n">
        <v>329</v>
      </c>
      <c r="Q166" s="5" t="n"/>
      <c r="R166" s="5" t="n"/>
    </row>
    <row r="167">
      <c r="A167" s="2" t="inlineStr">
        <is>
          <t>EJ010823.TXT</t>
        </is>
      </c>
      <c r="B167" s="3" t="inlineStr">
        <is>
          <t>001216</t>
        </is>
      </c>
      <c r="C167" s="3" t="inlineStr">
        <is>
          <t>000774</t>
        </is>
      </c>
      <c r="D167" s="4" t="n">
        <v>45122</v>
      </c>
      <c r="E167" s="2" t="inlineStr">
        <is>
          <t>14:25</t>
        </is>
      </c>
      <c r="F167" s="5" t="n">
        <v>395</v>
      </c>
      <c r="G167" s="5" t="n"/>
      <c r="H167" s="5" t="n"/>
      <c r="I167" s="5" t="n"/>
      <c r="J167" s="5" t="n">
        <v>79</v>
      </c>
      <c r="K167" s="5" t="n"/>
      <c r="L167" s="5" t="n"/>
      <c r="M167" s="5" t="n"/>
      <c r="N167" s="5" t="n"/>
      <c r="O167" s="5" t="n">
        <v>474</v>
      </c>
      <c r="P167" s="5" t="n">
        <v>474</v>
      </c>
      <c r="Q167" s="5" t="n"/>
      <c r="R167" s="5" t="n"/>
    </row>
    <row r="168">
      <c r="A168" s="2" t="inlineStr">
        <is>
          <t>EJ010823.TXT</t>
        </is>
      </c>
      <c r="B168" s="3" t="inlineStr">
        <is>
          <t>001217</t>
        </is>
      </c>
      <c r="C168" s="3" t="inlineStr">
        <is>
          <t>000775</t>
        </is>
      </c>
      <c r="D168" s="4" t="n">
        <v>45122</v>
      </c>
      <c r="E168" s="2" t="inlineStr">
        <is>
          <t>15:40</t>
        </is>
      </c>
      <c r="F168" s="5" t="n">
        <v>1733.33</v>
      </c>
      <c r="G168" s="5" t="n"/>
      <c r="H168" s="5" t="n"/>
      <c r="I168" s="5" t="n"/>
      <c r="J168" s="5" t="n">
        <v>346.67</v>
      </c>
      <c r="K168" s="5" t="n"/>
      <c r="L168" s="5" t="n"/>
      <c r="M168" s="5" t="n"/>
      <c r="N168" s="5" t="n"/>
      <c r="O168" s="5" t="n">
        <v>2080</v>
      </c>
      <c r="P168" s="5" t="n">
        <v>2080</v>
      </c>
      <c r="Q168" s="5" t="n"/>
      <c r="R168" s="5" t="n"/>
    </row>
    <row r="169">
      <c r="A169" s="2" t="inlineStr">
        <is>
          <t>EJ010823.TXT</t>
        </is>
      </c>
      <c r="B169" s="3" t="inlineStr">
        <is>
          <t>001218</t>
        </is>
      </c>
      <c r="C169" s="3" t="inlineStr">
        <is>
          <t>000776</t>
        </is>
      </c>
      <c r="D169" s="4" t="n">
        <v>45122</v>
      </c>
      <c r="E169" s="2" t="inlineStr">
        <is>
          <t>15:40</t>
        </is>
      </c>
      <c r="F169" s="5" t="n">
        <v>866.67</v>
      </c>
      <c r="G169" s="5" t="n"/>
      <c r="H169" s="5" t="n"/>
      <c r="I169" s="5" t="n"/>
      <c r="J169" s="5" t="n">
        <v>173.33</v>
      </c>
      <c r="K169" s="5" t="n"/>
      <c r="L169" s="5" t="n"/>
      <c r="M169" s="5" t="n"/>
      <c r="N169" s="5" t="n"/>
      <c r="O169" s="5" t="n">
        <v>1040</v>
      </c>
      <c r="P169" s="5" t="n">
        <v>1040</v>
      </c>
      <c r="Q169" s="5" t="n"/>
      <c r="R169" s="5" t="n"/>
    </row>
    <row r="170">
      <c r="A170" s="2" t="inlineStr">
        <is>
          <t>EJ010823.TXT</t>
        </is>
      </c>
      <c r="B170" s="3" t="inlineStr">
        <is>
          <t>001219</t>
        </is>
      </c>
      <c r="C170" s="3" t="inlineStr">
        <is>
          <t>000777</t>
        </is>
      </c>
      <c r="D170" s="4" t="n">
        <v>45122</v>
      </c>
      <c r="E170" s="2" t="inlineStr">
        <is>
          <t>16:46</t>
        </is>
      </c>
      <c r="F170" s="5" t="n">
        <v>1096.67</v>
      </c>
      <c r="G170" s="5" t="n"/>
      <c r="H170" s="5" t="n"/>
      <c r="I170" s="5" t="n"/>
      <c r="J170" s="5" t="n">
        <v>219.33</v>
      </c>
      <c r="K170" s="5" t="n"/>
      <c r="L170" s="5" t="n"/>
      <c r="M170" s="5" t="n"/>
      <c r="N170" s="5" t="n"/>
      <c r="O170" s="5" t="n">
        <v>1316</v>
      </c>
      <c r="P170" s="5" t="n">
        <v>1316</v>
      </c>
      <c r="Q170" s="5" t="n"/>
      <c r="R170" s="5" t="n"/>
    </row>
    <row r="171">
      <c r="A171" s="2" t="inlineStr">
        <is>
          <t>EJ010823.TXT</t>
        </is>
      </c>
      <c r="B171" s="3" t="inlineStr">
        <is>
          <t>001220</t>
        </is>
      </c>
      <c r="C171" s="3" t="inlineStr">
        <is>
          <t>000778</t>
        </is>
      </c>
      <c r="D171" s="4" t="n">
        <v>45126</v>
      </c>
      <c r="E171" s="2" t="inlineStr">
        <is>
          <t>16:31</t>
        </is>
      </c>
      <c r="F171" s="5" t="n">
        <v>199.17</v>
      </c>
      <c r="G171" s="5" t="n"/>
      <c r="H171" s="5" t="n"/>
      <c r="I171" s="5" t="n"/>
      <c r="J171" s="5" t="n">
        <v>39.83</v>
      </c>
      <c r="K171" s="5" t="n"/>
      <c r="L171" s="5" t="n"/>
      <c r="M171" s="5" t="n"/>
      <c r="N171" s="5" t="n"/>
      <c r="O171" s="5" t="n">
        <v>239</v>
      </c>
      <c r="P171" s="5" t="n"/>
      <c r="Q171" s="5" t="n">
        <v>239</v>
      </c>
      <c r="R171" s="5" t="n"/>
    </row>
    <row r="172">
      <c r="A172" s="2" t="inlineStr">
        <is>
          <t>EJ010823.TXT</t>
        </is>
      </c>
      <c r="B172" s="3" t="inlineStr">
        <is>
          <t>001222</t>
        </is>
      </c>
      <c r="C172" s="3" t="inlineStr">
        <is>
          <t>000779</t>
        </is>
      </c>
      <c r="D172" s="4" t="n">
        <v>45127</v>
      </c>
      <c r="E172" s="2" t="inlineStr">
        <is>
          <t>09:36</t>
        </is>
      </c>
      <c r="F172" s="5" t="n">
        <v>274.17</v>
      </c>
      <c r="G172" s="5" t="n"/>
      <c r="H172" s="5" t="n"/>
      <c r="I172" s="5" t="n"/>
      <c r="J172" s="5" t="n">
        <v>54.83</v>
      </c>
      <c r="K172" s="5" t="n"/>
      <c r="L172" s="5" t="n"/>
      <c r="M172" s="5" t="n"/>
      <c r="N172" s="5" t="n"/>
      <c r="O172" s="5" t="n">
        <v>329</v>
      </c>
      <c r="P172" s="5" t="n">
        <v>329</v>
      </c>
      <c r="Q172" s="5" t="n"/>
      <c r="R172" s="5" t="n"/>
    </row>
    <row r="173">
      <c r="A173" s="2" t="inlineStr">
        <is>
          <t>EJ010823.TXT</t>
        </is>
      </c>
      <c r="B173" s="3" t="inlineStr">
        <is>
          <t>001223</t>
        </is>
      </c>
      <c r="C173" s="3" t="inlineStr">
        <is>
          <t>000780</t>
        </is>
      </c>
      <c r="D173" s="4" t="n">
        <v>45128</v>
      </c>
      <c r="E173" s="2" t="inlineStr">
        <is>
          <t>16:41</t>
        </is>
      </c>
      <c r="F173" s="5" t="n">
        <v>2830</v>
      </c>
      <c r="G173" s="5" t="n"/>
      <c r="H173" s="5" t="n"/>
      <c r="I173" s="5" t="n"/>
      <c r="J173" s="5" t="n">
        <v>566</v>
      </c>
      <c r="K173" s="5" t="n"/>
      <c r="L173" s="5" t="n"/>
      <c r="M173" s="5" t="n"/>
      <c r="N173" s="5" t="n"/>
      <c r="O173" s="5" t="n">
        <v>3396</v>
      </c>
      <c r="P173" s="5" t="n">
        <v>3396</v>
      </c>
      <c r="Q173" s="5" t="n"/>
      <c r="R173" s="5" t="n"/>
    </row>
    <row r="174">
      <c r="A174" s="2" t="inlineStr">
        <is>
          <t>EJ010823.TXT</t>
        </is>
      </c>
      <c r="B174" s="3" t="inlineStr">
        <is>
          <t>001224</t>
        </is>
      </c>
      <c r="C174" s="3" t="inlineStr">
        <is>
          <t>000781</t>
        </is>
      </c>
      <c r="D174" s="4" t="n">
        <v>45128</v>
      </c>
      <c r="E174" s="2" t="inlineStr">
        <is>
          <t>16:45</t>
        </is>
      </c>
      <c r="F174" s="5" t="n">
        <v>274.17</v>
      </c>
      <c r="G174" s="5" t="n"/>
      <c r="H174" s="5" t="n"/>
      <c r="I174" s="5" t="n"/>
      <c r="J174" s="5" t="n">
        <v>54.83</v>
      </c>
      <c r="K174" s="5" t="n"/>
      <c r="L174" s="5" t="n"/>
      <c r="M174" s="5" t="n"/>
      <c r="N174" s="5" t="n"/>
      <c r="O174" s="5" t="n">
        <v>329</v>
      </c>
      <c r="P174" s="5" t="n">
        <v>329</v>
      </c>
      <c r="Q174" s="5" t="n"/>
      <c r="R174" s="5" t="n"/>
    </row>
    <row r="175">
      <c r="A175" s="2" t="inlineStr">
        <is>
          <t>EJ010823.TXT</t>
        </is>
      </c>
      <c r="B175" s="3" t="inlineStr">
        <is>
          <t>001225</t>
        </is>
      </c>
      <c r="C175" s="3" t="inlineStr">
        <is>
          <t>000782</t>
        </is>
      </c>
      <c r="D175" s="4" t="n">
        <v>45129</v>
      </c>
      <c r="E175" s="2" t="inlineStr">
        <is>
          <t>13:27</t>
        </is>
      </c>
      <c r="F175" s="5" t="n">
        <v>733.33</v>
      </c>
      <c r="G175" s="5" t="n"/>
      <c r="H175" s="5" t="n"/>
      <c r="I175" s="5" t="n"/>
      <c r="J175" s="5" t="n">
        <v>146.67</v>
      </c>
      <c r="K175" s="5" t="n"/>
      <c r="L175" s="5" t="n"/>
      <c r="M175" s="5" t="n"/>
      <c r="N175" s="5" t="n"/>
      <c r="O175" s="5" t="n">
        <v>880</v>
      </c>
      <c r="P175" s="5" t="n">
        <v>880</v>
      </c>
      <c r="Q175" s="5" t="n"/>
      <c r="R175" s="5" t="n"/>
    </row>
    <row r="176">
      <c r="A176" s="2" t="inlineStr">
        <is>
          <t>EJ010823.TXT</t>
        </is>
      </c>
      <c r="B176" s="3" t="inlineStr">
        <is>
          <t>001226</t>
        </is>
      </c>
      <c r="C176" s="3" t="inlineStr">
        <is>
          <t>000783</t>
        </is>
      </c>
      <c r="D176" s="4" t="n">
        <v>45129</v>
      </c>
      <c r="E176" s="2" t="inlineStr">
        <is>
          <t>14:42</t>
        </is>
      </c>
      <c r="F176" s="5" t="n">
        <v>548.33</v>
      </c>
      <c r="G176" s="5" t="n"/>
      <c r="H176" s="5" t="n"/>
      <c r="I176" s="5" t="n"/>
      <c r="J176" s="5" t="n">
        <v>109.67</v>
      </c>
      <c r="K176" s="5" t="n"/>
      <c r="L176" s="5" t="n"/>
      <c r="M176" s="5" t="n"/>
      <c r="N176" s="5" t="n"/>
      <c r="O176" s="5" t="n">
        <v>658</v>
      </c>
      <c r="P176" s="5" t="n">
        <v>658</v>
      </c>
      <c r="Q176" s="5" t="n"/>
      <c r="R176" s="5" t="n"/>
    </row>
    <row r="177">
      <c r="A177" s="2" t="inlineStr">
        <is>
          <t>EJ010823.TXT</t>
        </is>
      </c>
      <c r="B177" s="3" t="inlineStr">
        <is>
          <t>001228</t>
        </is>
      </c>
      <c r="C177" s="3" t="inlineStr">
        <is>
          <t>000784</t>
        </is>
      </c>
      <c r="D177" s="4" t="n">
        <v>45132</v>
      </c>
      <c r="E177" s="2" t="inlineStr">
        <is>
          <t>13:52</t>
        </is>
      </c>
      <c r="F177" s="5" t="n">
        <v>474.17</v>
      </c>
      <c r="G177" s="5" t="n"/>
      <c r="H177" s="5" t="n"/>
      <c r="I177" s="5" t="n"/>
      <c r="J177" s="5" t="n">
        <v>94.83</v>
      </c>
      <c r="K177" s="5" t="n"/>
      <c r="L177" s="5" t="n"/>
      <c r="M177" s="5" t="n"/>
      <c r="N177" s="5" t="n"/>
      <c r="O177" s="5" t="n">
        <v>569</v>
      </c>
      <c r="P177" s="5" t="n"/>
      <c r="Q177" s="5" t="n">
        <v>569</v>
      </c>
      <c r="R177" s="5" t="n"/>
    </row>
    <row r="178">
      <c r="A178" s="2" t="inlineStr">
        <is>
          <t>EJ010823.TXT</t>
        </is>
      </c>
      <c r="B178" s="3" t="inlineStr">
        <is>
          <t>001229</t>
        </is>
      </c>
      <c r="C178" s="3" t="inlineStr">
        <is>
          <t>000785</t>
        </is>
      </c>
      <c r="D178" s="4" t="n">
        <v>45132</v>
      </c>
      <c r="E178" s="2" t="inlineStr">
        <is>
          <t>14:04</t>
        </is>
      </c>
      <c r="F178" s="5" t="n">
        <v>274.17</v>
      </c>
      <c r="G178" s="5" t="n"/>
      <c r="H178" s="5" t="n"/>
      <c r="I178" s="5" t="n"/>
      <c r="J178" s="5" t="n">
        <v>54.83</v>
      </c>
      <c r="K178" s="5" t="n"/>
      <c r="L178" s="5" t="n"/>
      <c r="M178" s="5" t="n"/>
      <c r="N178" s="5" t="n"/>
      <c r="O178" s="5" t="n">
        <v>329</v>
      </c>
      <c r="P178" s="5" t="n">
        <v>329</v>
      </c>
      <c r="Q178" s="5" t="n"/>
      <c r="R178" s="5" t="n"/>
    </row>
    <row r="179">
      <c r="A179" s="2" t="inlineStr">
        <is>
          <t>EJ010823.TXT</t>
        </is>
      </c>
      <c r="B179" s="3" t="inlineStr">
        <is>
          <t>001230</t>
        </is>
      </c>
      <c r="C179" s="3" t="inlineStr">
        <is>
          <t>000786</t>
        </is>
      </c>
      <c r="D179" s="4" t="n">
        <v>45133</v>
      </c>
      <c r="E179" s="2" t="inlineStr">
        <is>
          <t>09:34</t>
        </is>
      </c>
      <c r="F179" s="5" t="n">
        <v>582.5</v>
      </c>
      <c r="G179" s="5" t="n"/>
      <c r="H179" s="5" t="n"/>
      <c r="I179" s="5" t="n"/>
      <c r="J179" s="5" t="n">
        <v>116.5</v>
      </c>
      <c r="K179" s="5" t="n"/>
      <c r="L179" s="5" t="n"/>
      <c r="M179" s="5" t="n"/>
      <c r="N179" s="5" t="n"/>
      <c r="O179" s="5" t="n">
        <v>699</v>
      </c>
      <c r="P179" s="5" t="n">
        <v>699</v>
      </c>
      <c r="Q179" s="5" t="n"/>
      <c r="R179" s="5" t="n"/>
    </row>
    <row r="180">
      <c r="A180" s="2" t="inlineStr">
        <is>
          <t>EJ010823.TXT</t>
        </is>
      </c>
      <c r="B180" s="3" t="inlineStr">
        <is>
          <t>001234</t>
        </is>
      </c>
      <c r="C180" s="3" t="inlineStr">
        <is>
          <t>000787</t>
        </is>
      </c>
      <c r="D180" s="4" t="n">
        <v>45133</v>
      </c>
      <c r="E180" s="2" t="inlineStr">
        <is>
          <t>13:22</t>
        </is>
      </c>
      <c r="F180" s="5" t="n">
        <v>548.33</v>
      </c>
      <c r="G180" s="5" t="n"/>
      <c r="H180" s="5" t="n"/>
      <c r="I180" s="5" t="n"/>
      <c r="J180" s="5" t="n">
        <v>109.67</v>
      </c>
      <c r="K180" s="5" t="n"/>
      <c r="L180" s="5" t="n"/>
      <c r="M180" s="5" t="n"/>
      <c r="N180" s="5" t="n"/>
      <c r="O180" s="5" t="n">
        <v>658</v>
      </c>
      <c r="P180" s="5" t="n"/>
      <c r="Q180" s="5" t="n">
        <v>658</v>
      </c>
      <c r="R180" s="5" t="n"/>
    </row>
    <row r="181">
      <c r="A181" s="2" t="inlineStr">
        <is>
          <t>EJ010823.TXT</t>
        </is>
      </c>
      <c r="B181" s="3" t="inlineStr">
        <is>
          <t>001235</t>
        </is>
      </c>
      <c r="C181" s="3" t="inlineStr">
        <is>
          <t>000788</t>
        </is>
      </c>
      <c r="D181" s="4" t="n">
        <v>45134</v>
      </c>
      <c r="E181" s="2" t="inlineStr">
        <is>
          <t>15:29</t>
        </is>
      </c>
      <c r="F181" s="5" t="n">
        <v>548.33</v>
      </c>
      <c r="G181" s="5" t="n"/>
      <c r="H181" s="5" t="n"/>
      <c r="I181" s="5" t="n"/>
      <c r="J181" s="5" t="n">
        <v>109.67</v>
      </c>
      <c r="K181" s="5" t="n"/>
      <c r="L181" s="5" t="n"/>
      <c r="M181" s="5" t="n"/>
      <c r="N181" s="5" t="n"/>
      <c r="O181" s="5" t="n">
        <v>658</v>
      </c>
      <c r="P181" s="5" t="n">
        <v>658</v>
      </c>
      <c r="Q181" s="5" t="n"/>
      <c r="R181" s="5" t="n"/>
    </row>
    <row r="182">
      <c r="A182" s="2" t="inlineStr">
        <is>
          <t>EJ010823.TXT</t>
        </is>
      </c>
      <c r="B182" s="3" t="inlineStr">
        <is>
          <t>001236</t>
        </is>
      </c>
      <c r="C182" s="3" t="inlineStr">
        <is>
          <t>000789</t>
        </is>
      </c>
      <c r="D182" s="4" t="n">
        <v>45134</v>
      </c>
      <c r="E182" s="2" t="inlineStr">
        <is>
          <t>15:33</t>
        </is>
      </c>
      <c r="F182" s="5" t="n">
        <v>548.33</v>
      </c>
      <c r="G182" s="5" t="n"/>
      <c r="H182" s="5" t="n"/>
      <c r="I182" s="5" t="n"/>
      <c r="J182" s="5" t="n">
        <v>109.67</v>
      </c>
      <c r="K182" s="5" t="n"/>
      <c r="L182" s="5" t="n"/>
      <c r="M182" s="5" t="n"/>
      <c r="N182" s="5" t="n"/>
      <c r="O182" s="5" t="n">
        <v>658</v>
      </c>
      <c r="P182" s="5" t="n">
        <v>658</v>
      </c>
      <c r="Q182" s="5" t="n"/>
      <c r="R182" s="5" t="n"/>
    </row>
    <row r="183">
      <c r="A183" s="2" t="inlineStr">
        <is>
          <t>EJ010823.TXT</t>
        </is>
      </c>
      <c r="B183" s="3" t="inlineStr">
        <is>
          <t>001237</t>
        </is>
      </c>
      <c r="C183" s="3" t="inlineStr">
        <is>
          <t>000790</t>
        </is>
      </c>
      <c r="D183" s="4" t="n">
        <v>45134</v>
      </c>
      <c r="E183" s="2" t="inlineStr">
        <is>
          <t>15:35</t>
        </is>
      </c>
      <c r="F183" s="5" t="n">
        <v>548.33</v>
      </c>
      <c r="G183" s="5" t="n"/>
      <c r="H183" s="5" t="n"/>
      <c r="I183" s="5" t="n"/>
      <c r="J183" s="5" t="n">
        <v>109.67</v>
      </c>
      <c r="K183" s="5" t="n"/>
      <c r="L183" s="5" t="n"/>
      <c r="M183" s="5" t="n"/>
      <c r="N183" s="5" t="n"/>
      <c r="O183" s="5" t="n">
        <v>658</v>
      </c>
      <c r="P183" s="5" t="n">
        <v>658</v>
      </c>
      <c r="Q183" s="5" t="n"/>
      <c r="R183" s="5" t="n"/>
    </row>
    <row r="184">
      <c r="A184" s="2" t="inlineStr">
        <is>
          <t>EJ010823.TXT</t>
        </is>
      </c>
      <c r="B184" s="3" t="inlineStr">
        <is>
          <t>001238</t>
        </is>
      </c>
      <c r="C184" s="3" t="inlineStr">
        <is>
          <t>000791</t>
        </is>
      </c>
      <c r="D184" s="4" t="n">
        <v>45134</v>
      </c>
      <c r="E184" s="2" t="inlineStr">
        <is>
          <t>15:37</t>
        </is>
      </c>
      <c r="F184" s="5" t="n">
        <v>548.33</v>
      </c>
      <c r="G184" s="5" t="n"/>
      <c r="H184" s="5" t="n"/>
      <c r="I184" s="5" t="n"/>
      <c r="J184" s="5" t="n">
        <v>109.67</v>
      </c>
      <c r="K184" s="5" t="n"/>
      <c r="L184" s="5" t="n"/>
      <c r="M184" s="5" t="n"/>
      <c r="N184" s="5" t="n"/>
      <c r="O184" s="5" t="n">
        <v>658</v>
      </c>
      <c r="P184" s="5" t="n">
        <v>658</v>
      </c>
      <c r="Q184" s="5" t="n"/>
      <c r="R184" s="5" t="n"/>
    </row>
    <row r="185">
      <c r="A185" s="2" t="inlineStr">
        <is>
          <t>EJ010823.TXT</t>
        </is>
      </c>
      <c r="B185" s="3" t="inlineStr">
        <is>
          <t>001239</t>
        </is>
      </c>
      <c r="C185" s="3" t="inlineStr">
        <is>
          <t>000792</t>
        </is>
      </c>
      <c r="D185" s="4" t="n">
        <v>45136</v>
      </c>
      <c r="E185" s="2" t="inlineStr">
        <is>
          <t>14:30</t>
        </is>
      </c>
      <c r="F185" s="5" t="n">
        <v>131.67</v>
      </c>
      <c r="G185" s="5" t="n"/>
      <c r="H185" s="5" t="n"/>
      <c r="I185" s="5" t="n"/>
      <c r="J185" s="5" t="n">
        <v>26.33</v>
      </c>
      <c r="K185" s="5" t="n"/>
      <c r="L185" s="5" t="n"/>
      <c r="M185" s="5" t="n"/>
      <c r="N185" s="5" t="n"/>
      <c r="O185" s="5" t="n">
        <v>158</v>
      </c>
      <c r="P185" s="5" t="n">
        <v>158</v>
      </c>
      <c r="Q185" s="5" t="n"/>
      <c r="R185" s="5" t="n"/>
    </row>
    <row r="186">
      <c r="A186" s="2" t="inlineStr">
        <is>
          <t>EJ010823.TXT</t>
        </is>
      </c>
      <c r="B186" s="3" t="inlineStr">
        <is>
          <t>001240</t>
        </is>
      </c>
      <c r="C186" s="3" t="inlineStr">
        <is>
          <t>000793</t>
        </is>
      </c>
      <c r="D186" s="4" t="n">
        <v>45136</v>
      </c>
      <c r="E186" s="2" t="inlineStr">
        <is>
          <t>15:41</t>
        </is>
      </c>
      <c r="F186" s="5" t="n">
        <v>548.33</v>
      </c>
      <c r="G186" s="5" t="n"/>
      <c r="H186" s="5" t="n"/>
      <c r="I186" s="5" t="n"/>
      <c r="J186" s="5" t="n">
        <v>109.67</v>
      </c>
      <c r="K186" s="5" t="n"/>
      <c r="L186" s="5" t="n"/>
      <c r="M186" s="5" t="n"/>
      <c r="N186" s="5" t="n"/>
      <c r="O186" s="5" t="n">
        <v>658</v>
      </c>
      <c r="P186" s="5" t="n">
        <v>658</v>
      </c>
      <c r="Q186" s="5" t="n"/>
      <c r="R186" s="5" t="n"/>
    </row>
    <row r="187">
      <c r="A187" s="2" t="inlineStr">
        <is>
          <t>EJ010823.TXT</t>
        </is>
      </c>
      <c r="B187" s="3" t="inlineStr">
        <is>
          <t>001246</t>
        </is>
      </c>
      <c r="C187" s="3" t="inlineStr">
        <is>
          <t>000794</t>
        </is>
      </c>
      <c r="D187" s="4" t="n">
        <v>45136</v>
      </c>
      <c r="E187" s="2" t="inlineStr">
        <is>
          <t>15:56</t>
        </is>
      </c>
      <c r="F187" s="5" t="n">
        <v>548.33</v>
      </c>
      <c r="G187" s="5" t="n"/>
      <c r="H187" s="5" t="n"/>
      <c r="I187" s="5" t="n"/>
      <c r="J187" s="5" t="n">
        <v>109.67</v>
      </c>
      <c r="K187" s="5" t="n"/>
      <c r="L187" s="5" t="n"/>
      <c r="M187" s="5" t="n"/>
      <c r="N187" s="5" t="n"/>
      <c r="O187" s="5" t="n">
        <v>658</v>
      </c>
      <c r="P187" s="5" t="n">
        <v>658</v>
      </c>
      <c r="Q187" s="5" t="n"/>
      <c r="R187" s="5" t="n"/>
    </row>
    <row r="188">
      <c r="A188" s="2" t="inlineStr">
        <is>
          <t>EJ010823.TXT</t>
        </is>
      </c>
      <c r="B188" s="3" t="inlineStr">
        <is>
          <t>001249</t>
        </is>
      </c>
      <c r="C188" s="3" t="inlineStr">
        <is>
          <t>000795</t>
        </is>
      </c>
      <c r="D188" s="4" t="n">
        <v>45138</v>
      </c>
      <c r="E188" s="2" t="inlineStr">
        <is>
          <t>12:34</t>
        </is>
      </c>
      <c r="F188" s="5" t="n">
        <v>822.5</v>
      </c>
      <c r="G188" s="5" t="n"/>
      <c r="H188" s="5" t="n"/>
      <c r="I188" s="5" t="n"/>
      <c r="J188" s="5" t="n">
        <v>164.5</v>
      </c>
      <c r="K188" s="5" t="n"/>
      <c r="L188" s="5" t="n"/>
      <c r="M188" s="5" t="n"/>
      <c r="N188" s="5" t="n"/>
      <c r="O188" s="5" t="n">
        <v>987</v>
      </c>
      <c r="P188" s="5" t="n">
        <v>987</v>
      </c>
      <c r="Q188" s="5" t="n"/>
      <c r="R188" s="5" t="n"/>
    </row>
    <row r="189">
      <c r="A189" s="2" t="inlineStr">
        <is>
          <t>EJ010923.TXT</t>
        </is>
      </c>
      <c r="B189" s="3" t="inlineStr">
        <is>
          <t>001260</t>
        </is>
      </c>
      <c r="C189" s="3" t="inlineStr">
        <is>
          <t>000796</t>
        </is>
      </c>
      <c r="D189" s="4" t="n">
        <v>45140</v>
      </c>
      <c r="E189" s="2" t="inlineStr">
        <is>
          <t>10:14</t>
        </is>
      </c>
      <c r="F189" s="5" t="n">
        <v>274.17</v>
      </c>
      <c r="G189" s="5" t="n"/>
      <c r="H189" s="5" t="n"/>
      <c r="I189" s="5" t="n"/>
      <c r="J189" s="5" t="n">
        <v>54.83</v>
      </c>
      <c r="K189" s="5" t="n"/>
      <c r="L189" s="5" t="n"/>
      <c r="M189" s="5" t="n"/>
      <c r="N189" s="5" t="n"/>
      <c r="O189" s="5" t="n">
        <v>329</v>
      </c>
      <c r="P189" s="5" t="n">
        <v>329</v>
      </c>
      <c r="Q189" s="5" t="n"/>
      <c r="R189" s="5" t="n"/>
    </row>
    <row r="190">
      <c r="A190" s="2" t="inlineStr">
        <is>
          <t>EJ010923.TXT</t>
        </is>
      </c>
      <c r="B190" s="3" t="inlineStr">
        <is>
          <t>001261</t>
        </is>
      </c>
      <c r="C190" s="3" t="inlineStr">
        <is>
          <t>000797</t>
        </is>
      </c>
      <c r="D190" s="4" t="n">
        <v>45142</v>
      </c>
      <c r="E190" s="2" t="inlineStr">
        <is>
          <t>14:28</t>
        </is>
      </c>
      <c r="F190" s="5" t="n">
        <v>1096.67</v>
      </c>
      <c r="G190" s="5" t="n"/>
      <c r="H190" s="5" t="n"/>
      <c r="I190" s="5" t="n"/>
      <c r="J190" s="5" t="n">
        <v>219.33</v>
      </c>
      <c r="K190" s="5" t="n"/>
      <c r="L190" s="5" t="n"/>
      <c r="M190" s="5" t="n"/>
      <c r="N190" s="5" t="n"/>
      <c r="O190" s="5" t="n">
        <v>1316</v>
      </c>
      <c r="P190" s="5" t="n">
        <v>1316</v>
      </c>
      <c r="Q190" s="5" t="n"/>
      <c r="R190" s="5" t="n"/>
    </row>
    <row r="191">
      <c r="A191" s="2" t="inlineStr">
        <is>
          <t>EJ010923.TXT</t>
        </is>
      </c>
      <c r="B191" s="3" t="inlineStr">
        <is>
          <t>001262</t>
        </is>
      </c>
      <c r="C191" s="3" t="inlineStr">
        <is>
          <t>000798</t>
        </is>
      </c>
      <c r="D191" s="4" t="n">
        <v>45143</v>
      </c>
      <c r="E191" s="2" t="inlineStr">
        <is>
          <t>14:05</t>
        </is>
      </c>
      <c r="F191" s="5" t="n">
        <v>548.33</v>
      </c>
      <c r="G191" s="5" t="n"/>
      <c r="H191" s="5" t="n"/>
      <c r="I191" s="5" t="n"/>
      <c r="J191" s="5" t="n">
        <v>109.67</v>
      </c>
      <c r="K191" s="5" t="n"/>
      <c r="L191" s="5" t="n"/>
      <c r="M191" s="5" t="n"/>
      <c r="N191" s="5" t="n"/>
      <c r="O191" s="5" t="n">
        <v>658</v>
      </c>
      <c r="P191" s="5" t="n">
        <v>658</v>
      </c>
      <c r="Q191" s="5" t="n"/>
      <c r="R191" s="5" t="n"/>
    </row>
    <row r="192">
      <c r="A192" s="2" t="inlineStr">
        <is>
          <t>EJ010923.TXT</t>
        </is>
      </c>
      <c r="B192" s="3" t="inlineStr">
        <is>
          <t>001263</t>
        </is>
      </c>
      <c r="C192" s="3" t="inlineStr">
        <is>
          <t>000799</t>
        </is>
      </c>
      <c r="D192" s="4" t="n">
        <v>45143</v>
      </c>
      <c r="E192" s="2" t="inlineStr">
        <is>
          <t>15:38</t>
        </is>
      </c>
      <c r="F192" s="5" t="n">
        <v>1096.67</v>
      </c>
      <c r="G192" s="5" t="n"/>
      <c r="H192" s="5" t="n"/>
      <c r="I192" s="5" t="n"/>
      <c r="J192" s="5" t="n">
        <v>219.33</v>
      </c>
      <c r="K192" s="5" t="n"/>
      <c r="L192" s="5" t="n"/>
      <c r="M192" s="5" t="n"/>
      <c r="N192" s="5" t="n"/>
      <c r="O192" s="5" t="n">
        <v>1316</v>
      </c>
      <c r="P192" s="5" t="n">
        <v>1316</v>
      </c>
      <c r="Q192" s="5" t="n"/>
      <c r="R192" s="5" t="n"/>
    </row>
    <row r="193">
      <c r="A193" s="2" t="inlineStr">
        <is>
          <t>EJ010923.TXT</t>
        </is>
      </c>
      <c r="B193" s="3" t="inlineStr">
        <is>
          <t>001264</t>
        </is>
      </c>
      <c r="C193" s="3" t="inlineStr">
        <is>
          <t>000800</t>
        </is>
      </c>
      <c r="D193" s="4" t="n">
        <v>45148</v>
      </c>
      <c r="E193" s="2" t="inlineStr">
        <is>
          <t>13:03</t>
        </is>
      </c>
      <c r="F193" s="5" t="n">
        <v>175</v>
      </c>
      <c r="G193" s="5" t="n"/>
      <c r="H193" s="5" t="n"/>
      <c r="I193" s="5" t="n"/>
      <c r="J193" s="5" t="n">
        <v>35</v>
      </c>
      <c r="K193" s="5" t="n"/>
      <c r="L193" s="5" t="n"/>
      <c r="M193" s="5" t="n"/>
      <c r="N193" s="5" t="n"/>
      <c r="O193" s="5" t="n">
        <v>210</v>
      </c>
      <c r="P193" s="5" t="n"/>
      <c r="Q193" s="5" t="n">
        <v>210</v>
      </c>
      <c r="R193" s="5" t="n"/>
    </row>
    <row r="194">
      <c r="A194" s="2" t="inlineStr">
        <is>
          <t>EJ010923.TXT</t>
        </is>
      </c>
      <c r="B194" s="3" t="inlineStr">
        <is>
          <t>001265</t>
        </is>
      </c>
      <c r="C194" s="3" t="inlineStr">
        <is>
          <t>000801</t>
        </is>
      </c>
      <c r="D194" s="4" t="n">
        <v>45150</v>
      </c>
      <c r="E194" s="2" t="inlineStr">
        <is>
          <t>13:23</t>
        </is>
      </c>
      <c r="F194" s="5" t="n">
        <v>548.33</v>
      </c>
      <c r="G194" s="5" t="n"/>
      <c r="H194" s="5" t="n"/>
      <c r="I194" s="5" t="n"/>
      <c r="J194" s="5" t="n">
        <v>109.67</v>
      </c>
      <c r="K194" s="5" t="n"/>
      <c r="L194" s="5" t="n"/>
      <c r="M194" s="5" t="n"/>
      <c r="N194" s="5" t="n"/>
      <c r="O194" s="5" t="n">
        <v>658</v>
      </c>
      <c r="P194" s="5" t="n">
        <v>658</v>
      </c>
      <c r="Q194" s="5" t="n"/>
      <c r="R194" s="5" t="n"/>
    </row>
    <row r="195">
      <c r="A195" s="2" t="inlineStr">
        <is>
          <t>EJ010923.TXT</t>
        </is>
      </c>
      <c r="B195" s="3" t="inlineStr">
        <is>
          <t>001266</t>
        </is>
      </c>
      <c r="C195" s="3" t="inlineStr">
        <is>
          <t>000802</t>
        </is>
      </c>
      <c r="D195" s="4" t="n">
        <v>45150</v>
      </c>
      <c r="E195" s="2" t="inlineStr">
        <is>
          <t>14:52</t>
        </is>
      </c>
      <c r="F195" s="5" t="n">
        <v>274.17</v>
      </c>
      <c r="G195" s="5" t="n"/>
      <c r="H195" s="5" t="n"/>
      <c r="I195" s="5" t="n"/>
      <c r="J195" s="5" t="n">
        <v>54.83</v>
      </c>
      <c r="K195" s="5" t="n"/>
      <c r="L195" s="5" t="n"/>
      <c r="M195" s="5" t="n"/>
      <c r="N195" s="5" t="n"/>
      <c r="O195" s="5" t="n">
        <v>329</v>
      </c>
      <c r="P195" s="5" t="n"/>
      <c r="Q195" s="5" t="n">
        <v>329</v>
      </c>
      <c r="R195" s="5" t="n"/>
    </row>
    <row r="196">
      <c r="A196" s="2" t="inlineStr">
        <is>
          <t>EJ010923.TXT</t>
        </is>
      </c>
      <c r="B196" s="3" t="inlineStr">
        <is>
          <t>001269</t>
        </is>
      </c>
      <c r="C196" s="3" t="inlineStr">
        <is>
          <t>000803</t>
        </is>
      </c>
      <c r="D196" s="4" t="n">
        <v>45152</v>
      </c>
      <c r="E196" s="2" t="inlineStr">
        <is>
          <t>15:02</t>
        </is>
      </c>
      <c r="F196" s="5" t="n">
        <v>1645</v>
      </c>
      <c r="G196" s="5" t="n"/>
      <c r="H196" s="5" t="n"/>
      <c r="I196" s="5" t="n"/>
      <c r="J196" s="5" t="n">
        <v>329</v>
      </c>
      <c r="K196" s="5" t="n"/>
      <c r="L196" s="5" t="n"/>
      <c r="M196" s="5" t="n"/>
      <c r="N196" s="5" t="n"/>
      <c r="O196" s="5" t="n">
        <v>1974</v>
      </c>
      <c r="P196" s="5" t="n"/>
      <c r="Q196" s="5" t="n">
        <v>1974</v>
      </c>
      <c r="R196" s="5" t="n"/>
    </row>
    <row r="197">
      <c r="A197" s="2" t="inlineStr">
        <is>
          <t>EJ010923.TXT</t>
        </is>
      </c>
      <c r="B197" s="3" t="inlineStr">
        <is>
          <t>001270</t>
        </is>
      </c>
      <c r="C197" s="3" t="inlineStr">
        <is>
          <t>000804</t>
        </is>
      </c>
      <c r="D197" s="4" t="n">
        <v>45154</v>
      </c>
      <c r="E197" s="2" t="inlineStr">
        <is>
          <t>13:36</t>
        </is>
      </c>
      <c r="F197" s="5" t="n">
        <v>274.17</v>
      </c>
      <c r="G197" s="5" t="n"/>
      <c r="H197" s="5" t="n"/>
      <c r="I197" s="5" t="n"/>
      <c r="J197" s="5" t="n">
        <v>54.83</v>
      </c>
      <c r="K197" s="5" t="n"/>
      <c r="L197" s="5" t="n"/>
      <c r="M197" s="5" t="n"/>
      <c r="N197" s="5" t="n"/>
      <c r="O197" s="5" t="n">
        <v>329</v>
      </c>
      <c r="P197" s="5" t="n">
        <v>329</v>
      </c>
      <c r="Q197" s="5" t="n"/>
      <c r="R197" s="5" t="n"/>
    </row>
    <row r="198">
      <c r="A198" s="2" t="inlineStr">
        <is>
          <t>EJ010923.TXT</t>
        </is>
      </c>
      <c r="B198" s="3" t="inlineStr">
        <is>
          <t>001271</t>
        </is>
      </c>
      <c r="C198" s="3" t="inlineStr">
        <is>
          <t>000805</t>
        </is>
      </c>
      <c r="D198" s="4" t="n">
        <v>45156</v>
      </c>
      <c r="E198" s="2" t="inlineStr">
        <is>
          <t>16:41</t>
        </is>
      </c>
      <c r="F198" s="5" t="n">
        <v>73.33</v>
      </c>
      <c r="G198" s="5" t="n"/>
      <c r="H198" s="5" t="n"/>
      <c r="I198" s="5" t="n"/>
      <c r="J198" s="5" t="n">
        <v>14.67</v>
      </c>
      <c r="K198" s="5" t="n"/>
      <c r="L198" s="5" t="n"/>
      <c r="M198" s="5" t="n"/>
      <c r="N198" s="5" t="n"/>
      <c r="O198" s="5" t="n">
        <v>88</v>
      </c>
      <c r="P198" s="5" t="n"/>
      <c r="Q198" s="5" t="n">
        <v>88</v>
      </c>
      <c r="R198" s="5" t="n"/>
    </row>
    <row r="199">
      <c r="A199" s="2" t="inlineStr">
        <is>
          <t>EJ010923.TXT</t>
        </is>
      </c>
      <c r="B199" s="3" t="inlineStr">
        <is>
          <t>001272</t>
        </is>
      </c>
      <c r="C199" s="3" t="inlineStr">
        <is>
          <t>000806</t>
        </is>
      </c>
      <c r="D199" s="4" t="n">
        <v>45157</v>
      </c>
      <c r="E199" s="2" t="inlineStr">
        <is>
          <t>13:14</t>
        </is>
      </c>
      <c r="F199" s="5" t="n">
        <v>568.33</v>
      </c>
      <c r="G199" s="5" t="n"/>
      <c r="H199" s="5" t="n"/>
      <c r="I199" s="5" t="n"/>
      <c r="J199" s="5" t="n">
        <v>113.67</v>
      </c>
      <c r="K199" s="5" t="n"/>
      <c r="L199" s="5" t="n"/>
      <c r="M199" s="5" t="n"/>
      <c r="N199" s="5" t="n"/>
      <c r="O199" s="5" t="n">
        <v>682</v>
      </c>
      <c r="P199" s="5" t="n">
        <v>682</v>
      </c>
      <c r="Q199" s="5" t="n"/>
      <c r="R199" s="5" t="n"/>
    </row>
    <row r="200">
      <c r="A200" s="2" t="inlineStr">
        <is>
          <t>EJ010923.TXT</t>
        </is>
      </c>
      <c r="B200" s="3" t="inlineStr">
        <is>
          <t>001273</t>
        </is>
      </c>
      <c r="C200" s="3" t="inlineStr">
        <is>
          <t>000807</t>
        </is>
      </c>
      <c r="D200" s="4" t="n">
        <v>45157</v>
      </c>
      <c r="E200" s="2" t="inlineStr">
        <is>
          <t>16:25</t>
        </is>
      </c>
      <c r="F200" s="5" t="n">
        <v>1096.67</v>
      </c>
      <c r="G200" s="5" t="n"/>
      <c r="H200" s="5" t="n"/>
      <c r="I200" s="5" t="n"/>
      <c r="J200" s="5" t="n">
        <v>219.33</v>
      </c>
      <c r="K200" s="5" t="n"/>
      <c r="L200" s="5" t="n"/>
      <c r="M200" s="5" t="n"/>
      <c r="N200" s="5" t="n"/>
      <c r="O200" s="5" t="n">
        <v>1316</v>
      </c>
      <c r="P200" s="5" t="n">
        <v>1016</v>
      </c>
      <c r="Q200" s="5" t="n">
        <v>300</v>
      </c>
      <c r="R200" s="5" t="n"/>
    </row>
    <row r="201">
      <c r="A201" s="2" t="inlineStr">
        <is>
          <t>EJ010923.TXT</t>
        </is>
      </c>
      <c r="B201" s="3" t="inlineStr">
        <is>
          <t>001274</t>
        </is>
      </c>
      <c r="C201" s="3" t="inlineStr">
        <is>
          <t>000808</t>
        </is>
      </c>
      <c r="D201" s="4" t="n">
        <v>45157</v>
      </c>
      <c r="E201" s="2" t="inlineStr">
        <is>
          <t>16:41</t>
        </is>
      </c>
      <c r="F201" s="5" t="n">
        <v>974.17</v>
      </c>
      <c r="G201" s="5" t="n"/>
      <c r="H201" s="5" t="n"/>
      <c r="I201" s="5" t="n"/>
      <c r="J201" s="5" t="n">
        <v>194.83</v>
      </c>
      <c r="K201" s="5" t="n"/>
      <c r="L201" s="5" t="n"/>
      <c r="M201" s="5" t="n"/>
      <c r="N201" s="5" t="n"/>
      <c r="O201" s="5" t="n">
        <v>1169</v>
      </c>
      <c r="P201" s="5" t="n">
        <v>1169</v>
      </c>
      <c r="Q201" s="5" t="n"/>
      <c r="R201" s="5" t="n"/>
    </row>
    <row r="202">
      <c r="A202" s="2" t="inlineStr">
        <is>
          <t>EJ010923.TXT</t>
        </is>
      </c>
      <c r="B202" s="3" t="inlineStr">
        <is>
          <t>001275</t>
        </is>
      </c>
      <c r="C202" s="3" t="inlineStr">
        <is>
          <t>000809</t>
        </is>
      </c>
      <c r="D202" s="4" t="n">
        <v>45163</v>
      </c>
      <c r="E202" s="2" t="inlineStr">
        <is>
          <t>11:21</t>
        </is>
      </c>
      <c r="F202" s="5" t="n">
        <v>66.33</v>
      </c>
      <c r="G202" s="5" t="n"/>
      <c r="H202" s="5" t="n"/>
      <c r="I202" s="5" t="n"/>
      <c r="J202" s="5" t="n">
        <v>13.27</v>
      </c>
      <c r="K202" s="5" t="n"/>
      <c r="L202" s="5" t="n"/>
      <c r="M202" s="5" t="n"/>
      <c r="N202" s="5" t="n"/>
      <c r="O202" s="5" t="n">
        <v>79.59999999999999</v>
      </c>
      <c r="P202" s="5" t="n"/>
      <c r="Q202" s="5" t="n">
        <v>79.59999999999999</v>
      </c>
      <c r="R202" s="5" t="n"/>
    </row>
    <row r="203">
      <c r="A203" s="2" t="inlineStr">
        <is>
          <t>EJ010923.TXT</t>
        </is>
      </c>
      <c r="B203" s="3" t="inlineStr">
        <is>
          <t>001276</t>
        </is>
      </c>
      <c r="C203" s="3" t="inlineStr">
        <is>
          <t>000810</t>
        </is>
      </c>
      <c r="D203" s="4" t="n">
        <v>45166</v>
      </c>
      <c r="E203" s="2" t="inlineStr">
        <is>
          <t>14:30</t>
        </is>
      </c>
      <c r="F203" s="5" t="n">
        <v>1919.17</v>
      </c>
      <c r="G203" s="5" t="n"/>
      <c r="H203" s="5" t="n"/>
      <c r="I203" s="5" t="n"/>
      <c r="J203" s="5" t="n">
        <v>383.83</v>
      </c>
      <c r="K203" s="5" t="n"/>
      <c r="L203" s="5" t="n"/>
      <c r="M203" s="5" t="n"/>
      <c r="N203" s="5" t="n"/>
      <c r="O203" s="5" t="n">
        <v>2303</v>
      </c>
      <c r="P203" s="5" t="n">
        <v>2303</v>
      </c>
      <c r="Q203" s="5" t="n"/>
      <c r="R203" s="5" t="n"/>
    </row>
    <row r="204">
      <c r="A204" s="2" t="inlineStr">
        <is>
          <t>EJ010923.TXT</t>
        </is>
      </c>
      <c r="B204" s="3" t="inlineStr">
        <is>
          <t>001277</t>
        </is>
      </c>
      <c r="C204" s="3" t="inlineStr">
        <is>
          <t>000811</t>
        </is>
      </c>
      <c r="D204" s="4" t="n">
        <v>45166</v>
      </c>
      <c r="E204" s="2" t="inlineStr">
        <is>
          <t>15:40</t>
        </is>
      </c>
      <c r="F204" s="5" t="n">
        <v>582.5</v>
      </c>
      <c r="G204" s="5" t="n"/>
      <c r="H204" s="5" t="n"/>
      <c r="I204" s="5" t="n"/>
      <c r="J204" s="5" t="n">
        <v>116.5</v>
      </c>
      <c r="K204" s="5" t="n"/>
      <c r="L204" s="5" t="n"/>
      <c r="M204" s="5" t="n"/>
      <c r="N204" s="5" t="n"/>
      <c r="O204" s="5" t="n">
        <v>699</v>
      </c>
      <c r="P204" s="5" t="n"/>
      <c r="Q204" s="5" t="n">
        <v>699</v>
      </c>
      <c r="R204" s="5" t="n"/>
    </row>
    <row r="205">
      <c r="A205" s="2" t="inlineStr">
        <is>
          <t>EJ010923.TXT</t>
        </is>
      </c>
      <c r="B205" s="3" t="inlineStr">
        <is>
          <t>001278</t>
        </is>
      </c>
      <c r="C205" s="3" t="inlineStr">
        <is>
          <t>000812</t>
        </is>
      </c>
      <c r="D205" s="4" t="n">
        <v>45167</v>
      </c>
      <c r="E205" s="2" t="inlineStr">
        <is>
          <t>08:52</t>
        </is>
      </c>
      <c r="F205" s="5" t="n">
        <v>199.17</v>
      </c>
      <c r="G205" s="5" t="n"/>
      <c r="H205" s="5" t="n"/>
      <c r="I205" s="5" t="n"/>
      <c r="J205" s="5" t="n">
        <v>39.83</v>
      </c>
      <c r="K205" s="5" t="n"/>
      <c r="L205" s="5" t="n"/>
      <c r="M205" s="5" t="n"/>
      <c r="N205" s="5" t="n"/>
      <c r="O205" s="5" t="n">
        <v>239</v>
      </c>
      <c r="P205" s="5" t="n"/>
      <c r="Q205" s="5" t="n">
        <v>239</v>
      </c>
      <c r="R205" s="5" t="n"/>
    </row>
    <row r="206">
      <c r="A206" s="2" t="inlineStr">
        <is>
          <t>EJ021023.TXT</t>
        </is>
      </c>
      <c r="B206" s="3" t="inlineStr">
        <is>
          <t>001283</t>
        </is>
      </c>
      <c r="C206" s="3" t="inlineStr">
        <is>
          <t>000813</t>
        </is>
      </c>
      <c r="D206" s="4" t="n">
        <v>45170</v>
      </c>
      <c r="E206" s="2" t="inlineStr">
        <is>
          <t>11:29</t>
        </is>
      </c>
      <c r="F206" s="5" t="n">
        <v>248.33</v>
      </c>
      <c r="G206" s="5" t="n"/>
      <c r="H206" s="5" t="n"/>
      <c r="I206" s="5" t="n"/>
      <c r="J206" s="5" t="n">
        <v>49.67</v>
      </c>
      <c r="K206" s="5" t="n"/>
      <c r="L206" s="5" t="n"/>
      <c r="M206" s="5" t="n"/>
      <c r="N206" s="5" t="n"/>
      <c r="O206" s="5" t="n">
        <v>298</v>
      </c>
      <c r="P206" s="5" t="n">
        <v>298</v>
      </c>
      <c r="Q206" s="5" t="n"/>
      <c r="R206" s="5" t="n"/>
    </row>
    <row r="207">
      <c r="A207" s="2" t="inlineStr">
        <is>
          <t>EJ021023.TXT</t>
        </is>
      </c>
      <c r="B207" s="3" t="inlineStr">
        <is>
          <t>001284</t>
        </is>
      </c>
      <c r="C207" s="3" t="inlineStr">
        <is>
          <t>000814</t>
        </is>
      </c>
      <c r="D207" s="4" t="n">
        <v>45170</v>
      </c>
      <c r="E207" s="2" t="inlineStr">
        <is>
          <t>14:53</t>
        </is>
      </c>
      <c r="F207" s="5" t="n">
        <v>274.17</v>
      </c>
      <c r="G207" s="5" t="n"/>
      <c r="H207" s="5" t="n"/>
      <c r="I207" s="5" t="n"/>
      <c r="J207" s="5" t="n">
        <v>54.83</v>
      </c>
      <c r="K207" s="5" t="n"/>
      <c r="L207" s="5" t="n"/>
      <c r="M207" s="5" t="n"/>
      <c r="N207" s="5" t="n"/>
      <c r="O207" s="5" t="n">
        <v>329</v>
      </c>
      <c r="P207" s="5" t="n">
        <v>329</v>
      </c>
      <c r="Q207" s="5" t="n"/>
      <c r="R207" s="5" t="n"/>
    </row>
    <row r="208">
      <c r="A208" s="2" t="inlineStr">
        <is>
          <t>EJ021023.TXT</t>
        </is>
      </c>
      <c r="B208" s="3" t="inlineStr">
        <is>
          <t>001285</t>
        </is>
      </c>
      <c r="C208" s="3" t="inlineStr">
        <is>
          <t>000815</t>
        </is>
      </c>
      <c r="D208" s="4" t="n">
        <v>45170</v>
      </c>
      <c r="E208" s="2" t="inlineStr">
        <is>
          <t>14:56</t>
        </is>
      </c>
      <c r="F208" s="5" t="n">
        <v>73.33</v>
      </c>
      <c r="G208" s="5" t="n"/>
      <c r="H208" s="5" t="n"/>
      <c r="I208" s="5" t="n"/>
      <c r="J208" s="5" t="n">
        <v>14.67</v>
      </c>
      <c r="K208" s="5" t="n"/>
      <c r="L208" s="5" t="n"/>
      <c r="M208" s="5" t="n"/>
      <c r="N208" s="5" t="n"/>
      <c r="O208" s="5" t="n">
        <v>88</v>
      </c>
      <c r="P208" s="5" t="n">
        <v>88</v>
      </c>
      <c r="Q208" s="5" t="n"/>
      <c r="R208" s="5" t="n"/>
    </row>
    <row r="209">
      <c r="A209" s="2" t="inlineStr">
        <is>
          <t>EJ021023.TXT</t>
        </is>
      </c>
      <c r="B209" s="3" t="inlineStr">
        <is>
          <t>001287</t>
        </is>
      </c>
      <c r="C209" s="3" t="inlineStr">
        <is>
          <t>000816</t>
        </is>
      </c>
      <c r="D209" s="4" t="n">
        <v>45170</v>
      </c>
      <c r="E209" s="2" t="inlineStr">
        <is>
          <t>15:39</t>
        </is>
      </c>
      <c r="F209" s="5" t="n">
        <v>274.17</v>
      </c>
      <c r="G209" s="5" t="n"/>
      <c r="H209" s="5" t="n"/>
      <c r="I209" s="5" t="n"/>
      <c r="J209" s="5" t="n">
        <v>54.83</v>
      </c>
      <c r="K209" s="5" t="n"/>
      <c r="L209" s="5" t="n"/>
      <c r="M209" s="5" t="n"/>
      <c r="N209" s="5" t="n"/>
      <c r="O209" s="5" t="n">
        <v>329</v>
      </c>
      <c r="P209" s="5" t="n">
        <v>329</v>
      </c>
      <c r="Q209" s="5" t="n"/>
      <c r="R209" s="5" t="n"/>
    </row>
    <row r="210">
      <c r="A210" s="2" t="inlineStr">
        <is>
          <t>EJ021023.TXT</t>
        </is>
      </c>
      <c r="B210" s="3" t="inlineStr">
        <is>
          <t>001288</t>
        </is>
      </c>
      <c r="C210" s="3" t="inlineStr">
        <is>
          <t>000817</t>
        </is>
      </c>
      <c r="D210" s="4" t="n">
        <v>45170</v>
      </c>
      <c r="E210" s="2" t="inlineStr">
        <is>
          <t>15:39</t>
        </is>
      </c>
      <c r="F210" s="5" t="n">
        <v>572.5</v>
      </c>
      <c r="G210" s="5" t="n"/>
      <c r="H210" s="5" t="n"/>
      <c r="I210" s="5" t="n"/>
      <c r="J210" s="5" t="n">
        <v>114.5</v>
      </c>
      <c r="K210" s="5" t="n"/>
      <c r="L210" s="5" t="n"/>
      <c r="M210" s="5" t="n"/>
      <c r="N210" s="5" t="n"/>
      <c r="O210" s="5" t="n">
        <v>687</v>
      </c>
      <c r="P210" s="5" t="n">
        <v>687</v>
      </c>
      <c r="Q210" s="5" t="n"/>
      <c r="R210" s="5" t="n"/>
    </row>
    <row r="211">
      <c r="A211" s="2" t="inlineStr">
        <is>
          <t>EJ021023.TXT</t>
        </is>
      </c>
      <c r="B211" s="3" t="inlineStr">
        <is>
          <t>001289</t>
        </is>
      </c>
      <c r="C211" s="3" t="inlineStr">
        <is>
          <t>000818</t>
        </is>
      </c>
      <c r="D211" s="4" t="n">
        <v>45170</v>
      </c>
      <c r="E211" s="2" t="inlineStr">
        <is>
          <t>16:38</t>
        </is>
      </c>
      <c r="F211" s="5" t="n">
        <v>274.17</v>
      </c>
      <c r="G211" s="5" t="n"/>
      <c r="H211" s="5" t="n"/>
      <c r="I211" s="5" t="n"/>
      <c r="J211" s="5" t="n">
        <v>54.83</v>
      </c>
      <c r="K211" s="5" t="n"/>
      <c r="L211" s="5" t="n"/>
      <c r="M211" s="5" t="n"/>
      <c r="N211" s="5" t="n"/>
      <c r="O211" s="5" t="n">
        <v>329</v>
      </c>
      <c r="P211" s="5" t="n">
        <v>329</v>
      </c>
      <c r="Q211" s="5" t="n"/>
      <c r="R211" s="5" t="n"/>
    </row>
    <row r="212">
      <c r="A212" s="2" t="inlineStr">
        <is>
          <t>EJ021023.TXT</t>
        </is>
      </c>
      <c r="B212" s="3" t="inlineStr">
        <is>
          <t>001293</t>
        </is>
      </c>
      <c r="C212" s="3" t="inlineStr">
        <is>
          <t>000819</t>
        </is>
      </c>
      <c r="D212" s="4" t="n">
        <v>45173</v>
      </c>
      <c r="E212" s="2" t="inlineStr">
        <is>
          <t>14:23</t>
        </is>
      </c>
      <c r="F212" s="5" t="n">
        <v>548.33</v>
      </c>
      <c r="G212" s="5" t="n"/>
      <c r="H212" s="5" t="n"/>
      <c r="I212" s="5" t="n"/>
      <c r="J212" s="5" t="n">
        <v>109.67</v>
      </c>
      <c r="K212" s="5" t="n"/>
      <c r="L212" s="5" t="n"/>
      <c r="M212" s="5" t="n"/>
      <c r="N212" s="5" t="n"/>
      <c r="O212" s="5" t="n">
        <v>658</v>
      </c>
      <c r="P212" s="5" t="n">
        <v>658</v>
      </c>
      <c r="Q212" s="5" t="n"/>
      <c r="R212" s="5" t="n"/>
    </row>
    <row r="213">
      <c r="A213" s="2" t="inlineStr">
        <is>
          <t>EJ021023.TXT</t>
        </is>
      </c>
      <c r="B213" s="3" t="inlineStr">
        <is>
          <t>001296</t>
        </is>
      </c>
      <c r="C213" s="3" t="inlineStr">
        <is>
          <t>000820</t>
        </is>
      </c>
      <c r="D213" s="4" t="n">
        <v>45175</v>
      </c>
      <c r="E213" s="2" t="inlineStr">
        <is>
          <t>09:30</t>
        </is>
      </c>
      <c r="F213" s="5" t="n">
        <v>3200</v>
      </c>
      <c r="G213" s="5" t="n"/>
      <c r="H213" s="5" t="n"/>
      <c r="I213" s="5" t="n"/>
      <c r="J213" s="5" t="n">
        <v>640</v>
      </c>
      <c r="K213" s="5" t="n"/>
      <c r="L213" s="5" t="n"/>
      <c r="M213" s="5" t="n"/>
      <c r="N213" s="5" t="n"/>
      <c r="O213" s="5" t="n">
        <v>3840</v>
      </c>
      <c r="P213" s="5" t="n">
        <v>3840</v>
      </c>
      <c r="Q213" s="5" t="n"/>
      <c r="R213" s="5" t="n"/>
    </row>
    <row r="214">
      <c r="A214" s="2" t="inlineStr">
        <is>
          <t>EJ021023.TXT</t>
        </is>
      </c>
      <c r="B214" s="3" t="inlineStr">
        <is>
          <t>001297</t>
        </is>
      </c>
      <c r="C214" s="3" t="inlineStr">
        <is>
          <t>000821</t>
        </is>
      </c>
      <c r="D214" s="4" t="n">
        <v>45175</v>
      </c>
      <c r="E214" s="2" t="inlineStr">
        <is>
          <t>10:10</t>
        </is>
      </c>
      <c r="F214" s="5" t="n">
        <v>82.5</v>
      </c>
      <c r="G214" s="5" t="n"/>
      <c r="H214" s="5" t="n"/>
      <c r="I214" s="5" t="n"/>
      <c r="J214" s="5" t="n">
        <v>16.5</v>
      </c>
      <c r="K214" s="5" t="n"/>
      <c r="L214" s="5" t="n"/>
      <c r="M214" s="5" t="n"/>
      <c r="N214" s="5" t="n"/>
      <c r="O214" s="5" t="n">
        <v>99</v>
      </c>
      <c r="P214" s="5" t="n">
        <v>99</v>
      </c>
      <c r="Q214" s="5" t="n"/>
      <c r="R214" s="5" t="n"/>
    </row>
    <row r="215">
      <c r="A215" s="2" t="inlineStr">
        <is>
          <t>EJ021023.TXT</t>
        </is>
      </c>
      <c r="B215" s="3" t="inlineStr">
        <is>
          <t>001300</t>
        </is>
      </c>
      <c r="C215" s="3" t="inlineStr">
        <is>
          <t>000822</t>
        </is>
      </c>
      <c r="D215" s="4" t="n">
        <v>45176</v>
      </c>
      <c r="E215" s="2" t="inlineStr">
        <is>
          <t>15:54</t>
        </is>
      </c>
      <c r="F215" s="5" t="n">
        <v>124.17</v>
      </c>
      <c r="G215" s="5" t="n"/>
      <c r="H215" s="5" t="n"/>
      <c r="I215" s="5" t="n"/>
      <c r="J215" s="5" t="n">
        <v>24.83</v>
      </c>
      <c r="K215" s="5" t="n"/>
      <c r="L215" s="5" t="n"/>
      <c r="M215" s="5" t="n"/>
      <c r="N215" s="5" t="n"/>
      <c r="O215" s="5" t="n">
        <v>149</v>
      </c>
      <c r="P215" s="5" t="n">
        <v>149</v>
      </c>
      <c r="Q215" s="5" t="n"/>
      <c r="R215" s="5" t="n"/>
    </row>
    <row r="216">
      <c r="A216" s="2" t="inlineStr">
        <is>
          <t>EJ021023.TXT</t>
        </is>
      </c>
      <c r="B216" s="3" t="inlineStr">
        <is>
          <t>001301</t>
        </is>
      </c>
      <c r="C216" s="3" t="inlineStr">
        <is>
          <t>000823</t>
        </is>
      </c>
      <c r="D216" s="4" t="n">
        <v>45176</v>
      </c>
      <c r="E216" s="2" t="inlineStr">
        <is>
          <t>16:30</t>
        </is>
      </c>
      <c r="F216" s="5" t="n">
        <v>274.17</v>
      </c>
      <c r="G216" s="5" t="n"/>
      <c r="H216" s="5" t="n"/>
      <c r="I216" s="5" t="n"/>
      <c r="J216" s="5" t="n">
        <v>54.83</v>
      </c>
      <c r="K216" s="5" t="n"/>
      <c r="L216" s="5" t="n"/>
      <c r="M216" s="5" t="n"/>
      <c r="N216" s="5" t="n"/>
      <c r="O216" s="5" t="n">
        <v>329</v>
      </c>
      <c r="P216" s="5" t="n">
        <v>329</v>
      </c>
      <c r="Q216" s="5" t="n"/>
      <c r="R216" s="5" t="n"/>
    </row>
    <row r="217">
      <c r="A217" s="2" t="inlineStr">
        <is>
          <t>EJ021023.TXT</t>
        </is>
      </c>
      <c r="B217" s="3" t="inlineStr">
        <is>
          <t>001302</t>
        </is>
      </c>
      <c r="C217" s="3" t="inlineStr">
        <is>
          <t>000824</t>
        </is>
      </c>
      <c r="D217" s="4" t="n">
        <v>45178</v>
      </c>
      <c r="E217" s="2" t="inlineStr">
        <is>
          <t>15:52</t>
        </is>
      </c>
      <c r="F217" s="5" t="n">
        <v>65.83</v>
      </c>
      <c r="G217" s="5" t="n"/>
      <c r="H217" s="5" t="n"/>
      <c r="I217" s="5" t="n"/>
      <c r="J217" s="5" t="n">
        <v>13.17</v>
      </c>
      <c r="K217" s="5" t="n"/>
      <c r="L217" s="5" t="n"/>
      <c r="M217" s="5" t="n"/>
      <c r="N217" s="5" t="n"/>
      <c r="O217" s="5" t="n">
        <v>79</v>
      </c>
      <c r="P217" s="5" t="n">
        <v>79</v>
      </c>
      <c r="Q217" s="5" t="n"/>
      <c r="R217" s="5" t="n"/>
    </row>
    <row r="218">
      <c r="A218" s="2" t="inlineStr">
        <is>
          <t>EJ021023.TXT</t>
        </is>
      </c>
      <c r="B218" s="3" t="inlineStr">
        <is>
          <t>001304</t>
        </is>
      </c>
      <c r="C218" s="3" t="inlineStr">
        <is>
          <t>000825</t>
        </is>
      </c>
      <c r="D218" s="4" t="n">
        <v>45183</v>
      </c>
      <c r="E218" s="2" t="inlineStr">
        <is>
          <t>10:05</t>
        </is>
      </c>
      <c r="F218" s="5" t="n">
        <v>1096.67</v>
      </c>
      <c r="G218" s="5" t="n"/>
      <c r="H218" s="5" t="n"/>
      <c r="I218" s="5" t="n"/>
      <c r="J218" s="5" t="n">
        <v>219.33</v>
      </c>
      <c r="K218" s="5" t="n"/>
      <c r="L218" s="5" t="n"/>
      <c r="M218" s="5" t="n"/>
      <c r="N218" s="5" t="n"/>
      <c r="O218" s="5" t="n">
        <v>1316</v>
      </c>
      <c r="P218" s="5" t="n">
        <v>1316</v>
      </c>
      <c r="Q218" s="5" t="n"/>
      <c r="R218" s="5" t="n"/>
    </row>
    <row r="219">
      <c r="A219" s="2" t="inlineStr">
        <is>
          <t>EJ021023.TXT</t>
        </is>
      </c>
      <c r="B219" s="3" t="inlineStr">
        <is>
          <t>001306</t>
        </is>
      </c>
      <c r="C219" s="3" t="inlineStr">
        <is>
          <t>000826</t>
        </is>
      </c>
      <c r="D219" s="4" t="n">
        <v>45183</v>
      </c>
      <c r="E219" s="2" t="inlineStr">
        <is>
          <t>13:01</t>
        </is>
      </c>
      <c r="F219" s="5" t="n">
        <v>548.33</v>
      </c>
      <c r="G219" s="5" t="n"/>
      <c r="H219" s="5" t="n"/>
      <c r="I219" s="5" t="n"/>
      <c r="J219" s="5" t="n">
        <v>109.67</v>
      </c>
      <c r="K219" s="5" t="n"/>
      <c r="L219" s="5" t="n"/>
      <c r="M219" s="5" t="n"/>
      <c r="N219" s="5" t="n"/>
      <c r="O219" s="5" t="n">
        <v>658</v>
      </c>
      <c r="P219" s="5" t="n">
        <v>658</v>
      </c>
      <c r="Q219" s="5" t="n"/>
      <c r="R219" s="5" t="n"/>
    </row>
    <row r="220">
      <c r="A220" s="2" t="inlineStr">
        <is>
          <t>EJ021023.TXT</t>
        </is>
      </c>
      <c r="B220" s="3" t="inlineStr">
        <is>
          <t>001307</t>
        </is>
      </c>
      <c r="C220" s="3" t="inlineStr">
        <is>
          <t>000827</t>
        </is>
      </c>
      <c r="D220" s="4" t="n">
        <v>45183</v>
      </c>
      <c r="E220" s="2" t="inlineStr">
        <is>
          <t>13:02</t>
        </is>
      </c>
      <c r="F220" s="5" t="n">
        <v>1165</v>
      </c>
      <c r="G220" s="5" t="n"/>
      <c r="H220" s="5" t="n"/>
      <c r="I220" s="5" t="n"/>
      <c r="J220" s="5" t="n">
        <v>233</v>
      </c>
      <c r="K220" s="5" t="n"/>
      <c r="L220" s="5" t="n"/>
      <c r="M220" s="5" t="n"/>
      <c r="N220" s="5" t="n"/>
      <c r="O220" s="5" t="n">
        <v>1398</v>
      </c>
      <c r="P220" s="5" t="n">
        <v>1398</v>
      </c>
      <c r="Q220" s="5" t="n"/>
      <c r="R220" s="5" t="n"/>
    </row>
    <row r="221">
      <c r="A221" s="2" t="inlineStr">
        <is>
          <t>EJ021023.TXT</t>
        </is>
      </c>
      <c r="B221" s="3" t="inlineStr">
        <is>
          <t>001308</t>
        </is>
      </c>
      <c r="C221" s="3" t="inlineStr">
        <is>
          <t>000828</t>
        </is>
      </c>
      <c r="D221" s="4" t="n">
        <v>45183</v>
      </c>
      <c r="E221" s="2" t="inlineStr">
        <is>
          <t>14:25</t>
        </is>
      </c>
      <c r="F221" s="5" t="n">
        <v>274.17</v>
      </c>
      <c r="G221" s="5" t="n"/>
      <c r="H221" s="5" t="n"/>
      <c r="I221" s="5" t="n"/>
      <c r="J221" s="5" t="n">
        <v>54.83</v>
      </c>
      <c r="K221" s="5" t="n"/>
      <c r="L221" s="5" t="n"/>
      <c r="M221" s="5" t="n"/>
      <c r="N221" s="5" t="n"/>
      <c r="O221" s="5" t="n">
        <v>329</v>
      </c>
      <c r="P221" s="5" t="n"/>
      <c r="Q221" s="5" t="n">
        <v>329</v>
      </c>
      <c r="R221" s="5" t="n"/>
    </row>
    <row r="222">
      <c r="A222" s="2" t="inlineStr">
        <is>
          <t>EJ021023.TXT</t>
        </is>
      </c>
      <c r="B222" s="3" t="inlineStr">
        <is>
          <t>001310</t>
        </is>
      </c>
      <c r="C222" s="3" t="inlineStr">
        <is>
          <t>000829</t>
        </is>
      </c>
      <c r="D222" s="4" t="n">
        <v>45189</v>
      </c>
      <c r="E222" s="2" t="inlineStr">
        <is>
          <t>09:37</t>
        </is>
      </c>
      <c r="F222" s="5" t="n">
        <v>147.5</v>
      </c>
      <c r="G222" s="5" t="n"/>
      <c r="H222" s="5" t="n"/>
      <c r="I222" s="5" t="n"/>
      <c r="J222" s="5" t="n">
        <v>29.5</v>
      </c>
      <c r="K222" s="5" t="n"/>
      <c r="L222" s="5" t="n"/>
      <c r="M222" s="5" t="n"/>
      <c r="N222" s="5" t="n"/>
      <c r="O222" s="5" t="n">
        <v>177</v>
      </c>
      <c r="P222" s="5" t="n">
        <v>177</v>
      </c>
      <c r="Q222" s="5" t="n"/>
      <c r="R222" s="5" t="n"/>
    </row>
    <row r="223">
      <c r="A223" s="2" t="inlineStr">
        <is>
          <t>EJ021023.TXT</t>
        </is>
      </c>
      <c r="B223" s="3" t="inlineStr">
        <is>
          <t>001311</t>
        </is>
      </c>
      <c r="C223" s="3" t="inlineStr">
        <is>
          <t>000830</t>
        </is>
      </c>
      <c r="D223" s="4" t="n">
        <v>45189</v>
      </c>
      <c r="E223" s="2" t="inlineStr">
        <is>
          <t>12:01</t>
        </is>
      </c>
      <c r="F223" s="5" t="n">
        <v>548.33</v>
      </c>
      <c r="G223" s="5" t="n"/>
      <c r="H223" s="5" t="n"/>
      <c r="I223" s="5" t="n"/>
      <c r="J223" s="5" t="n">
        <v>109.67</v>
      </c>
      <c r="K223" s="5" t="n"/>
      <c r="L223" s="5" t="n"/>
      <c r="M223" s="5" t="n"/>
      <c r="N223" s="5" t="n"/>
      <c r="O223" s="5" t="n">
        <v>658</v>
      </c>
      <c r="P223" s="5" t="n">
        <v>658</v>
      </c>
      <c r="Q223" s="5" t="n"/>
      <c r="R223" s="5" t="n"/>
    </row>
    <row r="224">
      <c r="A224" s="2" t="inlineStr">
        <is>
          <t>EJ021023.TXT</t>
        </is>
      </c>
      <c r="B224" s="3" t="inlineStr">
        <is>
          <t>001312</t>
        </is>
      </c>
      <c r="C224" s="3" t="inlineStr">
        <is>
          <t>000831</t>
        </is>
      </c>
      <c r="D224" s="4" t="n">
        <v>45189</v>
      </c>
      <c r="E224" s="2" t="inlineStr">
        <is>
          <t>16:07</t>
        </is>
      </c>
      <c r="F224" s="5" t="n">
        <v>548.33</v>
      </c>
      <c r="G224" s="5" t="n"/>
      <c r="H224" s="5" t="n"/>
      <c r="I224" s="5" t="n"/>
      <c r="J224" s="5" t="n">
        <v>109.67</v>
      </c>
      <c r="K224" s="5" t="n"/>
      <c r="L224" s="5" t="n"/>
      <c r="M224" s="5" t="n"/>
      <c r="N224" s="5" t="n"/>
      <c r="O224" s="5" t="n">
        <v>658</v>
      </c>
      <c r="P224" s="5" t="n">
        <v>658</v>
      </c>
      <c r="Q224" s="5" t="n"/>
      <c r="R224" s="5" t="n"/>
    </row>
    <row r="225">
      <c r="A225" s="2" t="inlineStr">
        <is>
          <t>EJ021023.TXT</t>
        </is>
      </c>
      <c r="B225" s="3" t="inlineStr">
        <is>
          <t>001316</t>
        </is>
      </c>
      <c r="C225" s="3" t="inlineStr">
        <is>
          <t>000832</t>
        </is>
      </c>
      <c r="D225" s="4" t="n">
        <v>45191</v>
      </c>
      <c r="E225" s="2" t="inlineStr">
        <is>
          <t>16:08</t>
        </is>
      </c>
      <c r="F225" s="5" t="n">
        <v>548.33</v>
      </c>
      <c r="G225" s="5" t="n"/>
      <c r="H225" s="5" t="n"/>
      <c r="I225" s="5" t="n"/>
      <c r="J225" s="5" t="n">
        <v>109.67</v>
      </c>
      <c r="K225" s="5" t="n"/>
      <c r="L225" s="5" t="n"/>
      <c r="M225" s="5" t="n"/>
      <c r="N225" s="5" t="n"/>
      <c r="O225" s="5" t="n">
        <v>658</v>
      </c>
      <c r="P225" s="5" t="n">
        <v>658</v>
      </c>
      <c r="Q225" s="5" t="n"/>
      <c r="R225" s="5" t="n"/>
    </row>
    <row r="226">
      <c r="A226" s="2" t="inlineStr">
        <is>
          <t>EJ021023.TXT</t>
        </is>
      </c>
      <c r="B226" s="3" t="inlineStr">
        <is>
          <t>001319</t>
        </is>
      </c>
      <c r="C226" s="3" t="inlineStr">
        <is>
          <t>000833</t>
        </is>
      </c>
      <c r="D226" s="4" t="n">
        <v>45192</v>
      </c>
      <c r="E226" s="2" t="inlineStr">
        <is>
          <t>14:10</t>
        </is>
      </c>
      <c r="F226" s="5" t="n">
        <v>849.17</v>
      </c>
      <c r="G226" s="5" t="n"/>
      <c r="H226" s="5" t="n"/>
      <c r="I226" s="5" t="n"/>
      <c r="J226" s="5" t="n">
        <v>169.83</v>
      </c>
      <c r="K226" s="5" t="n"/>
      <c r="L226" s="5" t="n"/>
      <c r="M226" s="5" t="n"/>
      <c r="N226" s="5" t="n"/>
      <c r="O226" s="5" t="n">
        <v>1019</v>
      </c>
      <c r="P226" s="5" t="n">
        <v>1019</v>
      </c>
      <c r="Q226" s="5" t="n"/>
      <c r="R226" s="5" t="n"/>
    </row>
    <row r="227">
      <c r="A227" s="2" t="inlineStr">
        <is>
          <t>EJ021023.TXT</t>
        </is>
      </c>
      <c r="B227" s="3" t="inlineStr">
        <is>
          <t>001320</t>
        </is>
      </c>
      <c r="C227" s="3" t="inlineStr">
        <is>
          <t>000834</t>
        </is>
      </c>
      <c r="D227" s="4" t="n">
        <v>45192</v>
      </c>
      <c r="E227" s="2" t="inlineStr">
        <is>
          <t>14:11</t>
        </is>
      </c>
      <c r="F227" s="5" t="n">
        <v>2014.17</v>
      </c>
      <c r="G227" s="5" t="n"/>
      <c r="H227" s="5" t="n"/>
      <c r="I227" s="5" t="n"/>
      <c r="J227" s="5" t="n">
        <v>402.83</v>
      </c>
      <c r="K227" s="5" t="n"/>
      <c r="L227" s="5" t="n"/>
      <c r="M227" s="5" t="n"/>
      <c r="N227" s="5" t="n"/>
      <c r="O227" s="5" t="n">
        <v>2417</v>
      </c>
      <c r="P227" s="5" t="n">
        <v>2417</v>
      </c>
      <c r="Q227" s="5" t="n"/>
      <c r="R227" s="5" t="n"/>
    </row>
    <row r="228">
      <c r="A228" s="2" t="inlineStr">
        <is>
          <t>EJ021023.TXT</t>
        </is>
      </c>
      <c r="B228" s="3" t="inlineStr">
        <is>
          <t>001322</t>
        </is>
      </c>
      <c r="C228" s="3" t="inlineStr">
        <is>
          <t>000835</t>
        </is>
      </c>
      <c r="D228" s="4" t="n">
        <v>45192</v>
      </c>
      <c r="E228" s="2" t="inlineStr">
        <is>
          <t>16:41</t>
        </is>
      </c>
      <c r="F228" s="5" t="n">
        <v>597.5</v>
      </c>
      <c r="G228" s="5" t="n"/>
      <c r="H228" s="5" t="n"/>
      <c r="I228" s="5" t="n"/>
      <c r="J228" s="5" t="n">
        <v>119.5</v>
      </c>
      <c r="K228" s="5" t="n"/>
      <c r="L228" s="5" t="n"/>
      <c r="M228" s="5" t="n"/>
      <c r="N228" s="5" t="n"/>
      <c r="O228" s="5" t="n">
        <v>717</v>
      </c>
      <c r="P228" s="5" t="n">
        <v>717</v>
      </c>
      <c r="Q228" s="5" t="n"/>
      <c r="R228" s="5" t="n"/>
    </row>
    <row r="229">
      <c r="A229" s="2" t="inlineStr">
        <is>
          <t>EJ021023.TXT</t>
        </is>
      </c>
      <c r="B229" s="3" t="inlineStr">
        <is>
          <t>001323</t>
        </is>
      </c>
      <c r="C229" s="3" t="inlineStr">
        <is>
          <t>000836</t>
        </is>
      </c>
      <c r="D229" s="4" t="n">
        <v>45194</v>
      </c>
      <c r="E229" s="2" t="inlineStr">
        <is>
          <t>16:38</t>
        </is>
      </c>
      <c r="F229" s="5" t="n">
        <v>65.83</v>
      </c>
      <c r="G229" s="5" t="n"/>
      <c r="H229" s="5" t="n"/>
      <c r="I229" s="5" t="n"/>
      <c r="J229" s="5" t="n">
        <v>13.17</v>
      </c>
      <c r="K229" s="5" t="n"/>
      <c r="L229" s="5" t="n"/>
      <c r="M229" s="5" t="n"/>
      <c r="N229" s="5" t="n"/>
      <c r="O229" s="5" t="n">
        <v>79</v>
      </c>
      <c r="P229" s="5" t="n">
        <v>79</v>
      </c>
      <c r="Q229" s="5" t="n"/>
      <c r="R229" s="5" t="n"/>
    </row>
    <row r="230">
      <c r="A230" s="2" t="inlineStr">
        <is>
          <t>EJ021023.TXT</t>
        </is>
      </c>
      <c r="B230" s="3" t="inlineStr">
        <is>
          <t>001324</t>
        </is>
      </c>
      <c r="C230" s="3" t="inlineStr">
        <is>
          <t>000837</t>
        </is>
      </c>
      <c r="D230" s="4" t="n">
        <v>45195</v>
      </c>
      <c r="E230" s="2" t="inlineStr">
        <is>
          <t>15:20</t>
        </is>
      </c>
      <c r="F230" s="5" t="n">
        <v>548.33</v>
      </c>
      <c r="G230" s="5" t="n"/>
      <c r="H230" s="5" t="n"/>
      <c r="I230" s="5" t="n"/>
      <c r="J230" s="5" t="n">
        <v>109.67</v>
      </c>
      <c r="K230" s="5" t="n"/>
      <c r="L230" s="5" t="n"/>
      <c r="M230" s="5" t="n"/>
      <c r="N230" s="5" t="n"/>
      <c r="O230" s="5" t="n">
        <v>658</v>
      </c>
      <c r="P230" s="5" t="n">
        <v>658</v>
      </c>
      <c r="Q230" s="5" t="n"/>
      <c r="R230" s="5" t="n"/>
    </row>
    <row r="231">
      <c r="A231" s="2" t="inlineStr">
        <is>
          <t>EJ021023.TXT</t>
        </is>
      </c>
      <c r="B231" s="3" t="inlineStr">
        <is>
          <t>001326</t>
        </is>
      </c>
      <c r="C231" s="3" t="inlineStr">
        <is>
          <t>000838</t>
        </is>
      </c>
      <c r="D231" s="4" t="n">
        <v>45198</v>
      </c>
      <c r="E231" s="2" t="inlineStr">
        <is>
          <t>15:31</t>
        </is>
      </c>
      <c r="F231" s="5" t="n">
        <v>380.67</v>
      </c>
      <c r="G231" s="5" t="n"/>
      <c r="H231" s="5" t="n"/>
      <c r="I231" s="5" t="n"/>
      <c r="J231" s="5" t="n">
        <v>76.13</v>
      </c>
      <c r="K231" s="5" t="n"/>
      <c r="L231" s="5" t="n"/>
      <c r="M231" s="5" t="n"/>
      <c r="N231" s="5" t="n"/>
      <c r="O231" s="5" t="n">
        <v>456.8</v>
      </c>
      <c r="P231" s="5" t="n"/>
      <c r="Q231" s="5" t="n">
        <v>456.8</v>
      </c>
      <c r="R231" s="5" t="n"/>
    </row>
    <row r="232">
      <c r="A232" s="2" t="inlineStr">
        <is>
          <t>EJ021023.TXT</t>
        </is>
      </c>
      <c r="B232" s="3" t="inlineStr">
        <is>
          <t>001327</t>
        </is>
      </c>
      <c r="C232" s="3" t="inlineStr">
        <is>
          <t>000839</t>
        </is>
      </c>
      <c r="D232" s="4" t="n">
        <v>45198</v>
      </c>
      <c r="E232" s="2" t="inlineStr">
        <is>
          <t>16:46</t>
        </is>
      </c>
      <c r="F232" s="5" t="n">
        <v>33.17</v>
      </c>
      <c r="G232" s="5" t="n"/>
      <c r="H232" s="5" t="n"/>
      <c r="I232" s="5" t="n"/>
      <c r="J232" s="5" t="n">
        <v>6.63</v>
      </c>
      <c r="K232" s="5" t="n"/>
      <c r="L232" s="5" t="n"/>
      <c r="M232" s="5" t="n"/>
      <c r="N232" s="5" t="n"/>
      <c r="O232" s="5" t="n">
        <v>39.8</v>
      </c>
      <c r="P232" s="5" t="n">
        <v>39.8</v>
      </c>
      <c r="Q232" s="5" t="n"/>
      <c r="R232" s="5" t="n"/>
    </row>
    <row r="233">
      <c r="A233" s="2" t="inlineStr">
        <is>
          <t>EJ021023.TXT</t>
        </is>
      </c>
      <c r="B233" s="3" t="inlineStr">
        <is>
          <t>001328</t>
        </is>
      </c>
      <c r="C233" s="3" t="inlineStr">
        <is>
          <t>000840</t>
        </is>
      </c>
      <c r="D233" s="4" t="n">
        <v>45199</v>
      </c>
      <c r="E233" s="2" t="inlineStr">
        <is>
          <t>13:47</t>
        </is>
      </c>
      <c r="F233" s="5" t="n">
        <v>548.33</v>
      </c>
      <c r="G233" s="5" t="n"/>
      <c r="H233" s="5" t="n"/>
      <c r="I233" s="5" t="n"/>
      <c r="J233" s="5" t="n">
        <v>109.67</v>
      </c>
      <c r="K233" s="5" t="n"/>
      <c r="L233" s="5" t="n"/>
      <c r="M233" s="5" t="n"/>
      <c r="N233" s="5" t="n"/>
      <c r="O233" s="5" t="n">
        <v>658</v>
      </c>
      <c r="P233" s="5" t="n">
        <v>658</v>
      </c>
      <c r="Q233" s="5" t="n"/>
      <c r="R233" s="5" t="n"/>
    </row>
    <row r="234">
      <c r="A234" s="2" t="inlineStr">
        <is>
          <t>EJ021023.TXT</t>
        </is>
      </c>
      <c r="B234" s="3" t="inlineStr">
        <is>
          <t>001329</t>
        </is>
      </c>
      <c r="C234" s="3" t="inlineStr">
        <is>
          <t>000841</t>
        </is>
      </c>
      <c r="D234" s="4" t="n">
        <v>45199</v>
      </c>
      <c r="E234" s="2" t="inlineStr">
        <is>
          <t>13:47</t>
        </is>
      </c>
      <c r="F234" s="5" t="n">
        <v>274.17</v>
      </c>
      <c r="G234" s="5" t="n"/>
      <c r="H234" s="5" t="n"/>
      <c r="I234" s="5" t="n"/>
      <c r="J234" s="5" t="n">
        <v>54.83</v>
      </c>
      <c r="K234" s="5" t="n"/>
      <c r="L234" s="5" t="n"/>
      <c r="M234" s="5" t="n"/>
      <c r="N234" s="5" t="n"/>
      <c r="O234" s="5" t="n">
        <v>329</v>
      </c>
      <c r="P234" s="5" t="n">
        <v>329</v>
      </c>
      <c r="Q234" s="5" t="n"/>
      <c r="R234" s="5" t="n"/>
    </row>
    <row r="235">
      <c r="A235" s="2" t="inlineStr">
        <is>
          <t>EJ021023.TXT</t>
        </is>
      </c>
      <c r="B235" s="3" t="inlineStr">
        <is>
          <t>001330</t>
        </is>
      </c>
      <c r="C235" s="3" t="inlineStr">
        <is>
          <t>000842</t>
        </is>
      </c>
      <c r="D235" s="4" t="n">
        <v>45199</v>
      </c>
      <c r="E235" s="2" t="inlineStr">
        <is>
          <t>16:09</t>
        </is>
      </c>
      <c r="F235" s="5" t="n">
        <v>274.17</v>
      </c>
      <c r="G235" s="5" t="n"/>
      <c r="H235" s="5" t="n"/>
      <c r="I235" s="5" t="n"/>
      <c r="J235" s="5" t="n">
        <v>54.83</v>
      </c>
      <c r="K235" s="5" t="n"/>
      <c r="L235" s="5" t="n"/>
      <c r="M235" s="5" t="n"/>
      <c r="N235" s="5" t="n"/>
      <c r="O235" s="5" t="n">
        <v>329</v>
      </c>
      <c r="P235" s="5" t="n">
        <v>329</v>
      </c>
      <c r="Q235" s="5" t="n"/>
      <c r="R235" s="5" t="n"/>
    </row>
    <row r="236">
      <c r="A236" s="2" t="inlineStr">
        <is>
          <t>EJ021023.TXT</t>
        </is>
      </c>
      <c r="B236" s="3" t="inlineStr">
        <is>
          <t>001331</t>
        </is>
      </c>
      <c r="C236" s="3" t="inlineStr">
        <is>
          <t>000843</t>
        </is>
      </c>
      <c r="D236" s="4" t="n">
        <v>45201</v>
      </c>
      <c r="E236" s="2" t="inlineStr">
        <is>
          <t>09:01</t>
        </is>
      </c>
      <c r="F236" s="5" t="n">
        <v>329.17</v>
      </c>
      <c r="G236" s="5" t="n"/>
      <c r="H236" s="5" t="n"/>
      <c r="I236" s="5" t="n"/>
      <c r="J236" s="5" t="n">
        <v>65.83</v>
      </c>
      <c r="K236" s="5" t="n"/>
      <c r="L236" s="5" t="n"/>
      <c r="M236" s="5" t="n"/>
      <c r="N236" s="5" t="n"/>
      <c r="O236" s="5" t="n">
        <v>395</v>
      </c>
      <c r="P236" s="5" t="n">
        <v>395</v>
      </c>
      <c r="Q236" s="5" t="n"/>
      <c r="R236" s="5" t="n"/>
    </row>
    <row r="237">
      <c r="A237" s="2" t="inlineStr">
        <is>
          <t>EJ021123.TXT</t>
        </is>
      </c>
      <c r="B237" s="3" t="inlineStr">
        <is>
          <t>001340</t>
        </is>
      </c>
      <c r="C237" s="3" t="inlineStr">
        <is>
          <t>000844</t>
        </is>
      </c>
      <c r="D237" s="4" t="n">
        <v>45202</v>
      </c>
      <c r="E237" s="2" t="inlineStr">
        <is>
          <t>12:25</t>
        </is>
      </c>
      <c r="F237" s="5" t="n">
        <v>548.33</v>
      </c>
      <c r="G237" s="5" t="n"/>
      <c r="H237" s="5" t="n"/>
      <c r="I237" s="5" t="n"/>
      <c r="J237" s="5" t="n">
        <v>109.67</v>
      </c>
      <c r="K237" s="5" t="n"/>
      <c r="L237" s="5" t="n"/>
      <c r="M237" s="5" t="n"/>
      <c r="N237" s="5" t="n"/>
      <c r="O237" s="5" t="n">
        <v>658</v>
      </c>
      <c r="P237" s="5" t="n">
        <v>658</v>
      </c>
      <c r="Q237" s="5" t="n"/>
      <c r="R237" s="5" t="n"/>
    </row>
    <row r="238">
      <c r="A238" s="2" t="inlineStr">
        <is>
          <t>EJ021123.TXT</t>
        </is>
      </c>
      <c r="B238" s="3" t="inlineStr">
        <is>
          <t>001342</t>
        </is>
      </c>
      <c r="C238" s="3" t="inlineStr">
        <is>
          <t>000845</t>
        </is>
      </c>
      <c r="D238" s="4" t="n">
        <v>45202</v>
      </c>
      <c r="E238" s="2" t="inlineStr">
        <is>
          <t>14:17</t>
        </is>
      </c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>
        <v>0</v>
      </c>
      <c r="P238" s="5" t="n"/>
      <c r="Q238" s="5" t="n">
        <v>0</v>
      </c>
      <c r="R238" s="5" t="n"/>
    </row>
    <row r="239">
      <c r="A239" s="2" t="inlineStr">
        <is>
          <t>EJ021123.TXT</t>
        </is>
      </c>
      <c r="B239" s="3" t="inlineStr">
        <is>
          <t>001343</t>
        </is>
      </c>
      <c r="C239" s="3" t="inlineStr">
        <is>
          <t>000846</t>
        </is>
      </c>
      <c r="D239" s="4" t="n">
        <v>45202</v>
      </c>
      <c r="E239" s="2" t="inlineStr">
        <is>
          <t>14:53</t>
        </is>
      </c>
      <c r="F239" s="5" t="n">
        <v>548.33</v>
      </c>
      <c r="G239" s="5" t="n"/>
      <c r="H239" s="5" t="n"/>
      <c r="I239" s="5" t="n"/>
      <c r="J239" s="5" t="n">
        <v>109.67</v>
      </c>
      <c r="K239" s="5" t="n"/>
      <c r="L239" s="5" t="n"/>
      <c r="M239" s="5" t="n"/>
      <c r="N239" s="5" t="n"/>
      <c r="O239" s="5" t="n">
        <v>658</v>
      </c>
      <c r="P239" s="5" t="n">
        <v>658</v>
      </c>
      <c r="Q239" s="5" t="n"/>
      <c r="R239" s="5" t="n"/>
    </row>
    <row r="240">
      <c r="A240" s="2" t="inlineStr">
        <is>
          <t>EJ021123.TXT</t>
        </is>
      </c>
      <c r="B240" s="3" t="inlineStr">
        <is>
          <t>001344</t>
        </is>
      </c>
      <c r="C240" s="3" t="inlineStr">
        <is>
          <t>000847</t>
        </is>
      </c>
      <c r="D240" s="4" t="n">
        <v>45202</v>
      </c>
      <c r="E240" s="2" t="inlineStr">
        <is>
          <t>15:05</t>
        </is>
      </c>
      <c r="F240" s="5" t="n">
        <v>548.33</v>
      </c>
      <c r="G240" s="5" t="n"/>
      <c r="H240" s="5" t="n"/>
      <c r="I240" s="5" t="n"/>
      <c r="J240" s="5" t="n">
        <v>109.67</v>
      </c>
      <c r="K240" s="5" t="n"/>
      <c r="L240" s="5" t="n"/>
      <c r="M240" s="5" t="n"/>
      <c r="N240" s="5" t="n"/>
      <c r="O240" s="5" t="n">
        <v>658</v>
      </c>
      <c r="P240" s="5" t="n">
        <v>658</v>
      </c>
      <c r="Q240" s="5" t="n"/>
      <c r="R240" s="5" t="n"/>
    </row>
    <row r="241">
      <c r="A241" s="2" t="inlineStr">
        <is>
          <t>EJ021123.TXT</t>
        </is>
      </c>
      <c r="B241" s="3" t="inlineStr">
        <is>
          <t>001345</t>
        </is>
      </c>
      <c r="C241" s="3" t="inlineStr">
        <is>
          <t>000848</t>
        </is>
      </c>
      <c r="D241" s="4" t="n">
        <v>45203</v>
      </c>
      <c r="E241" s="2" t="inlineStr">
        <is>
          <t>13:44</t>
        </is>
      </c>
      <c r="F241" s="5" t="n">
        <v>274.17</v>
      </c>
      <c r="G241" s="5" t="n"/>
      <c r="H241" s="5" t="n"/>
      <c r="I241" s="5" t="n"/>
      <c r="J241" s="5" t="n">
        <v>54.83</v>
      </c>
      <c r="K241" s="5" t="n"/>
      <c r="L241" s="5" t="n"/>
      <c r="M241" s="5" t="n"/>
      <c r="N241" s="5" t="n"/>
      <c r="O241" s="5" t="n">
        <v>329</v>
      </c>
      <c r="P241" s="5" t="n"/>
      <c r="Q241" s="5" t="n">
        <v>329</v>
      </c>
      <c r="R241" s="5" t="n"/>
    </row>
    <row r="242">
      <c r="A242" s="2" t="inlineStr">
        <is>
          <t>EJ021123.TXT</t>
        </is>
      </c>
      <c r="B242" s="3" t="inlineStr">
        <is>
          <t>001346</t>
        </is>
      </c>
      <c r="C242" s="3" t="inlineStr">
        <is>
          <t>000849</t>
        </is>
      </c>
      <c r="D242" s="4" t="n">
        <v>45204</v>
      </c>
      <c r="E242" s="2" t="inlineStr">
        <is>
          <t>12:26</t>
        </is>
      </c>
      <c r="F242" s="5" t="n">
        <v>274.17</v>
      </c>
      <c r="G242" s="5" t="n"/>
      <c r="H242" s="5" t="n"/>
      <c r="I242" s="5" t="n"/>
      <c r="J242" s="5" t="n">
        <v>54.83</v>
      </c>
      <c r="K242" s="5" t="n"/>
      <c r="L242" s="5" t="n"/>
      <c r="M242" s="5" t="n"/>
      <c r="N242" s="5" t="n"/>
      <c r="O242" s="5" t="n">
        <v>329</v>
      </c>
      <c r="P242" s="5" t="n"/>
      <c r="Q242" s="5" t="n">
        <v>329</v>
      </c>
      <c r="R242" s="5" t="n"/>
    </row>
    <row r="243">
      <c r="A243" s="2" t="inlineStr">
        <is>
          <t>EJ021123.TXT</t>
        </is>
      </c>
      <c r="B243" s="3" t="inlineStr">
        <is>
          <t>001347</t>
        </is>
      </c>
      <c r="C243" s="3" t="inlineStr">
        <is>
          <t>000850</t>
        </is>
      </c>
      <c r="D243" s="4" t="n">
        <v>45204</v>
      </c>
      <c r="E243" s="2" t="inlineStr">
        <is>
          <t>13:53</t>
        </is>
      </c>
      <c r="F243" s="5" t="n">
        <v>548.33</v>
      </c>
      <c r="G243" s="5" t="n"/>
      <c r="H243" s="5" t="n"/>
      <c r="I243" s="5" t="n"/>
      <c r="J243" s="5" t="n">
        <v>109.67</v>
      </c>
      <c r="K243" s="5" t="n"/>
      <c r="L243" s="5" t="n"/>
      <c r="M243" s="5" t="n"/>
      <c r="N243" s="5" t="n"/>
      <c r="O243" s="5" t="n">
        <v>658</v>
      </c>
      <c r="P243" s="5" t="n">
        <v>658</v>
      </c>
      <c r="Q243" s="5" t="n"/>
      <c r="R243" s="5" t="n"/>
    </row>
    <row r="244">
      <c r="A244" s="2" t="inlineStr">
        <is>
          <t>EJ021123.TXT</t>
        </is>
      </c>
      <c r="B244" s="3" t="inlineStr">
        <is>
          <t>001348</t>
        </is>
      </c>
      <c r="C244" s="3" t="inlineStr">
        <is>
          <t>000851</t>
        </is>
      </c>
      <c r="D244" s="4" t="n">
        <v>45205</v>
      </c>
      <c r="E244" s="2" t="inlineStr">
        <is>
          <t>12:13</t>
        </is>
      </c>
      <c r="F244" s="5" t="n">
        <v>274.17</v>
      </c>
      <c r="G244" s="5" t="n"/>
      <c r="H244" s="5" t="n"/>
      <c r="I244" s="5" t="n"/>
      <c r="J244" s="5" t="n">
        <v>54.83</v>
      </c>
      <c r="K244" s="5" t="n"/>
      <c r="L244" s="5" t="n"/>
      <c r="M244" s="5" t="n"/>
      <c r="N244" s="5" t="n"/>
      <c r="O244" s="5" t="n">
        <v>329</v>
      </c>
      <c r="P244" s="5" t="n">
        <v>329</v>
      </c>
      <c r="Q244" s="5" t="n"/>
      <c r="R244" s="5" t="n"/>
    </row>
    <row r="245">
      <c r="A245" s="2" t="inlineStr">
        <is>
          <t>EJ021123.TXT</t>
        </is>
      </c>
      <c r="B245" s="3" t="inlineStr">
        <is>
          <t>001349</t>
        </is>
      </c>
      <c r="C245" s="3" t="inlineStr">
        <is>
          <t>000852</t>
        </is>
      </c>
      <c r="D245" s="4" t="n">
        <v>45205</v>
      </c>
      <c r="E245" s="2" t="inlineStr">
        <is>
          <t>14:10</t>
        </is>
      </c>
      <c r="F245" s="5" t="n">
        <v>866.67</v>
      </c>
      <c r="G245" s="5" t="n"/>
      <c r="H245" s="5" t="n"/>
      <c r="I245" s="5" t="n"/>
      <c r="J245" s="5" t="n">
        <v>173.33</v>
      </c>
      <c r="K245" s="5" t="n"/>
      <c r="L245" s="5" t="n"/>
      <c r="M245" s="5" t="n"/>
      <c r="N245" s="5" t="n"/>
      <c r="O245" s="5" t="n">
        <v>1040</v>
      </c>
      <c r="P245" s="5" t="n">
        <v>1040</v>
      </c>
      <c r="Q245" s="5" t="n"/>
      <c r="R245" s="5" t="n"/>
    </row>
    <row r="246">
      <c r="A246" s="2" t="inlineStr">
        <is>
          <t>EJ021123.TXT</t>
        </is>
      </c>
      <c r="B246" s="3" t="inlineStr">
        <is>
          <t>001350</t>
        </is>
      </c>
      <c r="C246" s="3" t="inlineStr">
        <is>
          <t>000853</t>
        </is>
      </c>
      <c r="D246" s="4" t="n">
        <v>45205</v>
      </c>
      <c r="E246" s="2" t="inlineStr">
        <is>
          <t>15:09</t>
        </is>
      </c>
      <c r="F246" s="5" t="n">
        <v>1165</v>
      </c>
      <c r="G246" s="5" t="n"/>
      <c r="H246" s="5" t="n"/>
      <c r="I246" s="5" t="n"/>
      <c r="J246" s="5" t="n">
        <v>233</v>
      </c>
      <c r="K246" s="5" t="n"/>
      <c r="L246" s="5" t="n"/>
      <c r="M246" s="5" t="n"/>
      <c r="N246" s="5" t="n"/>
      <c r="O246" s="5" t="n">
        <v>1398</v>
      </c>
      <c r="P246" s="5" t="n">
        <v>1398</v>
      </c>
      <c r="Q246" s="5" t="n"/>
      <c r="R246" s="5" t="n"/>
    </row>
    <row r="247">
      <c r="A247" s="2" t="inlineStr">
        <is>
          <t>EJ021123.TXT</t>
        </is>
      </c>
      <c r="B247" s="3" t="inlineStr">
        <is>
          <t>001351</t>
        </is>
      </c>
      <c r="C247" s="3" t="inlineStr">
        <is>
          <t>000854</t>
        </is>
      </c>
      <c r="D247" s="4" t="n">
        <v>45208</v>
      </c>
      <c r="E247" s="2" t="inlineStr">
        <is>
          <t>12:41</t>
        </is>
      </c>
      <c r="F247" s="5" t="n">
        <v>1096.67</v>
      </c>
      <c r="G247" s="5" t="n"/>
      <c r="H247" s="5" t="n"/>
      <c r="I247" s="5" t="n"/>
      <c r="J247" s="5" t="n">
        <v>219.33</v>
      </c>
      <c r="K247" s="5" t="n"/>
      <c r="L247" s="5" t="n"/>
      <c r="M247" s="5" t="n"/>
      <c r="N247" s="5" t="n"/>
      <c r="O247" s="5" t="n">
        <v>1316</v>
      </c>
      <c r="P247" s="5" t="n">
        <v>1316</v>
      </c>
      <c r="Q247" s="5" t="n"/>
      <c r="R247" s="5" t="n"/>
    </row>
    <row r="248">
      <c r="A248" s="2" t="inlineStr">
        <is>
          <t>EJ021123.TXT</t>
        </is>
      </c>
      <c r="B248" s="3" t="inlineStr">
        <is>
          <t>001352</t>
        </is>
      </c>
      <c r="C248" s="3" t="inlineStr">
        <is>
          <t>000855</t>
        </is>
      </c>
      <c r="D248" s="4" t="n">
        <v>45208</v>
      </c>
      <c r="E248" s="2" t="inlineStr">
        <is>
          <t>14:55</t>
        </is>
      </c>
      <c r="F248" s="5" t="n">
        <v>548.33</v>
      </c>
      <c r="G248" s="5" t="n"/>
      <c r="H248" s="5" t="n"/>
      <c r="I248" s="5" t="n"/>
      <c r="J248" s="5" t="n">
        <v>109.67</v>
      </c>
      <c r="K248" s="5" t="n"/>
      <c r="L248" s="5" t="n"/>
      <c r="M248" s="5" t="n"/>
      <c r="N248" s="5" t="n"/>
      <c r="O248" s="5" t="n">
        <v>658</v>
      </c>
      <c r="P248" s="5" t="n">
        <v>658</v>
      </c>
      <c r="Q248" s="5" t="n"/>
      <c r="R248" s="5" t="n"/>
    </row>
    <row r="249">
      <c r="A249" s="2" t="inlineStr">
        <is>
          <t>EJ021123.TXT</t>
        </is>
      </c>
      <c r="B249" s="3" t="inlineStr">
        <is>
          <t>001355</t>
        </is>
      </c>
      <c r="C249" s="3" t="inlineStr">
        <is>
          <t>000856</t>
        </is>
      </c>
      <c r="D249" s="4" t="n">
        <v>45211</v>
      </c>
      <c r="E249" s="2" t="inlineStr">
        <is>
          <t>15:56</t>
        </is>
      </c>
      <c r="F249" s="5" t="n">
        <v>522.5</v>
      </c>
      <c r="G249" s="5" t="n"/>
      <c r="H249" s="5" t="n"/>
      <c r="I249" s="5" t="n"/>
      <c r="J249" s="5" t="n">
        <v>104.5</v>
      </c>
      <c r="K249" s="5" t="n"/>
      <c r="L249" s="5" t="n"/>
      <c r="M249" s="5" t="n"/>
      <c r="N249" s="5" t="n"/>
      <c r="O249" s="5" t="n">
        <v>627</v>
      </c>
      <c r="P249" s="5" t="n">
        <v>627</v>
      </c>
      <c r="Q249" s="5" t="n"/>
      <c r="R249" s="5" t="n"/>
    </row>
    <row r="250">
      <c r="A250" s="2" t="inlineStr">
        <is>
          <t>EJ021123.TXT</t>
        </is>
      </c>
      <c r="B250" s="3" t="inlineStr">
        <is>
          <t>001356</t>
        </is>
      </c>
      <c r="C250" s="3" t="inlineStr">
        <is>
          <t>000857</t>
        </is>
      </c>
      <c r="D250" s="4" t="n">
        <v>45212</v>
      </c>
      <c r="E250" s="2" t="inlineStr">
        <is>
          <t>12:23</t>
        </is>
      </c>
      <c r="F250" s="5" t="n">
        <v>274.17</v>
      </c>
      <c r="G250" s="5" t="n"/>
      <c r="H250" s="5" t="n"/>
      <c r="I250" s="5" t="n"/>
      <c r="J250" s="5" t="n">
        <v>54.83</v>
      </c>
      <c r="K250" s="5" t="n"/>
      <c r="L250" s="5" t="n"/>
      <c r="M250" s="5" t="n"/>
      <c r="N250" s="5" t="n"/>
      <c r="O250" s="5" t="n">
        <v>329</v>
      </c>
      <c r="P250" s="5" t="n">
        <v>329</v>
      </c>
      <c r="Q250" s="5" t="n"/>
      <c r="R250" s="5" t="n"/>
    </row>
    <row r="251">
      <c r="A251" s="2" t="inlineStr">
        <is>
          <t>EJ021123.TXT</t>
        </is>
      </c>
      <c r="B251" s="3" t="inlineStr">
        <is>
          <t>001357</t>
        </is>
      </c>
      <c r="C251" s="3" t="inlineStr">
        <is>
          <t>000858</t>
        </is>
      </c>
      <c r="D251" s="4" t="n">
        <v>45213</v>
      </c>
      <c r="E251" s="2" t="inlineStr">
        <is>
          <t>14:43</t>
        </is>
      </c>
      <c r="F251" s="5" t="n">
        <v>548.33</v>
      </c>
      <c r="G251" s="5" t="n"/>
      <c r="H251" s="5" t="n"/>
      <c r="I251" s="5" t="n"/>
      <c r="J251" s="5" t="n">
        <v>109.67</v>
      </c>
      <c r="K251" s="5" t="n"/>
      <c r="L251" s="5" t="n"/>
      <c r="M251" s="5" t="n"/>
      <c r="N251" s="5" t="n"/>
      <c r="O251" s="5" t="n">
        <v>658</v>
      </c>
      <c r="P251" s="5" t="n">
        <v>658</v>
      </c>
      <c r="Q251" s="5" t="n"/>
      <c r="R251" s="5" t="n"/>
    </row>
    <row r="252">
      <c r="A252" s="2" t="inlineStr">
        <is>
          <t>EJ021123.TXT</t>
        </is>
      </c>
      <c r="B252" s="3" t="inlineStr">
        <is>
          <t>001358</t>
        </is>
      </c>
      <c r="C252" s="3" t="inlineStr">
        <is>
          <t>000859</t>
        </is>
      </c>
      <c r="D252" s="4" t="n">
        <v>45215</v>
      </c>
      <c r="E252" s="2" t="inlineStr">
        <is>
          <t>16:08</t>
        </is>
      </c>
      <c r="F252" s="5" t="n">
        <v>548.33</v>
      </c>
      <c r="G252" s="5" t="n"/>
      <c r="H252" s="5" t="n"/>
      <c r="I252" s="5" t="n"/>
      <c r="J252" s="5" t="n">
        <v>109.67</v>
      </c>
      <c r="K252" s="5" t="n"/>
      <c r="L252" s="5" t="n"/>
      <c r="M252" s="5" t="n"/>
      <c r="N252" s="5" t="n"/>
      <c r="O252" s="5" t="n">
        <v>658</v>
      </c>
      <c r="P252" s="5" t="n">
        <v>658</v>
      </c>
      <c r="Q252" s="5" t="n"/>
      <c r="R252" s="5" t="n"/>
    </row>
    <row r="253">
      <c r="A253" s="2" t="inlineStr">
        <is>
          <t>EJ021123.TXT</t>
        </is>
      </c>
      <c r="B253" s="3" t="inlineStr">
        <is>
          <t>001359</t>
        </is>
      </c>
      <c r="C253" s="3" t="inlineStr">
        <is>
          <t>000860</t>
        </is>
      </c>
      <c r="D253" s="4" t="n">
        <v>45216</v>
      </c>
      <c r="E253" s="2" t="inlineStr">
        <is>
          <t>11:15</t>
        </is>
      </c>
      <c r="F253" s="5" t="n">
        <v>3241.67</v>
      </c>
      <c r="G253" s="5" t="n"/>
      <c r="H253" s="5" t="n"/>
      <c r="I253" s="5" t="n"/>
      <c r="J253" s="5" t="n">
        <v>648.33</v>
      </c>
      <c r="K253" s="5" t="n"/>
      <c r="L253" s="5" t="n"/>
      <c r="M253" s="5" t="n"/>
      <c r="N253" s="5" t="n"/>
      <c r="O253" s="5" t="n">
        <v>3890</v>
      </c>
      <c r="P253" s="5" t="n">
        <v>3890</v>
      </c>
      <c r="Q253" s="5" t="n"/>
      <c r="R253" s="5" t="n"/>
    </row>
    <row r="254">
      <c r="A254" s="2" t="inlineStr">
        <is>
          <t>EJ021123.TXT</t>
        </is>
      </c>
      <c r="B254" s="3" t="inlineStr">
        <is>
          <t>001360</t>
        </is>
      </c>
      <c r="C254" s="3" t="inlineStr">
        <is>
          <t>000861</t>
        </is>
      </c>
      <c r="D254" s="4" t="n">
        <v>45217</v>
      </c>
      <c r="E254" s="2" t="inlineStr">
        <is>
          <t>16:43</t>
        </is>
      </c>
      <c r="F254" s="5" t="n">
        <v>266.67</v>
      </c>
      <c r="G254" s="5" t="n"/>
      <c r="H254" s="5" t="n"/>
      <c r="I254" s="5" t="n"/>
      <c r="J254" s="5" t="n">
        <v>53.33</v>
      </c>
      <c r="K254" s="5" t="n"/>
      <c r="L254" s="5" t="n"/>
      <c r="M254" s="5" t="n"/>
      <c r="N254" s="5" t="n"/>
      <c r="O254" s="5" t="n">
        <v>320</v>
      </c>
      <c r="P254" s="5" t="n"/>
      <c r="Q254" s="5" t="n">
        <v>320</v>
      </c>
      <c r="R254" s="5" t="n"/>
    </row>
    <row r="255">
      <c r="A255" s="2" t="inlineStr">
        <is>
          <t>EJ021123.TXT</t>
        </is>
      </c>
      <c r="B255" s="3" t="inlineStr">
        <is>
          <t>001361</t>
        </is>
      </c>
      <c r="C255" s="3" t="inlineStr">
        <is>
          <t>000862</t>
        </is>
      </c>
      <c r="D255" s="4" t="n">
        <v>45218</v>
      </c>
      <c r="E255" s="2" t="inlineStr">
        <is>
          <t>12:41</t>
        </is>
      </c>
      <c r="F255" s="5" t="n">
        <v>225</v>
      </c>
      <c r="G255" s="5" t="n"/>
      <c r="H255" s="5" t="n"/>
      <c r="I255" s="5" t="n"/>
      <c r="J255" s="5" t="n">
        <v>45</v>
      </c>
      <c r="K255" s="5" t="n"/>
      <c r="L255" s="5" t="n"/>
      <c r="M255" s="5" t="n"/>
      <c r="N255" s="5" t="n"/>
      <c r="O255" s="5" t="n">
        <v>270</v>
      </c>
      <c r="P255" s="5" t="n"/>
      <c r="Q255" s="5" t="n">
        <v>270</v>
      </c>
      <c r="R255" s="5" t="n"/>
    </row>
    <row r="256">
      <c r="A256" s="2" t="inlineStr">
        <is>
          <t>EJ021123.TXT</t>
        </is>
      </c>
      <c r="B256" s="3" t="inlineStr">
        <is>
          <t>001362</t>
        </is>
      </c>
      <c r="C256" s="3" t="inlineStr">
        <is>
          <t>000863</t>
        </is>
      </c>
      <c r="D256" s="4" t="n">
        <v>45218</v>
      </c>
      <c r="E256" s="2" t="inlineStr">
        <is>
          <t>16:53</t>
        </is>
      </c>
      <c r="F256" s="5" t="n">
        <v>274.17</v>
      </c>
      <c r="G256" s="5" t="n"/>
      <c r="H256" s="5" t="n"/>
      <c r="I256" s="5" t="n"/>
      <c r="J256" s="5" t="n">
        <v>54.83</v>
      </c>
      <c r="K256" s="5" t="n"/>
      <c r="L256" s="5" t="n"/>
      <c r="M256" s="5" t="n"/>
      <c r="N256" s="5" t="n"/>
      <c r="O256" s="5" t="n">
        <v>329</v>
      </c>
      <c r="P256" s="5" t="n">
        <v>329</v>
      </c>
      <c r="Q256" s="5" t="n"/>
      <c r="R256" s="5" t="n"/>
    </row>
    <row r="257">
      <c r="A257" s="2" t="inlineStr">
        <is>
          <t>EJ021123.TXT</t>
        </is>
      </c>
      <c r="B257" s="3" t="inlineStr">
        <is>
          <t>001363</t>
        </is>
      </c>
      <c r="C257" s="3" t="inlineStr">
        <is>
          <t>000864</t>
        </is>
      </c>
      <c r="D257" s="4" t="n">
        <v>45220</v>
      </c>
      <c r="E257" s="2" t="inlineStr">
        <is>
          <t>13:40</t>
        </is>
      </c>
      <c r="F257" s="5" t="n">
        <v>672.5</v>
      </c>
      <c r="G257" s="5" t="n"/>
      <c r="H257" s="5" t="n"/>
      <c r="I257" s="5" t="n"/>
      <c r="J257" s="5" t="n">
        <v>134.5</v>
      </c>
      <c r="K257" s="5" t="n"/>
      <c r="L257" s="5" t="n"/>
      <c r="M257" s="5" t="n"/>
      <c r="N257" s="5" t="n"/>
      <c r="O257" s="5" t="n">
        <v>807</v>
      </c>
      <c r="P257" s="5" t="n"/>
      <c r="Q257" s="5" t="n">
        <v>807</v>
      </c>
      <c r="R257" s="5" t="n"/>
    </row>
    <row r="258">
      <c r="A258" s="2" t="inlineStr">
        <is>
          <t>EJ021123.TXT</t>
        </is>
      </c>
      <c r="B258" s="3" t="inlineStr">
        <is>
          <t>001366</t>
        </is>
      </c>
      <c r="C258" s="3" t="inlineStr">
        <is>
          <t>000865</t>
        </is>
      </c>
      <c r="D258" s="4" t="n">
        <v>45222</v>
      </c>
      <c r="E258" s="2" t="inlineStr">
        <is>
          <t>12:31</t>
        </is>
      </c>
      <c r="F258" s="5" t="n">
        <v>274.17</v>
      </c>
      <c r="G258" s="5" t="n"/>
      <c r="H258" s="5" t="n"/>
      <c r="I258" s="5" t="n"/>
      <c r="J258" s="5" t="n">
        <v>54.83</v>
      </c>
      <c r="K258" s="5" t="n"/>
      <c r="L258" s="5" t="n"/>
      <c r="M258" s="5" t="n"/>
      <c r="N258" s="5" t="n"/>
      <c r="O258" s="5" t="n">
        <v>329</v>
      </c>
      <c r="P258" s="5" t="n"/>
      <c r="Q258" s="5" t="n">
        <v>329</v>
      </c>
      <c r="R258" s="5" t="n"/>
    </row>
    <row r="259">
      <c r="A259" s="2" t="inlineStr">
        <is>
          <t>EJ021123.TXT</t>
        </is>
      </c>
      <c r="B259" s="3" t="inlineStr">
        <is>
          <t>001369</t>
        </is>
      </c>
      <c r="C259" s="3" t="inlineStr">
        <is>
          <t>000866</t>
        </is>
      </c>
      <c r="D259" s="4" t="n">
        <v>45223</v>
      </c>
      <c r="E259" s="2" t="inlineStr">
        <is>
          <t>12:41</t>
        </is>
      </c>
      <c r="F259" s="5" t="n">
        <v>465</v>
      </c>
      <c r="G259" s="5" t="n"/>
      <c r="H259" s="5" t="n"/>
      <c r="I259" s="5" t="n"/>
      <c r="J259" s="5" t="n">
        <v>93</v>
      </c>
      <c r="K259" s="5" t="n"/>
      <c r="L259" s="5" t="n"/>
      <c r="M259" s="5" t="n"/>
      <c r="N259" s="5" t="n"/>
      <c r="O259" s="5" t="n">
        <v>558</v>
      </c>
      <c r="P259" s="5" t="n"/>
      <c r="Q259" s="5" t="n">
        <v>558</v>
      </c>
      <c r="R259" s="5" t="n"/>
    </row>
    <row r="260">
      <c r="A260" s="2" t="inlineStr">
        <is>
          <t>EJ021123.TXT</t>
        </is>
      </c>
      <c r="B260" s="3" t="inlineStr">
        <is>
          <t>001370</t>
        </is>
      </c>
      <c r="C260" s="3" t="inlineStr">
        <is>
          <t>000867</t>
        </is>
      </c>
      <c r="D260" s="4" t="n">
        <v>45224</v>
      </c>
      <c r="E260" s="2" t="inlineStr">
        <is>
          <t>14:51</t>
        </is>
      </c>
      <c r="F260" s="5" t="n">
        <v>2766.67</v>
      </c>
      <c r="G260" s="5" t="n"/>
      <c r="H260" s="5" t="n"/>
      <c r="I260" s="5" t="n"/>
      <c r="J260" s="5" t="n">
        <v>553.33</v>
      </c>
      <c r="K260" s="5" t="n"/>
      <c r="L260" s="5" t="n"/>
      <c r="M260" s="5" t="n"/>
      <c r="N260" s="5" t="n"/>
      <c r="O260" s="5" t="n">
        <v>3320</v>
      </c>
      <c r="P260" s="5" t="n">
        <v>3320</v>
      </c>
      <c r="Q260" s="5" t="n"/>
      <c r="R260" s="5" t="n"/>
    </row>
    <row r="261">
      <c r="A261" s="2" t="inlineStr">
        <is>
          <t>EJ021123.TXT</t>
        </is>
      </c>
      <c r="B261" s="3" t="inlineStr">
        <is>
          <t>001371</t>
        </is>
      </c>
      <c r="C261" s="3" t="inlineStr">
        <is>
          <t>000868</t>
        </is>
      </c>
      <c r="D261" s="4" t="n">
        <v>45224</v>
      </c>
      <c r="E261" s="2" t="inlineStr">
        <is>
          <t>16:43</t>
        </is>
      </c>
      <c r="F261" s="5" t="n">
        <v>548.33</v>
      </c>
      <c r="G261" s="5" t="n"/>
      <c r="H261" s="5" t="n"/>
      <c r="I261" s="5" t="n"/>
      <c r="J261" s="5" t="n">
        <v>109.67</v>
      </c>
      <c r="K261" s="5" t="n"/>
      <c r="L261" s="5" t="n"/>
      <c r="M261" s="5" t="n"/>
      <c r="N261" s="5" t="n"/>
      <c r="O261" s="5" t="n">
        <v>658</v>
      </c>
      <c r="P261" s="5" t="n">
        <v>658</v>
      </c>
      <c r="Q261" s="5" t="n"/>
      <c r="R261" s="5" t="n"/>
    </row>
    <row r="262">
      <c r="A262" s="2" t="inlineStr">
        <is>
          <t>EJ021123.TXT</t>
        </is>
      </c>
      <c r="B262" s="3" t="inlineStr">
        <is>
          <t>001375</t>
        </is>
      </c>
      <c r="C262" s="3" t="inlineStr">
        <is>
          <t>000869</t>
        </is>
      </c>
      <c r="D262" s="4" t="n">
        <v>45225</v>
      </c>
      <c r="E262" s="2" t="inlineStr">
        <is>
          <t>13:00</t>
        </is>
      </c>
      <c r="F262" s="5" t="n">
        <v>533.33</v>
      </c>
      <c r="G262" s="5" t="n"/>
      <c r="H262" s="5" t="n"/>
      <c r="I262" s="5" t="n"/>
      <c r="J262" s="5" t="n">
        <v>106.67</v>
      </c>
      <c r="K262" s="5" t="n"/>
      <c r="L262" s="5" t="n"/>
      <c r="M262" s="5" t="n"/>
      <c r="N262" s="5" t="n"/>
      <c r="O262" s="5" t="n">
        <v>640</v>
      </c>
      <c r="P262" s="5" t="n">
        <v>640</v>
      </c>
      <c r="Q262" s="5" t="n"/>
      <c r="R262" s="5" t="n"/>
    </row>
    <row r="263">
      <c r="A263" s="2" t="inlineStr">
        <is>
          <t>EJ021123.TXT</t>
        </is>
      </c>
      <c r="B263" s="3" t="inlineStr">
        <is>
          <t>001376</t>
        </is>
      </c>
      <c r="C263" s="3" t="inlineStr">
        <is>
          <t>000870</t>
        </is>
      </c>
      <c r="D263" s="4" t="n">
        <v>45225</v>
      </c>
      <c r="E263" s="2" t="inlineStr">
        <is>
          <t>15:20</t>
        </is>
      </c>
      <c r="F263" s="5" t="n">
        <v>548.33</v>
      </c>
      <c r="G263" s="5" t="n"/>
      <c r="H263" s="5" t="n"/>
      <c r="I263" s="5" t="n"/>
      <c r="J263" s="5" t="n">
        <v>109.67</v>
      </c>
      <c r="K263" s="5" t="n"/>
      <c r="L263" s="5" t="n"/>
      <c r="M263" s="5" t="n"/>
      <c r="N263" s="5" t="n"/>
      <c r="O263" s="5" t="n">
        <v>658</v>
      </c>
      <c r="P263" s="5" t="n">
        <v>658</v>
      </c>
      <c r="Q263" s="5" t="n"/>
      <c r="R263" s="5" t="n"/>
    </row>
    <row r="264">
      <c r="A264" s="2" t="inlineStr">
        <is>
          <t>EJ021123.TXT</t>
        </is>
      </c>
      <c r="B264" s="3" t="inlineStr">
        <is>
          <t>001377</t>
        </is>
      </c>
      <c r="C264" s="3" t="inlineStr">
        <is>
          <t>000871</t>
        </is>
      </c>
      <c r="D264" s="4" t="n">
        <v>45227</v>
      </c>
      <c r="E264" s="2" t="inlineStr">
        <is>
          <t>15:47</t>
        </is>
      </c>
      <c r="F264" s="5" t="n">
        <v>199.17</v>
      </c>
      <c r="G264" s="5" t="n"/>
      <c r="H264" s="5" t="n"/>
      <c r="I264" s="5" t="n"/>
      <c r="J264" s="5" t="n">
        <v>39.83</v>
      </c>
      <c r="K264" s="5" t="n"/>
      <c r="L264" s="5" t="n"/>
      <c r="M264" s="5" t="n"/>
      <c r="N264" s="5" t="n"/>
      <c r="O264" s="5" t="n">
        <v>239</v>
      </c>
      <c r="P264" s="5" t="n">
        <v>239</v>
      </c>
      <c r="Q264" s="5" t="n"/>
      <c r="R264" s="5" t="n"/>
    </row>
    <row r="265">
      <c r="A265" s="2" t="inlineStr">
        <is>
          <t>EJ061223.TXT</t>
        </is>
      </c>
      <c r="B265" s="3" t="inlineStr">
        <is>
          <t>001383</t>
        </is>
      </c>
      <c r="C265" s="3" t="inlineStr">
        <is>
          <t>000872</t>
        </is>
      </c>
      <c r="D265" s="4" t="n">
        <v>45232</v>
      </c>
      <c r="E265" s="2" t="inlineStr">
        <is>
          <t>16:46</t>
        </is>
      </c>
      <c r="F265" s="5" t="n">
        <v>533.33</v>
      </c>
      <c r="G265" s="5" t="n"/>
      <c r="H265" s="5" t="n"/>
      <c r="I265" s="5" t="n"/>
      <c r="J265" s="5" t="n">
        <v>106.67</v>
      </c>
      <c r="K265" s="5" t="n"/>
      <c r="L265" s="5" t="n"/>
      <c r="M265" s="5" t="n"/>
      <c r="N265" s="5" t="n"/>
      <c r="O265" s="5" t="n">
        <v>640</v>
      </c>
      <c r="P265" s="5" t="n">
        <v>640</v>
      </c>
      <c r="Q265" s="5" t="n"/>
      <c r="R265" s="5" t="n"/>
    </row>
    <row r="266">
      <c r="A266" s="2" t="inlineStr">
        <is>
          <t>EJ061223.TXT</t>
        </is>
      </c>
      <c r="B266" s="3" t="inlineStr">
        <is>
          <t>001384</t>
        </is>
      </c>
      <c r="C266" s="3" t="inlineStr">
        <is>
          <t>000873</t>
        </is>
      </c>
      <c r="D266" s="4" t="n">
        <v>45236</v>
      </c>
      <c r="E266" s="2" t="inlineStr">
        <is>
          <t>13:11</t>
        </is>
      </c>
      <c r="F266" s="5" t="n">
        <v>658.33</v>
      </c>
      <c r="G266" s="5" t="n"/>
      <c r="H266" s="5" t="n"/>
      <c r="I266" s="5" t="n"/>
      <c r="J266" s="5" t="n">
        <v>131.67</v>
      </c>
      <c r="K266" s="5" t="n"/>
      <c r="L266" s="5" t="n"/>
      <c r="M266" s="5" t="n"/>
      <c r="N266" s="5" t="n"/>
      <c r="O266" s="5" t="n">
        <v>790</v>
      </c>
      <c r="P266" s="5" t="n">
        <v>790</v>
      </c>
      <c r="Q266" s="5" t="n"/>
      <c r="R266" s="5" t="n"/>
    </row>
    <row r="267">
      <c r="A267" s="2" t="inlineStr">
        <is>
          <t>EJ061223.TXT</t>
        </is>
      </c>
      <c r="B267" s="3" t="inlineStr">
        <is>
          <t>001385</t>
        </is>
      </c>
      <c r="C267" s="3" t="inlineStr">
        <is>
          <t>000874</t>
        </is>
      </c>
      <c r="D267" s="4" t="n">
        <v>45236</v>
      </c>
      <c r="E267" s="2" t="inlineStr">
        <is>
          <t>13:29</t>
        </is>
      </c>
      <c r="F267" s="5" t="n">
        <v>54.17</v>
      </c>
      <c r="G267" s="5" t="n"/>
      <c r="H267" s="5" t="n"/>
      <c r="I267" s="5" t="n"/>
      <c r="J267" s="5" t="n">
        <v>10.83</v>
      </c>
      <c r="K267" s="5" t="n"/>
      <c r="L267" s="5" t="n"/>
      <c r="M267" s="5" t="n"/>
      <c r="N267" s="5" t="n"/>
      <c r="O267" s="5" t="n">
        <v>65</v>
      </c>
      <c r="P267" s="5" t="n">
        <v>65</v>
      </c>
      <c r="Q267" s="5" t="n"/>
      <c r="R267" s="5" t="n"/>
    </row>
    <row r="268">
      <c r="A268" s="2" t="inlineStr">
        <is>
          <t>EJ061223.TXT</t>
        </is>
      </c>
      <c r="B268" s="3" t="inlineStr">
        <is>
          <t>001386</t>
        </is>
      </c>
      <c r="C268" s="3" t="inlineStr">
        <is>
          <t>000875</t>
        </is>
      </c>
      <c r="D268" s="4" t="n">
        <v>45237</v>
      </c>
      <c r="E268" s="2" t="inlineStr">
        <is>
          <t>11:11</t>
        </is>
      </c>
      <c r="F268" s="5" t="n">
        <v>548.33</v>
      </c>
      <c r="G268" s="5" t="n"/>
      <c r="H268" s="5" t="n"/>
      <c r="I268" s="5" t="n"/>
      <c r="J268" s="5" t="n">
        <v>109.67</v>
      </c>
      <c r="K268" s="5" t="n"/>
      <c r="L268" s="5" t="n"/>
      <c r="M268" s="5" t="n"/>
      <c r="N268" s="5" t="n"/>
      <c r="O268" s="5" t="n">
        <v>658</v>
      </c>
      <c r="P268" s="5" t="n">
        <v>128</v>
      </c>
      <c r="Q268" s="5" t="n">
        <v>530</v>
      </c>
      <c r="R268" s="5" t="n"/>
    </row>
    <row r="269">
      <c r="A269" s="2" t="inlineStr">
        <is>
          <t>EJ061223.TXT</t>
        </is>
      </c>
      <c r="B269" s="3" t="inlineStr">
        <is>
          <t>001387</t>
        </is>
      </c>
      <c r="C269" s="3" t="inlineStr">
        <is>
          <t>000876</t>
        </is>
      </c>
      <c r="D269" s="4" t="n">
        <v>45237</v>
      </c>
      <c r="E269" s="2" t="inlineStr">
        <is>
          <t>11:56</t>
        </is>
      </c>
      <c r="F269" s="5" t="n">
        <v>165</v>
      </c>
      <c r="G269" s="5" t="n"/>
      <c r="H269" s="5" t="n"/>
      <c r="I269" s="5" t="n"/>
      <c r="J269" s="5" t="n">
        <v>33</v>
      </c>
      <c r="K269" s="5" t="n"/>
      <c r="L269" s="5" t="n"/>
      <c r="M269" s="5" t="n"/>
      <c r="N269" s="5" t="n"/>
      <c r="O269" s="5" t="n">
        <v>198</v>
      </c>
      <c r="P269" s="5" t="n"/>
      <c r="Q269" s="5" t="n">
        <v>198</v>
      </c>
      <c r="R269" s="5" t="n"/>
    </row>
    <row r="270">
      <c r="A270" s="2" t="inlineStr">
        <is>
          <t>EJ061223.TXT</t>
        </is>
      </c>
      <c r="B270" s="3" t="inlineStr">
        <is>
          <t>001393</t>
        </is>
      </c>
      <c r="C270" s="3" t="inlineStr">
        <is>
          <t>000877</t>
        </is>
      </c>
      <c r="D270" s="4" t="n">
        <v>45240</v>
      </c>
      <c r="E270" s="2" t="inlineStr">
        <is>
          <t>15:31</t>
        </is>
      </c>
      <c r="F270" s="5" t="n">
        <v>688.29</v>
      </c>
      <c r="G270" s="5" t="n"/>
      <c r="H270" s="5" t="n"/>
      <c r="I270" s="5" t="n"/>
      <c r="J270" s="5" t="n">
        <v>137.66</v>
      </c>
      <c r="K270" s="5" t="n"/>
      <c r="L270" s="5" t="n"/>
      <c r="M270" s="5" t="n"/>
      <c r="N270" s="5" t="n"/>
      <c r="O270" s="5" t="n">
        <v>825.95</v>
      </c>
      <c r="P270" s="5" t="n"/>
      <c r="Q270" s="5" t="n">
        <v>825.95</v>
      </c>
      <c r="R270" s="5" t="n"/>
    </row>
    <row r="271">
      <c r="A271" s="2" t="inlineStr">
        <is>
          <t>EJ061223.TXT</t>
        </is>
      </c>
      <c r="B271" s="3" t="inlineStr">
        <is>
          <t>001394</t>
        </is>
      </c>
      <c r="C271" s="3" t="inlineStr">
        <is>
          <t>000878</t>
        </is>
      </c>
      <c r="D271" s="4" t="n">
        <v>45240</v>
      </c>
      <c r="E271" s="2" t="inlineStr">
        <is>
          <t>15:31</t>
        </is>
      </c>
      <c r="F271" s="5" t="n">
        <v>1179.17</v>
      </c>
      <c r="G271" s="5" t="n"/>
      <c r="H271" s="5" t="n"/>
      <c r="I271" s="5" t="n"/>
      <c r="J271" s="5" t="n">
        <v>235.83</v>
      </c>
      <c r="K271" s="5" t="n"/>
      <c r="L271" s="5" t="n"/>
      <c r="M271" s="5" t="n"/>
      <c r="N271" s="5" t="n"/>
      <c r="O271" s="5" t="n">
        <v>1415</v>
      </c>
      <c r="P271" s="5" t="n"/>
      <c r="Q271" s="5" t="n">
        <v>1415</v>
      </c>
      <c r="R271" s="5" t="n"/>
    </row>
    <row r="272">
      <c r="A272" s="2" t="inlineStr">
        <is>
          <t>EJ061223.TXT</t>
        </is>
      </c>
      <c r="B272" s="3" t="inlineStr">
        <is>
          <t>001395</t>
        </is>
      </c>
      <c r="C272" s="3" t="inlineStr">
        <is>
          <t>000879</t>
        </is>
      </c>
      <c r="D272" s="4" t="n">
        <v>45240</v>
      </c>
      <c r="E272" s="2" t="inlineStr">
        <is>
          <t>15:32</t>
        </is>
      </c>
      <c r="F272" s="5" t="n">
        <v>1179.17</v>
      </c>
      <c r="G272" s="5" t="n"/>
      <c r="H272" s="5" t="n"/>
      <c r="I272" s="5" t="n"/>
      <c r="J272" s="5" t="n">
        <v>235.83</v>
      </c>
      <c r="K272" s="5" t="n"/>
      <c r="L272" s="5" t="n"/>
      <c r="M272" s="5" t="n"/>
      <c r="N272" s="5" t="n"/>
      <c r="O272" s="5" t="n">
        <v>1415</v>
      </c>
      <c r="P272" s="5" t="n"/>
      <c r="Q272" s="5" t="n">
        <v>1415</v>
      </c>
      <c r="R272" s="5" t="n"/>
    </row>
    <row r="273">
      <c r="A273" s="2" t="inlineStr">
        <is>
          <t>EJ061223.TXT</t>
        </is>
      </c>
      <c r="B273" s="3" t="inlineStr">
        <is>
          <t>001396</t>
        </is>
      </c>
      <c r="C273" s="3" t="inlineStr">
        <is>
          <t>000880</t>
        </is>
      </c>
      <c r="D273" s="4" t="n">
        <v>45240</v>
      </c>
      <c r="E273" s="2" t="inlineStr">
        <is>
          <t>15:32</t>
        </is>
      </c>
      <c r="F273" s="5" t="n">
        <v>1179.17</v>
      </c>
      <c r="G273" s="5" t="n"/>
      <c r="H273" s="5" t="n"/>
      <c r="I273" s="5" t="n"/>
      <c r="J273" s="5" t="n">
        <v>235.83</v>
      </c>
      <c r="K273" s="5" t="n"/>
      <c r="L273" s="5" t="n"/>
      <c r="M273" s="5" t="n"/>
      <c r="N273" s="5" t="n"/>
      <c r="O273" s="5" t="n">
        <v>1415</v>
      </c>
      <c r="P273" s="5" t="n"/>
      <c r="Q273" s="5" t="n">
        <v>1415</v>
      </c>
      <c r="R273" s="5" t="n"/>
    </row>
    <row r="274">
      <c r="A274" s="2" t="inlineStr">
        <is>
          <t>EJ061223.TXT</t>
        </is>
      </c>
      <c r="B274" s="3" t="inlineStr">
        <is>
          <t>001397</t>
        </is>
      </c>
      <c r="C274" s="3" t="inlineStr">
        <is>
          <t>000881</t>
        </is>
      </c>
      <c r="D274" s="4" t="n">
        <v>45240</v>
      </c>
      <c r="E274" s="2" t="inlineStr">
        <is>
          <t>15:33</t>
        </is>
      </c>
      <c r="F274" s="5" t="n">
        <v>657.5</v>
      </c>
      <c r="G274" s="5" t="n"/>
      <c r="H274" s="5" t="n"/>
      <c r="I274" s="5" t="n"/>
      <c r="J274" s="5" t="n">
        <v>131.5</v>
      </c>
      <c r="K274" s="5" t="n"/>
      <c r="L274" s="5" t="n"/>
      <c r="M274" s="5" t="n"/>
      <c r="N274" s="5" t="n"/>
      <c r="O274" s="5" t="n">
        <v>789</v>
      </c>
      <c r="P274" s="5" t="n"/>
      <c r="Q274" s="5" t="n">
        <v>789</v>
      </c>
      <c r="R274" s="5" t="n"/>
    </row>
    <row r="275">
      <c r="A275" s="2" t="inlineStr">
        <is>
          <t>EJ061223.TXT</t>
        </is>
      </c>
      <c r="B275" s="3" t="inlineStr">
        <is>
          <t>001398</t>
        </is>
      </c>
      <c r="C275" s="3" t="inlineStr">
        <is>
          <t>000882</t>
        </is>
      </c>
      <c r="D275" s="4" t="n">
        <v>45240</v>
      </c>
      <c r="E275" s="2" t="inlineStr">
        <is>
          <t>15:33</t>
        </is>
      </c>
      <c r="F275" s="5" t="n">
        <v>521.67</v>
      </c>
      <c r="G275" s="5" t="n"/>
      <c r="H275" s="5" t="n"/>
      <c r="I275" s="5" t="n"/>
      <c r="J275" s="5" t="n">
        <v>104.33</v>
      </c>
      <c r="K275" s="5" t="n"/>
      <c r="L275" s="5" t="n"/>
      <c r="M275" s="5" t="n"/>
      <c r="N275" s="5" t="n"/>
      <c r="O275" s="5" t="n">
        <v>626</v>
      </c>
      <c r="P275" s="5" t="n"/>
      <c r="Q275" s="5" t="n">
        <v>626</v>
      </c>
      <c r="R275" s="5" t="n"/>
    </row>
    <row r="276">
      <c r="A276" s="2" t="inlineStr">
        <is>
          <t>EJ061223.TXT</t>
        </is>
      </c>
      <c r="B276" s="3" t="inlineStr">
        <is>
          <t>001399</t>
        </is>
      </c>
      <c r="C276" s="3" t="inlineStr">
        <is>
          <t>000883</t>
        </is>
      </c>
      <c r="D276" s="4" t="n">
        <v>45240</v>
      </c>
      <c r="E276" s="2" t="inlineStr">
        <is>
          <t>15:33</t>
        </is>
      </c>
      <c r="F276" s="5" t="n">
        <v>690.83</v>
      </c>
      <c r="G276" s="5" t="n"/>
      <c r="H276" s="5" t="n"/>
      <c r="I276" s="5" t="n"/>
      <c r="J276" s="5" t="n">
        <v>138.17</v>
      </c>
      <c r="K276" s="5" t="n"/>
      <c r="L276" s="5" t="n"/>
      <c r="M276" s="5" t="n"/>
      <c r="N276" s="5" t="n"/>
      <c r="O276" s="5" t="n">
        <v>829</v>
      </c>
      <c r="P276" s="5" t="n"/>
      <c r="Q276" s="5" t="n">
        <v>829</v>
      </c>
      <c r="R276" s="5" t="n"/>
    </row>
    <row r="277">
      <c r="A277" s="2" t="inlineStr">
        <is>
          <t>EJ061223.TXT</t>
        </is>
      </c>
      <c r="B277" s="3" t="inlineStr">
        <is>
          <t>001400</t>
        </is>
      </c>
      <c r="C277" s="3" t="inlineStr">
        <is>
          <t>000884</t>
        </is>
      </c>
      <c r="D277" s="4" t="n">
        <v>45240</v>
      </c>
      <c r="E277" s="2" t="inlineStr">
        <is>
          <t>15:33</t>
        </is>
      </c>
      <c r="F277" s="5" t="n">
        <v>488.33</v>
      </c>
      <c r="G277" s="5" t="n"/>
      <c r="H277" s="5" t="n"/>
      <c r="I277" s="5" t="n"/>
      <c r="J277" s="5" t="n">
        <v>97.67</v>
      </c>
      <c r="K277" s="5" t="n"/>
      <c r="L277" s="5" t="n"/>
      <c r="M277" s="5" t="n"/>
      <c r="N277" s="5" t="n"/>
      <c r="O277" s="5" t="n">
        <v>586</v>
      </c>
      <c r="P277" s="5" t="n"/>
      <c r="Q277" s="5" t="n">
        <v>586</v>
      </c>
      <c r="R277" s="5" t="n"/>
    </row>
    <row r="278">
      <c r="A278" s="2" t="inlineStr">
        <is>
          <t>EJ061223.TXT</t>
        </is>
      </c>
      <c r="B278" s="3" t="inlineStr">
        <is>
          <t>001402</t>
        </is>
      </c>
      <c r="C278" s="3" t="inlineStr">
        <is>
          <t>000885</t>
        </is>
      </c>
      <c r="D278" s="4" t="n">
        <v>45243</v>
      </c>
      <c r="E278" s="2" t="inlineStr">
        <is>
          <t>11:59</t>
        </is>
      </c>
      <c r="F278" s="5" t="n">
        <v>548.33</v>
      </c>
      <c r="G278" s="5" t="n"/>
      <c r="H278" s="5" t="n"/>
      <c r="I278" s="5" t="n"/>
      <c r="J278" s="5" t="n">
        <v>109.67</v>
      </c>
      <c r="K278" s="5" t="n"/>
      <c r="L278" s="5" t="n"/>
      <c r="M278" s="5" t="n"/>
      <c r="N278" s="5" t="n"/>
      <c r="O278" s="5" t="n">
        <v>658</v>
      </c>
      <c r="P278" s="5" t="n"/>
      <c r="Q278" s="5" t="n">
        <v>658</v>
      </c>
      <c r="R278" s="5" t="n"/>
    </row>
    <row r="279">
      <c r="A279" s="2" t="inlineStr">
        <is>
          <t>EJ061223.TXT</t>
        </is>
      </c>
      <c r="B279" s="3" t="inlineStr">
        <is>
          <t>001403</t>
        </is>
      </c>
      <c r="C279" s="3" t="inlineStr">
        <is>
          <t>000886</t>
        </is>
      </c>
      <c r="D279" s="4" t="n">
        <v>45244</v>
      </c>
      <c r="E279" s="2" t="inlineStr">
        <is>
          <t>11:32</t>
        </is>
      </c>
      <c r="F279" s="5" t="n">
        <v>566.67</v>
      </c>
      <c r="G279" s="5" t="n"/>
      <c r="H279" s="5" t="n"/>
      <c r="I279" s="5" t="n"/>
      <c r="J279" s="5" t="n">
        <v>113.33</v>
      </c>
      <c r="K279" s="5" t="n"/>
      <c r="L279" s="5" t="n"/>
      <c r="M279" s="5" t="n"/>
      <c r="N279" s="5" t="n"/>
      <c r="O279" s="5" t="n">
        <v>680</v>
      </c>
      <c r="P279" s="5" t="n"/>
      <c r="Q279" s="5" t="n">
        <v>680</v>
      </c>
      <c r="R279" s="5" t="n"/>
    </row>
    <row r="280">
      <c r="A280" s="2" t="inlineStr">
        <is>
          <t>EJ061223.TXT</t>
        </is>
      </c>
      <c r="B280" s="3" t="inlineStr">
        <is>
          <t>001404</t>
        </is>
      </c>
      <c r="C280" s="3" t="inlineStr">
        <is>
          <t>000887</t>
        </is>
      </c>
      <c r="D280" s="4" t="n">
        <v>45246</v>
      </c>
      <c r="E280" s="2" t="inlineStr">
        <is>
          <t>16:39</t>
        </is>
      </c>
      <c r="F280" s="5" t="n">
        <v>548.33</v>
      </c>
      <c r="G280" s="5" t="n"/>
      <c r="H280" s="5" t="n"/>
      <c r="I280" s="5" t="n"/>
      <c r="J280" s="5" t="n">
        <v>109.67</v>
      </c>
      <c r="K280" s="5" t="n"/>
      <c r="L280" s="5" t="n"/>
      <c r="M280" s="5" t="n"/>
      <c r="N280" s="5" t="n"/>
      <c r="O280" s="5" t="n">
        <v>658</v>
      </c>
      <c r="P280" s="5" t="n"/>
      <c r="Q280" s="5" t="n">
        <v>658</v>
      </c>
      <c r="R280" s="5" t="n"/>
    </row>
    <row r="281">
      <c r="A281" s="2" t="inlineStr">
        <is>
          <t>EJ061223.TXT</t>
        </is>
      </c>
      <c r="B281" s="3" t="inlineStr">
        <is>
          <t>001405</t>
        </is>
      </c>
      <c r="C281" s="3" t="inlineStr">
        <is>
          <t>000888</t>
        </is>
      </c>
      <c r="D281" s="4" t="n">
        <v>45246</v>
      </c>
      <c r="E281" s="2" t="inlineStr">
        <is>
          <t>16:39</t>
        </is>
      </c>
      <c r="F281" s="5" t="n">
        <v>285</v>
      </c>
      <c r="G281" s="5" t="n"/>
      <c r="H281" s="5" t="n"/>
      <c r="I281" s="5" t="n"/>
      <c r="J281" s="5" t="n">
        <v>57</v>
      </c>
      <c r="K281" s="5" t="n"/>
      <c r="L281" s="5" t="n"/>
      <c r="M281" s="5" t="n"/>
      <c r="N281" s="5" t="n"/>
      <c r="O281" s="5" t="n">
        <v>342</v>
      </c>
      <c r="P281" s="5" t="n"/>
      <c r="Q281" s="5" t="n">
        <v>342</v>
      </c>
      <c r="R281" s="5" t="n"/>
    </row>
    <row r="282">
      <c r="A282" s="2" t="inlineStr">
        <is>
          <t>EJ061223.TXT</t>
        </is>
      </c>
      <c r="B282" s="3" t="inlineStr">
        <is>
          <t>001406</t>
        </is>
      </c>
      <c r="C282" s="3" t="inlineStr">
        <is>
          <t>000889</t>
        </is>
      </c>
      <c r="D282" s="4" t="n">
        <v>45246</v>
      </c>
      <c r="E282" s="2" t="inlineStr">
        <is>
          <t>16:40</t>
        </is>
      </c>
      <c r="F282" s="5" t="n">
        <v>811.67</v>
      </c>
      <c r="G282" s="5" t="n"/>
      <c r="H282" s="5" t="n"/>
      <c r="I282" s="5" t="n"/>
      <c r="J282" s="5" t="n">
        <v>162.33</v>
      </c>
      <c r="K282" s="5" t="n"/>
      <c r="L282" s="5" t="n"/>
      <c r="M282" s="5" t="n"/>
      <c r="N282" s="5" t="n"/>
      <c r="O282" s="5" t="n">
        <v>974</v>
      </c>
      <c r="P282" s="5" t="n">
        <v>974</v>
      </c>
      <c r="Q282" s="5" t="n"/>
      <c r="R282" s="5" t="n"/>
    </row>
    <row r="283">
      <c r="A283" s="2" t="inlineStr">
        <is>
          <t>EJ061223.TXT</t>
        </is>
      </c>
      <c r="B283" s="3" t="inlineStr">
        <is>
          <t>001407</t>
        </is>
      </c>
      <c r="C283" s="3" t="inlineStr">
        <is>
          <t>000890</t>
        </is>
      </c>
      <c r="D283" s="4" t="n">
        <v>45247</v>
      </c>
      <c r="E283" s="2" t="inlineStr">
        <is>
          <t>10:45</t>
        </is>
      </c>
      <c r="F283" s="5" t="n">
        <v>136.67</v>
      </c>
      <c r="G283" s="5" t="n"/>
      <c r="H283" s="5" t="n"/>
      <c r="I283" s="5" t="n"/>
      <c r="J283" s="5" t="n">
        <v>27.33</v>
      </c>
      <c r="K283" s="5" t="n"/>
      <c r="L283" s="5" t="n"/>
      <c r="M283" s="5" t="n"/>
      <c r="N283" s="5" t="n"/>
      <c r="O283" s="5" t="n">
        <v>164</v>
      </c>
      <c r="P283" s="5" t="n">
        <v>164</v>
      </c>
      <c r="Q283" s="5" t="n"/>
      <c r="R283" s="5" t="n"/>
    </row>
    <row r="284">
      <c r="A284" s="2" t="inlineStr">
        <is>
          <t>EJ061223.TXT</t>
        </is>
      </c>
      <c r="B284" s="3" t="inlineStr">
        <is>
          <t>001408</t>
        </is>
      </c>
      <c r="C284" s="3" t="inlineStr">
        <is>
          <t>000891</t>
        </is>
      </c>
      <c r="D284" s="4" t="n">
        <v>45251</v>
      </c>
      <c r="E284" s="2" t="inlineStr">
        <is>
          <t>14:34</t>
        </is>
      </c>
      <c r="F284" s="5" t="n">
        <v>440</v>
      </c>
      <c r="G284" s="5" t="n"/>
      <c r="H284" s="5" t="n"/>
      <c r="I284" s="5" t="n"/>
      <c r="J284" s="5" t="n">
        <v>88</v>
      </c>
      <c r="K284" s="5" t="n"/>
      <c r="L284" s="5" t="n"/>
      <c r="M284" s="5" t="n"/>
      <c r="N284" s="5" t="n"/>
      <c r="O284" s="5" t="n">
        <v>528</v>
      </c>
      <c r="P284" s="5" t="n">
        <v>528</v>
      </c>
      <c r="Q284" s="5" t="n"/>
      <c r="R284" s="5" t="n"/>
    </row>
    <row r="285">
      <c r="A285" s="2" t="inlineStr">
        <is>
          <t>EJ061223.TXT</t>
        </is>
      </c>
      <c r="B285" s="3" t="inlineStr">
        <is>
          <t>001409</t>
        </is>
      </c>
      <c r="C285" s="3" t="inlineStr">
        <is>
          <t>000892</t>
        </is>
      </c>
      <c r="D285" s="4" t="n">
        <v>45253</v>
      </c>
      <c r="E285" s="2" t="inlineStr">
        <is>
          <t>15:35</t>
        </is>
      </c>
      <c r="F285" s="5" t="n">
        <v>1645</v>
      </c>
      <c r="G285" s="5" t="n"/>
      <c r="H285" s="5" t="n"/>
      <c r="I285" s="5" t="n"/>
      <c r="J285" s="5" t="n">
        <v>329</v>
      </c>
      <c r="K285" s="5" t="n"/>
      <c r="L285" s="5" t="n"/>
      <c r="M285" s="5" t="n"/>
      <c r="N285" s="5" t="n"/>
      <c r="O285" s="5" t="n">
        <v>1974</v>
      </c>
      <c r="P285" s="5" t="n">
        <v>1974</v>
      </c>
      <c r="Q285" s="5" t="n"/>
      <c r="R285" s="5" t="n"/>
    </row>
    <row r="286">
      <c r="A286" s="2" t="inlineStr">
        <is>
          <t>EJ061223.TXT</t>
        </is>
      </c>
      <c r="B286" s="3" t="inlineStr">
        <is>
          <t>001410</t>
        </is>
      </c>
      <c r="C286" s="3" t="inlineStr">
        <is>
          <t>000893</t>
        </is>
      </c>
      <c r="D286" s="4" t="n">
        <v>45257</v>
      </c>
      <c r="E286" s="2" t="inlineStr">
        <is>
          <t>12:36</t>
        </is>
      </c>
      <c r="F286" s="5" t="n">
        <v>548.33</v>
      </c>
      <c r="G286" s="5" t="n"/>
      <c r="H286" s="5" t="n"/>
      <c r="I286" s="5" t="n"/>
      <c r="J286" s="5" t="n">
        <v>109.67</v>
      </c>
      <c r="K286" s="5" t="n"/>
      <c r="L286" s="5" t="n"/>
      <c r="M286" s="5" t="n"/>
      <c r="N286" s="5" t="n"/>
      <c r="O286" s="5" t="n">
        <v>658</v>
      </c>
      <c r="P286" s="5" t="n">
        <v>658</v>
      </c>
      <c r="Q286" s="5" t="n"/>
      <c r="R286" s="5" t="n"/>
    </row>
    <row r="287">
      <c r="A287" s="2" t="inlineStr">
        <is>
          <t>EJ061223.TXT</t>
        </is>
      </c>
      <c r="B287" s="3" t="inlineStr">
        <is>
          <t>001411</t>
        </is>
      </c>
      <c r="C287" s="3" t="inlineStr">
        <is>
          <t>000894</t>
        </is>
      </c>
      <c r="D287" s="4" t="n">
        <v>45257</v>
      </c>
      <c r="E287" s="2" t="inlineStr">
        <is>
          <t>14:15</t>
        </is>
      </c>
      <c r="F287" s="5" t="n">
        <v>516.67</v>
      </c>
      <c r="G287" s="5" t="n"/>
      <c r="H287" s="5" t="n"/>
      <c r="I287" s="5" t="n"/>
      <c r="J287" s="5" t="n">
        <v>103.33</v>
      </c>
      <c r="K287" s="5" t="n"/>
      <c r="L287" s="5" t="n"/>
      <c r="M287" s="5" t="n"/>
      <c r="N287" s="5" t="n"/>
      <c r="O287" s="5" t="n">
        <v>620</v>
      </c>
      <c r="P287" s="5" t="n"/>
      <c r="Q287" s="5" t="n">
        <v>620</v>
      </c>
      <c r="R287" s="5" t="n"/>
    </row>
    <row r="288">
      <c r="A288" s="2" t="inlineStr">
        <is>
          <t>EJ061223.TXT</t>
        </is>
      </c>
      <c r="B288" s="3" t="inlineStr">
        <is>
          <t>001412</t>
        </is>
      </c>
      <c r="C288" s="3" t="inlineStr">
        <is>
          <t>000895</t>
        </is>
      </c>
      <c r="D288" s="4" t="n">
        <v>45257</v>
      </c>
      <c r="E288" s="2" t="inlineStr">
        <is>
          <t>14:20</t>
        </is>
      </c>
      <c r="F288" s="5" t="n">
        <v>516.67</v>
      </c>
      <c r="G288" s="5" t="n"/>
      <c r="H288" s="5" t="n"/>
      <c r="I288" s="5" t="n"/>
      <c r="J288" s="5" t="n">
        <v>103.33</v>
      </c>
      <c r="K288" s="5" t="n"/>
      <c r="L288" s="5" t="n"/>
      <c r="M288" s="5" t="n"/>
      <c r="N288" s="5" t="n"/>
      <c r="O288" s="5" t="n">
        <v>620</v>
      </c>
      <c r="P288" s="5" t="n"/>
      <c r="Q288" s="5" t="n">
        <v>620</v>
      </c>
      <c r="R288" s="5" t="n"/>
    </row>
    <row r="289">
      <c r="A289" s="2" t="inlineStr">
        <is>
          <t>EJ061223.TXT</t>
        </is>
      </c>
      <c r="B289" s="3" t="inlineStr">
        <is>
          <t>001413</t>
        </is>
      </c>
      <c r="C289" s="3" t="inlineStr">
        <is>
          <t>000896</t>
        </is>
      </c>
      <c r="D289" s="4" t="n">
        <v>45258</v>
      </c>
      <c r="E289" s="2" t="inlineStr">
        <is>
          <t>11:32</t>
        </is>
      </c>
      <c r="F289" s="5" t="n">
        <v>822.5</v>
      </c>
      <c r="G289" s="5" t="n"/>
      <c r="H289" s="5" t="n"/>
      <c r="I289" s="5" t="n"/>
      <c r="J289" s="5" t="n">
        <v>164.5</v>
      </c>
      <c r="K289" s="5" t="n"/>
      <c r="L289" s="5" t="n"/>
      <c r="M289" s="5" t="n"/>
      <c r="N289" s="5" t="n"/>
      <c r="O289" s="5" t="n">
        <v>987</v>
      </c>
      <c r="P289" s="5" t="n">
        <v>987</v>
      </c>
      <c r="Q289" s="5" t="n"/>
      <c r="R289" s="5" t="n"/>
    </row>
    <row r="290">
      <c r="A290" s="2" t="inlineStr">
        <is>
          <t>EJ061223.TXT</t>
        </is>
      </c>
      <c r="B290" s="3" t="inlineStr">
        <is>
          <t>001414</t>
        </is>
      </c>
      <c r="C290" s="3" t="inlineStr">
        <is>
          <t>000897</t>
        </is>
      </c>
      <c r="D290" s="4" t="n">
        <v>45258</v>
      </c>
      <c r="E290" s="2" t="inlineStr">
        <is>
          <t>13:38</t>
        </is>
      </c>
      <c r="F290" s="5" t="n">
        <v>548.33</v>
      </c>
      <c r="G290" s="5" t="n"/>
      <c r="H290" s="5" t="n"/>
      <c r="I290" s="5" t="n"/>
      <c r="J290" s="5" t="n">
        <v>109.67</v>
      </c>
      <c r="K290" s="5" t="n"/>
      <c r="L290" s="5" t="n"/>
      <c r="M290" s="5" t="n"/>
      <c r="N290" s="5" t="n"/>
      <c r="O290" s="5" t="n">
        <v>658</v>
      </c>
      <c r="P290" s="5" t="n">
        <v>658</v>
      </c>
      <c r="Q290" s="5" t="n"/>
      <c r="R290" s="5" t="n"/>
    </row>
    <row r="291">
      <c r="A291" s="2" t="inlineStr">
        <is>
          <t>EJ061223.TXT</t>
        </is>
      </c>
      <c r="B291" s="3" t="inlineStr">
        <is>
          <t>001415</t>
        </is>
      </c>
      <c r="C291" s="3" t="inlineStr">
        <is>
          <t>000898</t>
        </is>
      </c>
      <c r="D291" s="4" t="n">
        <v>45259</v>
      </c>
      <c r="E291" s="2" t="inlineStr">
        <is>
          <t>10:27</t>
        </is>
      </c>
      <c r="F291" s="5" t="n">
        <v>548.33</v>
      </c>
      <c r="G291" s="5" t="n"/>
      <c r="H291" s="5" t="n"/>
      <c r="I291" s="5" t="n"/>
      <c r="J291" s="5" t="n">
        <v>109.67</v>
      </c>
      <c r="K291" s="5" t="n"/>
      <c r="L291" s="5" t="n"/>
      <c r="M291" s="5" t="n"/>
      <c r="N291" s="5" t="n"/>
      <c r="O291" s="5" t="n">
        <v>658</v>
      </c>
      <c r="P291" s="5" t="n">
        <v>658</v>
      </c>
      <c r="Q291" s="5" t="n"/>
      <c r="R291" s="5" t="n"/>
    </row>
    <row r="292">
      <c r="A292" s="2" t="inlineStr">
        <is>
          <t>EJ061223.TXT</t>
        </is>
      </c>
      <c r="B292" s="3" t="inlineStr">
        <is>
          <t>001416</t>
        </is>
      </c>
      <c r="C292" s="3" t="inlineStr">
        <is>
          <t>000899</t>
        </is>
      </c>
      <c r="D292" s="4" t="n">
        <v>45260</v>
      </c>
      <c r="E292" s="2" t="inlineStr">
        <is>
          <t>15:53</t>
        </is>
      </c>
      <c r="F292" s="5" t="n">
        <v>739.17</v>
      </c>
      <c r="G292" s="5" t="n"/>
      <c r="H292" s="5" t="n"/>
      <c r="I292" s="5" t="n"/>
      <c r="J292" s="5" t="n">
        <v>147.83</v>
      </c>
      <c r="K292" s="5" t="n"/>
      <c r="L292" s="5" t="n"/>
      <c r="M292" s="5" t="n"/>
      <c r="N292" s="5" t="n"/>
      <c r="O292" s="5" t="n">
        <v>887</v>
      </c>
      <c r="P292" s="5" t="n">
        <v>887</v>
      </c>
      <c r="Q292" s="5" t="n"/>
      <c r="R292" s="5" t="n"/>
    </row>
    <row r="293">
      <c r="A293" s="2" t="inlineStr">
        <is>
          <t>EJ061223.TXT</t>
        </is>
      </c>
      <c r="B293" s="3" t="inlineStr">
        <is>
          <t>001417</t>
        </is>
      </c>
      <c r="C293" s="3" t="inlineStr">
        <is>
          <t>000900</t>
        </is>
      </c>
      <c r="D293" s="4" t="n">
        <v>45261</v>
      </c>
      <c r="E293" s="2" t="inlineStr">
        <is>
          <t>12:25</t>
        </is>
      </c>
      <c r="F293" s="5" t="n">
        <v>531.67</v>
      </c>
      <c r="G293" s="5" t="n"/>
      <c r="H293" s="5" t="n"/>
      <c r="I293" s="5" t="n"/>
      <c r="J293" s="5" t="n">
        <v>106.33</v>
      </c>
      <c r="K293" s="5" t="n"/>
      <c r="L293" s="5" t="n"/>
      <c r="M293" s="5" t="n"/>
      <c r="N293" s="5" t="n"/>
      <c r="O293" s="5" t="n">
        <v>638</v>
      </c>
      <c r="P293" s="5" t="n"/>
      <c r="Q293" s="5" t="n">
        <v>638</v>
      </c>
      <c r="R293" s="5" t="n"/>
    </row>
    <row r="294">
      <c r="A294" s="2" t="inlineStr">
        <is>
          <t>EJ061223.TXT</t>
        </is>
      </c>
      <c r="B294" s="3" t="inlineStr">
        <is>
          <t>001418</t>
        </is>
      </c>
      <c r="C294" s="3" t="inlineStr">
        <is>
          <t>000901</t>
        </is>
      </c>
      <c r="D294" s="4" t="n">
        <v>45261</v>
      </c>
      <c r="E294" s="2" t="inlineStr">
        <is>
          <t>15:48</t>
        </is>
      </c>
      <c r="F294" s="5" t="n">
        <v>1096.67</v>
      </c>
      <c r="G294" s="5" t="n"/>
      <c r="H294" s="5" t="n"/>
      <c r="I294" s="5" t="n"/>
      <c r="J294" s="5" t="n">
        <v>219.33</v>
      </c>
      <c r="K294" s="5" t="n"/>
      <c r="L294" s="5" t="n"/>
      <c r="M294" s="5" t="n"/>
      <c r="N294" s="5" t="n"/>
      <c r="O294" s="5" t="n">
        <v>1316</v>
      </c>
      <c r="P294" s="5" t="n">
        <v>1316</v>
      </c>
      <c r="Q294" s="5" t="n"/>
      <c r="R294" s="5" t="n"/>
    </row>
    <row r="295">
      <c r="A295" s="2" t="inlineStr">
        <is>
          <t>EJ061223.TXT</t>
        </is>
      </c>
      <c r="B295" s="3" t="inlineStr">
        <is>
          <t>001419</t>
        </is>
      </c>
      <c r="C295" s="3" t="inlineStr">
        <is>
          <t>000902</t>
        </is>
      </c>
      <c r="D295" s="4" t="n">
        <v>45262</v>
      </c>
      <c r="E295" s="2" t="inlineStr">
        <is>
          <t>16:22</t>
        </is>
      </c>
      <c r="F295" s="5" t="n">
        <v>190.83</v>
      </c>
      <c r="G295" s="5" t="n"/>
      <c r="H295" s="5" t="n"/>
      <c r="I295" s="5" t="n"/>
      <c r="J295" s="5" t="n">
        <v>38.17</v>
      </c>
      <c r="K295" s="5" t="n"/>
      <c r="L295" s="5" t="n"/>
      <c r="M295" s="5" t="n"/>
      <c r="N295" s="5" t="n"/>
      <c r="O295" s="5" t="n">
        <v>229</v>
      </c>
      <c r="P295" s="5" t="n">
        <v>229</v>
      </c>
      <c r="Q295" s="5" t="n"/>
      <c r="R295" s="5" t="n"/>
    </row>
    <row r="296">
      <c r="A296" s="2" t="inlineStr">
        <is>
          <t>EJ061223.TXT</t>
        </is>
      </c>
      <c r="B296" s="3" t="inlineStr">
        <is>
          <t>001420</t>
        </is>
      </c>
      <c r="C296" s="3" t="inlineStr">
        <is>
          <t>000903</t>
        </is>
      </c>
      <c r="D296" s="4" t="n">
        <v>45266</v>
      </c>
      <c r="E296" s="2" t="inlineStr">
        <is>
          <t>14:10</t>
        </is>
      </c>
      <c r="F296" s="5" t="n">
        <v>1595</v>
      </c>
      <c r="G296" s="5" t="n"/>
      <c r="H296" s="5" t="n"/>
      <c r="I296" s="5" t="n"/>
      <c r="J296" s="5" t="n">
        <v>319</v>
      </c>
      <c r="K296" s="5" t="n"/>
      <c r="L296" s="5" t="n"/>
      <c r="M296" s="5" t="n"/>
      <c r="N296" s="5" t="n"/>
      <c r="O296" s="5" t="n">
        <v>1914</v>
      </c>
      <c r="P296" s="5" t="n">
        <v>1914</v>
      </c>
      <c r="Q296" s="5" t="n"/>
      <c r="R296" s="5" t="n"/>
    </row>
    <row r="297">
      <c r="A297" s="2" t="inlineStr">
        <is>
          <t>EJ050124.TXT</t>
        </is>
      </c>
      <c r="B297" s="3" t="inlineStr">
        <is>
          <t>001428</t>
        </is>
      </c>
      <c r="C297" s="3" t="inlineStr">
        <is>
          <t>000904</t>
        </is>
      </c>
      <c r="D297" s="4" t="n">
        <v>45268</v>
      </c>
      <c r="E297" s="2" t="inlineStr">
        <is>
          <t>14:17</t>
        </is>
      </c>
      <c r="F297" s="5" t="n">
        <v>-465</v>
      </c>
      <c r="G297" s="5" t="n"/>
      <c r="H297" s="5" t="n"/>
      <c r="I297" s="5" t="n"/>
      <c r="J297" s="5" t="n">
        <v>-93</v>
      </c>
      <c r="K297" s="5" t="n"/>
      <c r="L297" s="5" t="n"/>
      <c r="M297" s="5" t="n"/>
      <c r="N297" s="5" t="n"/>
      <c r="O297" s="5" t="n">
        <v>-558</v>
      </c>
      <c r="P297" s="5" t="n">
        <v>-558</v>
      </c>
      <c r="Q297" s="5" t="n"/>
      <c r="R297" s="5" t="n"/>
    </row>
    <row r="298">
      <c r="A298" s="2" t="inlineStr">
        <is>
          <t>EJ050124.TXT</t>
        </is>
      </c>
      <c r="B298" s="3" t="inlineStr">
        <is>
          <t>001429</t>
        </is>
      </c>
      <c r="C298" s="3" t="inlineStr">
        <is>
          <t>000905</t>
        </is>
      </c>
      <c r="D298" s="4" t="n">
        <v>45269</v>
      </c>
      <c r="E298" s="2" t="inlineStr">
        <is>
          <t>16:52</t>
        </is>
      </c>
      <c r="F298" s="5" t="n">
        <v>-597.5</v>
      </c>
      <c r="G298" s="5" t="n"/>
      <c r="H298" s="5" t="n"/>
      <c r="I298" s="5" t="n"/>
      <c r="J298" s="5" t="n">
        <v>-119.5</v>
      </c>
      <c r="K298" s="5" t="n"/>
      <c r="L298" s="5" t="n"/>
      <c r="M298" s="5" t="n"/>
      <c r="N298" s="5" t="n"/>
      <c r="O298" s="5" t="n">
        <v>-717</v>
      </c>
      <c r="P298" s="5" t="n">
        <v>-717</v>
      </c>
      <c r="Q298" s="5" t="n"/>
      <c r="R298" s="5" t="n"/>
    </row>
    <row r="299">
      <c r="A299" s="2" t="inlineStr">
        <is>
          <t>EJ050124.TXT</t>
        </is>
      </c>
      <c r="B299" s="3" t="inlineStr">
        <is>
          <t>001430</t>
        </is>
      </c>
      <c r="C299" s="3" t="inlineStr">
        <is>
          <t>000906</t>
        </is>
      </c>
      <c r="D299" s="4" t="n">
        <v>45271</v>
      </c>
      <c r="E299" s="2" t="inlineStr">
        <is>
          <t>15:32</t>
        </is>
      </c>
      <c r="F299" s="5" t="n">
        <v>-1096.67</v>
      </c>
      <c r="G299" s="5" t="n"/>
      <c r="H299" s="5" t="n"/>
      <c r="I299" s="5" t="n"/>
      <c r="J299" s="5" t="n">
        <v>-219.33</v>
      </c>
      <c r="K299" s="5" t="n"/>
      <c r="L299" s="5" t="n"/>
      <c r="M299" s="5" t="n"/>
      <c r="N299" s="5" t="n"/>
      <c r="O299" s="5" t="n">
        <v>-1316</v>
      </c>
      <c r="P299" s="5" t="n">
        <v>-1316</v>
      </c>
      <c r="Q299" s="5" t="n"/>
      <c r="R299" s="5" t="n"/>
    </row>
    <row r="300">
      <c r="A300" s="2" t="inlineStr">
        <is>
          <t>EJ050124.TXT</t>
        </is>
      </c>
      <c r="B300" s="3" t="inlineStr">
        <is>
          <t>001431</t>
        </is>
      </c>
      <c r="C300" s="3" t="inlineStr">
        <is>
          <t>000907</t>
        </is>
      </c>
      <c r="D300" s="4" t="n">
        <v>45272</v>
      </c>
      <c r="E300" s="2" t="inlineStr">
        <is>
          <t>17:06</t>
        </is>
      </c>
      <c r="F300" s="5" t="n">
        <v>-274.17</v>
      </c>
      <c r="G300" s="5" t="n"/>
      <c r="H300" s="5" t="n"/>
      <c r="I300" s="5" t="n"/>
      <c r="J300" s="5" t="n">
        <v>-54.83</v>
      </c>
      <c r="K300" s="5" t="n"/>
      <c r="L300" s="5" t="n"/>
      <c r="M300" s="5" t="n"/>
      <c r="N300" s="5" t="n"/>
      <c r="O300" s="5" t="n">
        <v>-329</v>
      </c>
      <c r="P300" s="5" t="n"/>
      <c r="Q300" s="5" t="n">
        <v>-329</v>
      </c>
      <c r="R300" s="5" t="n"/>
    </row>
    <row r="301">
      <c r="A301" s="2" t="inlineStr">
        <is>
          <t>EJ050124.TXT</t>
        </is>
      </c>
      <c r="B301" s="3" t="inlineStr">
        <is>
          <t>001432</t>
        </is>
      </c>
      <c r="C301" s="3" t="inlineStr">
        <is>
          <t>000908</t>
        </is>
      </c>
      <c r="D301" s="4" t="n">
        <v>45274</v>
      </c>
      <c r="E301" s="2" t="inlineStr">
        <is>
          <t>14:45</t>
        </is>
      </c>
      <c r="F301" s="5" t="n">
        <v>-797.5</v>
      </c>
      <c r="G301" s="5" t="n"/>
      <c r="H301" s="5" t="n"/>
      <c r="I301" s="5" t="n"/>
      <c r="J301" s="5" t="n">
        <v>-159.5</v>
      </c>
      <c r="K301" s="5" t="n"/>
      <c r="L301" s="5" t="n"/>
      <c r="M301" s="5" t="n"/>
      <c r="N301" s="5" t="n"/>
      <c r="O301" s="5" t="n">
        <v>-957</v>
      </c>
      <c r="P301" s="5" t="n"/>
      <c r="Q301" s="5" t="n">
        <v>-957</v>
      </c>
      <c r="R301" s="5" t="n"/>
    </row>
    <row r="302">
      <c r="A302" s="2" t="inlineStr">
        <is>
          <t>EJ050124.TXT</t>
        </is>
      </c>
      <c r="B302" s="3" t="inlineStr">
        <is>
          <t>001433</t>
        </is>
      </c>
      <c r="C302" s="3" t="inlineStr">
        <is>
          <t>000909</t>
        </is>
      </c>
      <c r="D302" s="4" t="n">
        <v>45274</v>
      </c>
      <c r="E302" s="2" t="inlineStr">
        <is>
          <t>16:07</t>
        </is>
      </c>
      <c r="F302" s="5" t="n">
        <v>-124.17</v>
      </c>
      <c r="G302" s="5" t="n"/>
      <c r="H302" s="5" t="n"/>
      <c r="I302" s="5" t="n"/>
      <c r="J302" s="5" t="n">
        <v>-24.83</v>
      </c>
      <c r="K302" s="5" t="n"/>
      <c r="L302" s="5" t="n"/>
      <c r="M302" s="5" t="n"/>
      <c r="N302" s="5" t="n"/>
      <c r="O302" s="5" t="n">
        <v>-149</v>
      </c>
      <c r="P302" s="5" t="n"/>
      <c r="Q302" s="5" t="n">
        <v>-149</v>
      </c>
      <c r="R302" s="5" t="n"/>
    </row>
    <row r="303">
      <c r="A303" s="2" t="inlineStr">
        <is>
          <t>EJ050124.TXT</t>
        </is>
      </c>
      <c r="B303" s="3" t="inlineStr">
        <is>
          <t>001434</t>
        </is>
      </c>
      <c r="C303" s="3" t="inlineStr">
        <is>
          <t>000910</t>
        </is>
      </c>
      <c r="D303" s="4" t="n">
        <v>45275</v>
      </c>
      <c r="E303" s="2" t="inlineStr">
        <is>
          <t>11:02</t>
        </is>
      </c>
      <c r="F303" s="5" t="n">
        <v>-797.5</v>
      </c>
      <c r="G303" s="5" t="n"/>
      <c r="H303" s="5" t="n"/>
      <c r="I303" s="5" t="n"/>
      <c r="J303" s="5" t="n">
        <v>-159.5</v>
      </c>
      <c r="K303" s="5" t="n"/>
      <c r="L303" s="5" t="n"/>
      <c r="M303" s="5" t="n"/>
      <c r="N303" s="5" t="n"/>
      <c r="O303" s="5" t="n">
        <v>-957</v>
      </c>
      <c r="P303" s="5" t="n">
        <v>-957</v>
      </c>
      <c r="Q303" s="5" t="n"/>
      <c r="R303" s="5" t="n"/>
    </row>
    <row r="304">
      <c r="A304" s="2" t="inlineStr">
        <is>
          <t>EJ050124.TXT</t>
        </is>
      </c>
      <c r="B304" s="3" t="inlineStr">
        <is>
          <t>001435</t>
        </is>
      </c>
      <c r="C304" s="3" t="inlineStr">
        <is>
          <t>000911</t>
        </is>
      </c>
      <c r="D304" s="4" t="n">
        <v>45275</v>
      </c>
      <c r="E304" s="2" t="inlineStr">
        <is>
          <t>17:21</t>
        </is>
      </c>
      <c r="F304" s="5" t="n">
        <v>-548.33</v>
      </c>
      <c r="G304" s="5" t="n"/>
      <c r="H304" s="5" t="n"/>
      <c r="I304" s="5" t="n"/>
      <c r="J304" s="5" t="n">
        <v>-109.67</v>
      </c>
      <c r="K304" s="5" t="n"/>
      <c r="L304" s="5" t="n"/>
      <c r="M304" s="5" t="n"/>
      <c r="N304" s="5" t="n"/>
      <c r="O304" s="5" t="n">
        <v>-658</v>
      </c>
      <c r="P304" s="5" t="n">
        <v>-658</v>
      </c>
      <c r="Q304" s="5" t="n"/>
      <c r="R304" s="5" t="n"/>
    </row>
    <row r="305">
      <c r="A305" s="2" t="inlineStr">
        <is>
          <t>EJ050124.TXT</t>
        </is>
      </c>
      <c r="B305" s="3" t="inlineStr">
        <is>
          <t>001436</t>
        </is>
      </c>
      <c r="C305" s="3" t="inlineStr">
        <is>
          <t>000912</t>
        </is>
      </c>
      <c r="D305" s="4" t="n">
        <v>45276</v>
      </c>
      <c r="E305" s="2" t="inlineStr">
        <is>
          <t>15:24</t>
        </is>
      </c>
      <c r="F305" s="5" t="n">
        <v>-548.33</v>
      </c>
      <c r="G305" s="5" t="n"/>
      <c r="H305" s="5" t="n"/>
      <c r="I305" s="5" t="n"/>
      <c r="J305" s="5" t="n">
        <v>-109.67</v>
      </c>
      <c r="K305" s="5" t="n"/>
      <c r="L305" s="5" t="n"/>
      <c r="M305" s="5" t="n"/>
      <c r="N305" s="5" t="n"/>
      <c r="O305" s="5" t="n">
        <v>-658</v>
      </c>
      <c r="P305" s="5" t="n"/>
      <c r="Q305" s="5" t="n">
        <v>-658</v>
      </c>
      <c r="R305" s="5" t="n"/>
    </row>
    <row r="306">
      <c r="A306" s="2" t="inlineStr">
        <is>
          <t>EJ050124.TXT</t>
        </is>
      </c>
      <c r="B306" s="3" t="inlineStr">
        <is>
          <t>001437</t>
        </is>
      </c>
      <c r="C306" s="3" t="inlineStr">
        <is>
          <t>000913</t>
        </is>
      </c>
      <c r="D306" s="4" t="n">
        <v>45276</v>
      </c>
      <c r="E306" s="2" t="inlineStr">
        <is>
          <t>17:07</t>
        </is>
      </c>
      <c r="F306" s="5" t="n">
        <v>-82.5</v>
      </c>
      <c r="G306" s="5" t="n"/>
      <c r="H306" s="5" t="n"/>
      <c r="I306" s="5" t="n"/>
      <c r="J306" s="5" t="n">
        <v>-16.5</v>
      </c>
      <c r="K306" s="5" t="n"/>
      <c r="L306" s="5" t="n"/>
      <c r="M306" s="5" t="n"/>
      <c r="N306" s="5" t="n"/>
      <c r="O306" s="5" t="n">
        <v>-99</v>
      </c>
      <c r="P306" s="5" t="n">
        <v>-99</v>
      </c>
      <c r="Q306" s="5" t="n"/>
      <c r="R306" s="5" t="n"/>
    </row>
    <row r="307">
      <c r="A307" s="2" t="inlineStr">
        <is>
          <t>EJ050124.TXT</t>
        </is>
      </c>
      <c r="B307" s="3" t="inlineStr">
        <is>
          <t>001438</t>
        </is>
      </c>
      <c r="C307" s="3" t="inlineStr">
        <is>
          <t>000914</t>
        </is>
      </c>
      <c r="D307" s="4" t="n">
        <v>45278</v>
      </c>
      <c r="E307" s="2" t="inlineStr">
        <is>
          <t>11:34</t>
        </is>
      </c>
      <c r="F307" s="5" t="n">
        <v>-274.17</v>
      </c>
      <c r="G307" s="5" t="n"/>
      <c r="H307" s="5" t="n"/>
      <c r="I307" s="5" t="n"/>
      <c r="J307" s="5" t="n">
        <v>-54.83</v>
      </c>
      <c r="K307" s="5" t="n"/>
      <c r="L307" s="5" t="n"/>
      <c r="M307" s="5" t="n"/>
      <c r="N307" s="5" t="n"/>
      <c r="O307" s="5" t="n">
        <v>-329</v>
      </c>
      <c r="P307" s="5" t="n">
        <v>-329</v>
      </c>
      <c r="Q307" s="5" t="n"/>
      <c r="R307" s="5" t="n"/>
    </row>
    <row r="308">
      <c r="A308" s="2" t="inlineStr">
        <is>
          <t>EJ050124.TXT</t>
        </is>
      </c>
      <c r="B308" s="3" t="inlineStr">
        <is>
          <t>001439</t>
        </is>
      </c>
      <c r="C308" s="3" t="inlineStr">
        <is>
          <t>000915</t>
        </is>
      </c>
      <c r="D308" s="4" t="n">
        <v>45278</v>
      </c>
      <c r="E308" s="2" t="inlineStr">
        <is>
          <t>11:36</t>
        </is>
      </c>
      <c r="F308" s="5" t="n">
        <v>-274.17</v>
      </c>
      <c r="G308" s="5" t="n"/>
      <c r="H308" s="5" t="n"/>
      <c r="I308" s="5" t="n"/>
      <c r="J308" s="5" t="n">
        <v>-54.83</v>
      </c>
      <c r="K308" s="5" t="n"/>
      <c r="L308" s="5" t="n"/>
      <c r="M308" s="5" t="n"/>
      <c r="N308" s="5" t="n"/>
      <c r="O308" s="5" t="n">
        <v>-329</v>
      </c>
      <c r="P308" s="5" t="n">
        <v>-329</v>
      </c>
      <c r="Q308" s="5" t="n"/>
      <c r="R308" s="5" t="n"/>
    </row>
    <row r="309">
      <c r="A309" s="2" t="inlineStr">
        <is>
          <t>EJ050124.TXT</t>
        </is>
      </c>
      <c r="B309" s="3" t="inlineStr">
        <is>
          <t>001440</t>
        </is>
      </c>
      <c r="C309" s="3" t="inlineStr">
        <is>
          <t>000916</t>
        </is>
      </c>
      <c r="D309" s="4" t="n">
        <v>45279</v>
      </c>
      <c r="E309" s="2" t="inlineStr">
        <is>
          <t>16:04</t>
        </is>
      </c>
      <c r="F309" s="5" t="n">
        <v>-37.5</v>
      </c>
      <c r="G309" s="5" t="n"/>
      <c r="H309" s="5" t="n"/>
      <c r="I309" s="5" t="n"/>
      <c r="J309" s="5" t="n">
        <v>-7.5</v>
      </c>
      <c r="K309" s="5" t="n"/>
      <c r="L309" s="5" t="n"/>
      <c r="M309" s="5" t="n"/>
      <c r="N309" s="5" t="n"/>
      <c r="O309" s="5" t="n">
        <v>-45</v>
      </c>
      <c r="P309" s="5" t="n">
        <v>-45</v>
      </c>
      <c r="Q309" s="5" t="n"/>
      <c r="R309" s="5" t="n"/>
    </row>
    <row r="310">
      <c r="A310" s="2" t="inlineStr">
        <is>
          <t>EJ050124.TXT</t>
        </is>
      </c>
      <c r="B310" s="3" t="inlineStr">
        <is>
          <t>001441</t>
        </is>
      </c>
      <c r="C310" s="3" t="inlineStr">
        <is>
          <t>000917</t>
        </is>
      </c>
      <c r="D310" s="4" t="n">
        <v>45280</v>
      </c>
      <c r="E310" s="2" t="inlineStr">
        <is>
          <t>12:42</t>
        </is>
      </c>
      <c r="F310" s="5" t="n">
        <v>-274.17</v>
      </c>
      <c r="G310" s="5" t="n"/>
      <c r="H310" s="5" t="n"/>
      <c r="I310" s="5" t="n"/>
      <c r="J310" s="5" t="n">
        <v>-54.83</v>
      </c>
      <c r="K310" s="5" t="n"/>
      <c r="L310" s="5" t="n"/>
      <c r="M310" s="5" t="n"/>
      <c r="N310" s="5" t="n"/>
      <c r="O310" s="5" t="n">
        <v>-329</v>
      </c>
      <c r="P310" s="5" t="n">
        <v>-329</v>
      </c>
      <c r="Q310" s="5" t="n"/>
      <c r="R310" s="5" t="n"/>
    </row>
    <row r="311">
      <c r="A311" s="2" t="inlineStr">
        <is>
          <t>EJ050124.TXT</t>
        </is>
      </c>
      <c r="B311" s="3" t="inlineStr">
        <is>
          <t>001442</t>
        </is>
      </c>
      <c r="C311" s="3" t="inlineStr">
        <is>
          <t>000918</t>
        </is>
      </c>
      <c r="D311" s="4" t="n">
        <v>45280</v>
      </c>
      <c r="E311" s="2" t="inlineStr">
        <is>
          <t>12:50</t>
        </is>
      </c>
      <c r="F311" s="5" t="n">
        <v>-350</v>
      </c>
      <c r="G311" s="5" t="n"/>
      <c r="H311" s="5" t="n"/>
      <c r="I311" s="5" t="n"/>
      <c r="J311" s="5" t="n">
        <v>-70</v>
      </c>
      <c r="K311" s="5" t="n"/>
      <c r="L311" s="5" t="n"/>
      <c r="M311" s="5" t="n"/>
      <c r="N311" s="5" t="n"/>
      <c r="O311" s="5" t="n">
        <v>-420</v>
      </c>
      <c r="P311" s="5" t="n">
        <v>-420</v>
      </c>
      <c r="Q311" s="5" t="n"/>
      <c r="R311" s="5" t="n"/>
    </row>
    <row r="312">
      <c r="A312" s="2" t="inlineStr">
        <is>
          <t>EJ050124.TXT</t>
        </is>
      </c>
      <c r="B312" s="3" t="inlineStr">
        <is>
          <t>001443</t>
        </is>
      </c>
      <c r="C312" s="3" t="inlineStr">
        <is>
          <t>000919</t>
        </is>
      </c>
      <c r="D312" s="4" t="n">
        <v>45280</v>
      </c>
      <c r="E312" s="2" t="inlineStr">
        <is>
          <t>14:22</t>
        </is>
      </c>
      <c r="F312" s="5" t="n">
        <v>-54.17</v>
      </c>
      <c r="G312" s="5" t="n"/>
      <c r="H312" s="5" t="n"/>
      <c r="I312" s="5" t="n"/>
      <c r="J312" s="5" t="n">
        <v>-10.83</v>
      </c>
      <c r="K312" s="5" t="n"/>
      <c r="L312" s="5" t="n"/>
      <c r="M312" s="5" t="n"/>
      <c r="N312" s="5" t="n"/>
      <c r="O312" s="5" t="n">
        <v>-65</v>
      </c>
      <c r="P312" s="5" t="n">
        <v>-65</v>
      </c>
      <c r="Q312" s="5" t="n"/>
      <c r="R312" s="5" t="n"/>
    </row>
    <row r="313">
      <c r="A313" s="2" t="inlineStr">
        <is>
          <t>EJ050124.TXT</t>
        </is>
      </c>
      <c r="B313" s="3" t="inlineStr">
        <is>
          <t>001444</t>
        </is>
      </c>
      <c r="C313" s="3" t="inlineStr">
        <is>
          <t>000920</t>
        </is>
      </c>
      <c r="D313" s="4" t="n">
        <v>45280</v>
      </c>
      <c r="E313" s="2" t="inlineStr">
        <is>
          <t>16:51</t>
        </is>
      </c>
      <c r="F313" s="5" t="n">
        <v>-274.17</v>
      </c>
      <c r="G313" s="5" t="n"/>
      <c r="H313" s="5" t="n"/>
      <c r="I313" s="5" t="n"/>
      <c r="J313" s="5" t="n">
        <v>-54.83</v>
      </c>
      <c r="K313" s="5" t="n"/>
      <c r="L313" s="5" t="n"/>
      <c r="M313" s="5" t="n"/>
      <c r="N313" s="5" t="n"/>
      <c r="O313" s="5" t="n">
        <v>-329</v>
      </c>
      <c r="P313" s="5" t="n"/>
      <c r="Q313" s="5" t="n">
        <v>-329</v>
      </c>
      <c r="R313" s="5" t="n"/>
    </row>
    <row r="314">
      <c r="A314" s="2" t="inlineStr">
        <is>
          <t>EJ050124.TXT</t>
        </is>
      </c>
      <c r="B314" s="3" t="inlineStr">
        <is>
          <t>001445</t>
        </is>
      </c>
      <c r="C314" s="3" t="inlineStr">
        <is>
          <t>000921</t>
        </is>
      </c>
      <c r="D314" s="4" t="n">
        <v>45281</v>
      </c>
      <c r="E314" s="2" t="inlineStr">
        <is>
          <t>14:26</t>
        </is>
      </c>
      <c r="F314" s="5" t="n">
        <v>-548.33</v>
      </c>
      <c r="G314" s="5" t="n"/>
      <c r="H314" s="5" t="n"/>
      <c r="I314" s="5" t="n"/>
      <c r="J314" s="5" t="n">
        <v>-109.67</v>
      </c>
      <c r="K314" s="5" t="n"/>
      <c r="L314" s="5" t="n"/>
      <c r="M314" s="5" t="n"/>
      <c r="N314" s="5" t="n"/>
      <c r="O314" s="5" t="n">
        <v>-658</v>
      </c>
      <c r="P314" s="5" t="n"/>
      <c r="Q314" s="5" t="n">
        <v>-658</v>
      </c>
      <c r="R314" s="5" t="n"/>
    </row>
    <row r="315">
      <c r="A315" s="2" t="inlineStr">
        <is>
          <t>EJ050124.TXT</t>
        </is>
      </c>
      <c r="B315" s="3" t="inlineStr">
        <is>
          <t>001446</t>
        </is>
      </c>
      <c r="C315" s="3" t="inlineStr">
        <is>
          <t>000922</t>
        </is>
      </c>
      <c r="D315" s="4" t="n">
        <v>45281</v>
      </c>
      <c r="E315" s="2" t="inlineStr">
        <is>
          <t>14:27</t>
        </is>
      </c>
      <c r="F315" s="5" t="n">
        <v>-548.33</v>
      </c>
      <c r="G315" s="5" t="n"/>
      <c r="H315" s="5" t="n"/>
      <c r="I315" s="5" t="n"/>
      <c r="J315" s="5" t="n">
        <v>-109.67</v>
      </c>
      <c r="K315" s="5" t="n"/>
      <c r="L315" s="5" t="n"/>
      <c r="M315" s="5" t="n"/>
      <c r="N315" s="5" t="n"/>
      <c r="O315" s="5" t="n">
        <v>-658</v>
      </c>
      <c r="P315" s="5" t="n"/>
      <c r="Q315" s="5" t="n">
        <v>-658</v>
      </c>
      <c r="R315" s="5" t="n"/>
    </row>
    <row r="316">
      <c r="A316" s="2" t="inlineStr">
        <is>
          <t>EJ050124.TXT</t>
        </is>
      </c>
      <c r="B316" s="3" t="inlineStr">
        <is>
          <t>001447</t>
        </is>
      </c>
      <c r="C316" s="3" t="inlineStr">
        <is>
          <t>000923</t>
        </is>
      </c>
      <c r="D316" s="4" t="n">
        <v>45282</v>
      </c>
      <c r="E316" s="2" t="inlineStr">
        <is>
          <t>11:26</t>
        </is>
      </c>
      <c r="F316" s="5" t="n">
        <v>-548.33</v>
      </c>
      <c r="G316" s="5" t="n"/>
      <c r="H316" s="5" t="n"/>
      <c r="I316" s="5" t="n"/>
      <c r="J316" s="5" t="n">
        <v>-109.67</v>
      </c>
      <c r="K316" s="5" t="n"/>
      <c r="L316" s="5" t="n"/>
      <c r="M316" s="5" t="n"/>
      <c r="N316" s="5" t="n"/>
      <c r="O316" s="5" t="n">
        <v>-658</v>
      </c>
      <c r="P316" s="5" t="n"/>
      <c r="Q316" s="5" t="n">
        <v>-658</v>
      </c>
      <c r="R316" s="5" t="n"/>
    </row>
    <row r="317">
      <c r="A317" s="2" t="inlineStr">
        <is>
          <t>EJ050124.TXT</t>
        </is>
      </c>
      <c r="B317" s="3" t="inlineStr">
        <is>
          <t>001448</t>
        </is>
      </c>
      <c r="C317" s="3" t="inlineStr">
        <is>
          <t>000924</t>
        </is>
      </c>
      <c r="D317" s="4" t="n">
        <v>45282</v>
      </c>
      <c r="E317" s="2" t="inlineStr">
        <is>
          <t>15:41</t>
        </is>
      </c>
      <c r="F317" s="5" t="n">
        <v>-1645</v>
      </c>
      <c r="G317" s="5" t="n"/>
      <c r="H317" s="5" t="n"/>
      <c r="I317" s="5" t="n"/>
      <c r="J317" s="5" t="n">
        <v>-329</v>
      </c>
      <c r="K317" s="5" t="n"/>
      <c r="L317" s="5" t="n"/>
      <c r="M317" s="5" t="n"/>
      <c r="N317" s="5" t="n"/>
      <c r="O317" s="5" t="n">
        <v>-1974</v>
      </c>
      <c r="P317" s="5" t="n">
        <v>-1974</v>
      </c>
      <c r="Q317" s="5" t="n"/>
      <c r="R317" s="5" t="n"/>
    </row>
    <row r="318">
      <c r="A318" s="2" t="inlineStr">
        <is>
          <t>EJ050124.TXT</t>
        </is>
      </c>
      <c r="B318" s="3" t="inlineStr">
        <is>
          <t>001449</t>
        </is>
      </c>
      <c r="C318" s="3" t="inlineStr">
        <is>
          <t>000925</t>
        </is>
      </c>
      <c r="D318" s="4" t="n">
        <v>45282</v>
      </c>
      <c r="E318" s="2" t="inlineStr">
        <is>
          <t>15:57</t>
        </is>
      </c>
      <c r="F318" s="5" t="n">
        <v>-274.17</v>
      </c>
      <c r="G318" s="5" t="n"/>
      <c r="H318" s="5" t="n"/>
      <c r="I318" s="5" t="n"/>
      <c r="J318" s="5" t="n">
        <v>-54.83</v>
      </c>
      <c r="K318" s="5" t="n"/>
      <c r="L318" s="5" t="n"/>
      <c r="M318" s="5" t="n"/>
      <c r="N318" s="5" t="n"/>
      <c r="O318" s="5" t="n">
        <v>-329</v>
      </c>
      <c r="P318" s="5" t="n">
        <v>-329</v>
      </c>
      <c r="Q318" s="5" t="n"/>
      <c r="R318" s="5" t="n"/>
    </row>
    <row r="319">
      <c r="A319" s="2" t="inlineStr">
        <is>
          <t>EJ050124.TXT</t>
        </is>
      </c>
      <c r="B319" s="3" t="inlineStr">
        <is>
          <t>001450</t>
        </is>
      </c>
      <c r="C319" s="3" t="inlineStr">
        <is>
          <t>000926</t>
        </is>
      </c>
      <c r="D319" s="4" t="n">
        <v>45282</v>
      </c>
      <c r="E319" s="2" t="inlineStr">
        <is>
          <t>16:42</t>
        </is>
      </c>
      <c r="F319" s="5" t="n">
        <v>-37.5</v>
      </c>
      <c r="G319" s="5" t="n"/>
      <c r="H319" s="5" t="n"/>
      <c r="I319" s="5" t="n"/>
      <c r="J319" s="5" t="n">
        <v>-7.5</v>
      </c>
      <c r="K319" s="5" t="n"/>
      <c r="L319" s="5" t="n"/>
      <c r="M319" s="5" t="n"/>
      <c r="N319" s="5" t="n"/>
      <c r="O319" s="5" t="n">
        <v>-45</v>
      </c>
      <c r="P319" s="5" t="n"/>
      <c r="Q319" s="5" t="n">
        <v>-45</v>
      </c>
      <c r="R319" s="5" t="n"/>
    </row>
    <row r="320">
      <c r="A320" s="2" t="inlineStr">
        <is>
          <t>EJ050124.TXT</t>
        </is>
      </c>
      <c r="B320" s="3" t="inlineStr">
        <is>
          <t>001451</t>
        </is>
      </c>
      <c r="C320" s="3" t="inlineStr">
        <is>
          <t>000927</t>
        </is>
      </c>
      <c r="D320" s="4" t="n">
        <v>45286</v>
      </c>
      <c r="E320" s="2" t="inlineStr">
        <is>
          <t>15:13</t>
        </is>
      </c>
      <c r="F320" s="5" t="n">
        <v>-822.5</v>
      </c>
      <c r="G320" s="5" t="n"/>
      <c r="H320" s="5" t="n"/>
      <c r="I320" s="5" t="n"/>
      <c r="J320" s="5" t="n">
        <v>-164.5</v>
      </c>
      <c r="K320" s="5" t="n"/>
      <c r="L320" s="5" t="n"/>
      <c r="M320" s="5" t="n"/>
      <c r="N320" s="5" t="n"/>
      <c r="O320" s="5" t="n">
        <v>-987</v>
      </c>
      <c r="P320" s="5" t="n"/>
      <c r="Q320" s="5" t="n">
        <v>-987</v>
      </c>
      <c r="R320" s="5" t="n"/>
    </row>
    <row r="321">
      <c r="A321" s="2" t="inlineStr">
        <is>
          <t>EJ050124.TXT</t>
        </is>
      </c>
      <c r="B321" s="3" t="inlineStr">
        <is>
          <t>001452</t>
        </is>
      </c>
      <c r="C321" s="3" t="inlineStr">
        <is>
          <t>000928</t>
        </is>
      </c>
      <c r="D321" s="4" t="n">
        <v>45286</v>
      </c>
      <c r="E321" s="2" t="inlineStr">
        <is>
          <t>15:13</t>
        </is>
      </c>
      <c r="F321" s="5" t="n">
        <v>-274.17</v>
      </c>
      <c r="G321" s="5" t="n"/>
      <c r="H321" s="5" t="n"/>
      <c r="I321" s="5" t="n"/>
      <c r="J321" s="5" t="n">
        <v>-54.83</v>
      </c>
      <c r="K321" s="5" t="n"/>
      <c r="L321" s="5" t="n"/>
      <c r="M321" s="5" t="n"/>
      <c r="N321" s="5" t="n"/>
      <c r="O321" s="5" t="n">
        <v>-329</v>
      </c>
      <c r="P321" s="5" t="n"/>
      <c r="Q321" s="5" t="n">
        <v>-329</v>
      </c>
      <c r="R321" s="5" t="n"/>
    </row>
    <row r="322">
      <c r="A322" s="2" t="inlineStr">
        <is>
          <t>EJ050124.TXT</t>
        </is>
      </c>
      <c r="B322" s="3" t="inlineStr">
        <is>
          <t>001453</t>
        </is>
      </c>
      <c r="C322" s="3" t="inlineStr">
        <is>
          <t>000929</t>
        </is>
      </c>
      <c r="D322" s="4" t="n">
        <v>45286</v>
      </c>
      <c r="E322" s="2" t="inlineStr">
        <is>
          <t>15:16</t>
        </is>
      </c>
      <c r="F322" s="5" t="n">
        <v>-248.33</v>
      </c>
      <c r="G322" s="5" t="n"/>
      <c r="H322" s="5" t="n"/>
      <c r="I322" s="5" t="n"/>
      <c r="J322" s="5" t="n">
        <v>-49.67</v>
      </c>
      <c r="K322" s="5" t="n"/>
      <c r="L322" s="5" t="n"/>
      <c r="M322" s="5" t="n"/>
      <c r="N322" s="5" t="n"/>
      <c r="O322" s="5" t="n">
        <v>-298</v>
      </c>
      <c r="P322" s="5" t="n"/>
      <c r="Q322" s="5" t="n">
        <v>-298</v>
      </c>
      <c r="R322" s="5" t="n"/>
    </row>
    <row r="323">
      <c r="A323" s="2" t="inlineStr">
        <is>
          <t>EJ050124.TXT</t>
        </is>
      </c>
      <c r="B323" s="3" t="inlineStr">
        <is>
          <t>001454</t>
        </is>
      </c>
      <c r="C323" s="3" t="inlineStr">
        <is>
          <t>000930</t>
        </is>
      </c>
      <c r="D323" s="4" t="n">
        <v>45287</v>
      </c>
      <c r="E323" s="2" t="inlineStr">
        <is>
          <t>15:07</t>
        </is>
      </c>
      <c r="F323" s="5" t="n">
        <v>-548.33</v>
      </c>
      <c r="G323" s="5" t="n"/>
      <c r="H323" s="5" t="n"/>
      <c r="I323" s="5" t="n"/>
      <c r="J323" s="5" t="n">
        <v>-109.67</v>
      </c>
      <c r="K323" s="5" t="n"/>
      <c r="L323" s="5" t="n"/>
      <c r="M323" s="5" t="n"/>
      <c r="N323" s="5" t="n"/>
      <c r="O323" s="5" t="n">
        <v>-658</v>
      </c>
      <c r="P323" s="5" t="n"/>
      <c r="Q323" s="5" t="n">
        <v>-658</v>
      </c>
      <c r="R323" s="5" t="n"/>
    </row>
    <row r="324">
      <c r="A324" s="2" t="inlineStr">
        <is>
          <t>EJ050124.TXT</t>
        </is>
      </c>
      <c r="B324" s="3" t="inlineStr">
        <is>
          <t>001456</t>
        </is>
      </c>
      <c r="C324" s="3" t="inlineStr">
        <is>
          <t>000931</t>
        </is>
      </c>
      <c r="D324" s="4" t="n">
        <v>45289</v>
      </c>
      <c r="E324" s="2" t="inlineStr">
        <is>
          <t>10:55</t>
        </is>
      </c>
      <c r="F324" s="5" t="n">
        <v>-548.33</v>
      </c>
      <c r="G324" s="5" t="n"/>
      <c r="H324" s="5" t="n"/>
      <c r="I324" s="5" t="n"/>
      <c r="J324" s="5" t="n">
        <v>-109.67</v>
      </c>
      <c r="K324" s="5" t="n"/>
      <c r="L324" s="5" t="n"/>
      <c r="M324" s="5" t="n"/>
      <c r="N324" s="5" t="n"/>
      <c r="O324" s="5" t="n">
        <v>-658</v>
      </c>
      <c r="P324" s="5" t="n"/>
      <c r="Q324" s="5" t="n">
        <v>-658</v>
      </c>
      <c r="R324" s="5" t="n"/>
    </row>
    <row r="325">
      <c r="A325" s="2" t="inlineStr">
        <is>
          <t>EJ050124.TXT</t>
        </is>
      </c>
      <c r="B325" s="3" t="inlineStr">
        <is>
          <t>001457</t>
        </is>
      </c>
      <c r="C325" s="3" t="inlineStr">
        <is>
          <t>000932</t>
        </is>
      </c>
      <c r="D325" s="4" t="n">
        <v>45289</v>
      </c>
      <c r="E325" s="2" t="inlineStr">
        <is>
          <t>13:19</t>
        </is>
      </c>
      <c r="F325" s="5" t="n">
        <v>-548.33</v>
      </c>
      <c r="G325" s="5" t="n"/>
      <c r="H325" s="5" t="n"/>
      <c r="I325" s="5" t="n"/>
      <c r="J325" s="5" t="n">
        <v>-109.67</v>
      </c>
      <c r="K325" s="5" t="n"/>
      <c r="L325" s="5" t="n"/>
      <c r="M325" s="5" t="n"/>
      <c r="N325" s="5" t="n"/>
      <c r="O325" s="5" t="n">
        <v>-658</v>
      </c>
      <c r="P325" s="5" t="n"/>
      <c r="Q325" s="5" t="n">
        <v>-658</v>
      </c>
      <c r="R325" s="5" t="n"/>
    </row>
    <row r="326">
      <c r="A326" s="2" t="inlineStr">
        <is>
          <t>EJ050124.TXT</t>
        </is>
      </c>
      <c r="B326" s="3" t="inlineStr">
        <is>
          <t>001458</t>
        </is>
      </c>
      <c r="C326" s="3" t="inlineStr">
        <is>
          <t>000933</t>
        </is>
      </c>
      <c r="D326" s="4" t="n">
        <v>45289</v>
      </c>
      <c r="E326" s="2" t="inlineStr">
        <is>
          <t>13:31</t>
        </is>
      </c>
      <c r="F326" s="5" t="n">
        <v>-566.67</v>
      </c>
      <c r="G326" s="5" t="n"/>
      <c r="H326" s="5" t="n"/>
      <c r="I326" s="5" t="n"/>
      <c r="J326" s="5" t="n">
        <v>-113.33</v>
      </c>
      <c r="K326" s="5" t="n"/>
      <c r="L326" s="5" t="n"/>
      <c r="M326" s="5" t="n"/>
      <c r="N326" s="5" t="n"/>
      <c r="O326" s="5" t="n">
        <v>-680</v>
      </c>
      <c r="P326" s="5" t="n"/>
      <c r="Q326" s="5" t="n">
        <v>-680</v>
      </c>
      <c r="R326" s="5" t="n"/>
    </row>
    <row r="327">
      <c r="A327" s="2" t="inlineStr">
        <is>
          <t>EJ050124.TXT</t>
        </is>
      </c>
      <c r="B327" s="3" t="inlineStr">
        <is>
          <t>001459</t>
        </is>
      </c>
      <c r="C327" s="3" t="inlineStr">
        <is>
          <t>000934</t>
        </is>
      </c>
      <c r="D327" s="4" t="n">
        <v>45290</v>
      </c>
      <c r="E327" s="2" t="inlineStr">
        <is>
          <t>14:35</t>
        </is>
      </c>
      <c r="F327" s="5" t="n">
        <v>-199.17</v>
      </c>
      <c r="G327" s="5" t="n"/>
      <c r="H327" s="5" t="n"/>
      <c r="I327" s="5" t="n"/>
      <c r="J327" s="5" t="n">
        <v>-39.83</v>
      </c>
      <c r="K327" s="5" t="n"/>
      <c r="L327" s="5" t="n"/>
      <c r="M327" s="5" t="n"/>
      <c r="N327" s="5" t="n"/>
      <c r="O327" s="5" t="n">
        <v>-239</v>
      </c>
      <c r="P327" s="5" t="n"/>
      <c r="Q327" s="5" t="n">
        <v>-239</v>
      </c>
      <c r="R327" s="5" t="n"/>
    </row>
    <row r="328">
      <c r="A328" s="2" t="inlineStr">
        <is>
          <t>EJ050124.TXT</t>
        </is>
      </c>
      <c r="B328" s="3" t="inlineStr">
        <is>
          <t>001460</t>
        </is>
      </c>
      <c r="C328" s="3" t="inlineStr">
        <is>
          <t>000935</t>
        </is>
      </c>
      <c r="D328" s="4" t="n">
        <v>45290</v>
      </c>
      <c r="E328" s="2" t="inlineStr">
        <is>
          <t>15:43</t>
        </is>
      </c>
      <c r="F328" s="5" t="n">
        <v>-548.33</v>
      </c>
      <c r="G328" s="5" t="n"/>
      <c r="H328" s="5" t="n"/>
      <c r="I328" s="5" t="n"/>
      <c r="J328" s="5" t="n">
        <v>-109.67</v>
      </c>
      <c r="K328" s="5" t="n"/>
      <c r="L328" s="5" t="n"/>
      <c r="M328" s="5" t="n"/>
      <c r="N328" s="5" t="n"/>
      <c r="O328" s="5" t="n">
        <v>-658</v>
      </c>
      <c r="P328" s="5" t="n"/>
      <c r="Q328" s="5" t="n">
        <v>-658</v>
      </c>
      <c r="R328" s="5" t="n"/>
    </row>
    <row r="329">
      <c r="A329" s="2" t="inlineStr">
        <is>
          <t>EJ050124.TXT</t>
        </is>
      </c>
      <c r="B329" s="3" t="inlineStr">
        <is>
          <t>001461</t>
        </is>
      </c>
      <c r="C329" s="3" t="inlineStr">
        <is>
          <t>000936</t>
        </is>
      </c>
      <c r="D329" s="4" t="n">
        <v>45290</v>
      </c>
      <c r="E329" s="2" t="inlineStr">
        <is>
          <t>17:01</t>
        </is>
      </c>
      <c r="F329" s="5" t="n">
        <v>-797.5</v>
      </c>
      <c r="G329" s="5" t="n"/>
      <c r="H329" s="5" t="n"/>
      <c r="I329" s="5" t="n"/>
      <c r="J329" s="5" t="n">
        <v>-159.5</v>
      </c>
      <c r="K329" s="5" t="n"/>
      <c r="L329" s="5" t="n"/>
      <c r="M329" s="5" t="n"/>
      <c r="N329" s="5" t="n"/>
      <c r="O329" s="5" t="n">
        <v>-957</v>
      </c>
      <c r="P329" s="5" t="n"/>
      <c r="Q329" s="5" t="n">
        <v>-957</v>
      </c>
      <c r="R329" s="5" t="n"/>
    </row>
    <row r="330">
      <c r="A330" s="2" t="inlineStr">
        <is>
          <t>EJ050124.TXT</t>
        </is>
      </c>
      <c r="B330" s="3" t="inlineStr">
        <is>
          <t>001462</t>
        </is>
      </c>
      <c r="C330" s="3" t="inlineStr">
        <is>
          <t>000937</t>
        </is>
      </c>
      <c r="D330" s="4" t="n">
        <v>45290</v>
      </c>
      <c r="E330" s="2" t="inlineStr">
        <is>
          <t>17:02</t>
        </is>
      </c>
      <c r="F330" s="5" t="n">
        <v>-797.5</v>
      </c>
      <c r="G330" s="5" t="n"/>
      <c r="H330" s="5" t="n"/>
      <c r="I330" s="5" t="n"/>
      <c r="J330" s="5" t="n">
        <v>-159.5</v>
      </c>
      <c r="K330" s="5" t="n"/>
      <c r="L330" s="5" t="n"/>
      <c r="M330" s="5" t="n"/>
      <c r="N330" s="5" t="n"/>
      <c r="O330" s="5" t="n">
        <v>-957</v>
      </c>
      <c r="P330" s="5" t="n"/>
      <c r="Q330" s="5" t="n">
        <v>-957</v>
      </c>
      <c r="R330" s="5" t="n"/>
    </row>
    <row r="331">
      <c r="A331" s="2" t="inlineStr">
        <is>
          <t>EJ050124.TXT</t>
        </is>
      </c>
      <c r="B331" s="3" t="inlineStr">
        <is>
          <t>001465</t>
        </is>
      </c>
      <c r="C331" s="3" t="inlineStr">
        <is>
          <t>000938</t>
        </is>
      </c>
      <c r="D331" s="4" t="n">
        <v>45295</v>
      </c>
      <c r="E331" s="2" t="inlineStr">
        <is>
          <t>17:15</t>
        </is>
      </c>
      <c r="F331" s="5" t="n">
        <v>-146.67</v>
      </c>
      <c r="G331" s="5" t="n"/>
      <c r="H331" s="5" t="n"/>
      <c r="I331" s="5" t="n"/>
      <c r="J331" s="5" t="n">
        <v>-29.33</v>
      </c>
      <c r="K331" s="5" t="n"/>
      <c r="L331" s="5" t="n"/>
      <c r="M331" s="5" t="n"/>
      <c r="N331" s="5" t="n"/>
      <c r="O331" s="5" t="n">
        <v>-176</v>
      </c>
      <c r="P331" s="5" t="n">
        <v>-176</v>
      </c>
      <c r="Q331" s="5" t="n"/>
      <c r="R331" s="5" t="n"/>
    </row>
    <row r="332">
      <c r="A332" s="2" t="inlineStr">
        <is>
          <t>EJ010224.TXT</t>
        </is>
      </c>
      <c r="B332" s="3" t="inlineStr">
        <is>
          <t>001473</t>
        </is>
      </c>
      <c r="C332" s="3" t="inlineStr">
        <is>
          <t>000939</t>
        </is>
      </c>
      <c r="D332" s="4" t="n">
        <v>45297</v>
      </c>
      <c r="E332" s="2" t="inlineStr">
        <is>
          <t>14:08</t>
        </is>
      </c>
      <c r="F332" s="5" t="n">
        <v>274.17</v>
      </c>
      <c r="G332" s="5" t="n"/>
      <c r="H332" s="5" t="n"/>
      <c r="I332" s="5" t="n"/>
      <c r="J332" s="5" t="n">
        <v>54.83</v>
      </c>
      <c r="K332" s="5" t="n"/>
      <c r="L332" s="5" t="n"/>
      <c r="M332" s="5" t="n"/>
      <c r="N332" s="5" t="n"/>
      <c r="O332" s="5" t="n">
        <v>329</v>
      </c>
      <c r="P332" s="5" t="n"/>
      <c r="Q332" s="5" t="n">
        <v>329</v>
      </c>
      <c r="R332" s="5" t="n"/>
    </row>
    <row r="333">
      <c r="A333" s="2" t="inlineStr">
        <is>
          <t>EJ010224.TXT</t>
        </is>
      </c>
      <c r="B333" s="3" t="inlineStr">
        <is>
          <t>001475</t>
        </is>
      </c>
      <c r="C333" s="3" t="inlineStr">
        <is>
          <t>000940</t>
        </is>
      </c>
      <c r="D333" s="4" t="n">
        <v>45300</v>
      </c>
      <c r="E333" s="2" t="inlineStr">
        <is>
          <t>11:25</t>
        </is>
      </c>
      <c r="F333" s="5" t="n">
        <v>124.17</v>
      </c>
      <c r="G333" s="5" t="n"/>
      <c r="H333" s="5" t="n"/>
      <c r="I333" s="5" t="n"/>
      <c r="J333" s="5" t="n">
        <v>24.83</v>
      </c>
      <c r="K333" s="5" t="n"/>
      <c r="L333" s="5" t="n"/>
      <c r="M333" s="5" t="n"/>
      <c r="N333" s="5" t="n"/>
      <c r="O333" s="5" t="n">
        <v>149</v>
      </c>
      <c r="P333" s="5" t="n">
        <v>149</v>
      </c>
      <c r="Q333" s="5" t="n"/>
      <c r="R333" s="5" t="n"/>
    </row>
    <row r="334">
      <c r="A334" s="2" t="inlineStr">
        <is>
          <t>EJ010224.TXT</t>
        </is>
      </c>
      <c r="B334" s="3" t="inlineStr">
        <is>
          <t>001476</t>
        </is>
      </c>
      <c r="C334" s="3" t="inlineStr">
        <is>
          <t>000941</t>
        </is>
      </c>
      <c r="D334" s="4" t="n">
        <v>45300</v>
      </c>
      <c r="E334" s="2" t="inlineStr">
        <is>
          <t>12:16</t>
        </is>
      </c>
      <c r="F334" s="5" t="n">
        <v>548.33</v>
      </c>
      <c r="G334" s="5" t="n"/>
      <c r="H334" s="5" t="n"/>
      <c r="I334" s="5" t="n"/>
      <c r="J334" s="5" t="n">
        <v>109.67</v>
      </c>
      <c r="K334" s="5" t="n"/>
      <c r="L334" s="5" t="n"/>
      <c r="M334" s="5" t="n"/>
      <c r="N334" s="5" t="n"/>
      <c r="O334" s="5" t="n">
        <v>658</v>
      </c>
      <c r="P334" s="5" t="n">
        <v>658</v>
      </c>
      <c r="Q334" s="5" t="n"/>
      <c r="R334" s="5" t="n"/>
    </row>
    <row r="335">
      <c r="A335" s="2" t="inlineStr">
        <is>
          <t>EJ010224.TXT</t>
        </is>
      </c>
      <c r="B335" s="3" t="inlineStr">
        <is>
          <t>001477</t>
        </is>
      </c>
      <c r="C335" s="3" t="inlineStr">
        <is>
          <t>000942</t>
        </is>
      </c>
      <c r="D335" s="4" t="n">
        <v>45302</v>
      </c>
      <c r="E335" s="2" t="inlineStr">
        <is>
          <t>13:05</t>
        </is>
      </c>
      <c r="F335" s="5" t="n">
        <v>1913.33</v>
      </c>
      <c r="G335" s="5" t="n"/>
      <c r="H335" s="5" t="n"/>
      <c r="I335" s="5" t="n"/>
      <c r="J335" s="5" t="n">
        <v>382.67</v>
      </c>
      <c r="K335" s="5" t="n"/>
      <c r="L335" s="5" t="n"/>
      <c r="M335" s="5" t="n"/>
      <c r="N335" s="5" t="n"/>
      <c r="O335" s="5" t="n">
        <v>2296</v>
      </c>
      <c r="P335" s="5" t="n">
        <v>2296</v>
      </c>
      <c r="Q335" s="5" t="n"/>
      <c r="R335" s="5" t="n"/>
    </row>
    <row r="336">
      <c r="A336" s="2" t="inlineStr">
        <is>
          <t>EJ010224.TXT</t>
        </is>
      </c>
      <c r="B336" s="3" t="inlineStr">
        <is>
          <t>001478</t>
        </is>
      </c>
      <c r="C336" s="3" t="inlineStr">
        <is>
          <t>000943</t>
        </is>
      </c>
      <c r="D336" s="4" t="n">
        <v>45302</v>
      </c>
      <c r="E336" s="2" t="inlineStr">
        <is>
          <t>13:46</t>
        </is>
      </c>
      <c r="F336" s="5" t="n">
        <v>1296.67</v>
      </c>
      <c r="G336" s="5" t="n"/>
      <c r="H336" s="5" t="n"/>
      <c r="I336" s="5" t="n"/>
      <c r="J336" s="5" t="n">
        <v>259.33</v>
      </c>
      <c r="K336" s="5" t="n"/>
      <c r="L336" s="5" t="n"/>
      <c r="M336" s="5" t="n"/>
      <c r="N336" s="5" t="n"/>
      <c r="O336" s="5" t="n">
        <v>1556</v>
      </c>
      <c r="P336" s="5" t="n">
        <v>1556</v>
      </c>
      <c r="Q336" s="5" t="n"/>
      <c r="R336" s="5" t="n"/>
    </row>
    <row r="337">
      <c r="A337" s="2" t="inlineStr">
        <is>
          <t>EJ010224.TXT</t>
        </is>
      </c>
      <c r="B337" s="3" t="inlineStr">
        <is>
          <t>001479</t>
        </is>
      </c>
      <c r="C337" s="3" t="inlineStr">
        <is>
          <t>000944</t>
        </is>
      </c>
      <c r="D337" s="4" t="n">
        <v>45302</v>
      </c>
      <c r="E337" s="2" t="inlineStr">
        <is>
          <t>15:37</t>
        </is>
      </c>
      <c r="F337" s="5" t="n">
        <v>29.08</v>
      </c>
      <c r="G337" s="5" t="n"/>
      <c r="H337" s="5" t="n"/>
      <c r="I337" s="5" t="n"/>
      <c r="J337" s="5" t="n">
        <v>5.82</v>
      </c>
      <c r="K337" s="5" t="n"/>
      <c r="L337" s="5" t="n"/>
      <c r="M337" s="5" t="n"/>
      <c r="N337" s="5" t="n"/>
      <c r="O337" s="5" t="n">
        <v>34.9</v>
      </c>
      <c r="P337" s="5" t="n">
        <v>34.9</v>
      </c>
      <c r="Q337" s="5" t="n"/>
      <c r="R337" s="5" t="n"/>
    </row>
    <row r="338">
      <c r="A338" s="2" t="inlineStr">
        <is>
          <t>EJ010224.TXT</t>
        </is>
      </c>
      <c r="B338" s="3" t="inlineStr">
        <is>
          <t>001480</t>
        </is>
      </c>
      <c r="C338" s="3" t="inlineStr">
        <is>
          <t>000945</t>
        </is>
      </c>
      <c r="D338" s="4" t="n">
        <v>45303</v>
      </c>
      <c r="E338" s="2" t="inlineStr">
        <is>
          <t>16:31</t>
        </is>
      </c>
      <c r="F338" s="5" t="n">
        <v>90.83</v>
      </c>
      <c r="G338" s="5" t="n"/>
      <c r="H338" s="5" t="n"/>
      <c r="I338" s="5" t="n"/>
      <c r="J338" s="5" t="n">
        <v>18.17</v>
      </c>
      <c r="K338" s="5" t="n"/>
      <c r="L338" s="5" t="n"/>
      <c r="M338" s="5" t="n"/>
      <c r="N338" s="5" t="n"/>
      <c r="O338" s="5" t="n">
        <v>109</v>
      </c>
      <c r="P338" s="5" t="n"/>
      <c r="Q338" s="5" t="n">
        <v>109</v>
      </c>
      <c r="R338" s="5" t="n"/>
    </row>
    <row r="339">
      <c r="A339" s="2" t="inlineStr">
        <is>
          <t>EJ010224.TXT</t>
        </is>
      </c>
      <c r="B339" s="3" t="inlineStr">
        <is>
          <t>001481</t>
        </is>
      </c>
      <c r="C339" s="3" t="inlineStr">
        <is>
          <t>000946</t>
        </is>
      </c>
      <c r="D339" s="4" t="n">
        <v>45303</v>
      </c>
      <c r="E339" s="2" t="inlineStr">
        <is>
          <t>17:05</t>
        </is>
      </c>
      <c r="F339" s="5" t="n">
        <v>548.33</v>
      </c>
      <c r="G339" s="5" t="n"/>
      <c r="H339" s="5" t="n"/>
      <c r="I339" s="5" t="n"/>
      <c r="J339" s="5" t="n">
        <v>109.67</v>
      </c>
      <c r="K339" s="5" t="n"/>
      <c r="L339" s="5" t="n"/>
      <c r="M339" s="5" t="n"/>
      <c r="N339" s="5" t="n"/>
      <c r="O339" s="5" t="n">
        <v>658</v>
      </c>
      <c r="P339" s="5" t="n">
        <v>658</v>
      </c>
      <c r="Q339" s="5" t="n"/>
      <c r="R339" s="5" t="n"/>
    </row>
    <row r="340">
      <c r="A340" s="2" t="inlineStr">
        <is>
          <t>EJ010224.TXT</t>
        </is>
      </c>
      <c r="B340" s="3" t="inlineStr">
        <is>
          <t>001482</t>
        </is>
      </c>
      <c r="C340" s="3" t="inlineStr">
        <is>
          <t>000947</t>
        </is>
      </c>
      <c r="D340" s="4" t="n">
        <v>45303</v>
      </c>
      <c r="E340" s="2" t="inlineStr">
        <is>
          <t>17:14</t>
        </is>
      </c>
      <c r="F340" s="5" t="n">
        <v>548.33</v>
      </c>
      <c r="G340" s="5" t="n"/>
      <c r="H340" s="5" t="n"/>
      <c r="I340" s="5" t="n"/>
      <c r="J340" s="5" t="n">
        <v>109.67</v>
      </c>
      <c r="K340" s="5" t="n"/>
      <c r="L340" s="5" t="n"/>
      <c r="M340" s="5" t="n"/>
      <c r="N340" s="5" t="n"/>
      <c r="O340" s="5" t="n">
        <v>658</v>
      </c>
      <c r="P340" s="5" t="n">
        <v>658</v>
      </c>
      <c r="Q340" s="5" t="n"/>
      <c r="R340" s="5" t="n"/>
    </row>
    <row r="341">
      <c r="A341" s="2" t="inlineStr">
        <is>
          <t>EJ010224.TXT</t>
        </is>
      </c>
      <c r="B341" s="3" t="inlineStr">
        <is>
          <t>001484</t>
        </is>
      </c>
      <c r="C341" s="3" t="inlineStr">
        <is>
          <t>000948</t>
        </is>
      </c>
      <c r="D341" s="4" t="n">
        <v>45309</v>
      </c>
      <c r="E341" s="2" t="inlineStr">
        <is>
          <t>14:04</t>
        </is>
      </c>
      <c r="F341" s="5" t="n">
        <v>1732.5</v>
      </c>
      <c r="G341" s="5" t="n"/>
      <c r="H341" s="5" t="n"/>
      <c r="I341" s="5" t="n"/>
      <c r="J341" s="5" t="n">
        <v>346.5</v>
      </c>
      <c r="K341" s="5" t="n"/>
      <c r="L341" s="5" t="n"/>
      <c r="M341" s="5" t="n"/>
      <c r="N341" s="5" t="n"/>
      <c r="O341" s="5" t="n">
        <v>2079</v>
      </c>
      <c r="P341" s="5" t="n">
        <v>2079</v>
      </c>
      <c r="Q341" s="5" t="n"/>
      <c r="R341" s="5" t="n"/>
    </row>
    <row r="342">
      <c r="A342" s="2" t="inlineStr">
        <is>
          <t>EJ010224.TXT</t>
        </is>
      </c>
      <c r="B342" s="3" t="inlineStr">
        <is>
          <t>001485</t>
        </is>
      </c>
      <c r="C342" s="3" t="inlineStr">
        <is>
          <t>000949</t>
        </is>
      </c>
      <c r="D342" s="4" t="n">
        <v>45310</v>
      </c>
      <c r="E342" s="2" t="inlineStr">
        <is>
          <t>12:41</t>
        </is>
      </c>
      <c r="F342" s="5" t="n">
        <v>3200</v>
      </c>
      <c r="G342" s="5" t="n"/>
      <c r="H342" s="5" t="n"/>
      <c r="I342" s="5" t="n"/>
      <c r="J342" s="5" t="n">
        <v>640</v>
      </c>
      <c r="K342" s="5" t="n"/>
      <c r="L342" s="5" t="n"/>
      <c r="M342" s="5" t="n"/>
      <c r="N342" s="5" t="n"/>
      <c r="O342" s="5" t="n">
        <v>3840</v>
      </c>
      <c r="P342" s="5" t="n">
        <v>3840</v>
      </c>
      <c r="Q342" s="5" t="n"/>
      <c r="R342" s="5" t="n"/>
    </row>
    <row r="343">
      <c r="A343" s="2" t="inlineStr">
        <is>
          <t>EJ010224.TXT</t>
        </is>
      </c>
      <c r="B343" s="3" t="inlineStr">
        <is>
          <t>001486</t>
        </is>
      </c>
      <c r="C343" s="3" t="inlineStr">
        <is>
          <t>000950</t>
        </is>
      </c>
      <c r="D343" s="4" t="n">
        <v>45310</v>
      </c>
      <c r="E343" s="2" t="inlineStr">
        <is>
          <t>12:41</t>
        </is>
      </c>
      <c r="F343" s="5" t="n">
        <v>1066.67</v>
      </c>
      <c r="G343" s="5" t="n"/>
      <c r="H343" s="5" t="n"/>
      <c r="I343" s="5" t="n"/>
      <c r="J343" s="5" t="n">
        <v>213.33</v>
      </c>
      <c r="K343" s="5" t="n"/>
      <c r="L343" s="5" t="n"/>
      <c r="M343" s="5" t="n"/>
      <c r="N343" s="5" t="n"/>
      <c r="O343" s="5" t="n">
        <v>1280</v>
      </c>
      <c r="P343" s="5" t="n">
        <v>1280</v>
      </c>
      <c r="Q343" s="5" t="n"/>
      <c r="R343" s="5" t="n"/>
    </row>
    <row r="344">
      <c r="A344" s="2" t="inlineStr">
        <is>
          <t>EJ010224.TXT</t>
        </is>
      </c>
      <c r="B344" s="3" t="inlineStr">
        <is>
          <t>001487</t>
        </is>
      </c>
      <c r="C344" s="3" t="inlineStr">
        <is>
          <t>000951</t>
        </is>
      </c>
      <c r="D344" s="4" t="n">
        <v>45310</v>
      </c>
      <c r="E344" s="2" t="inlineStr">
        <is>
          <t>13:59</t>
        </is>
      </c>
      <c r="F344" s="5" t="n">
        <v>57.5</v>
      </c>
      <c r="G344" s="5" t="n"/>
      <c r="H344" s="5" t="n"/>
      <c r="I344" s="5" t="n"/>
      <c r="J344" s="5" t="n">
        <v>11.5</v>
      </c>
      <c r="K344" s="5" t="n"/>
      <c r="L344" s="5" t="n"/>
      <c r="M344" s="5" t="n"/>
      <c r="N344" s="5" t="n"/>
      <c r="O344" s="5" t="n">
        <v>69</v>
      </c>
      <c r="P344" s="5" t="n">
        <v>69</v>
      </c>
      <c r="Q344" s="5" t="n"/>
      <c r="R344" s="5" t="n"/>
    </row>
    <row r="345">
      <c r="A345" s="2" t="inlineStr">
        <is>
          <t>EJ010224.TXT</t>
        </is>
      </c>
      <c r="B345" s="3" t="inlineStr">
        <is>
          <t>001488</t>
        </is>
      </c>
      <c r="C345" s="3" t="inlineStr">
        <is>
          <t>000952</t>
        </is>
      </c>
      <c r="D345" s="4" t="n">
        <v>45311</v>
      </c>
      <c r="E345" s="2" t="inlineStr">
        <is>
          <t>14:59</t>
        </is>
      </c>
      <c r="F345" s="5" t="n">
        <v>548.33</v>
      </c>
      <c r="G345" s="5" t="n"/>
      <c r="H345" s="5" t="n"/>
      <c r="I345" s="5" t="n"/>
      <c r="J345" s="5" t="n">
        <v>109.67</v>
      </c>
      <c r="K345" s="5" t="n"/>
      <c r="L345" s="5" t="n"/>
      <c r="M345" s="5" t="n"/>
      <c r="N345" s="5" t="n"/>
      <c r="O345" s="5" t="n">
        <v>658</v>
      </c>
      <c r="P345" s="5" t="n">
        <v>658</v>
      </c>
      <c r="Q345" s="5" t="n"/>
      <c r="R345" s="5" t="n"/>
    </row>
    <row r="346">
      <c r="A346" s="2" t="inlineStr">
        <is>
          <t>EJ010224.TXT</t>
        </is>
      </c>
      <c r="B346" s="3" t="inlineStr">
        <is>
          <t>001489</t>
        </is>
      </c>
      <c r="C346" s="3" t="inlineStr">
        <is>
          <t>000953</t>
        </is>
      </c>
      <c r="D346" s="4" t="n">
        <v>45311</v>
      </c>
      <c r="E346" s="2" t="inlineStr">
        <is>
          <t>15:19</t>
        </is>
      </c>
      <c r="F346" s="5" t="n">
        <v>82.5</v>
      </c>
      <c r="G346" s="5" t="n"/>
      <c r="H346" s="5" t="n"/>
      <c r="I346" s="5" t="n"/>
      <c r="J346" s="5" t="n">
        <v>16.5</v>
      </c>
      <c r="K346" s="5" t="n"/>
      <c r="L346" s="5" t="n"/>
      <c r="M346" s="5" t="n"/>
      <c r="N346" s="5" t="n"/>
      <c r="O346" s="5" t="n">
        <v>99</v>
      </c>
      <c r="P346" s="5" t="n">
        <v>99</v>
      </c>
      <c r="Q346" s="5" t="n"/>
      <c r="R346" s="5" t="n"/>
    </row>
    <row r="347">
      <c r="A347" s="2" t="inlineStr">
        <is>
          <t>EJ010224.TXT</t>
        </is>
      </c>
      <c r="B347" s="3" t="inlineStr">
        <is>
          <t>001490</t>
        </is>
      </c>
      <c r="C347" s="3" t="inlineStr">
        <is>
          <t>000954</t>
        </is>
      </c>
      <c r="D347" s="4" t="n">
        <v>45311</v>
      </c>
      <c r="E347" s="2" t="inlineStr">
        <is>
          <t>17:16</t>
        </is>
      </c>
      <c r="F347" s="5" t="n">
        <v>274.17</v>
      </c>
      <c r="G347" s="5" t="n"/>
      <c r="H347" s="5" t="n"/>
      <c r="I347" s="5" t="n"/>
      <c r="J347" s="5" t="n">
        <v>54.83</v>
      </c>
      <c r="K347" s="5" t="n"/>
      <c r="L347" s="5" t="n"/>
      <c r="M347" s="5" t="n"/>
      <c r="N347" s="5" t="n"/>
      <c r="O347" s="5" t="n">
        <v>329</v>
      </c>
      <c r="P347" s="5" t="n">
        <v>329</v>
      </c>
      <c r="Q347" s="5" t="n"/>
      <c r="R347" s="5" t="n"/>
    </row>
    <row r="348">
      <c r="A348" s="2" t="inlineStr">
        <is>
          <t>EJ010224.TXT</t>
        </is>
      </c>
      <c r="B348" s="3" t="inlineStr">
        <is>
          <t>001491</t>
        </is>
      </c>
      <c r="C348" s="3" t="inlineStr">
        <is>
          <t>000955</t>
        </is>
      </c>
      <c r="D348" s="4" t="n">
        <v>45314</v>
      </c>
      <c r="E348" s="2" t="inlineStr">
        <is>
          <t>14:49</t>
        </is>
      </c>
      <c r="F348" s="5" t="n">
        <v>124.17</v>
      </c>
      <c r="G348" s="5" t="n"/>
      <c r="H348" s="5" t="n"/>
      <c r="I348" s="5" t="n"/>
      <c r="J348" s="5" t="n">
        <v>24.83</v>
      </c>
      <c r="K348" s="5" t="n"/>
      <c r="L348" s="5" t="n"/>
      <c r="M348" s="5" t="n"/>
      <c r="N348" s="5" t="n"/>
      <c r="O348" s="5" t="n">
        <v>149</v>
      </c>
      <c r="P348" s="5" t="n">
        <v>94</v>
      </c>
      <c r="Q348" s="5" t="n">
        <v>55</v>
      </c>
      <c r="R348" s="5" t="n"/>
    </row>
    <row r="349">
      <c r="A349" s="2" t="inlineStr">
        <is>
          <t>EJ010224.TXT</t>
        </is>
      </c>
      <c r="B349" s="3" t="inlineStr">
        <is>
          <t>001492</t>
        </is>
      </c>
      <c r="C349" s="3" t="inlineStr">
        <is>
          <t>000956</t>
        </is>
      </c>
      <c r="D349" s="4" t="n">
        <v>45317</v>
      </c>
      <c r="E349" s="2" t="inlineStr">
        <is>
          <t>16:10</t>
        </is>
      </c>
      <c r="F349" s="5" t="n">
        <v>822.5</v>
      </c>
      <c r="G349" s="5" t="n"/>
      <c r="H349" s="5" t="n"/>
      <c r="I349" s="5" t="n"/>
      <c r="J349" s="5" t="n">
        <v>164.5</v>
      </c>
      <c r="K349" s="5" t="n"/>
      <c r="L349" s="5" t="n"/>
      <c r="M349" s="5" t="n"/>
      <c r="N349" s="5" t="n"/>
      <c r="O349" s="5" t="n">
        <v>987</v>
      </c>
      <c r="P349" s="5" t="n">
        <v>987</v>
      </c>
      <c r="Q349" s="5" t="n"/>
      <c r="R349" s="5" t="n"/>
    </row>
    <row r="350">
      <c r="A350" s="2" t="inlineStr">
        <is>
          <t>EJ010224.TXT</t>
        </is>
      </c>
      <c r="B350" s="3" t="inlineStr">
        <is>
          <t>001493</t>
        </is>
      </c>
      <c r="C350" s="3" t="inlineStr">
        <is>
          <t>000957</t>
        </is>
      </c>
      <c r="D350" s="4" t="n">
        <v>45318</v>
      </c>
      <c r="E350" s="2" t="inlineStr">
        <is>
          <t>14:32</t>
        </is>
      </c>
      <c r="F350" s="5" t="n">
        <v>1096.67</v>
      </c>
      <c r="G350" s="5" t="n"/>
      <c r="H350" s="5" t="n"/>
      <c r="I350" s="5" t="n"/>
      <c r="J350" s="5" t="n">
        <v>219.33</v>
      </c>
      <c r="K350" s="5" t="n"/>
      <c r="L350" s="5" t="n"/>
      <c r="M350" s="5" t="n"/>
      <c r="N350" s="5" t="n"/>
      <c r="O350" s="5" t="n">
        <v>1316</v>
      </c>
      <c r="P350" s="5" t="n">
        <v>1316</v>
      </c>
      <c r="Q350" s="5" t="n"/>
      <c r="R350" s="5" t="n"/>
    </row>
    <row r="351">
      <c r="A351" s="2" t="inlineStr">
        <is>
          <t>EJ010224.TXT</t>
        </is>
      </c>
      <c r="B351" s="3" t="inlineStr">
        <is>
          <t>001494</t>
        </is>
      </c>
      <c r="C351" s="3" t="inlineStr">
        <is>
          <t>000958</t>
        </is>
      </c>
      <c r="D351" s="4" t="n">
        <v>45318</v>
      </c>
      <c r="E351" s="2" t="inlineStr">
        <is>
          <t>16:20</t>
        </is>
      </c>
      <c r="F351" s="5" t="n">
        <v>274.17</v>
      </c>
      <c r="G351" s="5" t="n"/>
      <c r="H351" s="5" t="n"/>
      <c r="I351" s="5" t="n"/>
      <c r="J351" s="5" t="n">
        <v>54.83</v>
      </c>
      <c r="K351" s="5" t="n"/>
      <c r="L351" s="5" t="n"/>
      <c r="M351" s="5" t="n"/>
      <c r="N351" s="5" t="n"/>
      <c r="O351" s="5" t="n">
        <v>329</v>
      </c>
      <c r="P351" s="5" t="n">
        <v>329</v>
      </c>
      <c r="Q351" s="5" t="n"/>
      <c r="R351" s="5" t="n"/>
    </row>
    <row r="352">
      <c r="A352" s="2" t="inlineStr">
        <is>
          <t>EJ010224.TXT</t>
        </is>
      </c>
      <c r="B352" s="3" t="inlineStr">
        <is>
          <t>001495</t>
        </is>
      </c>
      <c r="C352" s="3" t="inlineStr">
        <is>
          <t>000959</t>
        </is>
      </c>
      <c r="D352" s="4" t="n">
        <v>45318</v>
      </c>
      <c r="E352" s="2" t="inlineStr">
        <is>
          <t>16:59</t>
        </is>
      </c>
      <c r="F352" s="5" t="n">
        <v>548.33</v>
      </c>
      <c r="G352" s="5" t="n"/>
      <c r="H352" s="5" t="n"/>
      <c r="I352" s="5" t="n"/>
      <c r="J352" s="5" t="n">
        <v>109.67</v>
      </c>
      <c r="K352" s="5" t="n"/>
      <c r="L352" s="5" t="n"/>
      <c r="M352" s="5" t="n"/>
      <c r="N352" s="5" t="n"/>
      <c r="O352" s="5" t="n">
        <v>658</v>
      </c>
      <c r="P352" s="5" t="n">
        <v>658</v>
      </c>
      <c r="Q352" s="5" t="n"/>
      <c r="R352" s="5" t="n"/>
    </row>
    <row r="353">
      <c r="A353" s="2" t="inlineStr">
        <is>
          <t>EJ010224.TXT</t>
        </is>
      </c>
      <c r="B353" s="3" t="inlineStr">
        <is>
          <t>001496</t>
        </is>
      </c>
      <c r="C353" s="3" t="inlineStr">
        <is>
          <t>000960</t>
        </is>
      </c>
      <c r="D353" s="4" t="n">
        <v>45318</v>
      </c>
      <c r="E353" s="2" t="inlineStr">
        <is>
          <t>17:17</t>
        </is>
      </c>
      <c r="F353" s="5" t="n">
        <v>603.33</v>
      </c>
      <c r="G353" s="5" t="n"/>
      <c r="H353" s="5" t="n"/>
      <c r="I353" s="5" t="n"/>
      <c r="J353" s="5" t="n">
        <v>120.67</v>
      </c>
      <c r="K353" s="5" t="n"/>
      <c r="L353" s="5" t="n"/>
      <c r="M353" s="5" t="n"/>
      <c r="N353" s="5" t="n"/>
      <c r="O353" s="5" t="n">
        <v>724</v>
      </c>
      <c r="P353" s="5" t="n">
        <v>724</v>
      </c>
      <c r="Q353" s="5" t="n"/>
      <c r="R353" s="5" t="n"/>
    </row>
    <row r="354">
      <c r="A354" s="2" t="inlineStr">
        <is>
          <t>EJ010224.TXT</t>
        </is>
      </c>
      <c r="B354" s="3" t="inlineStr">
        <is>
          <t>001497</t>
        </is>
      </c>
      <c r="C354" s="3" t="inlineStr">
        <is>
          <t>000961</t>
        </is>
      </c>
      <c r="D354" s="4" t="n">
        <v>45318</v>
      </c>
      <c r="E354" s="2" t="inlineStr">
        <is>
          <t>17:23</t>
        </is>
      </c>
      <c r="F354" s="5" t="n">
        <v>91.5</v>
      </c>
      <c r="G354" s="5" t="n"/>
      <c r="H354" s="5" t="n"/>
      <c r="I354" s="5" t="n"/>
      <c r="J354" s="5" t="n">
        <v>18.3</v>
      </c>
      <c r="K354" s="5" t="n"/>
      <c r="L354" s="5" t="n"/>
      <c r="M354" s="5" t="n"/>
      <c r="N354" s="5" t="n"/>
      <c r="O354" s="5" t="n">
        <v>109.8</v>
      </c>
      <c r="P354" s="5" t="n">
        <v>109.8</v>
      </c>
      <c r="Q354" s="5" t="n"/>
      <c r="R354" s="5" t="n"/>
    </row>
    <row r="355">
      <c r="A355" s="2" t="inlineStr">
        <is>
          <t>EJ010224.TXT</t>
        </is>
      </c>
      <c r="B355" s="3" t="inlineStr">
        <is>
          <t>001498</t>
        </is>
      </c>
      <c r="C355" s="3" t="inlineStr">
        <is>
          <t>000962</t>
        </is>
      </c>
      <c r="D355" s="4" t="n">
        <v>45320</v>
      </c>
      <c r="E355" s="2" t="inlineStr">
        <is>
          <t>14:52</t>
        </is>
      </c>
      <c r="F355" s="5" t="n">
        <v>73.33</v>
      </c>
      <c r="G355" s="5" t="n"/>
      <c r="H355" s="5" t="n"/>
      <c r="I355" s="5" t="n"/>
      <c r="J355" s="5" t="n">
        <v>14.67</v>
      </c>
      <c r="K355" s="5" t="n"/>
      <c r="L355" s="5" t="n"/>
      <c r="M355" s="5" t="n"/>
      <c r="N355" s="5" t="n"/>
      <c r="O355" s="5" t="n">
        <v>88</v>
      </c>
      <c r="P355" s="5" t="n">
        <v>88</v>
      </c>
      <c r="Q355" s="5" t="n"/>
      <c r="R355" s="5" t="n"/>
    </row>
    <row r="356">
      <c r="A356" s="2" t="inlineStr">
        <is>
          <t>EJ010224.TXT</t>
        </is>
      </c>
      <c r="B356" s="3" t="inlineStr">
        <is>
          <t>001499</t>
        </is>
      </c>
      <c r="C356" s="3" t="inlineStr">
        <is>
          <t>000963</t>
        </is>
      </c>
      <c r="D356" s="4" t="n">
        <v>45321</v>
      </c>
      <c r="E356" s="2" t="inlineStr">
        <is>
          <t>15:29</t>
        </is>
      </c>
      <c r="F356" s="5" t="n">
        <v>548.33</v>
      </c>
      <c r="G356" s="5" t="n"/>
      <c r="H356" s="5" t="n"/>
      <c r="I356" s="5" t="n"/>
      <c r="J356" s="5" t="n">
        <v>109.67</v>
      </c>
      <c r="K356" s="5" t="n"/>
      <c r="L356" s="5" t="n"/>
      <c r="M356" s="5" t="n"/>
      <c r="N356" s="5" t="n"/>
      <c r="O356" s="5" t="n">
        <v>658</v>
      </c>
      <c r="P356" s="5" t="n">
        <v>658</v>
      </c>
      <c r="Q356" s="5" t="n"/>
      <c r="R356" s="5" t="n"/>
    </row>
    <row r="357">
      <c r="A357" s="2" t="inlineStr">
        <is>
          <t>EJ010224.TXT</t>
        </is>
      </c>
      <c r="B357" s="3" t="inlineStr">
        <is>
          <t>001500</t>
        </is>
      </c>
      <c r="C357" s="3" t="inlineStr">
        <is>
          <t>000964</t>
        </is>
      </c>
      <c r="D357" s="4" t="n">
        <v>45321</v>
      </c>
      <c r="E357" s="2" t="inlineStr">
        <is>
          <t>17:41</t>
        </is>
      </c>
      <c r="F357" s="5" t="n">
        <v>548.33</v>
      </c>
      <c r="G357" s="5" t="n"/>
      <c r="H357" s="5" t="n"/>
      <c r="I357" s="5" t="n"/>
      <c r="J357" s="5" t="n">
        <v>109.67</v>
      </c>
      <c r="K357" s="5" t="n"/>
      <c r="L357" s="5" t="n"/>
      <c r="M357" s="5" t="n"/>
      <c r="N357" s="5" t="n"/>
      <c r="O357" s="5" t="n">
        <v>658</v>
      </c>
      <c r="P357" s="5" t="n">
        <v>658</v>
      </c>
      <c r="Q357" s="5" t="n"/>
      <c r="R357" s="5" t="n"/>
    </row>
    <row r="358">
      <c r="A358" s="2" t="inlineStr">
        <is>
          <t>EJ010224.TXT</t>
        </is>
      </c>
      <c r="B358" s="3" t="inlineStr">
        <is>
          <t>001503</t>
        </is>
      </c>
      <c r="C358" s="3" t="inlineStr">
        <is>
          <t>000965</t>
        </is>
      </c>
      <c r="D358" s="4" t="n">
        <v>45322</v>
      </c>
      <c r="E358" s="2" t="inlineStr">
        <is>
          <t>11:00</t>
        </is>
      </c>
      <c r="F358" s="5" t="n">
        <v>175</v>
      </c>
      <c r="G358" s="5" t="n"/>
      <c r="H358" s="5" t="n"/>
      <c r="I358" s="5" t="n"/>
      <c r="J358" s="5" t="n">
        <v>35</v>
      </c>
      <c r="K358" s="5" t="n"/>
      <c r="L358" s="5" t="n"/>
      <c r="M358" s="5" t="n"/>
      <c r="N358" s="5" t="n"/>
      <c r="O358" s="5" t="n">
        <v>210</v>
      </c>
      <c r="P358" s="5" t="n"/>
      <c r="Q358" s="5" t="n">
        <v>210</v>
      </c>
      <c r="R358" s="5" t="n"/>
    </row>
    <row r="359">
      <c r="A359" s="2" t="inlineStr">
        <is>
          <t>EJ010324.TXT</t>
        </is>
      </c>
      <c r="B359" s="3" t="inlineStr">
        <is>
          <t>001509</t>
        </is>
      </c>
      <c r="C359" s="3" t="inlineStr">
        <is>
          <t>000966</t>
        </is>
      </c>
      <c r="D359" s="4" t="n">
        <v>45323</v>
      </c>
      <c r="E359" s="2" t="inlineStr">
        <is>
          <t>11:10</t>
        </is>
      </c>
      <c r="F359" s="5" t="n">
        <v>1645</v>
      </c>
      <c r="G359" s="5" t="n"/>
      <c r="H359" s="5" t="n"/>
      <c r="I359" s="5" t="n"/>
      <c r="J359" s="5" t="n">
        <v>329</v>
      </c>
      <c r="K359" s="5" t="n"/>
      <c r="L359" s="5" t="n"/>
      <c r="M359" s="5" t="n"/>
      <c r="N359" s="5" t="n"/>
      <c r="O359" s="5" t="n">
        <v>1974</v>
      </c>
      <c r="P359" s="5" t="n">
        <v>1974</v>
      </c>
      <c r="Q359" s="5" t="n"/>
      <c r="R359" s="5" t="n"/>
    </row>
    <row r="360">
      <c r="A360" s="2" t="inlineStr">
        <is>
          <t>EJ010324.TXT</t>
        </is>
      </c>
      <c r="B360" s="3" t="inlineStr">
        <is>
          <t>001510</t>
        </is>
      </c>
      <c r="C360" s="3" t="inlineStr">
        <is>
          <t>000967</t>
        </is>
      </c>
      <c r="D360" s="4" t="n">
        <v>45323</v>
      </c>
      <c r="E360" s="2" t="inlineStr">
        <is>
          <t>14:37</t>
        </is>
      </c>
      <c r="F360" s="5" t="n">
        <v>199.17</v>
      </c>
      <c r="G360" s="5" t="n"/>
      <c r="H360" s="5" t="n"/>
      <c r="I360" s="5" t="n"/>
      <c r="J360" s="5" t="n">
        <v>39.83</v>
      </c>
      <c r="K360" s="5" t="n"/>
      <c r="L360" s="5" t="n"/>
      <c r="M360" s="5" t="n"/>
      <c r="N360" s="5" t="n"/>
      <c r="O360" s="5" t="n">
        <v>239</v>
      </c>
      <c r="P360" s="5" t="n"/>
      <c r="Q360" s="5" t="n">
        <v>239</v>
      </c>
      <c r="R360" s="5" t="n"/>
    </row>
    <row r="361">
      <c r="A361" s="2" t="inlineStr">
        <is>
          <t>EJ010324.TXT</t>
        </is>
      </c>
      <c r="B361" s="3" t="inlineStr">
        <is>
          <t>001511</t>
        </is>
      </c>
      <c r="C361" s="3" t="inlineStr">
        <is>
          <t>000968</t>
        </is>
      </c>
      <c r="D361" s="4" t="n">
        <v>45323</v>
      </c>
      <c r="E361" s="2" t="inlineStr">
        <is>
          <t>16:17</t>
        </is>
      </c>
      <c r="F361" s="5" t="n">
        <v>531.67</v>
      </c>
      <c r="G361" s="5" t="n"/>
      <c r="H361" s="5" t="n"/>
      <c r="I361" s="5" t="n"/>
      <c r="J361" s="5" t="n">
        <v>106.33</v>
      </c>
      <c r="K361" s="5" t="n"/>
      <c r="L361" s="5" t="n"/>
      <c r="M361" s="5" t="n"/>
      <c r="N361" s="5" t="n"/>
      <c r="O361" s="5" t="n">
        <v>638</v>
      </c>
      <c r="P361" s="5" t="n">
        <v>638</v>
      </c>
      <c r="Q361" s="5" t="n"/>
      <c r="R361" s="5" t="n"/>
    </row>
    <row r="362">
      <c r="A362" s="2" t="inlineStr">
        <is>
          <t>EJ010324.TXT</t>
        </is>
      </c>
      <c r="B362" s="3" t="inlineStr">
        <is>
          <t>001515</t>
        </is>
      </c>
      <c r="C362" s="3" t="inlineStr">
        <is>
          <t>000969</t>
        </is>
      </c>
      <c r="D362" s="4" t="n">
        <v>45324</v>
      </c>
      <c r="E362" s="2" t="inlineStr">
        <is>
          <t>16:46</t>
        </is>
      </c>
      <c r="F362" s="5" t="n">
        <v>190.83</v>
      </c>
      <c r="G362" s="5" t="n"/>
      <c r="H362" s="5" t="n"/>
      <c r="I362" s="5" t="n"/>
      <c r="J362" s="5" t="n">
        <v>38.17</v>
      </c>
      <c r="K362" s="5" t="n"/>
      <c r="L362" s="5" t="n"/>
      <c r="M362" s="5" t="n"/>
      <c r="N362" s="5" t="n"/>
      <c r="O362" s="5" t="n">
        <v>229</v>
      </c>
      <c r="P362" s="5" t="n">
        <v>229</v>
      </c>
      <c r="Q362" s="5" t="n"/>
      <c r="R362" s="5" t="n"/>
    </row>
    <row r="363">
      <c r="A363" s="2" t="inlineStr">
        <is>
          <t>EJ010324.TXT</t>
        </is>
      </c>
      <c r="B363" s="3" t="inlineStr">
        <is>
          <t>001516</t>
        </is>
      </c>
      <c r="C363" s="3" t="inlineStr">
        <is>
          <t>000970</t>
        </is>
      </c>
      <c r="D363" s="4" t="n">
        <v>45325</v>
      </c>
      <c r="E363" s="2" t="inlineStr">
        <is>
          <t>15:24</t>
        </is>
      </c>
      <c r="F363" s="5" t="n">
        <v>274.17</v>
      </c>
      <c r="G363" s="5" t="n"/>
      <c r="H363" s="5" t="n"/>
      <c r="I363" s="5" t="n"/>
      <c r="J363" s="5" t="n">
        <v>54.83</v>
      </c>
      <c r="K363" s="5" t="n"/>
      <c r="L363" s="5" t="n"/>
      <c r="M363" s="5" t="n"/>
      <c r="N363" s="5" t="n"/>
      <c r="O363" s="5" t="n">
        <v>329</v>
      </c>
      <c r="P363" s="5" t="n">
        <v>329</v>
      </c>
      <c r="Q363" s="5" t="n"/>
      <c r="R363" s="5" t="n"/>
    </row>
    <row r="364">
      <c r="A364" s="2" t="inlineStr">
        <is>
          <t>EJ010324.TXT</t>
        </is>
      </c>
      <c r="B364" s="3" t="inlineStr">
        <is>
          <t>001517</t>
        </is>
      </c>
      <c r="C364" s="3" t="inlineStr">
        <is>
          <t>000971</t>
        </is>
      </c>
      <c r="D364" s="4" t="n">
        <v>45325</v>
      </c>
      <c r="E364" s="2" t="inlineStr">
        <is>
          <t>17:34</t>
        </is>
      </c>
      <c r="F364" s="5" t="n">
        <v>329.17</v>
      </c>
      <c r="G364" s="5" t="n"/>
      <c r="H364" s="5" t="n"/>
      <c r="I364" s="5" t="n"/>
      <c r="J364" s="5" t="n">
        <v>65.83</v>
      </c>
      <c r="K364" s="5" t="n"/>
      <c r="L364" s="5" t="n"/>
      <c r="M364" s="5" t="n"/>
      <c r="N364" s="5" t="n"/>
      <c r="O364" s="5" t="n">
        <v>395</v>
      </c>
      <c r="P364" s="5" t="n"/>
      <c r="Q364" s="5" t="n">
        <v>395</v>
      </c>
      <c r="R364" s="5" t="n"/>
    </row>
    <row r="365">
      <c r="A365" s="2" t="inlineStr">
        <is>
          <t>EJ010324.TXT</t>
        </is>
      </c>
      <c r="B365" s="3" t="inlineStr">
        <is>
          <t>001518</t>
        </is>
      </c>
      <c r="C365" s="3" t="inlineStr">
        <is>
          <t>000972</t>
        </is>
      </c>
      <c r="D365" s="4" t="n">
        <v>45327</v>
      </c>
      <c r="E365" s="2" t="inlineStr">
        <is>
          <t>12:32</t>
        </is>
      </c>
      <c r="F365" s="5" t="n">
        <v>199.17</v>
      </c>
      <c r="G365" s="5" t="n"/>
      <c r="H365" s="5" t="n"/>
      <c r="I365" s="5" t="n"/>
      <c r="J365" s="5" t="n">
        <v>39.83</v>
      </c>
      <c r="K365" s="5" t="n"/>
      <c r="L365" s="5" t="n"/>
      <c r="M365" s="5" t="n"/>
      <c r="N365" s="5" t="n"/>
      <c r="O365" s="5" t="n">
        <v>239</v>
      </c>
      <c r="P365" s="5" t="n">
        <v>239</v>
      </c>
      <c r="Q365" s="5" t="n"/>
      <c r="R365" s="5" t="n"/>
    </row>
    <row r="366">
      <c r="A366" s="2" t="inlineStr">
        <is>
          <t>EJ010324.TXT</t>
        </is>
      </c>
      <c r="B366" s="3" t="inlineStr">
        <is>
          <t>001520</t>
        </is>
      </c>
      <c r="C366" s="3" t="inlineStr">
        <is>
          <t>000973</t>
        </is>
      </c>
      <c r="D366" s="4" t="n">
        <v>45327</v>
      </c>
      <c r="E366" s="2" t="inlineStr">
        <is>
          <t>12:40</t>
        </is>
      </c>
      <c r="F366" s="5" t="n">
        <v>199.17</v>
      </c>
      <c r="G366" s="5" t="n"/>
      <c r="H366" s="5" t="n"/>
      <c r="I366" s="5" t="n"/>
      <c r="J366" s="5" t="n">
        <v>39.83</v>
      </c>
      <c r="K366" s="5" t="n"/>
      <c r="L366" s="5" t="n"/>
      <c r="M366" s="5" t="n"/>
      <c r="N366" s="5" t="n"/>
      <c r="O366" s="5" t="n">
        <v>239</v>
      </c>
      <c r="P366" s="5" t="n">
        <v>239</v>
      </c>
      <c r="Q366" s="5" t="n"/>
      <c r="R366" s="5" t="n"/>
    </row>
    <row r="367">
      <c r="A367" s="2" t="inlineStr">
        <is>
          <t>EJ010324.TXT</t>
        </is>
      </c>
      <c r="B367" s="3" t="inlineStr">
        <is>
          <t>001523</t>
        </is>
      </c>
      <c r="C367" s="3" t="inlineStr">
        <is>
          <t>000974</t>
        </is>
      </c>
      <c r="D367" s="4" t="n">
        <v>45328</v>
      </c>
      <c r="E367" s="2" t="inlineStr">
        <is>
          <t>12:54</t>
        </is>
      </c>
      <c r="F367" s="5" t="n">
        <v>274.17</v>
      </c>
      <c r="G367" s="5" t="n"/>
      <c r="H367" s="5" t="n"/>
      <c r="I367" s="5" t="n"/>
      <c r="J367" s="5" t="n">
        <v>54.83</v>
      </c>
      <c r="K367" s="5" t="n"/>
      <c r="L367" s="5" t="n"/>
      <c r="M367" s="5" t="n"/>
      <c r="N367" s="5" t="n"/>
      <c r="O367" s="5" t="n">
        <v>329</v>
      </c>
      <c r="P367" s="5" t="n">
        <v>329</v>
      </c>
      <c r="Q367" s="5" t="n"/>
      <c r="R367" s="5" t="n"/>
    </row>
    <row r="368">
      <c r="A368" s="2" t="inlineStr">
        <is>
          <t>EJ010324.TXT</t>
        </is>
      </c>
      <c r="B368" s="3" t="inlineStr">
        <is>
          <t>001524</t>
        </is>
      </c>
      <c r="C368" s="3" t="inlineStr">
        <is>
          <t>000975</t>
        </is>
      </c>
      <c r="D368" s="4" t="n">
        <v>45328</v>
      </c>
      <c r="E368" s="2" t="inlineStr">
        <is>
          <t>13:36</t>
        </is>
      </c>
      <c r="F368" s="5" t="n">
        <v>190.83</v>
      </c>
      <c r="G368" s="5" t="n"/>
      <c r="H368" s="5" t="n"/>
      <c r="I368" s="5" t="n"/>
      <c r="J368" s="5" t="n">
        <v>38.17</v>
      </c>
      <c r="K368" s="5" t="n"/>
      <c r="L368" s="5" t="n"/>
      <c r="M368" s="5" t="n"/>
      <c r="N368" s="5" t="n"/>
      <c r="O368" s="5" t="n">
        <v>229</v>
      </c>
      <c r="P368" s="5" t="n">
        <v>229</v>
      </c>
      <c r="Q368" s="5" t="n"/>
      <c r="R368" s="5" t="n"/>
    </row>
    <row r="369">
      <c r="A369" s="2" t="inlineStr">
        <is>
          <t>EJ010324.TXT</t>
        </is>
      </c>
      <c r="B369" s="3" t="inlineStr">
        <is>
          <t>001525</t>
        </is>
      </c>
      <c r="C369" s="3" t="inlineStr">
        <is>
          <t>000976</t>
        </is>
      </c>
      <c r="D369" s="4" t="n">
        <v>45328</v>
      </c>
      <c r="E369" s="2" t="inlineStr">
        <is>
          <t>16:24</t>
        </is>
      </c>
      <c r="F369" s="5" t="n">
        <v>1645</v>
      </c>
      <c r="G369" s="5" t="n"/>
      <c r="H369" s="5" t="n"/>
      <c r="I369" s="5" t="n"/>
      <c r="J369" s="5" t="n">
        <v>329</v>
      </c>
      <c r="K369" s="5" t="n"/>
      <c r="L369" s="5" t="n"/>
      <c r="M369" s="5" t="n"/>
      <c r="N369" s="5" t="n"/>
      <c r="O369" s="5" t="n">
        <v>1974</v>
      </c>
      <c r="P369" s="5" t="n">
        <v>1974</v>
      </c>
      <c r="Q369" s="5" t="n"/>
      <c r="R369" s="5" t="n"/>
    </row>
    <row r="370">
      <c r="A370" s="2" t="inlineStr">
        <is>
          <t>EJ010324.TXT</t>
        </is>
      </c>
      <c r="B370" s="3" t="inlineStr">
        <is>
          <t>001526</t>
        </is>
      </c>
      <c r="C370" s="3" t="inlineStr">
        <is>
          <t>000977</t>
        </is>
      </c>
      <c r="D370" s="4" t="n">
        <v>45328</v>
      </c>
      <c r="E370" s="2" t="inlineStr">
        <is>
          <t>16:55</t>
        </is>
      </c>
      <c r="F370" s="5" t="n">
        <v>274.17</v>
      </c>
      <c r="G370" s="5" t="n"/>
      <c r="H370" s="5" t="n"/>
      <c r="I370" s="5" t="n"/>
      <c r="J370" s="5" t="n">
        <v>54.83</v>
      </c>
      <c r="K370" s="5" t="n"/>
      <c r="L370" s="5" t="n"/>
      <c r="M370" s="5" t="n"/>
      <c r="N370" s="5" t="n"/>
      <c r="O370" s="5" t="n">
        <v>329</v>
      </c>
      <c r="P370" s="5" t="n">
        <v>329</v>
      </c>
      <c r="Q370" s="5" t="n"/>
      <c r="R370" s="5" t="n"/>
    </row>
    <row r="371">
      <c r="A371" s="2" t="inlineStr">
        <is>
          <t>EJ010324.TXT</t>
        </is>
      </c>
      <c r="B371" s="3" t="inlineStr">
        <is>
          <t>001527</t>
        </is>
      </c>
      <c r="C371" s="3" t="inlineStr">
        <is>
          <t>000978</t>
        </is>
      </c>
      <c r="D371" s="4" t="n">
        <v>45329</v>
      </c>
      <c r="E371" s="2" t="inlineStr">
        <is>
          <t>10:37</t>
        </is>
      </c>
      <c r="F371" s="5" t="n">
        <v>190.83</v>
      </c>
      <c r="G371" s="5" t="n"/>
      <c r="H371" s="5" t="n"/>
      <c r="I371" s="5" t="n"/>
      <c r="J371" s="5" t="n">
        <v>38.17</v>
      </c>
      <c r="K371" s="5" t="n"/>
      <c r="L371" s="5" t="n"/>
      <c r="M371" s="5" t="n"/>
      <c r="N371" s="5" t="n"/>
      <c r="O371" s="5" t="n">
        <v>229</v>
      </c>
      <c r="P371" s="5" t="n"/>
      <c r="Q371" s="5" t="n">
        <v>229</v>
      </c>
      <c r="R371" s="5" t="n"/>
    </row>
    <row r="372">
      <c r="A372" s="2" t="inlineStr">
        <is>
          <t>EJ010324.TXT</t>
        </is>
      </c>
      <c r="B372" s="3" t="inlineStr">
        <is>
          <t>001528</t>
        </is>
      </c>
      <c r="C372" s="3" t="inlineStr">
        <is>
          <t>000979</t>
        </is>
      </c>
      <c r="D372" s="4" t="n">
        <v>45329</v>
      </c>
      <c r="E372" s="2" t="inlineStr">
        <is>
          <t>12:29</t>
        </is>
      </c>
      <c r="F372" s="5" t="n">
        <v>548.33</v>
      </c>
      <c r="G372" s="5" t="n"/>
      <c r="H372" s="5" t="n"/>
      <c r="I372" s="5" t="n"/>
      <c r="J372" s="5" t="n">
        <v>109.67</v>
      </c>
      <c r="K372" s="5" t="n"/>
      <c r="L372" s="5" t="n"/>
      <c r="M372" s="5" t="n"/>
      <c r="N372" s="5" t="n"/>
      <c r="O372" s="5" t="n">
        <v>658</v>
      </c>
      <c r="P372" s="5" t="n">
        <v>658</v>
      </c>
      <c r="Q372" s="5" t="n"/>
      <c r="R372" s="5" t="n"/>
    </row>
    <row r="373">
      <c r="A373" s="2" t="inlineStr">
        <is>
          <t>EJ010324.TXT</t>
        </is>
      </c>
      <c r="B373" s="3" t="inlineStr">
        <is>
          <t>001529</t>
        </is>
      </c>
      <c r="C373" s="3" t="inlineStr">
        <is>
          <t>000980</t>
        </is>
      </c>
      <c r="D373" s="4" t="n">
        <v>45329</v>
      </c>
      <c r="E373" s="2" t="inlineStr">
        <is>
          <t>15:20</t>
        </is>
      </c>
      <c r="F373" s="5" t="n">
        <v>548.33</v>
      </c>
      <c r="G373" s="5" t="n"/>
      <c r="H373" s="5" t="n"/>
      <c r="I373" s="5" t="n"/>
      <c r="J373" s="5" t="n">
        <v>109.67</v>
      </c>
      <c r="K373" s="5" t="n"/>
      <c r="L373" s="5" t="n"/>
      <c r="M373" s="5" t="n"/>
      <c r="N373" s="5" t="n"/>
      <c r="O373" s="5" t="n">
        <v>658</v>
      </c>
      <c r="P373" s="5" t="n"/>
      <c r="Q373" s="5" t="n">
        <v>658</v>
      </c>
      <c r="R373" s="5" t="n"/>
    </row>
    <row r="374">
      <c r="A374" s="2" t="inlineStr">
        <is>
          <t>EJ010324.TXT</t>
        </is>
      </c>
      <c r="B374" s="3" t="inlineStr">
        <is>
          <t>001530</t>
        </is>
      </c>
      <c r="C374" s="3" t="inlineStr">
        <is>
          <t>000981</t>
        </is>
      </c>
      <c r="D374" s="4" t="n">
        <v>45329</v>
      </c>
      <c r="E374" s="2" t="inlineStr">
        <is>
          <t>15:56</t>
        </is>
      </c>
      <c r="F374" s="5" t="n">
        <v>3505.83</v>
      </c>
      <c r="G374" s="5" t="n"/>
      <c r="H374" s="5" t="n"/>
      <c r="I374" s="5" t="n"/>
      <c r="J374" s="5" t="n">
        <v>701.17</v>
      </c>
      <c r="K374" s="5" t="n"/>
      <c r="L374" s="5" t="n"/>
      <c r="M374" s="5" t="n"/>
      <c r="N374" s="5" t="n"/>
      <c r="O374" s="5" t="n">
        <v>4207</v>
      </c>
      <c r="P374" s="5" t="n">
        <v>4207</v>
      </c>
      <c r="Q374" s="5" t="n"/>
      <c r="R374" s="5" t="n"/>
    </row>
    <row r="375">
      <c r="A375" s="2" t="inlineStr">
        <is>
          <t>EJ010324.TXT</t>
        </is>
      </c>
      <c r="B375" s="3" t="inlineStr">
        <is>
          <t>001532</t>
        </is>
      </c>
      <c r="C375" s="3" t="inlineStr">
        <is>
          <t>000982</t>
        </is>
      </c>
      <c r="D375" s="4" t="n">
        <v>45330</v>
      </c>
      <c r="E375" s="2" t="inlineStr">
        <is>
          <t>15:29</t>
        </is>
      </c>
      <c r="F375" s="5" t="n">
        <v>87.25</v>
      </c>
      <c r="G375" s="5" t="n"/>
      <c r="H375" s="5" t="n"/>
      <c r="I375" s="5" t="n"/>
      <c r="J375" s="5" t="n">
        <v>17.45</v>
      </c>
      <c r="K375" s="5" t="n"/>
      <c r="L375" s="5" t="n"/>
      <c r="M375" s="5" t="n"/>
      <c r="N375" s="5" t="n"/>
      <c r="O375" s="5" t="n">
        <v>104.7</v>
      </c>
      <c r="P375" s="5" t="n">
        <v>104.7</v>
      </c>
      <c r="Q375" s="5" t="n"/>
      <c r="R375" s="5" t="n"/>
    </row>
    <row r="376">
      <c r="A376" s="2" t="inlineStr">
        <is>
          <t>EJ010324.TXT</t>
        </is>
      </c>
      <c r="B376" s="3" t="inlineStr">
        <is>
          <t>001533</t>
        </is>
      </c>
      <c r="C376" s="3" t="inlineStr">
        <is>
          <t>000983</t>
        </is>
      </c>
      <c r="D376" s="4" t="n">
        <v>45330</v>
      </c>
      <c r="E376" s="2" t="inlineStr">
        <is>
          <t>15:31</t>
        </is>
      </c>
      <c r="F376" s="5" t="n">
        <v>124.17</v>
      </c>
      <c r="G376" s="5" t="n"/>
      <c r="H376" s="5" t="n"/>
      <c r="I376" s="5" t="n"/>
      <c r="J376" s="5" t="n">
        <v>24.83</v>
      </c>
      <c r="K376" s="5" t="n"/>
      <c r="L376" s="5" t="n"/>
      <c r="M376" s="5" t="n"/>
      <c r="N376" s="5" t="n"/>
      <c r="O376" s="5" t="n">
        <v>149</v>
      </c>
      <c r="P376" s="5" t="n">
        <v>149</v>
      </c>
      <c r="Q376" s="5" t="n"/>
      <c r="R376" s="5" t="n"/>
    </row>
    <row r="377">
      <c r="A377" s="2" t="inlineStr">
        <is>
          <t>EJ010324.TXT</t>
        </is>
      </c>
      <c r="B377" s="3" t="inlineStr">
        <is>
          <t>001534</t>
        </is>
      </c>
      <c r="C377" s="3" t="inlineStr">
        <is>
          <t>000984</t>
        </is>
      </c>
      <c r="D377" s="4" t="n">
        <v>45331</v>
      </c>
      <c r="E377" s="2" t="inlineStr">
        <is>
          <t>10:18</t>
        </is>
      </c>
      <c r="F377" s="5" t="n">
        <v>663.33</v>
      </c>
      <c r="G377" s="5" t="n"/>
      <c r="H377" s="5" t="n"/>
      <c r="I377" s="5" t="n"/>
      <c r="J377" s="5" t="n">
        <v>132.67</v>
      </c>
      <c r="K377" s="5" t="n"/>
      <c r="L377" s="5" t="n"/>
      <c r="M377" s="5" t="n"/>
      <c r="N377" s="5" t="n"/>
      <c r="O377" s="5" t="n">
        <v>796</v>
      </c>
      <c r="P377" s="5" t="n">
        <v>796</v>
      </c>
      <c r="Q377" s="5" t="n"/>
      <c r="R377" s="5" t="n"/>
    </row>
    <row r="378">
      <c r="A378" s="2" t="inlineStr">
        <is>
          <t>EJ010324.TXT</t>
        </is>
      </c>
      <c r="B378" s="3" t="inlineStr">
        <is>
          <t>001536</t>
        </is>
      </c>
      <c r="C378" s="3" t="inlineStr">
        <is>
          <t>000985</t>
        </is>
      </c>
      <c r="D378" s="4" t="n">
        <v>45331</v>
      </c>
      <c r="E378" s="2" t="inlineStr">
        <is>
          <t>12:54</t>
        </is>
      </c>
      <c r="F378" s="5" t="n">
        <v>124.17</v>
      </c>
      <c r="G378" s="5" t="n"/>
      <c r="H378" s="5" t="n"/>
      <c r="I378" s="5" t="n"/>
      <c r="J378" s="5" t="n">
        <v>24.83</v>
      </c>
      <c r="K378" s="5" t="n"/>
      <c r="L378" s="5" t="n"/>
      <c r="M378" s="5" t="n"/>
      <c r="N378" s="5" t="n"/>
      <c r="O378" s="5" t="n">
        <v>149</v>
      </c>
      <c r="P378" s="5" t="n">
        <v>149</v>
      </c>
      <c r="Q378" s="5" t="n"/>
      <c r="R378" s="5" t="n"/>
    </row>
    <row r="379">
      <c r="A379" s="2" t="inlineStr">
        <is>
          <t>EJ010324.TXT</t>
        </is>
      </c>
      <c r="B379" s="3" t="inlineStr">
        <is>
          <t>001538</t>
        </is>
      </c>
      <c r="C379" s="3" t="inlineStr">
        <is>
          <t>000986</t>
        </is>
      </c>
      <c r="D379" s="4" t="n">
        <v>45331</v>
      </c>
      <c r="E379" s="2" t="inlineStr">
        <is>
          <t>14:12</t>
        </is>
      </c>
      <c r="F379" s="5" t="n">
        <v>274.17</v>
      </c>
      <c r="G379" s="5" t="n"/>
      <c r="H379" s="5" t="n"/>
      <c r="I379" s="5" t="n"/>
      <c r="J379" s="5" t="n">
        <v>54.83</v>
      </c>
      <c r="K379" s="5" t="n"/>
      <c r="L379" s="5" t="n"/>
      <c r="M379" s="5" t="n"/>
      <c r="N379" s="5" t="n"/>
      <c r="O379" s="5" t="n">
        <v>329</v>
      </c>
      <c r="P379" s="5" t="n"/>
      <c r="Q379" s="5" t="n">
        <v>329</v>
      </c>
      <c r="R379" s="5" t="n"/>
    </row>
    <row r="380">
      <c r="A380" s="2" t="inlineStr">
        <is>
          <t>EJ010324.TXT</t>
        </is>
      </c>
      <c r="B380" s="3" t="inlineStr">
        <is>
          <t>001539</t>
        </is>
      </c>
      <c r="C380" s="3" t="inlineStr">
        <is>
          <t>000987</t>
        </is>
      </c>
      <c r="D380" s="4" t="n">
        <v>45331</v>
      </c>
      <c r="E380" s="2" t="inlineStr">
        <is>
          <t>15:14</t>
        </is>
      </c>
      <c r="F380" s="5" t="n">
        <v>398.33</v>
      </c>
      <c r="G380" s="5" t="n"/>
      <c r="H380" s="5" t="n"/>
      <c r="I380" s="5" t="n"/>
      <c r="J380" s="5" t="n">
        <v>79.67</v>
      </c>
      <c r="K380" s="5" t="n"/>
      <c r="L380" s="5" t="n"/>
      <c r="M380" s="5" t="n"/>
      <c r="N380" s="5" t="n"/>
      <c r="O380" s="5" t="n">
        <v>478</v>
      </c>
      <c r="P380" s="5" t="n">
        <v>478</v>
      </c>
      <c r="Q380" s="5" t="n"/>
      <c r="R380" s="5" t="n"/>
    </row>
    <row r="381">
      <c r="A381" s="2" t="inlineStr">
        <is>
          <t>EJ010324.TXT</t>
        </is>
      </c>
      <c r="B381" s="3" t="inlineStr">
        <is>
          <t>001540</t>
        </is>
      </c>
      <c r="C381" s="3" t="inlineStr">
        <is>
          <t>000988</t>
        </is>
      </c>
      <c r="D381" s="4" t="n">
        <v>45331</v>
      </c>
      <c r="E381" s="2" t="inlineStr">
        <is>
          <t>16:52</t>
        </is>
      </c>
      <c r="F381" s="5" t="n">
        <v>548.33</v>
      </c>
      <c r="G381" s="5" t="n"/>
      <c r="H381" s="5" t="n"/>
      <c r="I381" s="5" t="n"/>
      <c r="J381" s="5" t="n">
        <v>109.67</v>
      </c>
      <c r="K381" s="5" t="n"/>
      <c r="L381" s="5" t="n"/>
      <c r="M381" s="5" t="n"/>
      <c r="N381" s="5" t="n"/>
      <c r="O381" s="5" t="n">
        <v>658</v>
      </c>
      <c r="P381" s="5" t="n"/>
      <c r="Q381" s="5" t="n">
        <v>658</v>
      </c>
      <c r="R381" s="5" t="n"/>
    </row>
    <row r="382">
      <c r="A382" s="2" t="inlineStr">
        <is>
          <t>EJ010324.TXT</t>
        </is>
      </c>
      <c r="B382" s="3" t="inlineStr">
        <is>
          <t>001541</t>
        </is>
      </c>
      <c r="C382" s="3" t="inlineStr">
        <is>
          <t>000989</t>
        </is>
      </c>
      <c r="D382" s="4" t="n">
        <v>45331</v>
      </c>
      <c r="E382" s="2" t="inlineStr">
        <is>
          <t>17:11</t>
        </is>
      </c>
      <c r="F382" s="5" t="n">
        <v>350</v>
      </c>
      <c r="G382" s="5" t="n"/>
      <c r="H382" s="5" t="n"/>
      <c r="I382" s="5" t="n"/>
      <c r="J382" s="5" t="n">
        <v>70</v>
      </c>
      <c r="K382" s="5" t="n"/>
      <c r="L382" s="5" t="n"/>
      <c r="M382" s="5" t="n"/>
      <c r="N382" s="5" t="n"/>
      <c r="O382" s="5" t="n">
        <v>420</v>
      </c>
      <c r="P382" s="5" t="n">
        <v>420</v>
      </c>
      <c r="Q382" s="5" t="n"/>
      <c r="R382" s="5" t="n"/>
    </row>
    <row r="383">
      <c r="A383" s="2" t="inlineStr">
        <is>
          <t>EJ010324.TXT</t>
        </is>
      </c>
      <c r="B383" s="3" t="inlineStr">
        <is>
          <t>001542</t>
        </is>
      </c>
      <c r="C383" s="3" t="inlineStr">
        <is>
          <t>000990</t>
        </is>
      </c>
      <c r="D383" s="4" t="n">
        <v>45334</v>
      </c>
      <c r="E383" s="2" t="inlineStr">
        <is>
          <t>10:09</t>
        </is>
      </c>
      <c r="F383" s="5" t="n">
        <v>274.17</v>
      </c>
      <c r="G383" s="5" t="n"/>
      <c r="H383" s="5" t="n"/>
      <c r="I383" s="5" t="n"/>
      <c r="J383" s="5" t="n">
        <v>54.83</v>
      </c>
      <c r="K383" s="5" t="n"/>
      <c r="L383" s="5" t="n"/>
      <c r="M383" s="5" t="n"/>
      <c r="N383" s="5" t="n"/>
      <c r="O383" s="5" t="n">
        <v>329</v>
      </c>
      <c r="P383" s="5" t="n">
        <v>329</v>
      </c>
      <c r="Q383" s="5" t="n"/>
      <c r="R383" s="5" t="n"/>
    </row>
    <row r="384">
      <c r="A384" s="2" t="inlineStr">
        <is>
          <t>EJ010324.TXT</t>
        </is>
      </c>
      <c r="B384" s="3" t="inlineStr">
        <is>
          <t>001543</t>
        </is>
      </c>
      <c r="C384" s="3" t="inlineStr">
        <is>
          <t>000991</t>
        </is>
      </c>
      <c r="D384" s="4" t="n">
        <v>45336</v>
      </c>
      <c r="E384" s="2" t="inlineStr">
        <is>
          <t>14:51</t>
        </is>
      </c>
      <c r="F384" s="5" t="n">
        <v>274.17</v>
      </c>
      <c r="G384" s="5" t="n"/>
      <c r="H384" s="5" t="n"/>
      <c r="I384" s="5" t="n"/>
      <c r="J384" s="5" t="n">
        <v>54.83</v>
      </c>
      <c r="K384" s="5" t="n"/>
      <c r="L384" s="5" t="n"/>
      <c r="M384" s="5" t="n"/>
      <c r="N384" s="5" t="n"/>
      <c r="O384" s="5" t="n">
        <v>329</v>
      </c>
      <c r="P384" s="5" t="n">
        <v>329</v>
      </c>
      <c r="Q384" s="5" t="n"/>
      <c r="R384" s="5" t="n"/>
    </row>
    <row r="385">
      <c r="A385" s="2" t="inlineStr">
        <is>
          <t>EJ010324.TXT</t>
        </is>
      </c>
      <c r="B385" s="3" t="inlineStr">
        <is>
          <t>001544</t>
        </is>
      </c>
      <c r="C385" s="3" t="inlineStr">
        <is>
          <t>000992</t>
        </is>
      </c>
      <c r="D385" s="4" t="n">
        <v>45337</v>
      </c>
      <c r="E385" s="2" t="inlineStr">
        <is>
          <t>15:34</t>
        </is>
      </c>
      <c r="F385" s="5" t="n">
        <v>548.33</v>
      </c>
      <c r="G385" s="5" t="n"/>
      <c r="H385" s="5" t="n"/>
      <c r="I385" s="5" t="n"/>
      <c r="J385" s="5" t="n">
        <v>109.67</v>
      </c>
      <c r="K385" s="5" t="n"/>
      <c r="L385" s="5" t="n"/>
      <c r="M385" s="5" t="n"/>
      <c r="N385" s="5" t="n"/>
      <c r="O385" s="5" t="n">
        <v>658</v>
      </c>
      <c r="P385" s="5" t="n">
        <v>658</v>
      </c>
      <c r="Q385" s="5" t="n"/>
      <c r="R385" s="5" t="n"/>
    </row>
    <row r="386">
      <c r="A386" s="2" t="inlineStr">
        <is>
          <t>EJ010324.TXT</t>
        </is>
      </c>
      <c r="B386" s="3" t="inlineStr">
        <is>
          <t>001545</t>
        </is>
      </c>
      <c r="C386" s="3" t="inlineStr">
        <is>
          <t>000993</t>
        </is>
      </c>
      <c r="D386" s="4" t="n">
        <v>45337</v>
      </c>
      <c r="E386" s="2" t="inlineStr">
        <is>
          <t>16:06</t>
        </is>
      </c>
      <c r="F386" s="5" t="n">
        <v>548.33</v>
      </c>
      <c r="G386" s="5" t="n"/>
      <c r="H386" s="5" t="n"/>
      <c r="I386" s="5" t="n"/>
      <c r="J386" s="5" t="n">
        <v>109.67</v>
      </c>
      <c r="K386" s="5" t="n"/>
      <c r="L386" s="5" t="n"/>
      <c r="M386" s="5" t="n"/>
      <c r="N386" s="5" t="n"/>
      <c r="O386" s="5" t="n">
        <v>658</v>
      </c>
      <c r="P386" s="5" t="n">
        <v>658</v>
      </c>
      <c r="Q386" s="5" t="n"/>
      <c r="R386" s="5" t="n"/>
    </row>
    <row r="387">
      <c r="A387" s="2" t="inlineStr">
        <is>
          <t>EJ010324.TXT</t>
        </is>
      </c>
      <c r="B387" s="3" t="inlineStr">
        <is>
          <t>001546</t>
        </is>
      </c>
      <c r="C387" s="3" t="inlineStr">
        <is>
          <t>000994</t>
        </is>
      </c>
      <c r="D387" s="4" t="n">
        <v>45337</v>
      </c>
      <c r="E387" s="2" t="inlineStr">
        <is>
          <t>16:18</t>
        </is>
      </c>
      <c r="F387" s="5" t="n">
        <v>548.33</v>
      </c>
      <c r="G387" s="5" t="n"/>
      <c r="H387" s="5" t="n"/>
      <c r="I387" s="5" t="n"/>
      <c r="J387" s="5" t="n">
        <v>109.67</v>
      </c>
      <c r="K387" s="5" t="n"/>
      <c r="L387" s="5" t="n"/>
      <c r="M387" s="5" t="n"/>
      <c r="N387" s="5" t="n"/>
      <c r="O387" s="5" t="n">
        <v>658</v>
      </c>
      <c r="P387" s="5" t="n">
        <v>440</v>
      </c>
      <c r="Q387" s="5" t="n">
        <v>218</v>
      </c>
      <c r="R387" s="5" t="n"/>
    </row>
    <row r="388">
      <c r="A388" s="2" t="inlineStr">
        <is>
          <t>EJ010324.TXT</t>
        </is>
      </c>
      <c r="B388" s="3" t="inlineStr">
        <is>
          <t>001548</t>
        </is>
      </c>
      <c r="C388" s="3" t="inlineStr">
        <is>
          <t>000995</t>
        </is>
      </c>
      <c r="D388" s="4" t="n">
        <v>45338</v>
      </c>
      <c r="E388" s="2" t="inlineStr">
        <is>
          <t>14:44</t>
        </is>
      </c>
      <c r="F388" s="5" t="n">
        <v>3290</v>
      </c>
      <c r="G388" s="5" t="n"/>
      <c r="H388" s="5" t="n"/>
      <c r="I388" s="5" t="n"/>
      <c r="J388" s="5" t="n">
        <v>658</v>
      </c>
      <c r="K388" s="5" t="n"/>
      <c r="L388" s="5" t="n"/>
      <c r="M388" s="5" t="n"/>
      <c r="N388" s="5" t="n"/>
      <c r="O388" s="5" t="n">
        <v>3948</v>
      </c>
      <c r="P388" s="5" t="n">
        <v>3948</v>
      </c>
      <c r="Q388" s="5" t="n"/>
      <c r="R388" s="5" t="n"/>
    </row>
    <row r="389">
      <c r="A389" s="2" t="inlineStr">
        <is>
          <t>EJ010324.TXT</t>
        </is>
      </c>
      <c r="B389" s="3" t="inlineStr">
        <is>
          <t>001549</t>
        </is>
      </c>
      <c r="C389" s="3" t="inlineStr">
        <is>
          <t>000996</t>
        </is>
      </c>
      <c r="D389" s="4" t="n">
        <v>45338</v>
      </c>
      <c r="E389" s="2" t="inlineStr">
        <is>
          <t>15:35</t>
        </is>
      </c>
      <c r="F389" s="5" t="n">
        <v>136.5</v>
      </c>
      <c r="G389" s="5" t="n"/>
      <c r="H389" s="5" t="n"/>
      <c r="I389" s="5" t="n"/>
      <c r="J389" s="5" t="n">
        <v>27.3</v>
      </c>
      <c r="K389" s="5" t="n"/>
      <c r="L389" s="5" t="n"/>
      <c r="M389" s="5" t="n"/>
      <c r="N389" s="5" t="n"/>
      <c r="O389" s="5" t="n">
        <v>163.8</v>
      </c>
      <c r="P389" s="5" t="n"/>
      <c r="Q389" s="5" t="n">
        <v>163.8</v>
      </c>
      <c r="R389" s="5" t="n"/>
    </row>
    <row r="390">
      <c r="A390" s="2" t="inlineStr">
        <is>
          <t>EJ010324.TXT</t>
        </is>
      </c>
      <c r="B390" s="3" t="inlineStr">
        <is>
          <t>001550</t>
        </is>
      </c>
      <c r="C390" s="3" t="inlineStr">
        <is>
          <t>000997</t>
        </is>
      </c>
      <c r="D390" s="4" t="n">
        <v>45339</v>
      </c>
      <c r="E390" s="2" t="inlineStr">
        <is>
          <t>14:59</t>
        </is>
      </c>
      <c r="F390" s="5" t="n">
        <v>658.33</v>
      </c>
      <c r="G390" s="5" t="n"/>
      <c r="H390" s="5" t="n"/>
      <c r="I390" s="5" t="n"/>
      <c r="J390" s="5" t="n">
        <v>131.67</v>
      </c>
      <c r="K390" s="5" t="n"/>
      <c r="L390" s="5" t="n"/>
      <c r="M390" s="5" t="n"/>
      <c r="N390" s="5" t="n"/>
      <c r="O390" s="5" t="n">
        <v>790</v>
      </c>
      <c r="P390" s="5" t="n">
        <v>790</v>
      </c>
      <c r="Q390" s="5" t="n"/>
      <c r="R390" s="5" t="n"/>
    </row>
    <row r="391">
      <c r="A391" s="2" t="inlineStr">
        <is>
          <t>EJ010324.TXT</t>
        </is>
      </c>
      <c r="B391" s="3" t="inlineStr">
        <is>
          <t>001551</t>
        </is>
      </c>
      <c r="C391" s="3" t="inlineStr">
        <is>
          <t>000998</t>
        </is>
      </c>
      <c r="D391" s="4" t="n">
        <v>45341</v>
      </c>
      <c r="E391" s="2" t="inlineStr">
        <is>
          <t>16:17</t>
        </is>
      </c>
      <c r="F391" s="5" t="n">
        <v>2193.33</v>
      </c>
      <c r="G391" s="5" t="n"/>
      <c r="H391" s="5" t="n"/>
      <c r="I391" s="5" t="n"/>
      <c r="J391" s="5" t="n">
        <v>438.67</v>
      </c>
      <c r="K391" s="5" t="n"/>
      <c r="L391" s="5" t="n"/>
      <c r="M391" s="5" t="n"/>
      <c r="N391" s="5" t="n"/>
      <c r="O391" s="5" t="n">
        <v>2632</v>
      </c>
      <c r="P391" s="5" t="n">
        <v>2632</v>
      </c>
      <c r="Q391" s="5" t="n"/>
      <c r="R391" s="5" t="n"/>
    </row>
    <row r="392">
      <c r="A392" s="2" t="inlineStr">
        <is>
          <t>EJ010324.TXT</t>
        </is>
      </c>
      <c r="B392" s="3" t="inlineStr">
        <is>
          <t>001552</t>
        </is>
      </c>
      <c r="C392" s="3" t="inlineStr">
        <is>
          <t>000999</t>
        </is>
      </c>
      <c r="D392" s="4" t="n">
        <v>45342</v>
      </c>
      <c r="E392" s="2" t="inlineStr">
        <is>
          <t>16:08</t>
        </is>
      </c>
      <c r="F392" s="5" t="n">
        <v>1096.67</v>
      </c>
      <c r="G392" s="5" t="n"/>
      <c r="H392" s="5" t="n"/>
      <c r="I392" s="5" t="n"/>
      <c r="J392" s="5" t="n">
        <v>219.33</v>
      </c>
      <c r="K392" s="5" t="n"/>
      <c r="L392" s="5" t="n"/>
      <c r="M392" s="5" t="n"/>
      <c r="N392" s="5" t="n"/>
      <c r="O392" s="5" t="n">
        <v>1316</v>
      </c>
      <c r="P392" s="5" t="n">
        <v>1316</v>
      </c>
      <c r="Q392" s="5" t="n"/>
      <c r="R392" s="5" t="n"/>
    </row>
    <row r="393">
      <c r="A393" s="2" t="inlineStr">
        <is>
          <t>EJ010324.TXT</t>
        </is>
      </c>
      <c r="B393" s="3" t="inlineStr">
        <is>
          <t>001553</t>
        </is>
      </c>
      <c r="C393" s="3" t="inlineStr">
        <is>
          <t>001000</t>
        </is>
      </c>
      <c r="D393" s="4" t="n">
        <v>45343</v>
      </c>
      <c r="E393" s="2" t="inlineStr">
        <is>
          <t>11:06</t>
        </is>
      </c>
      <c r="F393" s="5" t="n">
        <v>199.17</v>
      </c>
      <c r="G393" s="5" t="n"/>
      <c r="H393" s="5" t="n"/>
      <c r="I393" s="5" t="n"/>
      <c r="J393" s="5" t="n">
        <v>39.83</v>
      </c>
      <c r="K393" s="5" t="n"/>
      <c r="L393" s="5" t="n"/>
      <c r="M393" s="5" t="n"/>
      <c r="N393" s="5" t="n"/>
      <c r="O393" s="5" t="n">
        <v>239</v>
      </c>
      <c r="P393" s="5" t="n"/>
      <c r="Q393" s="5" t="n">
        <v>239</v>
      </c>
      <c r="R393" s="5" t="n"/>
    </row>
    <row r="394">
      <c r="A394" s="2" t="inlineStr">
        <is>
          <t>EJ010324.TXT</t>
        </is>
      </c>
      <c r="B394" s="3" t="inlineStr">
        <is>
          <t>001555</t>
        </is>
      </c>
      <c r="C394" s="3" t="inlineStr">
        <is>
          <t>001001</t>
        </is>
      </c>
      <c r="D394" s="4" t="n">
        <v>45343</v>
      </c>
      <c r="E394" s="2" t="inlineStr">
        <is>
          <t>11:52</t>
        </is>
      </c>
      <c r="F394" s="5" t="n">
        <v>212.5</v>
      </c>
      <c r="G394" s="5" t="n"/>
      <c r="H394" s="5" t="n"/>
      <c r="I394" s="5" t="n"/>
      <c r="J394" s="5" t="n">
        <v>42.5</v>
      </c>
      <c r="K394" s="5" t="n"/>
      <c r="L394" s="5" t="n"/>
      <c r="M394" s="5" t="n"/>
      <c r="N394" s="5" t="n"/>
      <c r="O394" s="5" t="n">
        <v>255</v>
      </c>
      <c r="P394" s="5" t="n">
        <v>255</v>
      </c>
      <c r="Q394" s="5" t="n"/>
      <c r="R394" s="5" t="n"/>
    </row>
    <row r="395">
      <c r="A395" s="2" t="inlineStr">
        <is>
          <t>EJ010324.TXT</t>
        </is>
      </c>
      <c r="B395" s="3" t="inlineStr">
        <is>
          <t>001556</t>
        </is>
      </c>
      <c r="C395" s="3" t="inlineStr">
        <is>
          <t>001002</t>
        </is>
      </c>
      <c r="D395" s="4" t="n">
        <v>45344</v>
      </c>
      <c r="E395" s="2" t="inlineStr">
        <is>
          <t>17:50</t>
        </is>
      </c>
      <c r="F395" s="5" t="n">
        <v>473.33</v>
      </c>
      <c r="G395" s="5" t="n"/>
      <c r="H395" s="5" t="n"/>
      <c r="I395" s="5" t="n"/>
      <c r="J395" s="5" t="n">
        <v>94.67</v>
      </c>
      <c r="K395" s="5" t="n"/>
      <c r="L395" s="5" t="n"/>
      <c r="M395" s="5" t="n"/>
      <c r="N395" s="5" t="n"/>
      <c r="O395" s="5" t="n">
        <v>568</v>
      </c>
      <c r="P395" s="5" t="n">
        <v>568</v>
      </c>
      <c r="Q395" s="5" t="n"/>
      <c r="R395" s="5" t="n"/>
    </row>
    <row r="396">
      <c r="A396" s="2" t="inlineStr">
        <is>
          <t>EJ010324.TXT</t>
        </is>
      </c>
      <c r="B396" s="3" t="inlineStr">
        <is>
          <t>001560</t>
        </is>
      </c>
      <c r="C396" s="3" t="inlineStr">
        <is>
          <t>001003</t>
        </is>
      </c>
      <c r="D396" s="4" t="n">
        <v>45350</v>
      </c>
      <c r="E396" s="2" t="inlineStr">
        <is>
          <t>13:03</t>
        </is>
      </c>
      <c r="F396" s="5" t="n">
        <v>548.33</v>
      </c>
      <c r="G396" s="5" t="n"/>
      <c r="H396" s="5" t="n"/>
      <c r="I396" s="5" t="n"/>
      <c r="J396" s="5" t="n">
        <v>109.67</v>
      </c>
      <c r="K396" s="5" t="n"/>
      <c r="L396" s="5" t="n"/>
      <c r="M396" s="5" t="n"/>
      <c r="N396" s="5" t="n"/>
      <c r="O396" s="5" t="n">
        <v>658</v>
      </c>
      <c r="P396" s="5" t="n"/>
      <c r="Q396" s="5" t="n">
        <v>658</v>
      </c>
      <c r="R396" s="5" t="n"/>
    </row>
    <row r="397">
      <c r="A397" s="2" t="inlineStr">
        <is>
          <t>EJ010324.TXT</t>
        </is>
      </c>
      <c r="B397" s="3" t="inlineStr">
        <is>
          <t>001561</t>
        </is>
      </c>
      <c r="C397" s="3" t="inlineStr">
        <is>
          <t>001004</t>
        </is>
      </c>
      <c r="D397" s="4" t="n">
        <v>45350</v>
      </c>
      <c r="E397" s="2" t="inlineStr">
        <is>
          <t>14:31</t>
        </is>
      </c>
      <c r="F397" s="5" t="n">
        <v>546.67</v>
      </c>
      <c r="G397" s="5" t="n"/>
      <c r="H397" s="5" t="n"/>
      <c r="I397" s="5" t="n"/>
      <c r="J397" s="5" t="n">
        <v>109.33</v>
      </c>
      <c r="K397" s="5" t="n"/>
      <c r="L397" s="5" t="n"/>
      <c r="M397" s="5" t="n"/>
      <c r="N397" s="5" t="n"/>
      <c r="O397" s="5" t="n">
        <v>656</v>
      </c>
      <c r="P397" s="5" t="n">
        <v>656</v>
      </c>
      <c r="Q397" s="5" t="n"/>
      <c r="R397" s="5" t="n"/>
    </row>
    <row r="398">
      <c r="A398" s="2" t="inlineStr">
        <is>
          <t>EJ010324.TXT</t>
        </is>
      </c>
      <c r="B398" s="3" t="inlineStr">
        <is>
          <t>001562</t>
        </is>
      </c>
      <c r="C398" s="3" t="inlineStr">
        <is>
          <t>001005</t>
        </is>
      </c>
      <c r="D398" s="4" t="n">
        <v>45351</v>
      </c>
      <c r="E398" s="2" t="inlineStr">
        <is>
          <t>17:01</t>
        </is>
      </c>
      <c r="F398" s="5" t="n">
        <v>548.33</v>
      </c>
      <c r="G398" s="5" t="n"/>
      <c r="H398" s="5" t="n"/>
      <c r="I398" s="5" t="n"/>
      <c r="J398" s="5" t="n">
        <v>109.67</v>
      </c>
      <c r="K398" s="5" t="n"/>
      <c r="L398" s="5" t="n"/>
      <c r="M398" s="5" t="n"/>
      <c r="N398" s="5" t="n"/>
      <c r="O398" s="5" t="n">
        <v>658</v>
      </c>
      <c r="P398" s="5" t="n">
        <v>658</v>
      </c>
      <c r="Q398" s="5" t="n"/>
      <c r="R398" s="5" t="n"/>
    </row>
    <row r="399">
      <c r="A399" s="2" t="inlineStr">
        <is>
          <t>EJ020424.TXT</t>
        </is>
      </c>
      <c r="B399" s="3" t="inlineStr">
        <is>
          <t>001568</t>
        </is>
      </c>
      <c r="C399" s="3" t="inlineStr">
        <is>
          <t>001006</t>
        </is>
      </c>
      <c r="D399" s="4" t="n">
        <v>45352</v>
      </c>
      <c r="E399" s="2" t="inlineStr">
        <is>
          <t>15:01</t>
        </is>
      </c>
      <c r="F399" s="5" t="n">
        <v>548.33</v>
      </c>
      <c r="G399" s="5" t="n"/>
      <c r="H399" s="5" t="n"/>
      <c r="I399" s="5" t="n"/>
      <c r="J399" s="5" t="n">
        <v>109.67</v>
      </c>
      <c r="K399" s="5" t="n"/>
      <c r="L399" s="5" t="n"/>
      <c r="M399" s="5" t="n"/>
      <c r="N399" s="5" t="n"/>
      <c r="O399" s="5" t="n">
        <v>658</v>
      </c>
      <c r="P399" s="5" t="n">
        <v>658</v>
      </c>
      <c r="Q399" s="5" t="n"/>
      <c r="R399" s="5" t="n"/>
    </row>
    <row r="400">
      <c r="A400" s="2" t="inlineStr">
        <is>
          <t>EJ020424.TXT</t>
        </is>
      </c>
      <c r="B400" s="3" t="inlineStr">
        <is>
          <t>001569</t>
        </is>
      </c>
      <c r="C400" s="3" t="inlineStr">
        <is>
          <t>001007</t>
        </is>
      </c>
      <c r="D400" s="4" t="n">
        <v>45352</v>
      </c>
      <c r="E400" s="2" t="inlineStr">
        <is>
          <t>15:20</t>
        </is>
      </c>
      <c r="F400" s="5" t="n">
        <v>822.5</v>
      </c>
      <c r="G400" s="5" t="n"/>
      <c r="H400" s="5" t="n"/>
      <c r="I400" s="5" t="n"/>
      <c r="J400" s="5" t="n">
        <v>164.5</v>
      </c>
      <c r="K400" s="5" t="n"/>
      <c r="L400" s="5" t="n"/>
      <c r="M400" s="5" t="n"/>
      <c r="N400" s="5" t="n"/>
      <c r="O400" s="5" t="n">
        <v>987</v>
      </c>
      <c r="P400" s="5" t="n"/>
      <c r="Q400" s="5" t="n">
        <v>987</v>
      </c>
      <c r="R400" s="5" t="n"/>
    </row>
    <row r="401">
      <c r="A401" s="2" t="inlineStr">
        <is>
          <t>EJ020424.TXT</t>
        </is>
      </c>
      <c r="B401" s="3" t="inlineStr">
        <is>
          <t>001572</t>
        </is>
      </c>
      <c r="C401" s="3" t="inlineStr">
        <is>
          <t>001008</t>
        </is>
      </c>
      <c r="D401" s="4" t="n">
        <v>45356</v>
      </c>
      <c r="E401" s="2" t="inlineStr">
        <is>
          <t>12:27</t>
        </is>
      </c>
      <c r="F401" s="5" t="n">
        <v>822.5</v>
      </c>
      <c r="G401" s="5" t="n"/>
      <c r="H401" s="5" t="n"/>
      <c r="I401" s="5" t="n"/>
      <c r="J401" s="5" t="n">
        <v>164.5</v>
      </c>
      <c r="K401" s="5" t="n"/>
      <c r="L401" s="5" t="n"/>
      <c r="M401" s="5" t="n"/>
      <c r="N401" s="5" t="n"/>
      <c r="O401" s="5" t="n">
        <v>987</v>
      </c>
      <c r="P401" s="5" t="n"/>
      <c r="Q401" s="5" t="n">
        <v>987</v>
      </c>
      <c r="R401" s="5" t="n"/>
    </row>
    <row r="402">
      <c r="A402" s="2" t="inlineStr">
        <is>
          <t>EJ020424.TXT</t>
        </is>
      </c>
      <c r="B402" s="3" t="inlineStr">
        <is>
          <t>001573</t>
        </is>
      </c>
      <c r="C402" s="3" t="inlineStr">
        <is>
          <t>001009</t>
        </is>
      </c>
      <c r="D402" s="4" t="n">
        <v>45356</v>
      </c>
      <c r="E402" s="2" t="inlineStr">
        <is>
          <t>12:27</t>
        </is>
      </c>
      <c r="F402" s="5" t="n">
        <v>822.5</v>
      </c>
      <c r="G402" s="5" t="n"/>
      <c r="H402" s="5" t="n"/>
      <c r="I402" s="5" t="n"/>
      <c r="J402" s="5" t="n">
        <v>164.5</v>
      </c>
      <c r="K402" s="5" t="n"/>
      <c r="L402" s="5" t="n"/>
      <c r="M402" s="5" t="n"/>
      <c r="N402" s="5" t="n"/>
      <c r="O402" s="5" t="n">
        <v>987</v>
      </c>
      <c r="P402" s="5" t="n"/>
      <c r="Q402" s="5" t="n">
        <v>987</v>
      </c>
      <c r="R402" s="5" t="n"/>
    </row>
    <row r="403">
      <c r="A403" s="2" t="inlineStr">
        <is>
          <t>EJ020424.TXT</t>
        </is>
      </c>
      <c r="B403" s="3" t="inlineStr">
        <is>
          <t>001575</t>
        </is>
      </c>
      <c r="C403" s="3" t="inlineStr">
        <is>
          <t>001010</t>
        </is>
      </c>
      <c r="D403" s="4" t="n">
        <v>45357</v>
      </c>
      <c r="E403" s="2" t="inlineStr">
        <is>
          <t>17:55</t>
        </is>
      </c>
      <c r="F403" s="5" t="n">
        <v>1096.67</v>
      </c>
      <c r="G403" s="5" t="n"/>
      <c r="H403" s="5" t="n"/>
      <c r="I403" s="5" t="n"/>
      <c r="J403" s="5" t="n">
        <v>219.33</v>
      </c>
      <c r="K403" s="5" t="n"/>
      <c r="L403" s="5" t="n"/>
      <c r="M403" s="5" t="n"/>
      <c r="N403" s="5" t="n"/>
      <c r="O403" s="5" t="n">
        <v>1316</v>
      </c>
      <c r="P403" s="5" t="n">
        <v>1316</v>
      </c>
      <c r="Q403" s="5" t="n"/>
      <c r="R403" s="5" t="n"/>
    </row>
    <row r="404">
      <c r="A404" s="2" t="inlineStr">
        <is>
          <t>EJ020424.TXT</t>
        </is>
      </c>
      <c r="B404" s="3" t="inlineStr">
        <is>
          <t>001576</t>
        </is>
      </c>
      <c r="C404" s="3" t="inlineStr">
        <is>
          <t>001011</t>
        </is>
      </c>
      <c r="D404" s="4" t="n">
        <v>45358</v>
      </c>
      <c r="E404" s="2" t="inlineStr">
        <is>
          <t>16:26</t>
        </is>
      </c>
      <c r="F404" s="5" t="n">
        <v>398.33</v>
      </c>
      <c r="G404" s="5" t="n"/>
      <c r="H404" s="5" t="n"/>
      <c r="I404" s="5" t="n"/>
      <c r="J404" s="5" t="n">
        <v>79.67</v>
      </c>
      <c r="K404" s="5" t="n"/>
      <c r="L404" s="5" t="n"/>
      <c r="M404" s="5" t="n"/>
      <c r="N404" s="5" t="n"/>
      <c r="O404" s="5" t="n">
        <v>478</v>
      </c>
      <c r="P404" s="5" t="n">
        <v>478</v>
      </c>
      <c r="Q404" s="5" t="n"/>
      <c r="R404" s="5" t="n"/>
    </row>
    <row r="405">
      <c r="A405" s="2" t="inlineStr">
        <is>
          <t>EJ020424.TXT</t>
        </is>
      </c>
      <c r="B405" s="3" t="inlineStr">
        <is>
          <t>001577</t>
        </is>
      </c>
      <c r="C405" s="3" t="inlineStr">
        <is>
          <t>001012</t>
        </is>
      </c>
      <c r="D405" s="4" t="n">
        <v>45359</v>
      </c>
      <c r="E405" s="2" t="inlineStr">
        <is>
          <t>14:28</t>
        </is>
      </c>
      <c r="F405" s="5" t="n">
        <v>548.33</v>
      </c>
      <c r="G405" s="5" t="n"/>
      <c r="H405" s="5" t="n"/>
      <c r="I405" s="5" t="n"/>
      <c r="J405" s="5" t="n">
        <v>109.67</v>
      </c>
      <c r="K405" s="5" t="n"/>
      <c r="L405" s="5" t="n"/>
      <c r="M405" s="5" t="n"/>
      <c r="N405" s="5" t="n"/>
      <c r="O405" s="5" t="n">
        <v>658</v>
      </c>
      <c r="P405" s="5" t="n"/>
      <c r="Q405" s="5" t="n">
        <v>658</v>
      </c>
      <c r="R405" s="5" t="n"/>
    </row>
    <row r="406">
      <c r="A406" s="2" t="inlineStr">
        <is>
          <t>EJ020424.TXT</t>
        </is>
      </c>
      <c r="B406" s="3" t="inlineStr">
        <is>
          <t>001578</t>
        </is>
      </c>
      <c r="C406" s="3" t="inlineStr">
        <is>
          <t>001013</t>
        </is>
      </c>
      <c r="D406" s="4" t="n">
        <v>45359</v>
      </c>
      <c r="E406" s="2" t="inlineStr">
        <is>
          <t>16:46</t>
        </is>
      </c>
      <c r="F406" s="5" t="n">
        <v>1096.67</v>
      </c>
      <c r="G406" s="5" t="n"/>
      <c r="H406" s="5" t="n"/>
      <c r="I406" s="5" t="n"/>
      <c r="J406" s="5" t="n">
        <v>219.33</v>
      </c>
      <c r="K406" s="5" t="n"/>
      <c r="L406" s="5" t="n"/>
      <c r="M406" s="5" t="n"/>
      <c r="N406" s="5" t="n"/>
      <c r="O406" s="5" t="n">
        <v>1316</v>
      </c>
      <c r="P406" s="5" t="n">
        <v>1316</v>
      </c>
      <c r="Q406" s="5" t="n"/>
      <c r="R406" s="5" t="n"/>
    </row>
    <row r="407">
      <c r="A407" s="2" t="inlineStr">
        <is>
          <t>EJ020424.TXT</t>
        </is>
      </c>
      <c r="B407" s="3" t="inlineStr">
        <is>
          <t>001579</t>
        </is>
      </c>
      <c r="C407" s="3" t="inlineStr">
        <is>
          <t>001014</t>
        </is>
      </c>
      <c r="D407" s="4" t="n">
        <v>45360</v>
      </c>
      <c r="E407" s="2" t="inlineStr">
        <is>
          <t>15:02</t>
        </is>
      </c>
      <c r="F407" s="5" t="n">
        <v>922.5</v>
      </c>
      <c r="G407" s="5" t="n"/>
      <c r="H407" s="5" t="n"/>
      <c r="I407" s="5" t="n"/>
      <c r="J407" s="5" t="n">
        <v>184.5</v>
      </c>
      <c r="K407" s="5" t="n"/>
      <c r="L407" s="5" t="n"/>
      <c r="M407" s="5" t="n"/>
      <c r="N407" s="5" t="n"/>
      <c r="O407" s="5" t="n">
        <v>1107</v>
      </c>
      <c r="P407" s="5" t="n">
        <v>1107</v>
      </c>
      <c r="Q407" s="5" t="n"/>
      <c r="R407" s="5" t="n"/>
    </row>
    <row r="408">
      <c r="A408" s="2" t="inlineStr">
        <is>
          <t>EJ020424.TXT</t>
        </is>
      </c>
      <c r="B408" s="3" t="inlineStr">
        <is>
          <t>001580</t>
        </is>
      </c>
      <c r="C408" s="3" t="inlineStr">
        <is>
          <t>001015</t>
        </is>
      </c>
      <c r="D408" s="4" t="n">
        <v>45363</v>
      </c>
      <c r="E408" s="2" t="inlineStr">
        <is>
          <t>15:55</t>
        </is>
      </c>
      <c r="F408" s="5" t="n">
        <v>545</v>
      </c>
      <c r="G408" s="5" t="n"/>
      <c r="H408" s="5" t="n"/>
      <c r="I408" s="5" t="n"/>
      <c r="J408" s="5" t="n">
        <v>109</v>
      </c>
      <c r="K408" s="5" t="n"/>
      <c r="L408" s="5" t="n"/>
      <c r="M408" s="5" t="n"/>
      <c r="N408" s="5" t="n"/>
      <c r="O408" s="5" t="n">
        <v>654</v>
      </c>
      <c r="P408" s="5" t="n">
        <v>654</v>
      </c>
      <c r="Q408" s="5" t="n"/>
      <c r="R408" s="5" t="n"/>
    </row>
    <row r="409">
      <c r="A409" s="2" t="inlineStr">
        <is>
          <t>EJ020424.TXT</t>
        </is>
      </c>
      <c r="B409" s="3" t="inlineStr">
        <is>
          <t>001581</t>
        </is>
      </c>
      <c r="C409" s="3" t="inlineStr">
        <is>
          <t>001016</t>
        </is>
      </c>
      <c r="D409" s="4" t="n">
        <v>45364</v>
      </c>
      <c r="E409" s="2" t="inlineStr">
        <is>
          <t>15:54</t>
        </is>
      </c>
      <c r="F409" s="5" t="n">
        <v>548.33</v>
      </c>
      <c r="G409" s="5" t="n"/>
      <c r="H409" s="5" t="n"/>
      <c r="I409" s="5" t="n"/>
      <c r="J409" s="5" t="n">
        <v>109.67</v>
      </c>
      <c r="K409" s="5" t="n"/>
      <c r="L409" s="5" t="n"/>
      <c r="M409" s="5" t="n"/>
      <c r="N409" s="5" t="n"/>
      <c r="O409" s="5" t="n">
        <v>658</v>
      </c>
      <c r="P409" s="5" t="n"/>
      <c r="Q409" s="5" t="n">
        <v>658</v>
      </c>
      <c r="R409" s="5" t="n"/>
    </row>
    <row r="410">
      <c r="A410" s="2" t="inlineStr">
        <is>
          <t>EJ020424.TXT</t>
        </is>
      </c>
      <c r="B410" s="3" t="inlineStr">
        <is>
          <t>001582</t>
        </is>
      </c>
      <c r="C410" s="3" t="inlineStr">
        <is>
          <t>001017</t>
        </is>
      </c>
      <c r="D410" s="4" t="n">
        <v>45364</v>
      </c>
      <c r="E410" s="2" t="inlineStr">
        <is>
          <t>16:28</t>
        </is>
      </c>
      <c r="F410" s="5" t="n">
        <v>45.75</v>
      </c>
      <c r="G410" s="5" t="n"/>
      <c r="H410" s="5" t="n"/>
      <c r="I410" s="5" t="n"/>
      <c r="J410" s="5" t="n">
        <v>9.15</v>
      </c>
      <c r="K410" s="5" t="n"/>
      <c r="L410" s="5" t="n"/>
      <c r="M410" s="5" t="n"/>
      <c r="N410" s="5" t="n"/>
      <c r="O410" s="5" t="n">
        <v>54.9</v>
      </c>
      <c r="P410" s="5" t="n">
        <v>54.9</v>
      </c>
      <c r="Q410" s="5" t="n"/>
      <c r="R410" s="5" t="n"/>
    </row>
    <row r="411">
      <c r="A411" s="2" t="inlineStr">
        <is>
          <t>EJ020424.TXT</t>
        </is>
      </c>
      <c r="B411" s="3" t="inlineStr">
        <is>
          <t>001583</t>
        </is>
      </c>
      <c r="C411" s="3" t="inlineStr">
        <is>
          <t>001018</t>
        </is>
      </c>
      <c r="D411" s="4" t="n">
        <v>45365</v>
      </c>
      <c r="E411" s="2" t="inlineStr">
        <is>
          <t>12:24</t>
        </is>
      </c>
      <c r="F411" s="5" t="n">
        <v>274.17</v>
      </c>
      <c r="G411" s="5" t="n"/>
      <c r="H411" s="5" t="n"/>
      <c r="I411" s="5" t="n"/>
      <c r="J411" s="5" t="n">
        <v>54.83</v>
      </c>
      <c r="K411" s="5" t="n"/>
      <c r="L411" s="5" t="n"/>
      <c r="M411" s="5" t="n"/>
      <c r="N411" s="5" t="n"/>
      <c r="O411" s="5" t="n">
        <v>329</v>
      </c>
      <c r="P411" s="5" t="n">
        <v>329</v>
      </c>
      <c r="Q411" s="5" t="n"/>
      <c r="R411" s="5" t="n"/>
    </row>
    <row r="412">
      <c r="A412" s="2" t="inlineStr">
        <is>
          <t>EJ020424.TXT</t>
        </is>
      </c>
      <c r="B412" s="3" t="inlineStr">
        <is>
          <t>001584</t>
        </is>
      </c>
      <c r="C412" s="3" t="inlineStr">
        <is>
          <t>001019</t>
        </is>
      </c>
      <c r="D412" s="4" t="n">
        <v>45365</v>
      </c>
      <c r="E412" s="2" t="inlineStr">
        <is>
          <t>14:15</t>
        </is>
      </c>
      <c r="F412" s="5" t="n">
        <v>822.5</v>
      </c>
      <c r="G412" s="5" t="n"/>
      <c r="H412" s="5" t="n"/>
      <c r="I412" s="5" t="n"/>
      <c r="J412" s="5" t="n">
        <v>164.5</v>
      </c>
      <c r="K412" s="5" t="n"/>
      <c r="L412" s="5" t="n"/>
      <c r="M412" s="5" t="n"/>
      <c r="N412" s="5" t="n"/>
      <c r="O412" s="5" t="n">
        <v>987</v>
      </c>
      <c r="P412" s="5" t="n"/>
      <c r="Q412" s="5" t="n">
        <v>987</v>
      </c>
      <c r="R412" s="5" t="n"/>
    </row>
    <row r="413">
      <c r="A413" s="2" t="inlineStr">
        <is>
          <t>EJ020424.TXT</t>
        </is>
      </c>
      <c r="B413" s="3" t="inlineStr">
        <is>
          <t>001585</t>
        </is>
      </c>
      <c r="C413" s="3" t="inlineStr">
        <is>
          <t>001020</t>
        </is>
      </c>
      <c r="D413" s="4" t="n">
        <v>45367</v>
      </c>
      <c r="E413" s="2" t="inlineStr">
        <is>
          <t>15:56</t>
        </is>
      </c>
      <c r="F413" s="5" t="n">
        <v>274.17</v>
      </c>
      <c r="G413" s="5" t="n"/>
      <c r="H413" s="5" t="n"/>
      <c r="I413" s="5" t="n"/>
      <c r="J413" s="5" t="n">
        <v>54.83</v>
      </c>
      <c r="K413" s="5" t="n"/>
      <c r="L413" s="5" t="n"/>
      <c r="M413" s="5" t="n"/>
      <c r="N413" s="5" t="n"/>
      <c r="O413" s="5" t="n">
        <v>329</v>
      </c>
      <c r="P413" s="5" t="n">
        <v>329</v>
      </c>
      <c r="Q413" s="5" t="n"/>
      <c r="R413" s="5" t="n"/>
    </row>
    <row r="414">
      <c r="A414" s="2" t="inlineStr">
        <is>
          <t>EJ020424.TXT</t>
        </is>
      </c>
      <c r="B414" s="3" t="inlineStr">
        <is>
          <t>001586</t>
        </is>
      </c>
      <c r="C414" s="3" t="inlineStr">
        <is>
          <t>001021</t>
        </is>
      </c>
      <c r="D414" s="4" t="n">
        <v>45367</v>
      </c>
      <c r="E414" s="2" t="inlineStr">
        <is>
          <t>16:11</t>
        </is>
      </c>
      <c r="F414" s="5" t="n">
        <v>190.83</v>
      </c>
      <c r="G414" s="5" t="n"/>
      <c r="H414" s="5" t="n"/>
      <c r="I414" s="5" t="n"/>
      <c r="J414" s="5" t="n">
        <v>38.17</v>
      </c>
      <c r="K414" s="5" t="n"/>
      <c r="L414" s="5" t="n"/>
      <c r="M414" s="5" t="n"/>
      <c r="N414" s="5" t="n"/>
      <c r="O414" s="5" t="n">
        <v>229</v>
      </c>
      <c r="P414" s="5" t="n">
        <v>229</v>
      </c>
      <c r="Q414" s="5" t="n"/>
      <c r="R414" s="5" t="n"/>
    </row>
    <row r="415">
      <c r="A415" s="2" t="inlineStr">
        <is>
          <t>EJ020424.TXT</t>
        </is>
      </c>
      <c r="B415" s="3" t="inlineStr">
        <is>
          <t>001587</t>
        </is>
      </c>
      <c r="C415" s="3" t="inlineStr">
        <is>
          <t>001022</t>
        </is>
      </c>
      <c r="D415" s="4" t="n">
        <v>45367</v>
      </c>
      <c r="E415" s="2" t="inlineStr">
        <is>
          <t>16:30</t>
        </is>
      </c>
      <c r="F415" s="5" t="n">
        <v>274.17</v>
      </c>
      <c r="G415" s="5" t="n"/>
      <c r="H415" s="5" t="n"/>
      <c r="I415" s="5" t="n"/>
      <c r="J415" s="5" t="n">
        <v>54.83</v>
      </c>
      <c r="K415" s="5" t="n"/>
      <c r="L415" s="5" t="n"/>
      <c r="M415" s="5" t="n"/>
      <c r="N415" s="5" t="n"/>
      <c r="O415" s="5" t="n">
        <v>329</v>
      </c>
      <c r="P415" s="5" t="n"/>
      <c r="Q415" s="5" t="n">
        <v>329</v>
      </c>
      <c r="R415" s="5" t="n"/>
    </row>
    <row r="416">
      <c r="A416" s="2" t="inlineStr">
        <is>
          <t>EJ020424.TXT</t>
        </is>
      </c>
      <c r="B416" s="3" t="inlineStr">
        <is>
          <t>001588</t>
        </is>
      </c>
      <c r="C416" s="3" t="inlineStr">
        <is>
          <t>001023</t>
        </is>
      </c>
      <c r="D416" s="4" t="n">
        <v>45367</v>
      </c>
      <c r="E416" s="2" t="inlineStr">
        <is>
          <t>17:38</t>
        </is>
      </c>
      <c r="F416" s="5" t="n">
        <v>566.67</v>
      </c>
      <c r="G416" s="5" t="n"/>
      <c r="H416" s="5" t="n"/>
      <c r="I416" s="5" t="n"/>
      <c r="J416" s="5" t="n">
        <v>113.33</v>
      </c>
      <c r="K416" s="5" t="n"/>
      <c r="L416" s="5" t="n"/>
      <c r="M416" s="5" t="n"/>
      <c r="N416" s="5" t="n"/>
      <c r="O416" s="5" t="n">
        <v>680</v>
      </c>
      <c r="P416" s="5" t="n"/>
      <c r="Q416" s="5" t="n">
        <v>680</v>
      </c>
      <c r="R416" s="5" t="n"/>
    </row>
    <row r="417">
      <c r="A417" s="2" t="inlineStr">
        <is>
          <t>EJ020424.TXT</t>
        </is>
      </c>
      <c r="B417" s="3" t="inlineStr">
        <is>
          <t>001589</t>
        </is>
      </c>
      <c r="C417" s="3" t="inlineStr">
        <is>
          <t>001024</t>
        </is>
      </c>
      <c r="D417" s="4" t="n">
        <v>45370</v>
      </c>
      <c r="E417" s="2" t="inlineStr">
        <is>
          <t>15:31</t>
        </is>
      </c>
      <c r="F417" s="5" t="n">
        <v>244.92</v>
      </c>
      <c r="G417" s="5" t="n"/>
      <c r="H417" s="5" t="n"/>
      <c r="I417" s="5" t="n"/>
      <c r="J417" s="5" t="n">
        <v>48.98</v>
      </c>
      <c r="K417" s="5" t="n"/>
      <c r="L417" s="5" t="n"/>
      <c r="M417" s="5" t="n"/>
      <c r="N417" s="5" t="n"/>
      <c r="O417" s="5" t="n">
        <v>293.9</v>
      </c>
      <c r="P417" s="5" t="n"/>
      <c r="Q417" s="5" t="n">
        <v>293.9</v>
      </c>
      <c r="R417" s="5" t="n"/>
    </row>
    <row r="418">
      <c r="A418" s="2" t="inlineStr">
        <is>
          <t>EJ020424.TXT</t>
        </is>
      </c>
      <c r="B418" s="3" t="inlineStr">
        <is>
          <t>001590</t>
        </is>
      </c>
      <c r="C418" s="3" t="inlineStr">
        <is>
          <t>001025</t>
        </is>
      </c>
      <c r="D418" s="4" t="n">
        <v>45371</v>
      </c>
      <c r="E418" s="2" t="inlineStr">
        <is>
          <t>14:37</t>
        </is>
      </c>
      <c r="F418" s="5" t="n">
        <v>267.5</v>
      </c>
      <c r="G418" s="5" t="n"/>
      <c r="H418" s="5" t="n"/>
      <c r="I418" s="5" t="n"/>
      <c r="J418" s="5" t="n">
        <v>53.5</v>
      </c>
      <c r="K418" s="5" t="n"/>
      <c r="L418" s="5" t="n"/>
      <c r="M418" s="5" t="n"/>
      <c r="N418" s="5" t="n"/>
      <c r="O418" s="5" t="n">
        <v>321</v>
      </c>
      <c r="P418" s="5" t="n">
        <v>321</v>
      </c>
      <c r="Q418" s="5" t="n"/>
      <c r="R418" s="5" t="n"/>
    </row>
    <row r="419">
      <c r="A419" s="2" t="inlineStr">
        <is>
          <t>EJ020424.TXT</t>
        </is>
      </c>
      <c r="B419" s="3" t="inlineStr">
        <is>
          <t>001591</t>
        </is>
      </c>
      <c r="C419" s="3" t="inlineStr">
        <is>
          <t>001026</t>
        </is>
      </c>
      <c r="D419" s="4" t="n">
        <v>45371</v>
      </c>
      <c r="E419" s="2" t="inlineStr">
        <is>
          <t>14:37</t>
        </is>
      </c>
      <c r="F419" s="5" t="n">
        <v>272.5</v>
      </c>
      <c r="G419" s="5" t="n"/>
      <c r="H419" s="5" t="n"/>
      <c r="I419" s="5" t="n"/>
      <c r="J419" s="5" t="n">
        <v>54.5</v>
      </c>
      <c r="K419" s="5" t="n"/>
      <c r="L419" s="5" t="n"/>
      <c r="M419" s="5" t="n"/>
      <c r="N419" s="5" t="n"/>
      <c r="O419" s="5" t="n">
        <v>327</v>
      </c>
      <c r="P419" s="5" t="n">
        <v>327</v>
      </c>
      <c r="Q419" s="5" t="n"/>
      <c r="R419" s="5" t="n"/>
    </row>
    <row r="420">
      <c r="A420" s="2" t="inlineStr">
        <is>
          <t>EJ020424.TXT</t>
        </is>
      </c>
      <c r="B420" s="3" t="inlineStr">
        <is>
          <t>001592</t>
        </is>
      </c>
      <c r="C420" s="3" t="inlineStr">
        <is>
          <t>001027</t>
        </is>
      </c>
      <c r="D420" s="4" t="n">
        <v>45372</v>
      </c>
      <c r="E420" s="2" t="inlineStr">
        <is>
          <t>16:18</t>
        </is>
      </c>
      <c r="F420" s="5" t="n">
        <v>82.5</v>
      </c>
      <c r="G420" s="5" t="n"/>
      <c r="H420" s="5" t="n"/>
      <c r="I420" s="5" t="n"/>
      <c r="J420" s="5" t="n">
        <v>16.5</v>
      </c>
      <c r="K420" s="5" t="n"/>
      <c r="L420" s="5" t="n"/>
      <c r="M420" s="5" t="n"/>
      <c r="N420" s="5" t="n"/>
      <c r="O420" s="5" t="n">
        <v>99</v>
      </c>
      <c r="P420" s="5" t="n">
        <v>99</v>
      </c>
      <c r="Q420" s="5" t="n"/>
      <c r="R420" s="5" t="n"/>
    </row>
    <row r="421">
      <c r="A421" s="2" t="inlineStr">
        <is>
          <t>EJ020424.TXT</t>
        </is>
      </c>
      <c r="B421" s="3" t="inlineStr">
        <is>
          <t>001593</t>
        </is>
      </c>
      <c r="C421" s="3" t="inlineStr">
        <is>
          <t>001028</t>
        </is>
      </c>
      <c r="D421" s="4" t="n">
        <v>45373</v>
      </c>
      <c r="E421" s="2" t="inlineStr">
        <is>
          <t>17:20</t>
        </is>
      </c>
      <c r="F421" s="5" t="n">
        <v>33.25</v>
      </c>
      <c r="G421" s="5" t="n"/>
      <c r="H421" s="5" t="n"/>
      <c r="I421" s="5" t="n"/>
      <c r="J421" s="5" t="n">
        <v>6.65</v>
      </c>
      <c r="K421" s="5" t="n"/>
      <c r="L421" s="5" t="n"/>
      <c r="M421" s="5" t="n"/>
      <c r="N421" s="5" t="n"/>
      <c r="O421" s="5" t="n">
        <v>39.9</v>
      </c>
      <c r="P421" s="5" t="n">
        <v>39.9</v>
      </c>
      <c r="Q421" s="5" t="n"/>
      <c r="R421" s="5" t="n"/>
    </row>
    <row r="422">
      <c r="A422" s="2" t="inlineStr">
        <is>
          <t>EJ020424.TXT</t>
        </is>
      </c>
      <c r="B422" s="3" t="inlineStr">
        <is>
          <t>001594</t>
        </is>
      </c>
      <c r="C422" s="3" t="inlineStr">
        <is>
          <t>001029</t>
        </is>
      </c>
      <c r="D422" s="4" t="n">
        <v>45374</v>
      </c>
      <c r="E422" s="2" t="inlineStr">
        <is>
          <t>15:17</t>
        </is>
      </c>
      <c r="F422" s="5" t="n">
        <v>822.5</v>
      </c>
      <c r="G422" s="5" t="n"/>
      <c r="H422" s="5" t="n"/>
      <c r="I422" s="5" t="n"/>
      <c r="J422" s="5" t="n">
        <v>164.5</v>
      </c>
      <c r="K422" s="5" t="n"/>
      <c r="L422" s="5" t="n"/>
      <c r="M422" s="5" t="n"/>
      <c r="N422" s="5" t="n"/>
      <c r="O422" s="5" t="n">
        <v>987</v>
      </c>
      <c r="P422" s="5" t="n"/>
      <c r="Q422" s="5" t="n">
        <v>987</v>
      </c>
      <c r="R422" s="5" t="n"/>
    </row>
    <row r="423">
      <c r="A423" s="2" t="inlineStr">
        <is>
          <t>EJ020424.TXT</t>
        </is>
      </c>
      <c r="B423" s="3" t="inlineStr">
        <is>
          <t>001595</t>
        </is>
      </c>
      <c r="C423" s="3" t="inlineStr">
        <is>
          <t>001030</t>
        </is>
      </c>
      <c r="D423" s="4" t="n">
        <v>45374</v>
      </c>
      <c r="E423" s="2" t="inlineStr">
        <is>
          <t>15:17</t>
        </is>
      </c>
      <c r="F423" s="5" t="n">
        <v>822.5</v>
      </c>
      <c r="G423" s="5" t="n"/>
      <c r="H423" s="5" t="n"/>
      <c r="I423" s="5" t="n"/>
      <c r="J423" s="5" t="n">
        <v>164.5</v>
      </c>
      <c r="K423" s="5" t="n"/>
      <c r="L423" s="5" t="n"/>
      <c r="M423" s="5" t="n"/>
      <c r="N423" s="5" t="n"/>
      <c r="O423" s="5" t="n">
        <v>987</v>
      </c>
      <c r="P423" s="5" t="n"/>
      <c r="Q423" s="5" t="n">
        <v>987</v>
      </c>
      <c r="R423" s="5" t="n"/>
    </row>
    <row r="424">
      <c r="A424" s="2" t="inlineStr">
        <is>
          <t>EJ020424.TXT</t>
        </is>
      </c>
      <c r="B424" s="3" t="inlineStr">
        <is>
          <t>001596</t>
        </is>
      </c>
      <c r="C424" s="3" t="inlineStr">
        <is>
          <t>001031</t>
        </is>
      </c>
      <c r="D424" s="4" t="n">
        <v>45374</v>
      </c>
      <c r="E424" s="2" t="inlineStr">
        <is>
          <t>15:32</t>
        </is>
      </c>
      <c r="F424" s="5" t="n">
        <v>548.33</v>
      </c>
      <c r="G424" s="5" t="n"/>
      <c r="H424" s="5" t="n"/>
      <c r="I424" s="5" t="n"/>
      <c r="J424" s="5" t="n">
        <v>109.67</v>
      </c>
      <c r="K424" s="5" t="n"/>
      <c r="L424" s="5" t="n"/>
      <c r="M424" s="5" t="n"/>
      <c r="N424" s="5" t="n"/>
      <c r="O424" s="5" t="n">
        <v>658</v>
      </c>
      <c r="P424" s="5" t="n">
        <v>658</v>
      </c>
      <c r="Q424" s="5" t="n"/>
      <c r="R424" s="5" t="n"/>
    </row>
    <row r="425">
      <c r="A425" s="2" t="inlineStr">
        <is>
          <t>EJ020424.TXT</t>
        </is>
      </c>
      <c r="B425" s="3" t="inlineStr">
        <is>
          <t>001597</t>
        </is>
      </c>
      <c r="C425" s="3" t="inlineStr">
        <is>
          <t>001032</t>
        </is>
      </c>
      <c r="D425" s="4" t="n">
        <v>45377</v>
      </c>
      <c r="E425" s="2" t="inlineStr">
        <is>
          <t>13:58</t>
        </is>
      </c>
      <c r="F425" s="5" t="n">
        <v>863.33</v>
      </c>
      <c r="G425" s="5" t="n"/>
      <c r="H425" s="5" t="n"/>
      <c r="I425" s="5" t="n"/>
      <c r="J425" s="5" t="n">
        <v>172.67</v>
      </c>
      <c r="K425" s="5" t="n"/>
      <c r="L425" s="5" t="n"/>
      <c r="M425" s="5" t="n"/>
      <c r="N425" s="5" t="n"/>
      <c r="O425" s="5" t="n">
        <v>1036</v>
      </c>
      <c r="P425" s="5" t="n">
        <v>1036</v>
      </c>
      <c r="Q425" s="5" t="n"/>
      <c r="R425" s="5" t="n"/>
    </row>
    <row r="426">
      <c r="A426" s="2" t="inlineStr">
        <is>
          <t>EJ020424.TXT</t>
        </is>
      </c>
      <c r="B426" s="3" t="inlineStr">
        <is>
          <t>001598</t>
        </is>
      </c>
      <c r="C426" s="3" t="inlineStr">
        <is>
          <t>001033</t>
        </is>
      </c>
      <c r="D426" s="4" t="n">
        <v>45379</v>
      </c>
      <c r="E426" s="2" t="inlineStr">
        <is>
          <t>11:58</t>
        </is>
      </c>
      <c r="F426" s="5" t="n">
        <v>274.17</v>
      </c>
      <c r="G426" s="5" t="n"/>
      <c r="H426" s="5" t="n"/>
      <c r="I426" s="5" t="n"/>
      <c r="J426" s="5" t="n">
        <v>54.83</v>
      </c>
      <c r="K426" s="5" t="n"/>
      <c r="L426" s="5" t="n"/>
      <c r="M426" s="5" t="n"/>
      <c r="N426" s="5" t="n"/>
      <c r="O426" s="5" t="n">
        <v>329</v>
      </c>
      <c r="P426" s="5" t="n">
        <v>329</v>
      </c>
      <c r="Q426" s="5" t="n"/>
      <c r="R426" s="5" t="n"/>
    </row>
    <row r="427">
      <c r="A427" s="2" t="inlineStr">
        <is>
          <t>EJ020424.TXT</t>
        </is>
      </c>
      <c r="B427" s="3" t="inlineStr">
        <is>
          <t>001599</t>
        </is>
      </c>
      <c r="C427" s="3" t="inlineStr">
        <is>
          <t>001034</t>
        </is>
      </c>
      <c r="D427" s="4" t="n">
        <v>45380</v>
      </c>
      <c r="E427" s="2" t="inlineStr">
        <is>
          <t>16:02</t>
        </is>
      </c>
      <c r="F427" s="5" t="n">
        <v>274.17</v>
      </c>
      <c r="G427" s="5" t="n"/>
      <c r="H427" s="5" t="n"/>
      <c r="I427" s="5" t="n"/>
      <c r="J427" s="5" t="n">
        <v>54.83</v>
      </c>
      <c r="K427" s="5" t="n"/>
      <c r="L427" s="5" t="n"/>
      <c r="M427" s="5" t="n"/>
      <c r="N427" s="5" t="n"/>
      <c r="O427" s="5" t="n">
        <v>329</v>
      </c>
      <c r="P427" s="5" t="n">
        <v>329</v>
      </c>
      <c r="Q427" s="5" t="n"/>
      <c r="R427" s="5" t="n"/>
    </row>
    <row r="428">
      <c r="A428" s="2" t="inlineStr">
        <is>
          <t>EJ020424.TXT</t>
        </is>
      </c>
      <c r="B428" s="3" t="inlineStr">
        <is>
          <t>001600</t>
        </is>
      </c>
      <c r="C428" s="3" t="inlineStr">
        <is>
          <t>001035</t>
        </is>
      </c>
      <c r="D428" s="4" t="n">
        <v>45381</v>
      </c>
      <c r="E428" s="2" t="inlineStr">
        <is>
          <t>16:36</t>
        </is>
      </c>
      <c r="F428" s="5" t="n">
        <v>82.25</v>
      </c>
      <c r="G428" s="5" t="n"/>
      <c r="H428" s="5" t="n"/>
      <c r="I428" s="5" t="n"/>
      <c r="J428" s="5" t="n">
        <v>16.45</v>
      </c>
      <c r="K428" s="5" t="n"/>
      <c r="L428" s="5" t="n"/>
      <c r="M428" s="5" t="n"/>
      <c r="N428" s="5" t="n"/>
      <c r="O428" s="5" t="n">
        <v>98.7</v>
      </c>
      <c r="P428" s="5" t="n">
        <v>98.7</v>
      </c>
      <c r="Q428" s="5" t="n"/>
      <c r="R428" s="5" t="n"/>
    </row>
    <row r="429">
      <c r="A429" s="2" t="inlineStr">
        <is>
          <t>EJ020524.TXT</t>
        </is>
      </c>
      <c r="B429" s="3" t="inlineStr">
        <is>
          <t>001605</t>
        </is>
      </c>
      <c r="C429" s="3" t="inlineStr">
        <is>
          <t>001036</t>
        </is>
      </c>
      <c r="D429" s="4" t="n">
        <v>45386</v>
      </c>
      <c r="E429" s="2" t="inlineStr">
        <is>
          <t>13:58</t>
        </is>
      </c>
      <c r="F429" s="5" t="n">
        <v>548.33</v>
      </c>
      <c r="G429" s="5" t="n"/>
      <c r="H429" s="5" t="n"/>
      <c r="I429" s="5" t="n"/>
      <c r="J429" s="5" t="n">
        <v>109.67</v>
      </c>
      <c r="K429" s="5" t="n"/>
      <c r="L429" s="5" t="n"/>
      <c r="M429" s="5" t="n"/>
      <c r="N429" s="5" t="n"/>
      <c r="O429" s="5" t="n">
        <v>658</v>
      </c>
      <c r="P429" s="5" t="n">
        <v>658</v>
      </c>
      <c r="Q429" s="5" t="n"/>
      <c r="R429" s="5" t="n"/>
    </row>
    <row r="430">
      <c r="A430" s="2" t="inlineStr">
        <is>
          <t>EJ020524.TXT</t>
        </is>
      </c>
      <c r="B430" s="3" t="inlineStr">
        <is>
          <t>001606</t>
        </is>
      </c>
      <c r="C430" s="3" t="inlineStr">
        <is>
          <t>001037</t>
        </is>
      </c>
      <c r="D430" s="4" t="n">
        <v>45387</v>
      </c>
      <c r="E430" s="2" t="inlineStr">
        <is>
          <t>09:01</t>
        </is>
      </c>
      <c r="F430" s="5" t="n">
        <v>548.33</v>
      </c>
      <c r="G430" s="5" t="n"/>
      <c r="H430" s="5" t="n"/>
      <c r="I430" s="5" t="n"/>
      <c r="J430" s="5" t="n">
        <v>109.67</v>
      </c>
      <c r="K430" s="5" t="n"/>
      <c r="L430" s="5" t="n"/>
      <c r="M430" s="5" t="n"/>
      <c r="N430" s="5" t="n"/>
      <c r="O430" s="5" t="n">
        <v>658</v>
      </c>
      <c r="P430" s="5" t="n">
        <v>658</v>
      </c>
      <c r="Q430" s="5" t="n"/>
      <c r="R430" s="5" t="n"/>
    </row>
    <row r="431">
      <c r="A431" s="2" t="inlineStr">
        <is>
          <t>EJ020524.TXT</t>
        </is>
      </c>
      <c r="B431" s="3" t="inlineStr">
        <is>
          <t>001612</t>
        </is>
      </c>
      <c r="C431" s="3" t="inlineStr">
        <is>
          <t>001038</t>
        </is>
      </c>
      <c r="D431" s="4" t="n">
        <v>45390</v>
      </c>
      <c r="E431" s="2" t="inlineStr">
        <is>
          <t>14:35</t>
        </is>
      </c>
      <c r="F431" s="5" t="n">
        <v>658.33</v>
      </c>
      <c r="G431" s="5" t="n"/>
      <c r="H431" s="5" t="n"/>
      <c r="I431" s="5" t="n"/>
      <c r="J431" s="5" t="n">
        <v>131.67</v>
      </c>
      <c r="K431" s="5" t="n"/>
      <c r="L431" s="5" t="n"/>
      <c r="M431" s="5" t="n"/>
      <c r="N431" s="5" t="n"/>
      <c r="O431" s="5" t="n">
        <v>790</v>
      </c>
      <c r="P431" s="5" t="n">
        <v>790</v>
      </c>
      <c r="Q431" s="5" t="n"/>
      <c r="R431" s="5" t="n"/>
    </row>
    <row r="432">
      <c r="A432" s="2" t="inlineStr">
        <is>
          <t>EJ020524.TXT</t>
        </is>
      </c>
      <c r="B432" s="3" t="inlineStr">
        <is>
          <t>001613</t>
        </is>
      </c>
      <c r="C432" s="3" t="inlineStr">
        <is>
          <t>001039</t>
        </is>
      </c>
      <c r="D432" s="4" t="n">
        <v>45392</v>
      </c>
      <c r="E432" s="2" t="inlineStr">
        <is>
          <t>10:50</t>
        </is>
      </c>
      <c r="F432" s="5" t="n">
        <v>548.33</v>
      </c>
      <c r="G432" s="5" t="n"/>
      <c r="H432" s="5" t="n"/>
      <c r="I432" s="5" t="n"/>
      <c r="J432" s="5" t="n">
        <v>109.67</v>
      </c>
      <c r="K432" s="5" t="n"/>
      <c r="L432" s="5" t="n"/>
      <c r="M432" s="5" t="n"/>
      <c r="N432" s="5" t="n"/>
      <c r="O432" s="5" t="n">
        <v>658</v>
      </c>
      <c r="P432" s="5" t="n">
        <v>658</v>
      </c>
      <c r="Q432" s="5" t="n"/>
      <c r="R432" s="5" t="n"/>
    </row>
    <row r="433">
      <c r="A433" s="2" t="inlineStr">
        <is>
          <t>EJ020524.TXT</t>
        </is>
      </c>
      <c r="B433" s="3" t="inlineStr">
        <is>
          <t>001614</t>
        </is>
      </c>
      <c r="C433" s="3" t="inlineStr">
        <is>
          <t>001040</t>
        </is>
      </c>
      <c r="D433" s="4" t="n">
        <v>45392</v>
      </c>
      <c r="E433" s="2" t="inlineStr">
        <is>
          <t>10:52</t>
        </is>
      </c>
      <c r="F433" s="5" t="n">
        <v>548.33</v>
      </c>
      <c r="G433" s="5" t="n"/>
      <c r="H433" s="5" t="n"/>
      <c r="I433" s="5" t="n"/>
      <c r="J433" s="5" t="n">
        <v>109.67</v>
      </c>
      <c r="K433" s="5" t="n"/>
      <c r="L433" s="5" t="n"/>
      <c r="M433" s="5" t="n"/>
      <c r="N433" s="5" t="n"/>
      <c r="O433" s="5" t="n">
        <v>658</v>
      </c>
      <c r="P433" s="5" t="n">
        <v>658</v>
      </c>
      <c r="Q433" s="5" t="n"/>
      <c r="R433" s="5" t="n"/>
    </row>
    <row r="434">
      <c r="A434" s="2" t="inlineStr">
        <is>
          <t>EJ020524.TXT</t>
        </is>
      </c>
      <c r="B434" s="3" t="inlineStr">
        <is>
          <t>001617</t>
        </is>
      </c>
      <c r="C434" s="3" t="inlineStr">
        <is>
          <t>001041</t>
        </is>
      </c>
      <c r="D434" s="4" t="n">
        <v>45393</v>
      </c>
      <c r="E434" s="2" t="inlineStr">
        <is>
          <t>11:26</t>
        </is>
      </c>
      <c r="F434" s="5" t="n">
        <v>3190</v>
      </c>
      <c r="G434" s="5" t="n"/>
      <c r="H434" s="5" t="n"/>
      <c r="I434" s="5" t="n"/>
      <c r="J434" s="5" t="n">
        <v>638</v>
      </c>
      <c r="K434" s="5" t="n"/>
      <c r="L434" s="5" t="n"/>
      <c r="M434" s="5" t="n"/>
      <c r="N434" s="5" t="n"/>
      <c r="O434" s="5" t="n">
        <v>3828</v>
      </c>
      <c r="P434" s="5" t="n">
        <v>3828</v>
      </c>
      <c r="Q434" s="5" t="n"/>
      <c r="R434" s="5" t="n"/>
    </row>
    <row r="435">
      <c r="A435" s="2" t="inlineStr">
        <is>
          <t>EJ020524.TXT</t>
        </is>
      </c>
      <c r="B435" s="3" t="inlineStr">
        <is>
          <t>001618</t>
        </is>
      </c>
      <c r="C435" s="3" t="inlineStr">
        <is>
          <t>001042</t>
        </is>
      </c>
      <c r="D435" s="4" t="n">
        <v>45393</v>
      </c>
      <c r="E435" s="2" t="inlineStr">
        <is>
          <t>12:53</t>
        </is>
      </c>
      <c r="F435" s="5" t="n">
        <v>548.33</v>
      </c>
      <c r="G435" s="5" t="n"/>
      <c r="H435" s="5" t="n"/>
      <c r="I435" s="5" t="n"/>
      <c r="J435" s="5" t="n">
        <v>109.67</v>
      </c>
      <c r="K435" s="5" t="n"/>
      <c r="L435" s="5" t="n"/>
      <c r="M435" s="5" t="n"/>
      <c r="N435" s="5" t="n"/>
      <c r="O435" s="5" t="n">
        <v>658</v>
      </c>
      <c r="P435" s="5" t="n">
        <v>658</v>
      </c>
      <c r="Q435" s="5" t="n"/>
      <c r="R435" s="5" t="n"/>
    </row>
    <row r="436">
      <c r="A436" s="2" t="inlineStr">
        <is>
          <t>EJ020524.TXT</t>
        </is>
      </c>
      <c r="B436" s="3" t="inlineStr">
        <is>
          <t>001619</t>
        </is>
      </c>
      <c r="C436" s="3" t="inlineStr">
        <is>
          <t>001043</t>
        </is>
      </c>
      <c r="D436" s="4" t="n">
        <v>45394</v>
      </c>
      <c r="E436" s="2" t="inlineStr">
        <is>
          <t>14:50</t>
        </is>
      </c>
      <c r="F436" s="5" t="n">
        <v>279.65</v>
      </c>
      <c r="G436" s="5" t="n"/>
      <c r="H436" s="5" t="n"/>
      <c r="I436" s="5" t="n"/>
      <c r="J436" s="5" t="n">
        <v>55.93</v>
      </c>
      <c r="K436" s="5" t="n"/>
      <c r="L436" s="5" t="n"/>
      <c r="M436" s="5" t="n"/>
      <c r="N436" s="5" t="n"/>
      <c r="O436" s="5" t="n">
        <v>335.58</v>
      </c>
      <c r="P436" s="5" t="n">
        <v>335.58</v>
      </c>
      <c r="Q436" s="5" t="n"/>
      <c r="R436" s="5" t="n"/>
    </row>
    <row r="437">
      <c r="A437" s="2" t="inlineStr">
        <is>
          <t>EJ020524.TXT</t>
        </is>
      </c>
      <c r="B437" s="3" t="inlineStr">
        <is>
          <t>001620</t>
        </is>
      </c>
      <c r="C437" s="3" t="inlineStr">
        <is>
          <t>001044</t>
        </is>
      </c>
      <c r="D437" s="4" t="n">
        <v>45394</v>
      </c>
      <c r="E437" s="2" t="inlineStr">
        <is>
          <t>14:52</t>
        </is>
      </c>
      <c r="F437" s="5" t="n">
        <v>548.33</v>
      </c>
      <c r="G437" s="5" t="n"/>
      <c r="H437" s="5" t="n"/>
      <c r="I437" s="5" t="n"/>
      <c r="J437" s="5" t="n">
        <v>109.67</v>
      </c>
      <c r="K437" s="5" t="n"/>
      <c r="L437" s="5" t="n"/>
      <c r="M437" s="5" t="n"/>
      <c r="N437" s="5" t="n"/>
      <c r="O437" s="5" t="n">
        <v>658</v>
      </c>
      <c r="P437" s="5" t="n">
        <v>658</v>
      </c>
      <c r="Q437" s="5" t="n"/>
      <c r="R437" s="5" t="n"/>
    </row>
    <row r="438">
      <c r="A438" s="2" t="inlineStr">
        <is>
          <t>EJ020524.TXT</t>
        </is>
      </c>
      <c r="B438" s="3" t="inlineStr">
        <is>
          <t>001621</t>
        </is>
      </c>
      <c r="C438" s="3" t="inlineStr">
        <is>
          <t>001045</t>
        </is>
      </c>
      <c r="D438" s="4" t="n">
        <v>45397</v>
      </c>
      <c r="E438" s="2" t="inlineStr">
        <is>
          <t>09:33</t>
        </is>
      </c>
      <c r="F438" s="5" t="n">
        <v>548.33</v>
      </c>
      <c r="G438" s="5" t="n"/>
      <c r="H438" s="5" t="n"/>
      <c r="I438" s="5" t="n"/>
      <c r="J438" s="5" t="n">
        <v>109.67</v>
      </c>
      <c r="K438" s="5" t="n"/>
      <c r="L438" s="5" t="n"/>
      <c r="M438" s="5" t="n"/>
      <c r="N438" s="5" t="n"/>
      <c r="O438" s="5" t="n">
        <v>658</v>
      </c>
      <c r="P438" s="5" t="n">
        <v>658</v>
      </c>
      <c r="Q438" s="5" t="n"/>
      <c r="R438" s="5" t="n"/>
    </row>
    <row r="439">
      <c r="A439" s="2" t="inlineStr">
        <is>
          <t>EJ020524.TXT</t>
        </is>
      </c>
      <c r="B439" s="3" t="inlineStr">
        <is>
          <t>001622</t>
        </is>
      </c>
      <c r="C439" s="3" t="inlineStr">
        <is>
          <t>001046</t>
        </is>
      </c>
      <c r="D439" s="4" t="n">
        <v>45397</v>
      </c>
      <c r="E439" s="2" t="inlineStr">
        <is>
          <t>09:33</t>
        </is>
      </c>
      <c r="F439" s="5" t="n">
        <v>548.33</v>
      </c>
      <c r="G439" s="5" t="n"/>
      <c r="H439" s="5" t="n"/>
      <c r="I439" s="5" t="n"/>
      <c r="J439" s="5" t="n">
        <v>109.67</v>
      </c>
      <c r="K439" s="5" t="n"/>
      <c r="L439" s="5" t="n"/>
      <c r="M439" s="5" t="n"/>
      <c r="N439" s="5" t="n"/>
      <c r="O439" s="5" t="n">
        <v>658</v>
      </c>
      <c r="P439" s="5" t="n">
        <v>658</v>
      </c>
      <c r="Q439" s="5" t="n"/>
      <c r="R439" s="5" t="n"/>
    </row>
    <row r="440">
      <c r="A440" s="2" t="inlineStr">
        <is>
          <t>EJ020524.TXT</t>
        </is>
      </c>
      <c r="B440" s="3" t="inlineStr">
        <is>
          <t>001623</t>
        </is>
      </c>
      <c r="C440" s="3" t="inlineStr">
        <is>
          <t>001047</t>
        </is>
      </c>
      <c r="D440" s="4" t="n">
        <v>45398</v>
      </c>
      <c r="E440" s="2" t="inlineStr">
        <is>
          <t>16:31</t>
        </is>
      </c>
      <c r="F440" s="5" t="n">
        <v>548.33</v>
      </c>
      <c r="G440" s="5" t="n"/>
      <c r="H440" s="5" t="n"/>
      <c r="I440" s="5" t="n"/>
      <c r="J440" s="5" t="n">
        <v>109.67</v>
      </c>
      <c r="K440" s="5" t="n"/>
      <c r="L440" s="5" t="n"/>
      <c r="M440" s="5" t="n"/>
      <c r="N440" s="5" t="n"/>
      <c r="O440" s="5" t="n">
        <v>658</v>
      </c>
      <c r="P440" s="5" t="n">
        <v>658</v>
      </c>
      <c r="Q440" s="5" t="n"/>
      <c r="R440" s="5" t="n"/>
    </row>
    <row r="441">
      <c r="A441" s="2" t="inlineStr">
        <is>
          <t>EJ020524.TXT</t>
        </is>
      </c>
      <c r="B441" s="3" t="inlineStr">
        <is>
          <t>001625</t>
        </is>
      </c>
      <c r="C441" s="3" t="inlineStr">
        <is>
          <t>001048</t>
        </is>
      </c>
      <c r="D441" s="4" t="n">
        <v>45400</v>
      </c>
      <c r="E441" s="2" t="inlineStr">
        <is>
          <t>10:03</t>
        </is>
      </c>
      <c r="F441" s="5" t="n">
        <v>416.33</v>
      </c>
      <c r="G441" s="5" t="n"/>
      <c r="H441" s="5" t="n"/>
      <c r="I441" s="5" t="n"/>
      <c r="J441" s="5" t="n">
        <v>83.27</v>
      </c>
      <c r="K441" s="5" t="n"/>
      <c r="L441" s="5" t="n"/>
      <c r="M441" s="5" t="n"/>
      <c r="N441" s="5" t="n"/>
      <c r="O441" s="5" t="n">
        <v>499.6</v>
      </c>
      <c r="P441" s="5" t="n"/>
      <c r="Q441" s="5" t="n">
        <v>499.6</v>
      </c>
      <c r="R441" s="5" t="n"/>
    </row>
    <row r="442">
      <c r="A442" s="2" t="inlineStr">
        <is>
          <t>EJ020524.TXT</t>
        </is>
      </c>
      <c r="B442" s="3" t="inlineStr">
        <is>
          <t>001627</t>
        </is>
      </c>
      <c r="C442" s="3" t="inlineStr">
        <is>
          <t>001049</t>
        </is>
      </c>
      <c r="D442" s="4" t="n">
        <v>45400</v>
      </c>
      <c r="E442" s="2" t="inlineStr">
        <is>
          <t>11:25</t>
        </is>
      </c>
      <c r="F442" s="5" t="n">
        <v>190.83</v>
      </c>
      <c r="G442" s="5" t="n"/>
      <c r="H442" s="5" t="n"/>
      <c r="I442" s="5" t="n"/>
      <c r="J442" s="5" t="n">
        <v>38.17</v>
      </c>
      <c r="K442" s="5" t="n"/>
      <c r="L442" s="5" t="n"/>
      <c r="M442" s="5" t="n"/>
      <c r="N442" s="5" t="n"/>
      <c r="O442" s="5" t="n">
        <v>229</v>
      </c>
      <c r="P442" s="5" t="n">
        <v>229</v>
      </c>
      <c r="Q442" s="5" t="n"/>
      <c r="R442" s="5" t="n"/>
    </row>
    <row r="443">
      <c r="A443" s="2" t="inlineStr">
        <is>
          <t>EJ020524.TXT</t>
        </is>
      </c>
      <c r="B443" s="3" t="inlineStr">
        <is>
          <t>001628</t>
        </is>
      </c>
      <c r="C443" s="3" t="inlineStr">
        <is>
          <t>001050</t>
        </is>
      </c>
      <c r="D443" s="4" t="n">
        <v>45400</v>
      </c>
      <c r="E443" s="2" t="inlineStr">
        <is>
          <t>11:49</t>
        </is>
      </c>
      <c r="F443" s="5" t="n">
        <v>66.5</v>
      </c>
      <c r="G443" s="5" t="n"/>
      <c r="H443" s="5" t="n"/>
      <c r="I443" s="5" t="n"/>
      <c r="J443" s="5" t="n">
        <v>13.3</v>
      </c>
      <c r="K443" s="5" t="n"/>
      <c r="L443" s="5" t="n"/>
      <c r="M443" s="5" t="n"/>
      <c r="N443" s="5" t="n"/>
      <c r="O443" s="5" t="n">
        <v>79.8</v>
      </c>
      <c r="P443" s="5" t="n">
        <v>79.8</v>
      </c>
      <c r="Q443" s="5" t="n"/>
      <c r="R443" s="5" t="n"/>
    </row>
    <row r="444">
      <c r="A444" s="2" t="inlineStr">
        <is>
          <t>EJ020524.TXT</t>
        </is>
      </c>
      <c r="B444" s="3" t="inlineStr">
        <is>
          <t>001629</t>
        </is>
      </c>
      <c r="C444" s="3" t="inlineStr">
        <is>
          <t>001051</t>
        </is>
      </c>
      <c r="D444" s="4" t="n">
        <v>45400</v>
      </c>
      <c r="E444" s="2" t="inlineStr">
        <is>
          <t>12:47</t>
        </is>
      </c>
      <c r="F444" s="5" t="n">
        <v>60.83</v>
      </c>
      <c r="G444" s="5" t="n"/>
      <c r="H444" s="5" t="n"/>
      <c r="I444" s="5" t="n"/>
      <c r="J444" s="5" t="n">
        <v>12.17</v>
      </c>
      <c r="K444" s="5" t="n"/>
      <c r="L444" s="5" t="n"/>
      <c r="M444" s="5" t="n"/>
      <c r="N444" s="5" t="n"/>
      <c r="O444" s="5" t="n">
        <v>73</v>
      </c>
      <c r="P444" s="5" t="n">
        <v>73</v>
      </c>
      <c r="Q444" s="5" t="n"/>
      <c r="R444" s="5" t="n"/>
    </row>
    <row r="445">
      <c r="A445" s="2" t="inlineStr">
        <is>
          <t>EJ020524.TXT</t>
        </is>
      </c>
      <c r="B445" s="3" t="inlineStr">
        <is>
          <t>001630</t>
        </is>
      </c>
      <c r="C445" s="3" t="inlineStr">
        <is>
          <t>001052</t>
        </is>
      </c>
      <c r="D445" s="4" t="n">
        <v>45402</v>
      </c>
      <c r="E445" s="2" t="inlineStr">
        <is>
          <t>13:16</t>
        </is>
      </c>
      <c r="F445" s="5" t="n">
        <v>548.33</v>
      </c>
      <c r="G445" s="5" t="n"/>
      <c r="H445" s="5" t="n"/>
      <c r="I445" s="5" t="n"/>
      <c r="J445" s="5" t="n">
        <v>109.67</v>
      </c>
      <c r="K445" s="5" t="n"/>
      <c r="L445" s="5" t="n"/>
      <c r="M445" s="5" t="n"/>
      <c r="N445" s="5" t="n"/>
      <c r="O445" s="5" t="n">
        <v>658</v>
      </c>
      <c r="P445" s="5" t="n"/>
      <c r="Q445" s="5" t="n">
        <v>658</v>
      </c>
      <c r="R445" s="5" t="n"/>
    </row>
    <row r="446">
      <c r="A446" s="2" t="inlineStr">
        <is>
          <t>EJ020524.TXT</t>
        </is>
      </c>
      <c r="B446" s="3" t="inlineStr">
        <is>
          <t>001632</t>
        </is>
      </c>
      <c r="C446" s="3" t="inlineStr">
        <is>
          <t>001053</t>
        </is>
      </c>
      <c r="D446" s="4" t="n">
        <v>45404</v>
      </c>
      <c r="E446" s="2" t="inlineStr">
        <is>
          <t>10:36</t>
        </is>
      </c>
      <c r="F446" s="5" t="n">
        <v>41.58</v>
      </c>
      <c r="G446" s="5" t="n"/>
      <c r="H446" s="5" t="n"/>
      <c r="I446" s="5" t="n"/>
      <c r="J446" s="5" t="n">
        <v>8.32</v>
      </c>
      <c r="K446" s="5" t="n"/>
      <c r="L446" s="5" t="n"/>
      <c r="M446" s="5" t="n"/>
      <c r="N446" s="5" t="n"/>
      <c r="O446" s="5" t="n">
        <v>49.9</v>
      </c>
      <c r="P446" s="5" t="n">
        <v>49.9</v>
      </c>
      <c r="Q446" s="5" t="n"/>
      <c r="R446" s="5" t="n"/>
    </row>
    <row r="447">
      <c r="A447" s="2" t="inlineStr">
        <is>
          <t>EJ020524.TXT</t>
        </is>
      </c>
      <c r="B447" s="3" t="inlineStr">
        <is>
          <t>001633</t>
        </is>
      </c>
      <c r="C447" s="3" t="inlineStr">
        <is>
          <t>001054</t>
        </is>
      </c>
      <c r="D447" s="4" t="n">
        <v>45404</v>
      </c>
      <c r="E447" s="2" t="inlineStr">
        <is>
          <t>10:53</t>
        </is>
      </c>
      <c r="F447" s="5" t="n">
        <v>582.5</v>
      </c>
      <c r="G447" s="5" t="n"/>
      <c r="H447" s="5" t="n"/>
      <c r="I447" s="5" t="n"/>
      <c r="J447" s="5" t="n">
        <v>116.5</v>
      </c>
      <c r="K447" s="5" t="n"/>
      <c r="L447" s="5" t="n"/>
      <c r="M447" s="5" t="n"/>
      <c r="N447" s="5" t="n"/>
      <c r="O447" s="5" t="n">
        <v>699</v>
      </c>
      <c r="P447" s="5" t="n">
        <v>699</v>
      </c>
      <c r="Q447" s="5" t="n"/>
      <c r="R447" s="5" t="n"/>
    </row>
    <row r="448">
      <c r="A448" s="2" t="inlineStr">
        <is>
          <t>EJ020524.TXT</t>
        </is>
      </c>
      <c r="B448" s="3" t="inlineStr">
        <is>
          <t>001634</t>
        </is>
      </c>
      <c r="C448" s="3" t="inlineStr">
        <is>
          <t>001055</t>
        </is>
      </c>
      <c r="D448" s="4" t="n">
        <v>45405</v>
      </c>
      <c r="E448" s="2" t="inlineStr">
        <is>
          <t>13:45</t>
        </is>
      </c>
      <c r="F448" s="5" t="n">
        <v>2600</v>
      </c>
      <c r="G448" s="5" t="n"/>
      <c r="H448" s="5" t="n"/>
      <c r="I448" s="5" t="n"/>
      <c r="J448" s="5" t="n">
        <v>520</v>
      </c>
      <c r="K448" s="5" t="n"/>
      <c r="L448" s="5" t="n"/>
      <c r="M448" s="5" t="n"/>
      <c r="N448" s="5" t="n"/>
      <c r="O448" s="5" t="n">
        <v>3120</v>
      </c>
      <c r="P448" s="5" t="n">
        <v>3120</v>
      </c>
      <c r="Q448" s="5" t="n"/>
      <c r="R448" s="5" t="n"/>
    </row>
    <row r="449">
      <c r="A449" s="2" t="inlineStr">
        <is>
          <t>EJ020524.TXT</t>
        </is>
      </c>
      <c r="B449" s="3" t="inlineStr">
        <is>
          <t>001635</t>
        </is>
      </c>
      <c r="C449" s="3" t="inlineStr">
        <is>
          <t>001056</t>
        </is>
      </c>
      <c r="D449" s="4" t="n">
        <v>45406</v>
      </c>
      <c r="E449" s="2" t="inlineStr">
        <is>
          <t>12:23</t>
        </is>
      </c>
      <c r="F449" s="5" t="n">
        <v>329.17</v>
      </c>
      <c r="G449" s="5" t="n"/>
      <c r="H449" s="5" t="n"/>
      <c r="I449" s="5" t="n"/>
      <c r="J449" s="5" t="n">
        <v>65.83</v>
      </c>
      <c r="K449" s="5" t="n"/>
      <c r="L449" s="5" t="n"/>
      <c r="M449" s="5" t="n"/>
      <c r="N449" s="5" t="n"/>
      <c r="O449" s="5" t="n">
        <v>395</v>
      </c>
      <c r="P449" s="5" t="n"/>
      <c r="Q449" s="5" t="n">
        <v>395</v>
      </c>
      <c r="R449" s="5" t="n"/>
    </row>
    <row r="450">
      <c r="A450" s="2" t="inlineStr">
        <is>
          <t>EJ020524.TXT</t>
        </is>
      </c>
      <c r="B450" s="3" t="inlineStr">
        <is>
          <t>001637</t>
        </is>
      </c>
      <c r="C450" s="3" t="inlineStr">
        <is>
          <t>001057</t>
        </is>
      </c>
      <c r="D450" s="4" t="n">
        <v>45407</v>
      </c>
      <c r="E450" s="2" t="inlineStr">
        <is>
          <t>11:05</t>
        </is>
      </c>
      <c r="F450" s="5" t="n">
        <v>274.17</v>
      </c>
      <c r="G450" s="5" t="n"/>
      <c r="H450" s="5" t="n"/>
      <c r="I450" s="5" t="n"/>
      <c r="J450" s="5" t="n">
        <v>54.83</v>
      </c>
      <c r="K450" s="5" t="n"/>
      <c r="L450" s="5" t="n"/>
      <c r="M450" s="5" t="n"/>
      <c r="N450" s="5" t="n"/>
      <c r="O450" s="5" t="n">
        <v>329</v>
      </c>
      <c r="P450" s="5" t="n">
        <v>329</v>
      </c>
      <c r="Q450" s="5" t="n"/>
      <c r="R450" s="5" t="n"/>
    </row>
    <row r="451">
      <c r="A451" s="2" t="inlineStr">
        <is>
          <t>EJ020524.TXT</t>
        </is>
      </c>
      <c r="B451" s="3" t="inlineStr">
        <is>
          <t>001638</t>
        </is>
      </c>
      <c r="C451" s="3" t="inlineStr">
        <is>
          <t>001058</t>
        </is>
      </c>
      <c r="D451" s="4" t="n">
        <v>45407</v>
      </c>
      <c r="E451" s="2" t="inlineStr">
        <is>
          <t>12:38</t>
        </is>
      </c>
      <c r="F451" s="5" t="n">
        <v>548.33</v>
      </c>
      <c r="G451" s="5" t="n"/>
      <c r="H451" s="5" t="n"/>
      <c r="I451" s="5" t="n"/>
      <c r="J451" s="5" t="n">
        <v>109.67</v>
      </c>
      <c r="K451" s="5" t="n"/>
      <c r="L451" s="5" t="n"/>
      <c r="M451" s="5" t="n"/>
      <c r="N451" s="5" t="n"/>
      <c r="O451" s="5" t="n">
        <v>658</v>
      </c>
      <c r="P451" s="5" t="n">
        <v>658</v>
      </c>
      <c r="Q451" s="5" t="n"/>
      <c r="R451" s="5" t="n"/>
    </row>
    <row r="452">
      <c r="A452" s="2" t="inlineStr">
        <is>
          <t>EJ020524.TXT</t>
        </is>
      </c>
      <c r="B452" s="3" t="inlineStr">
        <is>
          <t>001639</t>
        </is>
      </c>
      <c r="C452" s="3" t="inlineStr">
        <is>
          <t>001059</t>
        </is>
      </c>
      <c r="D452" s="4" t="n">
        <v>45408</v>
      </c>
      <c r="E452" s="2" t="inlineStr">
        <is>
          <t>10:26</t>
        </is>
      </c>
      <c r="F452" s="5" t="n">
        <v>548.33</v>
      </c>
      <c r="G452" s="5" t="n"/>
      <c r="H452" s="5" t="n"/>
      <c r="I452" s="5" t="n"/>
      <c r="J452" s="5" t="n">
        <v>109.67</v>
      </c>
      <c r="K452" s="5" t="n"/>
      <c r="L452" s="5" t="n"/>
      <c r="M452" s="5" t="n"/>
      <c r="N452" s="5" t="n"/>
      <c r="O452" s="5" t="n">
        <v>658</v>
      </c>
      <c r="P452" s="5" t="n"/>
      <c r="Q452" s="5" t="n">
        <v>658</v>
      </c>
      <c r="R452" s="5" t="n"/>
    </row>
    <row r="453">
      <c r="A453" s="2" t="inlineStr">
        <is>
          <t>EJ020524.TXT</t>
        </is>
      </c>
      <c r="B453" s="3" t="inlineStr">
        <is>
          <t>001644</t>
        </is>
      </c>
      <c r="C453" s="3" t="inlineStr">
        <is>
          <t>001060</t>
        </is>
      </c>
      <c r="D453" s="4" t="n">
        <v>45408</v>
      </c>
      <c r="E453" s="2" t="inlineStr">
        <is>
          <t>13:49</t>
        </is>
      </c>
      <c r="F453" s="5" t="n">
        <v>183</v>
      </c>
      <c r="G453" s="5" t="n"/>
      <c r="H453" s="5" t="n"/>
      <c r="I453" s="5" t="n"/>
      <c r="J453" s="5" t="n">
        <v>36.6</v>
      </c>
      <c r="K453" s="5" t="n"/>
      <c r="L453" s="5" t="n"/>
      <c r="M453" s="5" t="n"/>
      <c r="N453" s="5" t="n"/>
      <c r="O453" s="5" t="n">
        <v>219.6</v>
      </c>
      <c r="P453" s="5" t="n"/>
      <c r="Q453" s="5" t="n">
        <v>219.6</v>
      </c>
      <c r="R453" s="5" t="n"/>
    </row>
    <row r="454">
      <c r="A454" s="2" t="inlineStr">
        <is>
          <t>EJ020524.TXT</t>
        </is>
      </c>
      <c r="B454" s="3" t="inlineStr">
        <is>
          <t>001645</t>
        </is>
      </c>
      <c r="C454" s="3" t="inlineStr">
        <is>
          <t>001061</t>
        </is>
      </c>
      <c r="D454" s="4" t="n">
        <v>45408</v>
      </c>
      <c r="E454" s="2" t="inlineStr">
        <is>
          <t>14:18</t>
        </is>
      </c>
      <c r="F454" s="5" t="n">
        <v>2375</v>
      </c>
      <c r="G454" s="5" t="n"/>
      <c r="H454" s="5" t="n"/>
      <c r="I454" s="5" t="n"/>
      <c r="J454" s="5" t="n">
        <v>475</v>
      </c>
      <c r="K454" s="5" t="n"/>
      <c r="L454" s="5" t="n"/>
      <c r="M454" s="5" t="n"/>
      <c r="N454" s="5" t="n"/>
      <c r="O454" s="5" t="n">
        <v>2850</v>
      </c>
      <c r="P454" s="5" t="n">
        <v>2850</v>
      </c>
      <c r="Q454" s="5" t="n"/>
      <c r="R454" s="5" t="n"/>
    </row>
    <row r="455">
      <c r="A455" s="2" t="inlineStr">
        <is>
          <t>EJ020524.TXT</t>
        </is>
      </c>
      <c r="B455" s="3" t="inlineStr">
        <is>
          <t>001646</t>
        </is>
      </c>
      <c r="C455" s="3" t="inlineStr">
        <is>
          <t>001062</t>
        </is>
      </c>
      <c r="D455" s="4" t="n">
        <v>45408</v>
      </c>
      <c r="E455" s="2" t="inlineStr">
        <is>
          <t>14:39</t>
        </is>
      </c>
      <c r="F455" s="5" t="n">
        <v>536.25</v>
      </c>
      <c r="G455" s="5" t="n"/>
      <c r="H455" s="5" t="n"/>
      <c r="I455" s="5" t="n"/>
      <c r="J455" s="5" t="n">
        <v>107.25</v>
      </c>
      <c r="K455" s="5" t="n"/>
      <c r="L455" s="5" t="n"/>
      <c r="M455" s="5" t="n"/>
      <c r="N455" s="5" t="n"/>
      <c r="O455" s="5" t="n">
        <v>643.5</v>
      </c>
      <c r="P455" s="5" t="n"/>
      <c r="Q455" s="5" t="n">
        <v>643.5</v>
      </c>
      <c r="R455" s="5" t="n"/>
    </row>
    <row r="456">
      <c r="A456" s="2" t="inlineStr">
        <is>
          <t>EJ020524.TXT</t>
        </is>
      </c>
      <c r="B456" s="3" t="inlineStr">
        <is>
          <t>001647</t>
        </is>
      </c>
      <c r="C456" s="3" t="inlineStr">
        <is>
          <t>001063</t>
        </is>
      </c>
      <c r="D456" s="4" t="n">
        <v>45408</v>
      </c>
      <c r="E456" s="2" t="inlineStr">
        <is>
          <t>16:00</t>
        </is>
      </c>
      <c r="F456" s="5" t="n">
        <v>274.17</v>
      </c>
      <c r="G456" s="5" t="n"/>
      <c r="H456" s="5" t="n"/>
      <c r="I456" s="5" t="n"/>
      <c r="J456" s="5" t="n">
        <v>54.83</v>
      </c>
      <c r="K456" s="5" t="n"/>
      <c r="L456" s="5" t="n"/>
      <c r="M456" s="5" t="n"/>
      <c r="N456" s="5" t="n"/>
      <c r="O456" s="5" t="n">
        <v>329</v>
      </c>
      <c r="P456" s="5" t="n">
        <v>329</v>
      </c>
      <c r="Q456" s="5" t="n"/>
      <c r="R456" s="5" t="n"/>
    </row>
    <row r="457">
      <c r="A457" s="2" t="inlineStr">
        <is>
          <t>EJ020524.TXT</t>
        </is>
      </c>
      <c r="B457" s="3" t="inlineStr">
        <is>
          <t>001648</t>
        </is>
      </c>
      <c r="C457" s="3" t="inlineStr">
        <is>
          <t>001064</t>
        </is>
      </c>
      <c r="D457" s="4" t="n">
        <v>45409</v>
      </c>
      <c r="E457" s="2" t="inlineStr">
        <is>
          <t>16:42</t>
        </is>
      </c>
      <c r="F457" s="5" t="n">
        <v>274.17</v>
      </c>
      <c r="G457" s="5" t="n"/>
      <c r="H457" s="5" t="n"/>
      <c r="I457" s="5" t="n"/>
      <c r="J457" s="5" t="n">
        <v>54.83</v>
      </c>
      <c r="K457" s="5" t="n"/>
      <c r="L457" s="5" t="n"/>
      <c r="M457" s="5" t="n"/>
      <c r="N457" s="5" t="n"/>
      <c r="O457" s="5" t="n">
        <v>329</v>
      </c>
      <c r="P457" s="5" t="n"/>
      <c r="Q457" s="5" t="n">
        <v>329</v>
      </c>
      <c r="R457" s="5" t="n"/>
    </row>
    <row r="458">
      <c r="A458" s="2" t="inlineStr">
        <is>
          <t>EJ010624.TXT</t>
        </is>
      </c>
      <c r="B458" s="3" t="inlineStr">
        <is>
          <t>001655</t>
        </is>
      </c>
      <c r="C458" s="3" t="inlineStr">
        <is>
          <t>001065</t>
        </is>
      </c>
      <c r="D458" s="4" t="n">
        <v>45414</v>
      </c>
      <c r="E458" s="2" t="inlineStr">
        <is>
          <t>15:00</t>
        </is>
      </c>
      <c r="F458" s="5" t="n">
        <v>548.33</v>
      </c>
      <c r="G458" s="5" t="n"/>
      <c r="H458" s="5" t="n"/>
      <c r="I458" s="5" t="n"/>
      <c r="J458" s="5" t="n">
        <v>109.67</v>
      </c>
      <c r="K458" s="5" t="n"/>
      <c r="L458" s="5" t="n"/>
      <c r="M458" s="5" t="n"/>
      <c r="N458" s="5" t="n"/>
      <c r="O458" s="5" t="n">
        <v>658</v>
      </c>
      <c r="P458" s="5" t="n">
        <v>658</v>
      </c>
      <c r="Q458" s="5" t="n"/>
      <c r="R458" s="5" t="n"/>
    </row>
    <row r="459">
      <c r="A459" s="2" t="inlineStr">
        <is>
          <t>EJ010624.TXT</t>
        </is>
      </c>
      <c r="B459" s="3" t="inlineStr">
        <is>
          <t>001658</t>
        </is>
      </c>
      <c r="C459" s="3" t="inlineStr">
        <is>
          <t>001066</t>
        </is>
      </c>
      <c r="D459" s="4" t="n">
        <v>45416</v>
      </c>
      <c r="E459" s="2" t="inlineStr">
        <is>
          <t>14:40</t>
        </is>
      </c>
      <c r="F459" s="5" t="n">
        <v>274.17</v>
      </c>
      <c r="G459" s="5" t="n"/>
      <c r="H459" s="5" t="n"/>
      <c r="I459" s="5" t="n"/>
      <c r="J459" s="5" t="n">
        <v>54.83</v>
      </c>
      <c r="K459" s="5" t="n"/>
      <c r="L459" s="5" t="n"/>
      <c r="M459" s="5" t="n"/>
      <c r="N459" s="5" t="n"/>
      <c r="O459" s="5" t="n">
        <v>329</v>
      </c>
      <c r="P459" s="5" t="n"/>
      <c r="Q459" s="5" t="n">
        <v>329</v>
      </c>
      <c r="R459" s="5" t="n"/>
    </row>
    <row r="460">
      <c r="A460" s="2" t="inlineStr">
        <is>
          <t>EJ010624.TXT</t>
        </is>
      </c>
      <c r="B460" s="3" t="inlineStr">
        <is>
          <t>001659</t>
        </is>
      </c>
      <c r="C460" s="3" t="inlineStr">
        <is>
          <t>001067</t>
        </is>
      </c>
      <c r="D460" s="4" t="n">
        <v>45416</v>
      </c>
      <c r="E460" s="2" t="inlineStr">
        <is>
          <t>14:53</t>
        </is>
      </c>
      <c r="F460" s="5" t="n">
        <v>274.17</v>
      </c>
      <c r="G460" s="5" t="n"/>
      <c r="H460" s="5" t="n"/>
      <c r="I460" s="5" t="n"/>
      <c r="J460" s="5" t="n">
        <v>54.83</v>
      </c>
      <c r="K460" s="5" t="n"/>
      <c r="L460" s="5" t="n"/>
      <c r="M460" s="5" t="n"/>
      <c r="N460" s="5" t="n"/>
      <c r="O460" s="5" t="n">
        <v>329</v>
      </c>
      <c r="P460" s="5" t="n">
        <v>329</v>
      </c>
      <c r="Q460" s="5" t="n"/>
      <c r="R460" s="5" t="n"/>
    </row>
    <row r="461">
      <c r="A461" s="2" t="inlineStr">
        <is>
          <t>EJ010624.TXT</t>
        </is>
      </c>
      <c r="B461" s="3" t="inlineStr">
        <is>
          <t>001661</t>
        </is>
      </c>
      <c r="C461" s="3" t="inlineStr">
        <is>
          <t>001068</t>
        </is>
      </c>
      <c r="D461" s="4" t="n">
        <v>45418</v>
      </c>
      <c r="E461" s="2" t="inlineStr">
        <is>
          <t>13:11</t>
        </is>
      </c>
      <c r="F461" s="5" t="n">
        <v>730</v>
      </c>
      <c r="G461" s="5" t="n"/>
      <c r="H461" s="5" t="n"/>
      <c r="I461" s="5" t="n"/>
      <c r="J461" s="5" t="n">
        <v>146</v>
      </c>
      <c r="K461" s="5" t="n"/>
      <c r="L461" s="5" t="n"/>
      <c r="M461" s="5" t="n"/>
      <c r="N461" s="5" t="n"/>
      <c r="O461" s="5" t="n">
        <v>876</v>
      </c>
      <c r="P461" s="5" t="n">
        <v>876</v>
      </c>
      <c r="Q461" s="5" t="n"/>
      <c r="R461" s="5" t="n"/>
    </row>
    <row r="462">
      <c r="A462" s="2" t="inlineStr">
        <is>
          <t>EJ010624.TXT</t>
        </is>
      </c>
      <c r="B462" s="3" t="inlineStr">
        <is>
          <t>001662</t>
        </is>
      </c>
      <c r="C462" s="3" t="inlineStr">
        <is>
          <t>001069</t>
        </is>
      </c>
      <c r="D462" s="4" t="n">
        <v>45422</v>
      </c>
      <c r="E462" s="2" t="inlineStr">
        <is>
          <t>11:21</t>
        </is>
      </c>
      <c r="F462" s="5" t="n">
        <v>324.08</v>
      </c>
      <c r="G462" s="5" t="n"/>
      <c r="H462" s="5" t="n"/>
      <c r="I462" s="5" t="n"/>
      <c r="J462" s="5" t="n">
        <v>64.81999999999999</v>
      </c>
      <c r="K462" s="5" t="n"/>
      <c r="L462" s="5" t="n"/>
      <c r="M462" s="5" t="n"/>
      <c r="N462" s="5" t="n"/>
      <c r="O462" s="5" t="n">
        <v>388.9</v>
      </c>
      <c r="P462" s="5" t="n">
        <v>388.9</v>
      </c>
      <c r="Q462" s="5" t="n"/>
      <c r="R462" s="5" t="n"/>
    </row>
    <row r="463">
      <c r="A463" s="2" t="inlineStr">
        <is>
          <t>EJ010624.TXT</t>
        </is>
      </c>
      <c r="B463" s="3" t="inlineStr">
        <is>
          <t>001663</t>
        </is>
      </c>
      <c r="C463" s="3" t="inlineStr">
        <is>
          <t>001070</t>
        </is>
      </c>
      <c r="D463" s="4" t="n">
        <v>45422</v>
      </c>
      <c r="E463" s="2" t="inlineStr">
        <is>
          <t>13:12</t>
        </is>
      </c>
      <c r="F463" s="5" t="n">
        <v>1096.67</v>
      </c>
      <c r="G463" s="5" t="n"/>
      <c r="H463" s="5" t="n"/>
      <c r="I463" s="5" t="n"/>
      <c r="J463" s="5" t="n">
        <v>219.33</v>
      </c>
      <c r="K463" s="5" t="n"/>
      <c r="L463" s="5" t="n"/>
      <c r="M463" s="5" t="n"/>
      <c r="N463" s="5" t="n"/>
      <c r="O463" s="5" t="n">
        <v>1316</v>
      </c>
      <c r="P463" s="5" t="n">
        <v>1316</v>
      </c>
      <c r="Q463" s="5" t="n"/>
      <c r="R463" s="5" t="n"/>
    </row>
    <row r="464">
      <c r="A464" s="2" t="inlineStr">
        <is>
          <t>EJ010624.TXT</t>
        </is>
      </c>
      <c r="B464" s="3" t="inlineStr">
        <is>
          <t>001664</t>
        </is>
      </c>
      <c r="C464" s="3" t="inlineStr">
        <is>
          <t>001071</t>
        </is>
      </c>
      <c r="D464" s="4" t="n">
        <v>45423</v>
      </c>
      <c r="E464" s="2" t="inlineStr">
        <is>
          <t>16:07</t>
        </is>
      </c>
      <c r="F464" s="5" t="n">
        <v>274.17</v>
      </c>
      <c r="G464" s="5" t="n"/>
      <c r="H464" s="5" t="n"/>
      <c r="I464" s="5" t="n"/>
      <c r="J464" s="5" t="n">
        <v>54.83</v>
      </c>
      <c r="K464" s="5" t="n"/>
      <c r="L464" s="5" t="n"/>
      <c r="M464" s="5" t="n"/>
      <c r="N464" s="5" t="n"/>
      <c r="O464" s="5" t="n">
        <v>329</v>
      </c>
      <c r="P464" s="5" t="n">
        <v>329</v>
      </c>
      <c r="Q464" s="5" t="n"/>
      <c r="R464" s="5" t="n"/>
    </row>
    <row r="465">
      <c r="A465" s="2" t="inlineStr">
        <is>
          <t>EJ010624.TXT</t>
        </is>
      </c>
      <c r="B465" s="3" t="inlineStr">
        <is>
          <t>001665</t>
        </is>
      </c>
      <c r="C465" s="3" t="inlineStr">
        <is>
          <t>001072</t>
        </is>
      </c>
      <c r="D465" s="4" t="n">
        <v>45425</v>
      </c>
      <c r="E465" s="2" t="inlineStr">
        <is>
          <t>12:30</t>
        </is>
      </c>
      <c r="F465" s="5" t="n">
        <v>274.17</v>
      </c>
      <c r="G465" s="5" t="n"/>
      <c r="H465" s="5" t="n"/>
      <c r="I465" s="5" t="n"/>
      <c r="J465" s="5" t="n">
        <v>54.83</v>
      </c>
      <c r="K465" s="5" t="n"/>
      <c r="L465" s="5" t="n"/>
      <c r="M465" s="5" t="n"/>
      <c r="N465" s="5" t="n"/>
      <c r="O465" s="5" t="n">
        <v>329</v>
      </c>
      <c r="P465" s="5" t="n"/>
      <c r="Q465" s="5" t="n">
        <v>329</v>
      </c>
      <c r="R465" s="5" t="n"/>
    </row>
    <row r="466">
      <c r="A466" s="2" t="inlineStr">
        <is>
          <t>EJ010624.TXT</t>
        </is>
      </c>
      <c r="B466" s="3" t="inlineStr">
        <is>
          <t>001667</t>
        </is>
      </c>
      <c r="C466" s="3" t="inlineStr">
        <is>
          <t>001073</t>
        </is>
      </c>
      <c r="D466" s="4" t="n">
        <v>45426</v>
      </c>
      <c r="E466" s="2" t="inlineStr">
        <is>
          <t>12:48</t>
        </is>
      </c>
      <c r="F466" s="5" t="n">
        <v>274.17</v>
      </c>
      <c r="G466" s="5" t="n"/>
      <c r="H466" s="5" t="n"/>
      <c r="I466" s="5" t="n"/>
      <c r="J466" s="5" t="n">
        <v>54.83</v>
      </c>
      <c r="K466" s="5" t="n"/>
      <c r="L466" s="5" t="n"/>
      <c r="M466" s="5" t="n"/>
      <c r="N466" s="5" t="n"/>
      <c r="O466" s="5" t="n">
        <v>329</v>
      </c>
      <c r="P466" s="5" t="n">
        <v>329</v>
      </c>
      <c r="Q466" s="5" t="n"/>
      <c r="R466" s="5" t="n"/>
    </row>
    <row r="467">
      <c r="A467" s="2" t="inlineStr">
        <is>
          <t>EJ010624.TXT</t>
        </is>
      </c>
      <c r="B467" s="3" t="inlineStr">
        <is>
          <t>001668</t>
        </is>
      </c>
      <c r="C467" s="3" t="inlineStr">
        <is>
          <t>001074</t>
        </is>
      </c>
      <c r="D467" s="4" t="n">
        <v>45426</v>
      </c>
      <c r="E467" s="2" t="inlineStr">
        <is>
          <t>12:48</t>
        </is>
      </c>
      <c r="F467" s="5" t="n">
        <v>199.17</v>
      </c>
      <c r="G467" s="5" t="n"/>
      <c r="H467" s="5" t="n"/>
      <c r="I467" s="5" t="n"/>
      <c r="J467" s="5" t="n">
        <v>39.83</v>
      </c>
      <c r="K467" s="5" t="n"/>
      <c r="L467" s="5" t="n"/>
      <c r="M467" s="5" t="n"/>
      <c r="N467" s="5" t="n"/>
      <c r="O467" s="5" t="n">
        <v>239</v>
      </c>
      <c r="P467" s="5" t="n">
        <v>239</v>
      </c>
      <c r="Q467" s="5" t="n"/>
      <c r="R467" s="5" t="n"/>
    </row>
    <row r="468">
      <c r="A468" s="2" t="inlineStr">
        <is>
          <t>EJ010624.TXT</t>
        </is>
      </c>
      <c r="B468" s="3" t="inlineStr">
        <is>
          <t>001669</t>
        </is>
      </c>
      <c r="C468" s="3" t="inlineStr">
        <is>
          <t>001075</t>
        </is>
      </c>
      <c r="D468" s="4" t="n">
        <v>45427</v>
      </c>
      <c r="E468" s="2" t="inlineStr">
        <is>
          <t>12:20</t>
        </is>
      </c>
      <c r="F468" s="5" t="n">
        <v>548.33</v>
      </c>
      <c r="G468" s="5" t="n"/>
      <c r="H468" s="5" t="n"/>
      <c r="I468" s="5" t="n"/>
      <c r="J468" s="5" t="n">
        <v>109.67</v>
      </c>
      <c r="K468" s="5" t="n"/>
      <c r="L468" s="5" t="n"/>
      <c r="M468" s="5" t="n"/>
      <c r="N468" s="5" t="n"/>
      <c r="O468" s="5" t="n">
        <v>658</v>
      </c>
      <c r="P468" s="5" t="n">
        <v>658</v>
      </c>
      <c r="Q468" s="5" t="n"/>
      <c r="R468" s="5" t="n"/>
    </row>
    <row r="469">
      <c r="A469" s="2" t="inlineStr">
        <is>
          <t>EJ010624.TXT</t>
        </is>
      </c>
      <c r="B469" s="3" t="inlineStr">
        <is>
          <t>001670</t>
        </is>
      </c>
      <c r="C469" s="3" t="inlineStr">
        <is>
          <t>001076</t>
        </is>
      </c>
      <c r="D469" s="4" t="n">
        <v>45427</v>
      </c>
      <c r="E469" s="2" t="inlineStr">
        <is>
          <t>15:00</t>
        </is>
      </c>
      <c r="F469" s="5" t="n">
        <v>548.33</v>
      </c>
      <c r="G469" s="5" t="n"/>
      <c r="H469" s="5" t="n"/>
      <c r="I469" s="5" t="n"/>
      <c r="J469" s="5" t="n">
        <v>109.67</v>
      </c>
      <c r="K469" s="5" t="n"/>
      <c r="L469" s="5" t="n"/>
      <c r="M469" s="5" t="n"/>
      <c r="N469" s="5" t="n"/>
      <c r="O469" s="5" t="n">
        <v>658</v>
      </c>
      <c r="P469" s="5" t="n"/>
      <c r="Q469" s="5" t="n">
        <v>658</v>
      </c>
      <c r="R469" s="5" t="n"/>
    </row>
    <row r="470">
      <c r="A470" s="2" t="inlineStr">
        <is>
          <t>EJ010624.TXT</t>
        </is>
      </c>
      <c r="B470" s="3" t="inlineStr">
        <is>
          <t>001671</t>
        </is>
      </c>
      <c r="C470" s="3" t="inlineStr">
        <is>
          <t>001077</t>
        </is>
      </c>
      <c r="D470" s="4" t="n">
        <v>45427</v>
      </c>
      <c r="E470" s="2" t="inlineStr">
        <is>
          <t>16:06</t>
        </is>
      </c>
      <c r="F470" s="5" t="n">
        <v>83.17</v>
      </c>
      <c r="G470" s="5" t="n"/>
      <c r="H470" s="5" t="n"/>
      <c r="I470" s="5" t="n"/>
      <c r="J470" s="5" t="n">
        <v>16.63</v>
      </c>
      <c r="K470" s="5" t="n"/>
      <c r="L470" s="5" t="n"/>
      <c r="M470" s="5" t="n"/>
      <c r="N470" s="5" t="n"/>
      <c r="O470" s="5" t="n">
        <v>99.8</v>
      </c>
      <c r="P470" s="5" t="n">
        <v>99.8</v>
      </c>
      <c r="Q470" s="5" t="n"/>
      <c r="R470" s="5" t="n"/>
    </row>
    <row r="471">
      <c r="A471" s="2" t="inlineStr">
        <is>
          <t>EJ010624.TXT</t>
        </is>
      </c>
      <c r="B471" s="3" t="inlineStr">
        <is>
          <t>001673</t>
        </is>
      </c>
      <c r="C471" s="3" t="inlineStr">
        <is>
          <t>001078</t>
        </is>
      </c>
      <c r="D471" s="4" t="n">
        <v>45434</v>
      </c>
      <c r="E471" s="2" t="inlineStr">
        <is>
          <t>15:48</t>
        </is>
      </c>
      <c r="F471" s="5" t="n">
        <v>1096.67</v>
      </c>
      <c r="G471" s="5" t="n"/>
      <c r="H471" s="5" t="n"/>
      <c r="I471" s="5" t="n"/>
      <c r="J471" s="5" t="n">
        <v>219.33</v>
      </c>
      <c r="K471" s="5" t="n"/>
      <c r="L471" s="5" t="n"/>
      <c r="M471" s="5" t="n"/>
      <c r="N471" s="5" t="n"/>
      <c r="O471" s="5" t="n">
        <v>1316</v>
      </c>
      <c r="P471" s="5" t="n"/>
      <c r="Q471" s="5" t="n">
        <v>1316</v>
      </c>
      <c r="R471" s="5" t="n"/>
    </row>
    <row r="472">
      <c r="A472" s="2" t="inlineStr">
        <is>
          <t>EJ010624.TXT</t>
        </is>
      </c>
      <c r="B472" s="3" t="inlineStr">
        <is>
          <t>001674</t>
        </is>
      </c>
      <c r="C472" s="3" t="inlineStr">
        <is>
          <t>001079</t>
        </is>
      </c>
      <c r="D472" s="4" t="n">
        <v>45435</v>
      </c>
      <c r="E472" s="2" t="inlineStr">
        <is>
          <t>12:51</t>
        </is>
      </c>
      <c r="F472" s="5" t="n">
        <v>1644.5</v>
      </c>
      <c r="G472" s="5" t="n"/>
      <c r="H472" s="5" t="n"/>
      <c r="I472" s="5" t="n"/>
      <c r="J472" s="5" t="n">
        <v>328.9</v>
      </c>
      <c r="K472" s="5" t="n"/>
      <c r="L472" s="5" t="n"/>
      <c r="M472" s="5" t="n"/>
      <c r="N472" s="5" t="n"/>
      <c r="O472" s="5" t="n">
        <v>1973.4</v>
      </c>
      <c r="P472" s="5" t="n">
        <v>1973.4</v>
      </c>
      <c r="Q472" s="5" t="n"/>
      <c r="R472" s="5" t="n"/>
    </row>
    <row r="473">
      <c r="A473" s="2" t="inlineStr">
        <is>
          <t>EJ010624.TXT</t>
        </is>
      </c>
      <c r="B473" s="3" t="inlineStr">
        <is>
          <t>001675</t>
        </is>
      </c>
      <c r="C473" s="3" t="inlineStr">
        <is>
          <t>001080</t>
        </is>
      </c>
      <c r="D473" s="4" t="n">
        <v>45435</v>
      </c>
      <c r="E473" s="2" t="inlineStr">
        <is>
          <t>14:25</t>
        </is>
      </c>
      <c r="F473" s="5" t="n">
        <v>548.33</v>
      </c>
      <c r="G473" s="5" t="n"/>
      <c r="H473" s="5" t="n"/>
      <c r="I473" s="5" t="n"/>
      <c r="J473" s="5" t="n">
        <v>109.67</v>
      </c>
      <c r="K473" s="5" t="n"/>
      <c r="L473" s="5" t="n"/>
      <c r="M473" s="5" t="n"/>
      <c r="N473" s="5" t="n"/>
      <c r="O473" s="5" t="n">
        <v>658</v>
      </c>
      <c r="P473" s="5" t="n"/>
      <c r="Q473" s="5" t="n">
        <v>658</v>
      </c>
      <c r="R473" s="5" t="n"/>
    </row>
    <row r="474">
      <c r="A474" s="2" t="inlineStr">
        <is>
          <t>EJ010624.TXT</t>
        </is>
      </c>
      <c r="B474" s="3" t="inlineStr">
        <is>
          <t>001676</t>
        </is>
      </c>
      <c r="C474" s="3" t="inlineStr">
        <is>
          <t>001081</t>
        </is>
      </c>
      <c r="D474" s="4" t="n">
        <v>45435</v>
      </c>
      <c r="E474" s="2" t="inlineStr">
        <is>
          <t>14:37</t>
        </is>
      </c>
      <c r="F474" s="5" t="n">
        <v>822.5</v>
      </c>
      <c r="G474" s="5" t="n"/>
      <c r="H474" s="5" t="n"/>
      <c r="I474" s="5" t="n"/>
      <c r="J474" s="5" t="n">
        <v>164.5</v>
      </c>
      <c r="K474" s="5" t="n"/>
      <c r="L474" s="5" t="n"/>
      <c r="M474" s="5" t="n"/>
      <c r="N474" s="5" t="n"/>
      <c r="O474" s="5" t="n">
        <v>987</v>
      </c>
      <c r="P474" s="5" t="n">
        <v>987</v>
      </c>
      <c r="Q474" s="5" t="n"/>
      <c r="R474" s="5" t="n"/>
    </row>
    <row r="475">
      <c r="A475" s="2" t="inlineStr">
        <is>
          <t>EJ010624.TXT</t>
        </is>
      </c>
      <c r="B475" s="3" t="inlineStr">
        <is>
          <t>001677</t>
        </is>
      </c>
      <c r="C475" s="3" t="inlineStr">
        <is>
          <t>001082</t>
        </is>
      </c>
      <c r="D475" s="4" t="n">
        <v>45435</v>
      </c>
      <c r="E475" s="2" t="inlineStr">
        <is>
          <t>16:28</t>
        </is>
      </c>
      <c r="F475" s="5" t="n">
        <v>548.33</v>
      </c>
      <c r="G475" s="5" t="n"/>
      <c r="H475" s="5" t="n"/>
      <c r="I475" s="5" t="n"/>
      <c r="J475" s="5" t="n">
        <v>109.67</v>
      </c>
      <c r="K475" s="5" t="n"/>
      <c r="L475" s="5" t="n"/>
      <c r="M475" s="5" t="n"/>
      <c r="N475" s="5" t="n"/>
      <c r="O475" s="5" t="n">
        <v>658</v>
      </c>
      <c r="P475" s="5" t="n">
        <v>658</v>
      </c>
      <c r="Q475" s="5" t="n"/>
      <c r="R475" s="5" t="n"/>
    </row>
    <row r="476">
      <c r="A476" s="2" t="inlineStr">
        <is>
          <t>EJ010624.TXT</t>
        </is>
      </c>
      <c r="B476" s="3" t="inlineStr">
        <is>
          <t>001678</t>
        </is>
      </c>
      <c r="C476" s="3" t="inlineStr">
        <is>
          <t>001083</t>
        </is>
      </c>
      <c r="D476" s="4" t="n">
        <v>45437</v>
      </c>
      <c r="E476" s="2" t="inlineStr">
        <is>
          <t>14:37</t>
        </is>
      </c>
      <c r="F476" s="5" t="n">
        <v>45.75</v>
      </c>
      <c r="G476" s="5" t="n"/>
      <c r="H476" s="5" t="n"/>
      <c r="I476" s="5" t="n"/>
      <c r="J476" s="5" t="n">
        <v>9.15</v>
      </c>
      <c r="K476" s="5" t="n"/>
      <c r="L476" s="5" t="n"/>
      <c r="M476" s="5" t="n"/>
      <c r="N476" s="5" t="n"/>
      <c r="O476" s="5" t="n">
        <v>54.9</v>
      </c>
      <c r="P476" s="5" t="n">
        <v>54.9</v>
      </c>
      <c r="Q476" s="5" t="n"/>
      <c r="R476" s="5" t="n"/>
    </row>
    <row r="477">
      <c r="A477" s="2" t="inlineStr">
        <is>
          <t>EJ010624.TXT</t>
        </is>
      </c>
      <c r="B477" s="3" t="inlineStr">
        <is>
          <t>001679</t>
        </is>
      </c>
      <c r="C477" s="3" t="inlineStr">
        <is>
          <t>001084</t>
        </is>
      </c>
      <c r="D477" s="4" t="n">
        <v>45439</v>
      </c>
      <c r="E477" s="2" t="inlineStr">
        <is>
          <t>16:38</t>
        </is>
      </c>
      <c r="F477" s="5" t="n">
        <v>548.33</v>
      </c>
      <c r="G477" s="5" t="n"/>
      <c r="H477" s="5" t="n"/>
      <c r="I477" s="5" t="n"/>
      <c r="J477" s="5" t="n">
        <v>109.67</v>
      </c>
      <c r="K477" s="5" t="n"/>
      <c r="L477" s="5" t="n"/>
      <c r="M477" s="5" t="n"/>
      <c r="N477" s="5" t="n"/>
      <c r="O477" s="5" t="n">
        <v>658</v>
      </c>
      <c r="P477" s="5" t="n">
        <v>658</v>
      </c>
      <c r="Q477" s="5" t="n"/>
      <c r="R477" s="5" t="n"/>
    </row>
    <row r="478">
      <c r="A478" s="2" t="inlineStr">
        <is>
          <t>EJ010624.TXT</t>
        </is>
      </c>
      <c r="B478" s="3" t="inlineStr">
        <is>
          <t>001681</t>
        </is>
      </c>
      <c r="C478" s="3" t="inlineStr">
        <is>
          <t>001085</t>
        </is>
      </c>
      <c r="D478" s="4" t="n">
        <v>45440</v>
      </c>
      <c r="E478" s="2" t="inlineStr">
        <is>
          <t>14:43</t>
        </is>
      </c>
      <c r="F478" s="5" t="n">
        <v>274.17</v>
      </c>
      <c r="G478" s="5" t="n"/>
      <c r="H478" s="5" t="n"/>
      <c r="I478" s="5" t="n"/>
      <c r="J478" s="5" t="n">
        <v>54.83</v>
      </c>
      <c r="K478" s="5" t="n"/>
      <c r="L478" s="5" t="n"/>
      <c r="M478" s="5" t="n"/>
      <c r="N478" s="5" t="n"/>
      <c r="O478" s="5" t="n">
        <v>329</v>
      </c>
      <c r="P478" s="5" t="n"/>
      <c r="Q478" s="5" t="n">
        <v>329</v>
      </c>
      <c r="R478" s="5" t="n"/>
    </row>
    <row r="479">
      <c r="A479" s="2" t="inlineStr">
        <is>
          <t>EJ010624.TXT</t>
        </is>
      </c>
      <c r="B479" s="3" t="inlineStr">
        <is>
          <t>001683</t>
        </is>
      </c>
      <c r="C479" s="3" t="inlineStr">
        <is>
          <t>001086</t>
        </is>
      </c>
      <c r="D479" s="4" t="n">
        <v>45441</v>
      </c>
      <c r="E479" s="2" t="inlineStr">
        <is>
          <t>09:27</t>
        </is>
      </c>
      <c r="F479" s="5" t="n">
        <v>548.33</v>
      </c>
      <c r="G479" s="5" t="n"/>
      <c r="H479" s="5" t="n"/>
      <c r="I479" s="5" t="n"/>
      <c r="J479" s="5" t="n">
        <v>109.67</v>
      </c>
      <c r="K479" s="5" t="n"/>
      <c r="L479" s="5" t="n"/>
      <c r="M479" s="5" t="n"/>
      <c r="N479" s="5" t="n"/>
      <c r="O479" s="5" t="n">
        <v>658</v>
      </c>
      <c r="P479" s="5" t="n">
        <v>658</v>
      </c>
      <c r="Q479" s="5" t="n"/>
      <c r="R479" s="5" t="n"/>
    </row>
    <row r="480">
      <c r="A480" s="2" t="inlineStr">
        <is>
          <t>EJ010624.TXT</t>
        </is>
      </c>
      <c r="B480" s="3" t="inlineStr">
        <is>
          <t>001684</t>
        </is>
      </c>
      <c r="C480" s="3" t="inlineStr">
        <is>
          <t>001087</t>
        </is>
      </c>
      <c r="D480" s="4" t="n">
        <v>45441</v>
      </c>
      <c r="E480" s="2" t="inlineStr">
        <is>
          <t>13:59</t>
        </is>
      </c>
      <c r="F480" s="5" t="n">
        <v>548.33</v>
      </c>
      <c r="G480" s="5" t="n"/>
      <c r="H480" s="5" t="n"/>
      <c r="I480" s="5" t="n"/>
      <c r="J480" s="5" t="n">
        <v>109.67</v>
      </c>
      <c r="K480" s="5" t="n"/>
      <c r="L480" s="5" t="n"/>
      <c r="M480" s="5" t="n"/>
      <c r="N480" s="5" t="n"/>
      <c r="O480" s="5" t="n">
        <v>658</v>
      </c>
      <c r="P480" s="5" t="n">
        <v>658</v>
      </c>
      <c r="Q480" s="5" t="n"/>
      <c r="R480" s="5" t="n"/>
    </row>
    <row r="481">
      <c r="A481" s="2" t="inlineStr">
        <is>
          <t>EJ010624.TXT</t>
        </is>
      </c>
      <c r="B481" s="3" t="inlineStr">
        <is>
          <t>001685</t>
        </is>
      </c>
      <c r="C481" s="3" t="inlineStr">
        <is>
          <t>001088</t>
        </is>
      </c>
      <c r="D481" s="4" t="n">
        <v>45441</v>
      </c>
      <c r="E481" s="2" t="inlineStr">
        <is>
          <t>14:10</t>
        </is>
      </c>
      <c r="F481" s="5" t="n">
        <v>274.17</v>
      </c>
      <c r="G481" s="5" t="n"/>
      <c r="H481" s="5" t="n"/>
      <c r="I481" s="5" t="n"/>
      <c r="J481" s="5" t="n">
        <v>54.83</v>
      </c>
      <c r="K481" s="5" t="n"/>
      <c r="L481" s="5" t="n"/>
      <c r="M481" s="5" t="n"/>
      <c r="N481" s="5" t="n"/>
      <c r="O481" s="5" t="n">
        <v>329</v>
      </c>
      <c r="P481" s="5" t="n"/>
      <c r="Q481" s="5" t="n">
        <v>329</v>
      </c>
      <c r="R481" s="5" t="n"/>
    </row>
    <row r="482">
      <c r="A482" s="2" t="inlineStr">
        <is>
          <t>EJ010624.TXT</t>
        </is>
      </c>
      <c r="B482" s="3" t="inlineStr">
        <is>
          <t>001686</t>
        </is>
      </c>
      <c r="C482" s="3" t="inlineStr">
        <is>
          <t>001089</t>
        </is>
      </c>
      <c r="D482" s="4" t="n">
        <v>45444</v>
      </c>
      <c r="E482" s="2" t="inlineStr">
        <is>
          <t>13:35</t>
        </is>
      </c>
      <c r="F482" s="5" t="n">
        <v>1733.33</v>
      </c>
      <c r="G482" s="5" t="n"/>
      <c r="H482" s="5" t="n"/>
      <c r="I482" s="5" t="n"/>
      <c r="J482" s="5" t="n">
        <v>346.67</v>
      </c>
      <c r="K482" s="5" t="n"/>
      <c r="L482" s="5" t="n"/>
      <c r="M482" s="5" t="n"/>
      <c r="N482" s="5" t="n"/>
      <c r="O482" s="5" t="n">
        <v>2080</v>
      </c>
      <c r="P482" s="5" t="n">
        <v>2080</v>
      </c>
      <c r="Q482" s="5" t="n"/>
      <c r="R482" s="5" t="n"/>
    </row>
    <row r="483">
      <c r="A483" s="2" t="inlineStr">
        <is>
          <t>EJ010724.TXT</t>
        </is>
      </c>
      <c r="B483" s="3" t="inlineStr">
        <is>
          <t>001690</t>
        </is>
      </c>
      <c r="C483" s="3" t="inlineStr">
        <is>
          <t>001090</t>
        </is>
      </c>
      <c r="D483" s="4" t="n">
        <v>45444</v>
      </c>
      <c r="E483" s="2" t="inlineStr">
        <is>
          <t>15:02</t>
        </is>
      </c>
      <c r="F483" s="5" t="n">
        <v>66.5</v>
      </c>
      <c r="G483" s="5" t="n"/>
      <c r="H483" s="5" t="n"/>
      <c r="I483" s="5" t="n"/>
      <c r="J483" s="5" t="n">
        <v>13.3</v>
      </c>
      <c r="K483" s="5" t="n"/>
      <c r="L483" s="5" t="n"/>
      <c r="M483" s="5" t="n"/>
      <c r="N483" s="5" t="n"/>
      <c r="O483" s="5" t="n">
        <v>79.8</v>
      </c>
      <c r="P483" s="5" t="n"/>
      <c r="Q483" s="5" t="n">
        <v>79.8</v>
      </c>
      <c r="R483" s="5" t="n"/>
    </row>
    <row r="484">
      <c r="A484" s="2" t="inlineStr">
        <is>
          <t>EJ010724.TXT</t>
        </is>
      </c>
      <c r="B484" s="3" t="inlineStr">
        <is>
          <t>001691</t>
        </is>
      </c>
      <c r="C484" s="3" t="inlineStr">
        <is>
          <t>001091</t>
        </is>
      </c>
      <c r="D484" s="4" t="n">
        <v>45444</v>
      </c>
      <c r="E484" s="2" t="inlineStr">
        <is>
          <t>16:23</t>
        </is>
      </c>
      <c r="F484" s="5" t="n">
        <v>73.33</v>
      </c>
      <c r="G484" s="5" t="n"/>
      <c r="H484" s="5" t="n"/>
      <c r="I484" s="5" t="n"/>
      <c r="J484" s="5" t="n">
        <v>14.67</v>
      </c>
      <c r="K484" s="5" t="n"/>
      <c r="L484" s="5" t="n"/>
      <c r="M484" s="5" t="n"/>
      <c r="N484" s="5" t="n"/>
      <c r="O484" s="5" t="n">
        <v>88</v>
      </c>
      <c r="P484" s="5" t="n">
        <v>88</v>
      </c>
      <c r="Q484" s="5" t="n"/>
      <c r="R484" s="5" t="n"/>
    </row>
    <row r="485">
      <c r="A485" s="2" t="inlineStr">
        <is>
          <t>EJ010724.TXT</t>
        </is>
      </c>
      <c r="B485" s="3" t="inlineStr">
        <is>
          <t>001692</t>
        </is>
      </c>
      <c r="C485" s="3" t="inlineStr">
        <is>
          <t>001092</t>
        </is>
      </c>
      <c r="D485" s="4" t="n">
        <v>45444</v>
      </c>
      <c r="E485" s="2" t="inlineStr">
        <is>
          <t>16:27</t>
        </is>
      </c>
      <c r="F485" s="5" t="n">
        <v>41.58</v>
      </c>
      <c r="G485" s="5" t="n"/>
      <c r="H485" s="5" t="n"/>
      <c r="I485" s="5" t="n"/>
      <c r="J485" s="5" t="n">
        <v>8.32</v>
      </c>
      <c r="K485" s="5" t="n"/>
      <c r="L485" s="5" t="n"/>
      <c r="M485" s="5" t="n"/>
      <c r="N485" s="5" t="n"/>
      <c r="O485" s="5" t="n">
        <v>49.9</v>
      </c>
      <c r="P485" s="5" t="n">
        <v>49.9</v>
      </c>
      <c r="Q485" s="5" t="n"/>
      <c r="R485" s="5" t="n"/>
    </row>
    <row r="486">
      <c r="A486" s="2" t="inlineStr">
        <is>
          <t>EJ010724.TXT</t>
        </is>
      </c>
      <c r="B486" s="3" t="inlineStr">
        <is>
          <t>001696</t>
        </is>
      </c>
      <c r="C486" s="3" t="inlineStr">
        <is>
          <t>001093</t>
        </is>
      </c>
      <c r="D486" s="4" t="n">
        <v>45446</v>
      </c>
      <c r="E486" s="2" t="inlineStr">
        <is>
          <t>10:10</t>
        </is>
      </c>
      <c r="F486" s="5" t="n">
        <v>274.17</v>
      </c>
      <c r="G486" s="5" t="n"/>
      <c r="H486" s="5" t="n"/>
      <c r="I486" s="5" t="n"/>
      <c r="J486" s="5" t="n">
        <v>54.83</v>
      </c>
      <c r="K486" s="5" t="n"/>
      <c r="L486" s="5" t="n"/>
      <c r="M486" s="5" t="n"/>
      <c r="N486" s="5" t="n"/>
      <c r="O486" s="5" t="n">
        <v>329</v>
      </c>
      <c r="P486" s="5" t="n">
        <v>329</v>
      </c>
      <c r="Q486" s="5" t="n"/>
      <c r="R486" s="5" t="n"/>
    </row>
    <row r="487">
      <c r="A487" s="2" t="inlineStr">
        <is>
          <t>EJ010724.TXT</t>
        </is>
      </c>
      <c r="B487" s="3" t="inlineStr">
        <is>
          <t>001701</t>
        </is>
      </c>
      <c r="C487" s="3" t="inlineStr">
        <is>
          <t>001094</t>
        </is>
      </c>
      <c r="D487" s="4" t="n">
        <v>45446</v>
      </c>
      <c r="E487" s="2" t="inlineStr">
        <is>
          <t>14:20</t>
        </is>
      </c>
      <c r="F487" s="5" t="n">
        <v>548.33</v>
      </c>
      <c r="G487" s="5" t="n"/>
      <c r="H487" s="5" t="n"/>
      <c r="I487" s="5" t="n"/>
      <c r="J487" s="5" t="n">
        <v>109.67</v>
      </c>
      <c r="K487" s="5" t="n"/>
      <c r="L487" s="5" t="n"/>
      <c r="M487" s="5" t="n"/>
      <c r="N487" s="5" t="n"/>
      <c r="O487" s="5" t="n">
        <v>658</v>
      </c>
      <c r="P487" s="5" t="n">
        <v>658</v>
      </c>
      <c r="Q487" s="5" t="n"/>
      <c r="R487" s="5" t="n"/>
    </row>
    <row r="488">
      <c r="A488" s="2" t="inlineStr">
        <is>
          <t>EJ010724.TXT</t>
        </is>
      </c>
      <c r="B488" s="3" t="inlineStr">
        <is>
          <t>001706</t>
        </is>
      </c>
      <c r="C488" s="3" t="inlineStr">
        <is>
          <t>001095</t>
        </is>
      </c>
      <c r="D488" s="4" t="n">
        <v>45449</v>
      </c>
      <c r="E488" s="2" t="inlineStr">
        <is>
          <t>14:23</t>
        </is>
      </c>
      <c r="F488" s="5" t="n">
        <v>274.17</v>
      </c>
      <c r="G488" s="5" t="n"/>
      <c r="H488" s="5" t="n"/>
      <c r="I488" s="5" t="n"/>
      <c r="J488" s="5" t="n">
        <v>54.83</v>
      </c>
      <c r="K488" s="5" t="n"/>
      <c r="L488" s="5" t="n"/>
      <c r="M488" s="5" t="n"/>
      <c r="N488" s="5" t="n"/>
      <c r="O488" s="5" t="n">
        <v>329</v>
      </c>
      <c r="P488" s="5" t="n">
        <v>329</v>
      </c>
      <c r="Q488" s="5" t="n"/>
      <c r="R488" s="5" t="n"/>
    </row>
    <row r="489">
      <c r="A489" s="2" t="inlineStr">
        <is>
          <t>EJ010724.TXT</t>
        </is>
      </c>
      <c r="B489" s="3" t="inlineStr">
        <is>
          <t>001707</t>
        </is>
      </c>
      <c r="C489" s="3" t="inlineStr">
        <is>
          <t>001096</t>
        </is>
      </c>
      <c r="D489" s="4" t="n">
        <v>45456</v>
      </c>
      <c r="E489" s="2" t="inlineStr">
        <is>
          <t>14:18</t>
        </is>
      </c>
      <c r="F489" s="5" t="n">
        <v>274.17</v>
      </c>
      <c r="G489" s="5" t="n"/>
      <c r="H489" s="5" t="n"/>
      <c r="I489" s="5" t="n"/>
      <c r="J489" s="5" t="n">
        <v>54.83</v>
      </c>
      <c r="K489" s="5" t="n"/>
      <c r="L489" s="5" t="n"/>
      <c r="M489" s="5" t="n"/>
      <c r="N489" s="5" t="n"/>
      <c r="O489" s="5" t="n">
        <v>329</v>
      </c>
      <c r="P489" s="5" t="n">
        <v>329</v>
      </c>
      <c r="Q489" s="5" t="n"/>
      <c r="R489" s="5" t="n"/>
    </row>
    <row r="490">
      <c r="A490" s="2" t="inlineStr">
        <is>
          <t>EJ010724.TXT</t>
        </is>
      </c>
      <c r="B490" s="3" t="inlineStr">
        <is>
          <t>001708</t>
        </is>
      </c>
      <c r="C490" s="3" t="inlineStr">
        <is>
          <t>001097</t>
        </is>
      </c>
      <c r="D490" s="4" t="n">
        <v>45456</v>
      </c>
      <c r="E490" s="2" t="inlineStr">
        <is>
          <t>14:19</t>
        </is>
      </c>
      <c r="F490" s="5" t="n">
        <v>274.17</v>
      </c>
      <c r="G490" s="5" t="n"/>
      <c r="H490" s="5" t="n"/>
      <c r="I490" s="5" t="n"/>
      <c r="J490" s="5" t="n">
        <v>54.83</v>
      </c>
      <c r="K490" s="5" t="n"/>
      <c r="L490" s="5" t="n"/>
      <c r="M490" s="5" t="n"/>
      <c r="N490" s="5" t="n"/>
      <c r="O490" s="5" t="n">
        <v>329</v>
      </c>
      <c r="P490" s="5" t="n">
        <v>329</v>
      </c>
      <c r="Q490" s="5" t="n"/>
      <c r="R490" s="5" t="n"/>
    </row>
    <row r="491">
      <c r="A491" s="2" t="inlineStr">
        <is>
          <t>EJ010724.TXT</t>
        </is>
      </c>
      <c r="B491" s="3" t="inlineStr">
        <is>
          <t>001709</t>
        </is>
      </c>
      <c r="C491" s="3" t="inlineStr">
        <is>
          <t>001098</t>
        </is>
      </c>
      <c r="D491" s="4" t="n">
        <v>45456</v>
      </c>
      <c r="E491" s="2" t="inlineStr">
        <is>
          <t>14:19</t>
        </is>
      </c>
      <c r="F491" s="5" t="n">
        <v>274.17</v>
      </c>
      <c r="G491" s="5" t="n"/>
      <c r="H491" s="5" t="n"/>
      <c r="I491" s="5" t="n"/>
      <c r="J491" s="5" t="n">
        <v>54.83</v>
      </c>
      <c r="K491" s="5" t="n"/>
      <c r="L491" s="5" t="n"/>
      <c r="M491" s="5" t="n"/>
      <c r="N491" s="5" t="n"/>
      <c r="O491" s="5" t="n">
        <v>329</v>
      </c>
      <c r="P491" s="5" t="n">
        <v>329</v>
      </c>
      <c r="Q491" s="5" t="n"/>
      <c r="R491" s="5" t="n"/>
    </row>
    <row r="492">
      <c r="A492" s="2" t="inlineStr">
        <is>
          <t>EJ010724.TXT</t>
        </is>
      </c>
      <c r="B492" s="3" t="inlineStr">
        <is>
          <t>001710</t>
        </is>
      </c>
      <c r="C492" s="3" t="inlineStr">
        <is>
          <t>001099</t>
        </is>
      </c>
      <c r="D492" s="4" t="n">
        <v>45456</v>
      </c>
      <c r="E492" s="2" t="inlineStr">
        <is>
          <t>14:19</t>
        </is>
      </c>
      <c r="F492" s="5" t="n">
        <v>274.17</v>
      </c>
      <c r="G492" s="5" t="n"/>
      <c r="H492" s="5" t="n"/>
      <c r="I492" s="5" t="n"/>
      <c r="J492" s="5" t="n">
        <v>54.83</v>
      </c>
      <c r="K492" s="5" t="n"/>
      <c r="L492" s="5" t="n"/>
      <c r="M492" s="5" t="n"/>
      <c r="N492" s="5" t="n"/>
      <c r="O492" s="5" t="n">
        <v>329</v>
      </c>
      <c r="P492" s="5" t="n">
        <v>329</v>
      </c>
      <c r="Q492" s="5" t="n"/>
      <c r="R492" s="5" t="n"/>
    </row>
    <row r="493">
      <c r="A493" s="2" t="inlineStr">
        <is>
          <t>EJ010724.TXT</t>
        </is>
      </c>
      <c r="B493" s="3" t="inlineStr">
        <is>
          <t>001711</t>
        </is>
      </c>
      <c r="C493" s="3" t="inlineStr">
        <is>
          <t>001100</t>
        </is>
      </c>
      <c r="D493" s="4" t="n">
        <v>45457</v>
      </c>
      <c r="E493" s="2" t="inlineStr">
        <is>
          <t>14:54</t>
        </is>
      </c>
      <c r="F493" s="5" t="n">
        <v>582.5</v>
      </c>
      <c r="G493" s="5" t="n"/>
      <c r="H493" s="5" t="n"/>
      <c r="I493" s="5" t="n"/>
      <c r="J493" s="5" t="n">
        <v>116.5</v>
      </c>
      <c r="K493" s="5" t="n"/>
      <c r="L493" s="5" t="n"/>
      <c r="M493" s="5" t="n"/>
      <c r="N493" s="5" t="n"/>
      <c r="O493" s="5" t="n">
        <v>699</v>
      </c>
      <c r="P493" s="5" t="n"/>
      <c r="Q493" s="5" t="n">
        <v>699</v>
      </c>
      <c r="R493" s="5" t="n"/>
    </row>
    <row r="494">
      <c r="A494" s="2" t="inlineStr">
        <is>
          <t>EJ010724.TXT</t>
        </is>
      </c>
      <c r="B494" s="3" t="inlineStr">
        <is>
          <t>001713</t>
        </is>
      </c>
      <c r="C494" s="3" t="inlineStr">
        <is>
          <t>001101</t>
        </is>
      </c>
      <c r="D494" s="4" t="n">
        <v>45458</v>
      </c>
      <c r="E494" s="2" t="inlineStr">
        <is>
          <t>14:45</t>
        </is>
      </c>
      <c r="F494" s="5" t="n">
        <v>415</v>
      </c>
      <c r="G494" s="5" t="n"/>
      <c r="H494" s="5" t="n"/>
      <c r="I494" s="5" t="n"/>
      <c r="J494" s="5" t="n">
        <v>83</v>
      </c>
      <c r="K494" s="5" t="n"/>
      <c r="L494" s="5" t="n"/>
      <c r="M494" s="5" t="n"/>
      <c r="N494" s="5" t="n"/>
      <c r="O494" s="5" t="n">
        <v>498</v>
      </c>
      <c r="P494" s="5" t="n"/>
      <c r="Q494" s="5" t="n">
        <v>498</v>
      </c>
      <c r="R494" s="5" t="n"/>
    </row>
    <row r="495">
      <c r="A495" s="2" t="inlineStr">
        <is>
          <t>EJ010724.TXT</t>
        </is>
      </c>
      <c r="B495" s="3" t="inlineStr">
        <is>
          <t>001714</t>
        </is>
      </c>
      <c r="C495" s="3" t="inlineStr">
        <is>
          <t>001102</t>
        </is>
      </c>
      <c r="D495" s="4" t="n">
        <v>45458</v>
      </c>
      <c r="E495" s="2" t="inlineStr">
        <is>
          <t>16:09</t>
        </is>
      </c>
      <c r="F495" s="5" t="n">
        <v>274.17</v>
      </c>
      <c r="G495" s="5" t="n"/>
      <c r="H495" s="5" t="n"/>
      <c r="I495" s="5" t="n"/>
      <c r="J495" s="5" t="n">
        <v>54.83</v>
      </c>
      <c r="K495" s="5" t="n"/>
      <c r="L495" s="5" t="n"/>
      <c r="M495" s="5" t="n"/>
      <c r="N495" s="5" t="n"/>
      <c r="O495" s="5" t="n">
        <v>329</v>
      </c>
      <c r="P495" s="5" t="n"/>
      <c r="Q495" s="5" t="n">
        <v>329</v>
      </c>
      <c r="R495" s="5" t="n"/>
    </row>
    <row r="496">
      <c r="A496" s="2" t="inlineStr">
        <is>
          <t>EJ010724.TXT</t>
        </is>
      </c>
      <c r="B496" s="3" t="inlineStr">
        <is>
          <t>001715</t>
        </is>
      </c>
      <c r="C496" s="3" t="inlineStr">
        <is>
          <t>001103</t>
        </is>
      </c>
      <c r="D496" s="4" t="n">
        <v>45461</v>
      </c>
      <c r="E496" s="2" t="inlineStr">
        <is>
          <t>08:59</t>
        </is>
      </c>
      <c r="F496" s="5" t="n">
        <v>548.33</v>
      </c>
      <c r="G496" s="5" t="n"/>
      <c r="H496" s="5" t="n"/>
      <c r="I496" s="5" t="n"/>
      <c r="J496" s="5" t="n">
        <v>109.67</v>
      </c>
      <c r="K496" s="5" t="n"/>
      <c r="L496" s="5" t="n"/>
      <c r="M496" s="5" t="n"/>
      <c r="N496" s="5" t="n"/>
      <c r="O496" s="5" t="n">
        <v>658</v>
      </c>
      <c r="P496" s="5" t="n"/>
      <c r="Q496" s="5" t="n">
        <v>658</v>
      </c>
      <c r="R496" s="5" t="n"/>
    </row>
    <row r="497">
      <c r="A497" s="2" t="inlineStr">
        <is>
          <t>EJ010724.TXT</t>
        </is>
      </c>
      <c r="B497" s="3" t="inlineStr">
        <is>
          <t>001717</t>
        </is>
      </c>
      <c r="C497" s="3" t="inlineStr">
        <is>
          <t>001104</t>
        </is>
      </c>
      <c r="D497" s="4" t="n">
        <v>45463</v>
      </c>
      <c r="E497" s="2" t="inlineStr">
        <is>
          <t>10:19</t>
        </is>
      </c>
      <c r="F497" s="5" t="n">
        <v>548.33</v>
      </c>
      <c r="G497" s="5" t="n"/>
      <c r="H497" s="5" t="n"/>
      <c r="I497" s="5" t="n"/>
      <c r="J497" s="5" t="n">
        <v>109.67</v>
      </c>
      <c r="K497" s="5" t="n"/>
      <c r="L497" s="5" t="n"/>
      <c r="M497" s="5" t="n"/>
      <c r="N497" s="5" t="n"/>
      <c r="O497" s="5" t="n">
        <v>658</v>
      </c>
      <c r="P497" s="5" t="n">
        <v>658</v>
      </c>
      <c r="Q497" s="5" t="n"/>
      <c r="R497" s="5" t="n"/>
    </row>
    <row r="498">
      <c r="A498" s="2" t="inlineStr">
        <is>
          <t>EJ010724.TXT</t>
        </is>
      </c>
      <c r="B498" s="3" t="inlineStr">
        <is>
          <t>001718</t>
        </is>
      </c>
      <c r="C498" s="3" t="inlineStr">
        <is>
          <t>001105</t>
        </is>
      </c>
      <c r="D498" s="4" t="n">
        <v>45468</v>
      </c>
      <c r="E498" s="2" t="inlineStr">
        <is>
          <t>15:12</t>
        </is>
      </c>
      <c r="F498" s="5" t="n">
        <v>20500</v>
      </c>
      <c r="G498" s="5" t="n"/>
      <c r="H498" s="5" t="n"/>
      <c r="I498" s="5" t="n"/>
      <c r="J498" s="5" t="n">
        <v>4100</v>
      </c>
      <c r="K498" s="5" t="n"/>
      <c r="L498" s="5" t="n"/>
      <c r="M498" s="5" t="n"/>
      <c r="N498" s="5" t="n"/>
      <c r="O498" s="5" t="n">
        <v>24600</v>
      </c>
      <c r="P498" s="5" t="n">
        <v>24600</v>
      </c>
      <c r="Q498" s="5" t="n"/>
      <c r="R498" s="5" t="n"/>
    </row>
    <row r="499">
      <c r="A499" s="2" t="inlineStr">
        <is>
          <t>EJ010724.TXT</t>
        </is>
      </c>
      <c r="B499" s="3" t="inlineStr">
        <is>
          <t>001719</t>
        </is>
      </c>
      <c r="C499" s="3" t="inlineStr">
        <is>
          <t>001106</t>
        </is>
      </c>
      <c r="D499" s="4" t="n">
        <v>45469</v>
      </c>
      <c r="E499" s="2" t="inlineStr">
        <is>
          <t>10:55</t>
        </is>
      </c>
      <c r="F499" s="5" t="n">
        <v>531.67</v>
      </c>
      <c r="G499" s="5" t="n"/>
      <c r="H499" s="5" t="n"/>
      <c r="I499" s="5" t="n"/>
      <c r="J499" s="5" t="n">
        <v>106.33</v>
      </c>
      <c r="K499" s="5" t="n"/>
      <c r="L499" s="5" t="n"/>
      <c r="M499" s="5" t="n"/>
      <c r="N499" s="5" t="n"/>
      <c r="O499" s="5" t="n">
        <v>638</v>
      </c>
      <c r="P499" s="5" t="n"/>
      <c r="Q499" s="5" t="n">
        <v>638</v>
      </c>
      <c r="R499" s="5" t="n"/>
    </row>
    <row r="500">
      <c r="A500" s="2" t="inlineStr">
        <is>
          <t>EJ010724.TXT</t>
        </is>
      </c>
      <c r="B500" s="3" t="inlineStr">
        <is>
          <t>001720</t>
        </is>
      </c>
      <c r="C500" s="3" t="inlineStr">
        <is>
          <t>001107</t>
        </is>
      </c>
      <c r="D500" s="4" t="n">
        <v>45469</v>
      </c>
      <c r="E500" s="2" t="inlineStr">
        <is>
          <t>12:56</t>
        </is>
      </c>
      <c r="F500" s="5" t="n">
        <v>274.17</v>
      </c>
      <c r="G500" s="5" t="n"/>
      <c r="H500" s="5" t="n"/>
      <c r="I500" s="5" t="n"/>
      <c r="J500" s="5" t="n">
        <v>54.83</v>
      </c>
      <c r="K500" s="5" t="n"/>
      <c r="L500" s="5" t="n"/>
      <c r="M500" s="5" t="n"/>
      <c r="N500" s="5" t="n"/>
      <c r="O500" s="5" t="n">
        <v>329</v>
      </c>
      <c r="P500" s="5" t="n">
        <v>329</v>
      </c>
      <c r="Q500" s="5" t="n"/>
      <c r="R500" s="5" t="n"/>
    </row>
    <row r="501">
      <c r="A501" s="2" t="inlineStr">
        <is>
          <t>EJ010724.TXT</t>
        </is>
      </c>
      <c r="B501" s="3" t="inlineStr">
        <is>
          <t>001721</t>
        </is>
      </c>
      <c r="C501" s="3" t="inlineStr">
        <is>
          <t>001108</t>
        </is>
      </c>
      <c r="D501" s="4" t="n">
        <v>45469</v>
      </c>
      <c r="E501" s="2" t="inlineStr">
        <is>
          <t>13:17</t>
        </is>
      </c>
      <c r="F501" s="5" t="n">
        <v>548.33</v>
      </c>
      <c r="G501" s="5" t="n"/>
      <c r="H501" s="5" t="n"/>
      <c r="I501" s="5" t="n"/>
      <c r="J501" s="5" t="n">
        <v>109.67</v>
      </c>
      <c r="K501" s="5" t="n"/>
      <c r="L501" s="5" t="n"/>
      <c r="M501" s="5" t="n"/>
      <c r="N501" s="5" t="n"/>
      <c r="O501" s="5" t="n">
        <v>658</v>
      </c>
      <c r="P501" s="5" t="n">
        <v>658</v>
      </c>
      <c r="Q501" s="5" t="n"/>
      <c r="R501" s="5" t="n"/>
    </row>
    <row r="502">
      <c r="A502" s="2" t="inlineStr">
        <is>
          <t>EJ010724.TXT</t>
        </is>
      </c>
      <c r="B502" s="3" t="inlineStr">
        <is>
          <t>001722</t>
        </is>
      </c>
      <c r="C502" s="3" t="inlineStr">
        <is>
          <t>001109</t>
        </is>
      </c>
      <c r="D502" s="4" t="n">
        <v>45469</v>
      </c>
      <c r="E502" s="2" t="inlineStr">
        <is>
          <t>15:56</t>
        </is>
      </c>
      <c r="F502" s="5" t="n">
        <v>90.83</v>
      </c>
      <c r="G502" s="5" t="n"/>
      <c r="H502" s="5" t="n"/>
      <c r="I502" s="5" t="n"/>
      <c r="J502" s="5" t="n">
        <v>18.17</v>
      </c>
      <c r="K502" s="5" t="n"/>
      <c r="L502" s="5" t="n"/>
      <c r="M502" s="5" t="n"/>
      <c r="N502" s="5" t="n"/>
      <c r="O502" s="5" t="n">
        <v>109</v>
      </c>
      <c r="P502" s="5" t="n"/>
      <c r="Q502" s="5" t="n">
        <v>109</v>
      </c>
      <c r="R502" s="5" t="n"/>
    </row>
    <row r="503">
      <c r="A503" s="2" t="inlineStr">
        <is>
          <t>EJ010724.TXT</t>
        </is>
      </c>
      <c r="B503" s="3" t="inlineStr">
        <is>
          <t>001724</t>
        </is>
      </c>
      <c r="C503" s="3" t="inlineStr">
        <is>
          <t>001110</t>
        </is>
      </c>
      <c r="D503" s="4" t="n">
        <v>45471</v>
      </c>
      <c r="E503" s="2" t="inlineStr">
        <is>
          <t>11:37</t>
        </is>
      </c>
      <c r="F503" s="5" t="n">
        <v>40.75</v>
      </c>
      <c r="G503" s="5" t="n"/>
      <c r="H503" s="5" t="n"/>
      <c r="I503" s="5" t="n"/>
      <c r="J503" s="5" t="n">
        <v>8.15</v>
      </c>
      <c r="K503" s="5" t="n"/>
      <c r="L503" s="5" t="n"/>
      <c r="M503" s="5" t="n"/>
      <c r="N503" s="5" t="n"/>
      <c r="O503" s="5" t="n">
        <v>48.9</v>
      </c>
      <c r="P503" s="5" t="n">
        <v>48.9</v>
      </c>
      <c r="Q503" s="5" t="n"/>
      <c r="R503" s="5" t="n"/>
    </row>
    <row r="504">
      <c r="A504" s="2" t="inlineStr">
        <is>
          <t>EJ010724.TXT</t>
        </is>
      </c>
      <c r="B504" s="3" t="inlineStr">
        <is>
          <t>001725</t>
        </is>
      </c>
      <c r="C504" s="3" t="inlineStr">
        <is>
          <t>001111</t>
        </is>
      </c>
      <c r="D504" s="4" t="n">
        <v>45472</v>
      </c>
      <c r="E504" s="2" t="inlineStr">
        <is>
          <t>13:34</t>
        </is>
      </c>
      <c r="F504" s="5" t="n">
        <v>329.17</v>
      </c>
      <c r="G504" s="5" t="n"/>
      <c r="H504" s="5" t="n"/>
      <c r="I504" s="5" t="n"/>
      <c r="J504" s="5" t="n">
        <v>65.83</v>
      </c>
      <c r="K504" s="5" t="n"/>
      <c r="L504" s="5" t="n"/>
      <c r="M504" s="5" t="n"/>
      <c r="N504" s="5" t="n"/>
      <c r="O504" s="5" t="n">
        <v>395</v>
      </c>
      <c r="P504" s="5" t="n">
        <v>395</v>
      </c>
      <c r="Q504" s="5" t="n"/>
      <c r="R504" s="5" t="n"/>
    </row>
    <row r="505">
      <c r="A505" s="2" t="inlineStr">
        <is>
          <t>EJ010724.TXT</t>
        </is>
      </c>
      <c r="B505" s="3" t="inlineStr">
        <is>
          <t>001726</t>
        </is>
      </c>
      <c r="C505" s="3" t="inlineStr">
        <is>
          <t>001112</t>
        </is>
      </c>
      <c r="D505" s="4" t="n">
        <v>45472</v>
      </c>
      <c r="E505" s="2" t="inlineStr">
        <is>
          <t>14:05</t>
        </is>
      </c>
      <c r="F505" s="5" t="n">
        <v>548.33</v>
      </c>
      <c r="G505" s="5" t="n"/>
      <c r="H505" s="5" t="n"/>
      <c r="I505" s="5" t="n"/>
      <c r="J505" s="5" t="n">
        <v>109.67</v>
      </c>
      <c r="K505" s="5" t="n"/>
      <c r="L505" s="5" t="n"/>
      <c r="M505" s="5" t="n"/>
      <c r="N505" s="5" t="n"/>
      <c r="O505" s="5" t="n">
        <v>658</v>
      </c>
      <c r="P505" s="5" t="n">
        <v>658</v>
      </c>
      <c r="Q505" s="5" t="n"/>
      <c r="R505" s="5" t="n"/>
    </row>
    <row r="506">
      <c r="A506" s="2" t="inlineStr">
        <is>
          <t>EJ010824.TXT</t>
        </is>
      </c>
      <c r="B506" s="3" t="inlineStr">
        <is>
          <t>001732</t>
        </is>
      </c>
      <c r="C506" s="3" t="inlineStr">
        <is>
          <t>001113</t>
        </is>
      </c>
      <c r="D506" s="4" t="n">
        <v>45474</v>
      </c>
      <c r="E506" s="2" t="inlineStr">
        <is>
          <t>16:08</t>
        </is>
      </c>
      <c r="F506" s="5" t="n">
        <v>397.5</v>
      </c>
      <c r="G506" s="5" t="n"/>
      <c r="H506" s="5" t="n"/>
      <c r="I506" s="5" t="n"/>
      <c r="J506" s="5" t="n">
        <v>79.5</v>
      </c>
      <c r="K506" s="5" t="n"/>
      <c r="L506" s="5" t="n"/>
      <c r="M506" s="5" t="n"/>
      <c r="N506" s="5" t="n"/>
      <c r="O506" s="5" t="n">
        <v>477</v>
      </c>
      <c r="P506" s="5" t="n"/>
      <c r="Q506" s="5" t="n">
        <v>477</v>
      </c>
      <c r="R506" s="5" t="n"/>
    </row>
    <row r="507">
      <c r="A507" s="2" t="inlineStr">
        <is>
          <t>EJ010824.TXT</t>
        </is>
      </c>
      <c r="B507" s="3" t="inlineStr">
        <is>
          <t>001733</t>
        </is>
      </c>
      <c r="C507" s="3" t="inlineStr">
        <is>
          <t>001114</t>
        </is>
      </c>
      <c r="D507" s="4" t="n">
        <v>45475</v>
      </c>
      <c r="E507" s="2" t="inlineStr">
        <is>
          <t>09:55</t>
        </is>
      </c>
      <c r="F507" s="5" t="n">
        <v>20500</v>
      </c>
      <c r="G507" s="5" t="n"/>
      <c r="H507" s="5" t="n"/>
      <c r="I507" s="5" t="n"/>
      <c r="J507" s="5" t="n">
        <v>4100</v>
      </c>
      <c r="K507" s="5" t="n"/>
      <c r="L507" s="5" t="n"/>
      <c r="M507" s="5" t="n"/>
      <c r="N507" s="5" t="n"/>
      <c r="O507" s="5" t="n">
        <v>24600</v>
      </c>
      <c r="P507" s="5" t="n">
        <v>24600</v>
      </c>
      <c r="Q507" s="5" t="n"/>
      <c r="R507" s="5" t="n"/>
    </row>
    <row r="508">
      <c r="A508" s="2" t="inlineStr">
        <is>
          <t>EJ010824.TXT</t>
        </is>
      </c>
      <c r="B508" s="3" t="inlineStr">
        <is>
          <t>001734</t>
        </is>
      </c>
      <c r="C508" s="3" t="inlineStr">
        <is>
          <t>001115</t>
        </is>
      </c>
      <c r="D508" s="4" t="n">
        <v>45475</v>
      </c>
      <c r="E508" s="2" t="inlineStr">
        <is>
          <t>12:08</t>
        </is>
      </c>
      <c r="F508" s="5" t="n">
        <v>274.17</v>
      </c>
      <c r="G508" s="5" t="n"/>
      <c r="H508" s="5" t="n"/>
      <c r="I508" s="5" t="n"/>
      <c r="J508" s="5" t="n">
        <v>54.83</v>
      </c>
      <c r="K508" s="5" t="n"/>
      <c r="L508" s="5" t="n"/>
      <c r="M508" s="5" t="n"/>
      <c r="N508" s="5" t="n"/>
      <c r="O508" s="5" t="n">
        <v>329</v>
      </c>
      <c r="P508" s="5" t="n">
        <v>329</v>
      </c>
      <c r="Q508" s="5" t="n"/>
      <c r="R508" s="5" t="n"/>
    </row>
    <row r="509">
      <c r="A509" s="2" t="inlineStr">
        <is>
          <t>EJ010824.TXT</t>
        </is>
      </c>
      <c r="B509" s="3" t="inlineStr">
        <is>
          <t>001735</t>
        </is>
      </c>
      <c r="C509" s="3" t="inlineStr">
        <is>
          <t>001116</t>
        </is>
      </c>
      <c r="D509" s="4" t="n">
        <v>45476</v>
      </c>
      <c r="E509" s="2" t="inlineStr">
        <is>
          <t>15:17</t>
        </is>
      </c>
      <c r="F509" s="5" t="n">
        <v>274.17</v>
      </c>
      <c r="G509" s="5" t="n"/>
      <c r="H509" s="5" t="n"/>
      <c r="I509" s="5" t="n"/>
      <c r="J509" s="5" t="n">
        <v>54.83</v>
      </c>
      <c r="K509" s="5" t="n"/>
      <c r="L509" s="5" t="n"/>
      <c r="M509" s="5" t="n"/>
      <c r="N509" s="5" t="n"/>
      <c r="O509" s="5" t="n">
        <v>329</v>
      </c>
      <c r="P509" s="5" t="n"/>
      <c r="Q509" s="5" t="n">
        <v>329</v>
      </c>
      <c r="R509" s="5" t="n"/>
    </row>
    <row r="510">
      <c r="A510" s="2" t="inlineStr">
        <is>
          <t>EJ010824.TXT</t>
        </is>
      </c>
      <c r="B510" s="3" t="inlineStr">
        <is>
          <t>001736</t>
        </is>
      </c>
      <c r="C510" s="3" t="inlineStr">
        <is>
          <t>001117</t>
        </is>
      </c>
      <c r="D510" s="4" t="n">
        <v>45481</v>
      </c>
      <c r="E510" s="2" t="inlineStr">
        <is>
          <t>09:03</t>
        </is>
      </c>
      <c r="F510" s="5" t="n">
        <v>347.5</v>
      </c>
      <c r="G510" s="5" t="n"/>
      <c r="H510" s="5" t="n"/>
      <c r="I510" s="5" t="n"/>
      <c r="J510" s="5" t="n">
        <v>69.5</v>
      </c>
      <c r="K510" s="5" t="n"/>
      <c r="L510" s="5" t="n"/>
      <c r="M510" s="5" t="n"/>
      <c r="N510" s="5" t="n"/>
      <c r="O510" s="5" t="n">
        <v>417</v>
      </c>
      <c r="P510" s="5" t="n"/>
      <c r="Q510" s="5" t="n">
        <v>417</v>
      </c>
      <c r="R510" s="5" t="n"/>
    </row>
    <row r="511">
      <c r="A511" s="2" t="inlineStr">
        <is>
          <t>EJ010824.TXT</t>
        </is>
      </c>
      <c r="B511" s="3" t="inlineStr">
        <is>
          <t>001737</t>
        </is>
      </c>
      <c r="C511" s="3" t="inlineStr">
        <is>
          <t>001118</t>
        </is>
      </c>
      <c r="D511" s="4" t="n">
        <v>45482</v>
      </c>
      <c r="E511" s="2" t="inlineStr">
        <is>
          <t>10:48</t>
        </is>
      </c>
      <c r="F511" s="5" t="n">
        <v>274.17</v>
      </c>
      <c r="G511" s="5" t="n"/>
      <c r="H511" s="5" t="n"/>
      <c r="I511" s="5" t="n"/>
      <c r="J511" s="5" t="n">
        <v>54.83</v>
      </c>
      <c r="K511" s="5" t="n"/>
      <c r="L511" s="5" t="n"/>
      <c r="M511" s="5" t="n"/>
      <c r="N511" s="5" t="n"/>
      <c r="O511" s="5" t="n">
        <v>329</v>
      </c>
      <c r="P511" s="5" t="n">
        <v>329</v>
      </c>
      <c r="Q511" s="5" t="n"/>
      <c r="R511" s="5" t="n"/>
    </row>
    <row r="512">
      <c r="A512" s="2" t="inlineStr">
        <is>
          <t>EJ010824.TXT</t>
        </is>
      </c>
      <c r="B512" s="3" t="inlineStr">
        <is>
          <t>001738</t>
        </is>
      </c>
      <c r="C512" s="3" t="inlineStr">
        <is>
          <t>001119</t>
        </is>
      </c>
      <c r="D512" s="4" t="n">
        <v>45483</v>
      </c>
      <c r="E512" s="2" t="inlineStr">
        <is>
          <t>10:31</t>
        </is>
      </c>
      <c r="F512" s="5" t="n">
        <v>1096.67</v>
      </c>
      <c r="G512" s="5" t="n"/>
      <c r="H512" s="5" t="n"/>
      <c r="I512" s="5" t="n"/>
      <c r="J512" s="5" t="n">
        <v>219.33</v>
      </c>
      <c r="K512" s="5" t="n"/>
      <c r="L512" s="5" t="n"/>
      <c r="M512" s="5" t="n"/>
      <c r="N512" s="5" t="n"/>
      <c r="O512" s="5" t="n">
        <v>1316</v>
      </c>
      <c r="P512" s="5" t="n">
        <v>1316</v>
      </c>
      <c r="Q512" s="5" t="n"/>
      <c r="R512" s="5" t="n"/>
    </row>
    <row r="513">
      <c r="A513" s="2" t="inlineStr">
        <is>
          <t>EJ010824.TXT</t>
        </is>
      </c>
      <c r="B513" s="3" t="inlineStr">
        <is>
          <t>001741</t>
        </is>
      </c>
      <c r="C513" s="3" t="inlineStr">
        <is>
          <t>001120</t>
        </is>
      </c>
      <c r="D513" s="4" t="n">
        <v>45483</v>
      </c>
      <c r="E513" s="2" t="inlineStr">
        <is>
          <t>13:58</t>
        </is>
      </c>
      <c r="F513" s="5" t="n">
        <v>2075</v>
      </c>
      <c r="G513" s="5" t="n"/>
      <c r="H513" s="5" t="n"/>
      <c r="I513" s="5" t="n"/>
      <c r="J513" s="5" t="n">
        <v>415</v>
      </c>
      <c r="K513" s="5" t="n"/>
      <c r="L513" s="5" t="n"/>
      <c r="M513" s="5" t="n"/>
      <c r="N513" s="5" t="n"/>
      <c r="O513" s="5" t="n">
        <v>2490</v>
      </c>
      <c r="P513" s="5" t="n"/>
      <c r="Q513" s="5" t="n">
        <v>2490</v>
      </c>
      <c r="R513" s="5" t="n"/>
    </row>
    <row r="514">
      <c r="A514" s="2" t="inlineStr">
        <is>
          <t>EJ010824.TXT</t>
        </is>
      </c>
      <c r="B514" s="3" t="inlineStr">
        <is>
          <t>001742</t>
        </is>
      </c>
      <c r="C514" s="3" t="inlineStr">
        <is>
          <t>001121</t>
        </is>
      </c>
      <c r="D514" s="4" t="n">
        <v>45483</v>
      </c>
      <c r="E514" s="2" t="inlineStr">
        <is>
          <t>14:05</t>
        </is>
      </c>
      <c r="F514" s="5" t="n">
        <v>548.33</v>
      </c>
      <c r="G514" s="5" t="n"/>
      <c r="H514" s="5" t="n"/>
      <c r="I514" s="5" t="n"/>
      <c r="J514" s="5" t="n">
        <v>109.67</v>
      </c>
      <c r="K514" s="5" t="n"/>
      <c r="L514" s="5" t="n"/>
      <c r="M514" s="5" t="n"/>
      <c r="N514" s="5" t="n"/>
      <c r="O514" s="5" t="n">
        <v>658</v>
      </c>
      <c r="P514" s="5" t="n">
        <v>658</v>
      </c>
      <c r="Q514" s="5" t="n"/>
      <c r="R514" s="5" t="n"/>
    </row>
    <row r="515">
      <c r="A515" s="2" t="inlineStr">
        <is>
          <t>EJ010824.TXT</t>
        </is>
      </c>
      <c r="B515" s="3" t="inlineStr">
        <is>
          <t>001746</t>
        </is>
      </c>
      <c r="C515" s="3" t="inlineStr">
        <is>
          <t>001122</t>
        </is>
      </c>
      <c r="D515" s="4" t="n">
        <v>45484</v>
      </c>
      <c r="E515" s="2" t="inlineStr">
        <is>
          <t>12:05</t>
        </is>
      </c>
      <c r="F515" s="5" t="n">
        <v>548.33</v>
      </c>
      <c r="G515" s="5" t="n"/>
      <c r="H515" s="5" t="n"/>
      <c r="I515" s="5" t="n"/>
      <c r="J515" s="5" t="n">
        <v>109.67</v>
      </c>
      <c r="K515" s="5" t="n"/>
      <c r="L515" s="5" t="n"/>
      <c r="M515" s="5" t="n"/>
      <c r="N515" s="5" t="n"/>
      <c r="O515" s="5" t="n">
        <v>658</v>
      </c>
      <c r="P515" s="5" t="n">
        <v>658</v>
      </c>
      <c r="Q515" s="5" t="n"/>
      <c r="R515" s="5" t="n"/>
    </row>
    <row r="516">
      <c r="A516" s="2" t="inlineStr">
        <is>
          <t>EJ010824.TXT</t>
        </is>
      </c>
      <c r="B516" s="3" t="inlineStr">
        <is>
          <t>001747</t>
        </is>
      </c>
      <c r="C516" s="3" t="inlineStr">
        <is>
          <t>001123</t>
        </is>
      </c>
      <c r="D516" s="4" t="n">
        <v>45490</v>
      </c>
      <c r="E516" s="2" t="inlineStr">
        <is>
          <t>15:43</t>
        </is>
      </c>
      <c r="F516" s="5" t="n">
        <v>548.33</v>
      </c>
      <c r="G516" s="5" t="n"/>
      <c r="H516" s="5" t="n"/>
      <c r="I516" s="5" t="n"/>
      <c r="J516" s="5" t="n">
        <v>109.67</v>
      </c>
      <c r="K516" s="5" t="n"/>
      <c r="L516" s="5" t="n"/>
      <c r="M516" s="5" t="n"/>
      <c r="N516" s="5" t="n"/>
      <c r="O516" s="5" t="n">
        <v>658</v>
      </c>
      <c r="P516" s="5" t="n"/>
      <c r="Q516" s="5" t="n">
        <v>658</v>
      </c>
      <c r="R516" s="5" t="n"/>
    </row>
    <row r="517">
      <c r="A517" s="2" t="inlineStr">
        <is>
          <t>EJ010824.TXT</t>
        </is>
      </c>
      <c r="B517" s="3" t="inlineStr">
        <is>
          <t>001748</t>
        </is>
      </c>
      <c r="C517" s="3" t="inlineStr">
        <is>
          <t>001124</t>
        </is>
      </c>
      <c r="D517" s="4" t="n">
        <v>45490</v>
      </c>
      <c r="E517" s="2" t="inlineStr">
        <is>
          <t>16:40</t>
        </is>
      </c>
      <c r="F517" s="5" t="n">
        <v>1096.67</v>
      </c>
      <c r="G517" s="5" t="n"/>
      <c r="H517" s="5" t="n"/>
      <c r="I517" s="5" t="n"/>
      <c r="J517" s="5" t="n">
        <v>219.33</v>
      </c>
      <c r="K517" s="5" t="n"/>
      <c r="L517" s="5" t="n"/>
      <c r="M517" s="5" t="n"/>
      <c r="N517" s="5" t="n"/>
      <c r="O517" s="5" t="n">
        <v>1316</v>
      </c>
      <c r="P517" s="5" t="n">
        <v>1316</v>
      </c>
      <c r="Q517" s="5" t="n"/>
      <c r="R517" s="5" t="n"/>
    </row>
    <row r="518">
      <c r="A518" s="2" t="inlineStr">
        <is>
          <t>EJ010824.TXT</t>
        </is>
      </c>
      <c r="B518" s="3" t="inlineStr">
        <is>
          <t>001750</t>
        </is>
      </c>
      <c r="C518" s="3" t="inlineStr">
        <is>
          <t>001125</t>
        </is>
      </c>
      <c r="D518" s="4" t="n">
        <v>45492</v>
      </c>
      <c r="E518" s="2" t="inlineStr">
        <is>
          <t>11:02</t>
        </is>
      </c>
      <c r="F518" s="5" t="n">
        <v>822.5</v>
      </c>
      <c r="G518" s="5" t="n"/>
      <c r="H518" s="5" t="n"/>
      <c r="I518" s="5" t="n"/>
      <c r="J518" s="5" t="n">
        <v>164.5</v>
      </c>
      <c r="K518" s="5" t="n"/>
      <c r="L518" s="5" t="n"/>
      <c r="M518" s="5" t="n"/>
      <c r="N518" s="5" t="n"/>
      <c r="O518" s="5" t="n">
        <v>987</v>
      </c>
      <c r="P518" s="5" t="n"/>
      <c r="Q518" s="5" t="n">
        <v>987</v>
      </c>
      <c r="R518" s="5" t="n"/>
    </row>
    <row r="519">
      <c r="A519" s="2" t="inlineStr">
        <is>
          <t>EJ010824.TXT</t>
        </is>
      </c>
      <c r="B519" s="3" t="inlineStr">
        <is>
          <t>001751</t>
        </is>
      </c>
      <c r="C519" s="3" t="inlineStr">
        <is>
          <t>001126</t>
        </is>
      </c>
      <c r="D519" s="4" t="n">
        <v>45492</v>
      </c>
      <c r="E519" s="2" t="inlineStr">
        <is>
          <t>11:03</t>
        </is>
      </c>
      <c r="F519" s="5" t="n">
        <v>822.5</v>
      </c>
      <c r="G519" s="5" t="n"/>
      <c r="H519" s="5" t="n"/>
      <c r="I519" s="5" t="n"/>
      <c r="J519" s="5" t="n">
        <v>164.5</v>
      </c>
      <c r="K519" s="5" t="n"/>
      <c r="L519" s="5" t="n"/>
      <c r="M519" s="5" t="n"/>
      <c r="N519" s="5" t="n"/>
      <c r="O519" s="5" t="n">
        <v>987</v>
      </c>
      <c r="P519" s="5" t="n"/>
      <c r="Q519" s="5" t="n">
        <v>987</v>
      </c>
      <c r="R519" s="5" t="n"/>
    </row>
    <row r="520">
      <c r="A520" s="2" t="inlineStr">
        <is>
          <t>EJ010824.TXT</t>
        </is>
      </c>
      <c r="B520" s="3" t="inlineStr">
        <is>
          <t>001752</t>
        </is>
      </c>
      <c r="C520" s="3" t="inlineStr">
        <is>
          <t>001127</t>
        </is>
      </c>
      <c r="D520" s="4" t="n">
        <v>45492</v>
      </c>
      <c r="E520" s="2" t="inlineStr">
        <is>
          <t>11:03</t>
        </is>
      </c>
      <c r="F520" s="5" t="n">
        <v>822.5</v>
      </c>
      <c r="G520" s="5" t="n"/>
      <c r="H520" s="5" t="n"/>
      <c r="I520" s="5" t="n"/>
      <c r="J520" s="5" t="n">
        <v>164.5</v>
      </c>
      <c r="K520" s="5" t="n"/>
      <c r="L520" s="5" t="n"/>
      <c r="M520" s="5" t="n"/>
      <c r="N520" s="5" t="n"/>
      <c r="O520" s="5" t="n">
        <v>987</v>
      </c>
      <c r="P520" s="5" t="n"/>
      <c r="Q520" s="5" t="n">
        <v>987</v>
      </c>
      <c r="R520" s="5" t="n"/>
    </row>
    <row r="521">
      <c r="A521" s="2" t="inlineStr">
        <is>
          <t>EJ010824.TXT</t>
        </is>
      </c>
      <c r="B521" s="3" t="inlineStr">
        <is>
          <t>001753</t>
        </is>
      </c>
      <c r="C521" s="3" t="inlineStr">
        <is>
          <t>001128</t>
        </is>
      </c>
      <c r="D521" s="4" t="n">
        <v>45492</v>
      </c>
      <c r="E521" s="2" t="inlineStr">
        <is>
          <t>11:03</t>
        </is>
      </c>
      <c r="F521" s="5" t="n">
        <v>822.5</v>
      </c>
      <c r="G521" s="5" t="n"/>
      <c r="H521" s="5" t="n"/>
      <c r="I521" s="5" t="n"/>
      <c r="J521" s="5" t="n">
        <v>164.5</v>
      </c>
      <c r="K521" s="5" t="n"/>
      <c r="L521" s="5" t="n"/>
      <c r="M521" s="5" t="n"/>
      <c r="N521" s="5" t="n"/>
      <c r="O521" s="5" t="n">
        <v>987</v>
      </c>
      <c r="P521" s="5" t="n"/>
      <c r="Q521" s="5" t="n">
        <v>987</v>
      </c>
      <c r="R521" s="5" t="n"/>
    </row>
    <row r="522">
      <c r="A522" s="2" t="inlineStr">
        <is>
          <t>EJ010824.TXT</t>
        </is>
      </c>
      <c r="B522" s="3" t="inlineStr">
        <is>
          <t>001754</t>
        </is>
      </c>
      <c r="C522" s="3" t="inlineStr">
        <is>
          <t>001129</t>
        </is>
      </c>
      <c r="D522" s="4" t="n">
        <v>45492</v>
      </c>
      <c r="E522" s="2" t="inlineStr">
        <is>
          <t>11:05</t>
        </is>
      </c>
      <c r="F522" s="5" t="n">
        <v>210</v>
      </c>
      <c r="G522" s="5" t="n"/>
      <c r="H522" s="5" t="n"/>
      <c r="I522" s="5" t="n"/>
      <c r="J522" s="5" t="n">
        <v>42</v>
      </c>
      <c r="K522" s="5" t="n"/>
      <c r="L522" s="5" t="n"/>
      <c r="M522" s="5" t="n"/>
      <c r="N522" s="5" t="n"/>
      <c r="O522" s="5" t="n">
        <v>252</v>
      </c>
      <c r="P522" s="5" t="n"/>
      <c r="Q522" s="5" t="n">
        <v>252</v>
      </c>
      <c r="R522" s="5" t="n"/>
    </row>
    <row r="523">
      <c r="A523" s="2" t="inlineStr">
        <is>
          <t>EJ010824.TXT</t>
        </is>
      </c>
      <c r="B523" s="3" t="inlineStr">
        <is>
          <t>001755</t>
        </is>
      </c>
      <c r="C523" s="3" t="inlineStr">
        <is>
          <t>001130</t>
        </is>
      </c>
      <c r="D523" s="4" t="n">
        <v>45492</v>
      </c>
      <c r="E523" s="2" t="inlineStr">
        <is>
          <t>15:43</t>
        </is>
      </c>
      <c r="F523" s="5" t="n">
        <v>274.17</v>
      </c>
      <c r="G523" s="5" t="n"/>
      <c r="H523" s="5" t="n"/>
      <c r="I523" s="5" t="n"/>
      <c r="J523" s="5" t="n">
        <v>54.83</v>
      </c>
      <c r="K523" s="5" t="n"/>
      <c r="L523" s="5" t="n"/>
      <c r="M523" s="5" t="n"/>
      <c r="N523" s="5" t="n"/>
      <c r="O523" s="5" t="n">
        <v>329</v>
      </c>
      <c r="P523" s="5" t="n"/>
      <c r="Q523" s="5" t="n">
        <v>329</v>
      </c>
      <c r="R523" s="5" t="n"/>
    </row>
    <row r="524">
      <c r="A524" s="2" t="inlineStr">
        <is>
          <t>EJ010824.TXT</t>
        </is>
      </c>
      <c r="B524" s="3" t="inlineStr">
        <is>
          <t>001759</t>
        </is>
      </c>
      <c r="C524" s="3" t="inlineStr">
        <is>
          <t>001131</t>
        </is>
      </c>
      <c r="D524" s="4" t="n">
        <v>45495</v>
      </c>
      <c r="E524" s="2" t="inlineStr">
        <is>
          <t>15:11</t>
        </is>
      </c>
      <c r="F524" s="5" t="n">
        <v>265.83</v>
      </c>
      <c r="G524" s="5" t="n"/>
      <c r="H524" s="5" t="n"/>
      <c r="I524" s="5" t="n"/>
      <c r="J524" s="5" t="n">
        <v>53.17</v>
      </c>
      <c r="K524" s="5" t="n"/>
      <c r="L524" s="5" t="n"/>
      <c r="M524" s="5" t="n"/>
      <c r="N524" s="5" t="n"/>
      <c r="O524" s="5" t="n">
        <v>319</v>
      </c>
      <c r="P524" s="5" t="n">
        <v>50</v>
      </c>
      <c r="Q524" s="5" t="n">
        <v>269</v>
      </c>
      <c r="R524" s="5" t="n"/>
    </row>
    <row r="525">
      <c r="A525" s="2" t="inlineStr">
        <is>
          <t>EJ010824.TXT</t>
        </is>
      </c>
      <c r="B525" s="3" t="inlineStr">
        <is>
          <t>001764</t>
        </is>
      </c>
      <c r="C525" s="3" t="inlineStr">
        <is>
          <t>001132</t>
        </is>
      </c>
      <c r="D525" s="4" t="n">
        <v>45496</v>
      </c>
      <c r="E525" s="2" t="inlineStr">
        <is>
          <t>15:57</t>
        </is>
      </c>
      <c r="F525" s="5" t="n">
        <v>329.17</v>
      </c>
      <c r="G525" s="5" t="n"/>
      <c r="H525" s="5" t="n"/>
      <c r="I525" s="5" t="n"/>
      <c r="J525" s="5" t="n">
        <v>65.83</v>
      </c>
      <c r="K525" s="5" t="n"/>
      <c r="L525" s="5" t="n"/>
      <c r="M525" s="5" t="n"/>
      <c r="N525" s="5" t="n"/>
      <c r="O525" s="5" t="n">
        <v>395</v>
      </c>
      <c r="P525" s="5" t="n"/>
      <c r="Q525" s="5" t="n">
        <v>395</v>
      </c>
      <c r="R525" s="5" t="n"/>
    </row>
    <row r="526">
      <c r="A526" s="2" t="inlineStr">
        <is>
          <t>EJ010824.TXT</t>
        </is>
      </c>
      <c r="B526" s="3" t="inlineStr">
        <is>
          <t>001765</t>
        </is>
      </c>
      <c r="C526" s="3" t="inlineStr">
        <is>
          <t>001133</t>
        </is>
      </c>
      <c r="D526" s="4" t="n">
        <v>45496</v>
      </c>
      <c r="E526" s="2" t="inlineStr">
        <is>
          <t>15:58</t>
        </is>
      </c>
      <c r="F526" s="5" t="n">
        <v>329.17</v>
      </c>
      <c r="G526" s="5" t="n"/>
      <c r="H526" s="5" t="n"/>
      <c r="I526" s="5" t="n"/>
      <c r="J526" s="5" t="n">
        <v>65.83</v>
      </c>
      <c r="K526" s="5" t="n"/>
      <c r="L526" s="5" t="n"/>
      <c r="M526" s="5" t="n"/>
      <c r="N526" s="5" t="n"/>
      <c r="O526" s="5" t="n">
        <v>395</v>
      </c>
      <c r="P526" s="5" t="n"/>
      <c r="Q526" s="5" t="n">
        <v>395</v>
      </c>
      <c r="R526" s="5" t="n"/>
    </row>
    <row r="527">
      <c r="A527" s="2" t="inlineStr">
        <is>
          <t>EJ010824.TXT</t>
        </is>
      </c>
      <c r="B527" s="3" t="inlineStr">
        <is>
          <t>001766</t>
        </is>
      </c>
      <c r="C527" s="3" t="inlineStr">
        <is>
          <t>001134</t>
        </is>
      </c>
      <c r="D527" s="4" t="n">
        <v>45496</v>
      </c>
      <c r="E527" s="2" t="inlineStr">
        <is>
          <t>16:14</t>
        </is>
      </c>
      <c r="F527" s="5" t="n">
        <v>474.17</v>
      </c>
      <c r="G527" s="5" t="n"/>
      <c r="H527" s="5" t="n"/>
      <c r="I527" s="5" t="n"/>
      <c r="J527" s="5" t="n">
        <v>94.83</v>
      </c>
      <c r="K527" s="5" t="n"/>
      <c r="L527" s="5" t="n"/>
      <c r="M527" s="5" t="n"/>
      <c r="N527" s="5" t="n"/>
      <c r="O527" s="5" t="n">
        <v>569</v>
      </c>
      <c r="P527" s="5" t="n">
        <v>569</v>
      </c>
      <c r="Q527" s="5" t="n"/>
      <c r="R527" s="5" t="n"/>
    </row>
    <row r="528">
      <c r="A528" s="2" t="inlineStr">
        <is>
          <t>EJ010824.TXT</t>
        </is>
      </c>
      <c r="B528" s="3" t="inlineStr">
        <is>
          <t>001767</t>
        </is>
      </c>
      <c r="C528" s="3" t="inlineStr">
        <is>
          <t>001135</t>
        </is>
      </c>
      <c r="D528" s="4" t="n">
        <v>45496</v>
      </c>
      <c r="E528" s="2" t="inlineStr">
        <is>
          <t>16:15</t>
        </is>
      </c>
      <c r="F528" s="5" t="n">
        <v>274.17</v>
      </c>
      <c r="G528" s="5" t="n"/>
      <c r="H528" s="5" t="n"/>
      <c r="I528" s="5" t="n"/>
      <c r="J528" s="5" t="n">
        <v>54.83</v>
      </c>
      <c r="K528" s="5" t="n"/>
      <c r="L528" s="5" t="n"/>
      <c r="M528" s="5" t="n"/>
      <c r="N528" s="5" t="n"/>
      <c r="O528" s="5" t="n">
        <v>329</v>
      </c>
      <c r="P528" s="5" t="n"/>
      <c r="Q528" s="5" t="n">
        <v>329</v>
      </c>
      <c r="R528" s="5" t="n"/>
    </row>
    <row r="529">
      <c r="A529" s="2" t="inlineStr">
        <is>
          <t>EJ010824.TXT</t>
        </is>
      </c>
      <c r="B529" s="3" t="inlineStr">
        <is>
          <t>001768</t>
        </is>
      </c>
      <c r="C529" s="3" t="inlineStr">
        <is>
          <t>001136</t>
        </is>
      </c>
      <c r="D529" s="4" t="n">
        <v>45499</v>
      </c>
      <c r="E529" s="2" t="inlineStr">
        <is>
          <t>12:26</t>
        </is>
      </c>
      <c r="F529" s="5" t="n">
        <v>548.33</v>
      </c>
      <c r="G529" s="5" t="n"/>
      <c r="H529" s="5" t="n"/>
      <c r="I529" s="5" t="n"/>
      <c r="J529" s="5" t="n">
        <v>109.67</v>
      </c>
      <c r="K529" s="5" t="n"/>
      <c r="L529" s="5" t="n"/>
      <c r="M529" s="5" t="n"/>
      <c r="N529" s="5" t="n"/>
      <c r="O529" s="5" t="n">
        <v>658</v>
      </c>
      <c r="P529" s="5" t="n">
        <v>658</v>
      </c>
      <c r="Q529" s="5" t="n"/>
      <c r="R529" s="5" t="n"/>
    </row>
    <row r="530">
      <c r="A530" s="2" t="inlineStr">
        <is>
          <t>EJ010824.TXT</t>
        </is>
      </c>
      <c r="B530" s="3" t="inlineStr">
        <is>
          <t>001769</t>
        </is>
      </c>
      <c r="C530" s="3" t="inlineStr">
        <is>
          <t>001137</t>
        </is>
      </c>
      <c r="D530" s="4" t="n">
        <v>45500</v>
      </c>
      <c r="E530" s="2" t="inlineStr">
        <is>
          <t>14:34</t>
        </is>
      </c>
      <c r="F530" s="5" t="n">
        <v>274.17</v>
      </c>
      <c r="G530" s="5" t="n"/>
      <c r="H530" s="5" t="n"/>
      <c r="I530" s="5" t="n"/>
      <c r="J530" s="5" t="n">
        <v>54.83</v>
      </c>
      <c r="K530" s="5" t="n"/>
      <c r="L530" s="5" t="n"/>
      <c r="M530" s="5" t="n"/>
      <c r="N530" s="5" t="n"/>
      <c r="O530" s="5" t="n">
        <v>329</v>
      </c>
      <c r="P530" s="5" t="n">
        <v>329</v>
      </c>
      <c r="Q530" s="5" t="n"/>
      <c r="R530" s="5" t="n"/>
    </row>
    <row r="531">
      <c r="A531" s="2" t="inlineStr">
        <is>
          <t>EJ010824.TXT</t>
        </is>
      </c>
      <c r="B531" s="3" t="inlineStr">
        <is>
          <t>001770</t>
        </is>
      </c>
      <c r="C531" s="3" t="inlineStr">
        <is>
          <t>001138</t>
        </is>
      </c>
      <c r="D531" s="4" t="n">
        <v>45502</v>
      </c>
      <c r="E531" s="2" t="inlineStr">
        <is>
          <t>12:10</t>
        </is>
      </c>
      <c r="F531" s="5" t="n">
        <v>274.17</v>
      </c>
      <c r="G531" s="5" t="n"/>
      <c r="H531" s="5" t="n"/>
      <c r="I531" s="5" t="n"/>
      <c r="J531" s="5" t="n">
        <v>54.83</v>
      </c>
      <c r="K531" s="5" t="n"/>
      <c r="L531" s="5" t="n"/>
      <c r="M531" s="5" t="n"/>
      <c r="N531" s="5" t="n"/>
      <c r="O531" s="5" t="n">
        <v>329</v>
      </c>
      <c r="P531" s="5" t="n">
        <v>329</v>
      </c>
      <c r="Q531" s="5" t="n"/>
      <c r="R531" s="5" t="n"/>
    </row>
    <row r="532">
      <c r="A532" s="2" t="inlineStr">
        <is>
          <t>EJ010824.TXT</t>
        </is>
      </c>
      <c r="B532" s="3" t="inlineStr">
        <is>
          <t>001771</t>
        </is>
      </c>
      <c r="C532" s="3" t="inlineStr">
        <is>
          <t>001139</t>
        </is>
      </c>
      <c r="D532" s="4" t="n">
        <v>45502</v>
      </c>
      <c r="E532" s="2" t="inlineStr">
        <is>
          <t>15:17</t>
        </is>
      </c>
      <c r="F532" s="5" t="n">
        <v>548.33</v>
      </c>
      <c r="G532" s="5" t="n"/>
      <c r="H532" s="5" t="n"/>
      <c r="I532" s="5" t="n"/>
      <c r="J532" s="5" t="n">
        <v>109.67</v>
      </c>
      <c r="K532" s="5" t="n"/>
      <c r="L532" s="5" t="n"/>
      <c r="M532" s="5" t="n"/>
      <c r="N532" s="5" t="n"/>
      <c r="O532" s="5" t="n">
        <v>658</v>
      </c>
      <c r="P532" s="5" t="n">
        <v>658</v>
      </c>
      <c r="Q532" s="5" t="n"/>
      <c r="R532" s="5" t="n"/>
    </row>
    <row r="533">
      <c r="A533" s="2" t="inlineStr">
        <is>
          <t>EJ010824.TXT</t>
        </is>
      </c>
      <c r="B533" s="3" t="inlineStr">
        <is>
          <t>001773</t>
        </is>
      </c>
      <c r="C533" s="3" t="inlineStr">
        <is>
          <t>001140</t>
        </is>
      </c>
      <c r="D533" s="4" t="n">
        <v>45503</v>
      </c>
      <c r="E533" s="2" t="inlineStr">
        <is>
          <t>09:16</t>
        </is>
      </c>
      <c r="F533" s="5" t="n">
        <v>548.33</v>
      </c>
      <c r="G533" s="5" t="n"/>
      <c r="H533" s="5" t="n"/>
      <c r="I533" s="5" t="n"/>
      <c r="J533" s="5" t="n">
        <v>109.67</v>
      </c>
      <c r="K533" s="5" t="n"/>
      <c r="L533" s="5" t="n"/>
      <c r="M533" s="5" t="n"/>
      <c r="N533" s="5" t="n"/>
      <c r="O533" s="5" t="n">
        <v>658</v>
      </c>
      <c r="P533" s="5" t="n"/>
      <c r="Q533" s="5" t="n">
        <v>658</v>
      </c>
      <c r="R533" s="5" t="n"/>
    </row>
    <row r="534">
      <c r="A534" s="2" t="inlineStr">
        <is>
          <t>EJ010824.TXT</t>
        </is>
      </c>
      <c r="B534" s="3" t="inlineStr">
        <is>
          <t>001775</t>
        </is>
      </c>
      <c r="C534" s="3" t="inlineStr">
        <is>
          <t>001141</t>
        </is>
      </c>
      <c r="D534" s="4" t="n">
        <v>45504</v>
      </c>
      <c r="E534" s="2" t="inlineStr">
        <is>
          <t>12:57</t>
        </is>
      </c>
      <c r="F534" s="5" t="n">
        <v>274.17</v>
      </c>
      <c r="G534" s="5" t="n"/>
      <c r="H534" s="5" t="n"/>
      <c r="I534" s="5" t="n"/>
      <c r="J534" s="5" t="n">
        <v>54.83</v>
      </c>
      <c r="K534" s="5" t="n"/>
      <c r="L534" s="5" t="n"/>
      <c r="M534" s="5" t="n"/>
      <c r="N534" s="5" t="n"/>
      <c r="O534" s="5" t="n">
        <v>329</v>
      </c>
      <c r="P534" s="5" t="n"/>
      <c r="Q534" s="5" t="n">
        <v>329</v>
      </c>
      <c r="R534" s="5" t="n"/>
    </row>
    <row r="535">
      <c r="A535" s="2" t="inlineStr">
        <is>
          <t>EJ300824.TXT</t>
        </is>
      </c>
      <c r="B535" s="3" t="inlineStr">
        <is>
          <t>001783</t>
        </is>
      </c>
      <c r="C535" s="3" t="inlineStr">
        <is>
          <t>001142</t>
        </is>
      </c>
      <c r="D535" s="4" t="n">
        <v>45505</v>
      </c>
      <c r="E535" s="2" t="inlineStr">
        <is>
          <t>13:59</t>
        </is>
      </c>
      <c r="F535" s="5" t="n">
        <v>1645</v>
      </c>
      <c r="G535" s="5" t="n"/>
      <c r="H535" s="5" t="n"/>
      <c r="I535" s="5" t="n"/>
      <c r="J535" s="5" t="n">
        <v>329</v>
      </c>
      <c r="K535" s="5" t="n"/>
      <c r="L535" s="5" t="n"/>
      <c r="M535" s="5" t="n"/>
      <c r="N535" s="5" t="n"/>
      <c r="O535" s="5" t="n">
        <v>1974</v>
      </c>
      <c r="P535" s="5" t="n">
        <v>1974</v>
      </c>
      <c r="Q535" s="5" t="n"/>
      <c r="R535" s="5" t="n"/>
    </row>
    <row r="536">
      <c r="A536" s="2" t="inlineStr">
        <is>
          <t>EJ300824.TXT</t>
        </is>
      </c>
      <c r="B536" s="3" t="inlineStr">
        <is>
          <t>001784</t>
        </is>
      </c>
      <c r="C536" s="3" t="inlineStr">
        <is>
          <t>001143</t>
        </is>
      </c>
      <c r="D536" s="4" t="n">
        <v>45506</v>
      </c>
      <c r="E536" s="2" t="inlineStr">
        <is>
          <t>09:49</t>
        </is>
      </c>
      <c r="F536" s="5" t="n">
        <v>175</v>
      </c>
      <c r="G536" s="5" t="n"/>
      <c r="H536" s="5" t="n"/>
      <c r="I536" s="5" t="n"/>
      <c r="J536" s="5" t="n">
        <v>35</v>
      </c>
      <c r="K536" s="5" t="n"/>
      <c r="L536" s="5" t="n"/>
      <c r="M536" s="5" t="n"/>
      <c r="N536" s="5" t="n"/>
      <c r="O536" s="5" t="n">
        <v>210</v>
      </c>
      <c r="P536" s="5" t="n">
        <v>80</v>
      </c>
      <c r="Q536" s="5" t="n">
        <v>130</v>
      </c>
      <c r="R536" s="5" t="n"/>
    </row>
    <row r="537">
      <c r="A537" s="2" t="inlineStr">
        <is>
          <t>EJ300824.TXT</t>
        </is>
      </c>
      <c r="B537" s="3" t="inlineStr">
        <is>
          <t>001785</t>
        </is>
      </c>
      <c r="C537" s="3" t="inlineStr">
        <is>
          <t>001144</t>
        </is>
      </c>
      <c r="D537" s="4" t="n">
        <v>45506</v>
      </c>
      <c r="E537" s="2" t="inlineStr">
        <is>
          <t>09:51</t>
        </is>
      </c>
      <c r="F537" s="5" t="n">
        <v>796.67</v>
      </c>
      <c r="G537" s="5" t="n"/>
      <c r="H537" s="5" t="n"/>
      <c r="I537" s="5" t="n"/>
      <c r="J537" s="5" t="n">
        <v>159.33</v>
      </c>
      <c r="K537" s="5" t="n"/>
      <c r="L537" s="5" t="n"/>
      <c r="M537" s="5" t="n"/>
      <c r="N537" s="5" t="n"/>
      <c r="O537" s="5" t="n">
        <v>956</v>
      </c>
      <c r="P537" s="5" t="n">
        <v>856</v>
      </c>
      <c r="Q537" s="5" t="n">
        <v>100</v>
      </c>
      <c r="R537" s="5" t="n"/>
    </row>
    <row r="538">
      <c r="A538" s="2" t="inlineStr">
        <is>
          <t>EJ300824.TXT</t>
        </is>
      </c>
      <c r="B538" s="3" t="inlineStr">
        <is>
          <t>001787</t>
        </is>
      </c>
      <c r="C538" s="3" t="inlineStr">
        <is>
          <t>001145</t>
        </is>
      </c>
      <c r="D538" s="4" t="n">
        <v>45506</v>
      </c>
      <c r="E538" s="2" t="inlineStr">
        <is>
          <t>15:08</t>
        </is>
      </c>
      <c r="F538" s="5" t="n">
        <v>1165</v>
      </c>
      <c r="G538" s="5" t="n"/>
      <c r="H538" s="5" t="n"/>
      <c r="I538" s="5" t="n"/>
      <c r="J538" s="5" t="n">
        <v>233</v>
      </c>
      <c r="K538" s="5" t="n"/>
      <c r="L538" s="5" t="n"/>
      <c r="M538" s="5" t="n"/>
      <c r="N538" s="5" t="n"/>
      <c r="O538" s="5" t="n">
        <v>1398</v>
      </c>
      <c r="P538" s="5" t="n">
        <v>1398</v>
      </c>
      <c r="Q538" s="5" t="n"/>
      <c r="R538" s="5" t="n"/>
    </row>
    <row r="539">
      <c r="A539" s="2" t="inlineStr">
        <is>
          <t>EJ300824.TXT</t>
        </is>
      </c>
      <c r="B539" s="3" t="inlineStr">
        <is>
          <t>001788</t>
        </is>
      </c>
      <c r="C539" s="3" t="inlineStr">
        <is>
          <t>001146</t>
        </is>
      </c>
      <c r="D539" s="4" t="n">
        <v>45506</v>
      </c>
      <c r="E539" s="2" t="inlineStr">
        <is>
          <t>15:09</t>
        </is>
      </c>
      <c r="F539" s="5" t="n">
        <v>324.17</v>
      </c>
      <c r="G539" s="5" t="n"/>
      <c r="H539" s="5" t="n"/>
      <c r="I539" s="5" t="n"/>
      <c r="J539" s="5" t="n">
        <v>64.83</v>
      </c>
      <c r="K539" s="5" t="n"/>
      <c r="L539" s="5" t="n"/>
      <c r="M539" s="5" t="n"/>
      <c r="N539" s="5" t="n"/>
      <c r="O539" s="5" t="n">
        <v>389</v>
      </c>
      <c r="P539" s="5" t="n">
        <v>389</v>
      </c>
      <c r="Q539" s="5" t="n"/>
      <c r="R539" s="5" t="n"/>
    </row>
    <row r="540">
      <c r="A540" s="2" t="inlineStr">
        <is>
          <t>EJ300824.TXT</t>
        </is>
      </c>
      <c r="B540" s="3" t="inlineStr">
        <is>
          <t>001790</t>
        </is>
      </c>
      <c r="C540" s="3" t="inlineStr">
        <is>
          <t>001147</t>
        </is>
      </c>
      <c r="D540" s="4" t="n">
        <v>45507</v>
      </c>
      <c r="E540" s="2" t="inlineStr">
        <is>
          <t>14:26</t>
        </is>
      </c>
      <c r="F540" s="5" t="n">
        <v>548.33</v>
      </c>
      <c r="G540" s="5" t="n"/>
      <c r="H540" s="5" t="n"/>
      <c r="I540" s="5" t="n"/>
      <c r="J540" s="5" t="n">
        <v>109.67</v>
      </c>
      <c r="K540" s="5" t="n"/>
      <c r="L540" s="5" t="n"/>
      <c r="M540" s="5" t="n"/>
      <c r="N540" s="5" t="n"/>
      <c r="O540" s="5" t="n">
        <v>658</v>
      </c>
      <c r="P540" s="5" t="n">
        <v>658</v>
      </c>
      <c r="Q540" s="5" t="n"/>
      <c r="R540" s="5" t="n"/>
    </row>
    <row r="541">
      <c r="A541" s="2" t="inlineStr">
        <is>
          <t>EJ300824.TXT</t>
        </is>
      </c>
      <c r="B541" s="3" t="inlineStr">
        <is>
          <t>001791</t>
        </is>
      </c>
      <c r="C541" s="3" t="inlineStr">
        <is>
          <t>001148</t>
        </is>
      </c>
      <c r="D541" s="4" t="n">
        <v>45507</v>
      </c>
      <c r="E541" s="2" t="inlineStr">
        <is>
          <t>14:38</t>
        </is>
      </c>
      <c r="F541" s="5" t="n">
        <v>274.17</v>
      </c>
      <c r="G541" s="5" t="n"/>
      <c r="H541" s="5" t="n"/>
      <c r="I541" s="5" t="n"/>
      <c r="J541" s="5" t="n">
        <v>54.83</v>
      </c>
      <c r="K541" s="5" t="n"/>
      <c r="L541" s="5" t="n"/>
      <c r="M541" s="5" t="n"/>
      <c r="N541" s="5" t="n"/>
      <c r="O541" s="5" t="n">
        <v>329</v>
      </c>
      <c r="P541" s="5" t="n">
        <v>329</v>
      </c>
      <c r="Q541" s="5" t="n"/>
      <c r="R541" s="5" t="n"/>
    </row>
    <row r="542">
      <c r="A542" s="2" t="inlineStr">
        <is>
          <t>EJ300824.TXT</t>
        </is>
      </c>
      <c r="B542" s="3" t="inlineStr">
        <is>
          <t>001792</t>
        </is>
      </c>
      <c r="C542" s="3" t="inlineStr">
        <is>
          <t>001149</t>
        </is>
      </c>
      <c r="D542" s="4" t="n">
        <v>45509</v>
      </c>
      <c r="E542" s="2" t="inlineStr">
        <is>
          <t>09:32</t>
        </is>
      </c>
      <c r="F542" s="5" t="n">
        <v>582.5</v>
      </c>
      <c r="G542" s="5" t="n"/>
      <c r="H542" s="5" t="n"/>
      <c r="I542" s="5" t="n"/>
      <c r="J542" s="5" t="n">
        <v>116.5</v>
      </c>
      <c r="K542" s="5" t="n"/>
      <c r="L542" s="5" t="n"/>
      <c r="M542" s="5" t="n"/>
      <c r="N542" s="5" t="n"/>
      <c r="O542" s="5" t="n">
        <v>699</v>
      </c>
      <c r="P542" s="5" t="n">
        <v>699</v>
      </c>
      <c r="Q542" s="5" t="n"/>
      <c r="R542" s="5" t="n"/>
    </row>
    <row r="543">
      <c r="A543" s="2" t="inlineStr">
        <is>
          <t>EJ300824.TXT</t>
        </is>
      </c>
      <c r="B543" s="3" t="inlineStr">
        <is>
          <t>001793</t>
        </is>
      </c>
      <c r="C543" s="3" t="inlineStr">
        <is>
          <t>001150</t>
        </is>
      </c>
      <c r="D543" s="4" t="n">
        <v>45509</v>
      </c>
      <c r="E543" s="2" t="inlineStr">
        <is>
          <t>11:49</t>
        </is>
      </c>
      <c r="F543" s="5" t="n">
        <v>822.5</v>
      </c>
      <c r="G543" s="5" t="n"/>
      <c r="H543" s="5" t="n"/>
      <c r="I543" s="5" t="n"/>
      <c r="J543" s="5" t="n">
        <v>164.5</v>
      </c>
      <c r="K543" s="5" t="n"/>
      <c r="L543" s="5" t="n"/>
      <c r="M543" s="5" t="n"/>
      <c r="N543" s="5" t="n"/>
      <c r="O543" s="5" t="n">
        <v>987</v>
      </c>
      <c r="P543" s="5" t="n">
        <v>987</v>
      </c>
      <c r="Q543" s="5" t="n"/>
      <c r="R543" s="5" t="n"/>
    </row>
    <row r="544">
      <c r="A544" s="2" t="inlineStr">
        <is>
          <t>EJ300824.TXT</t>
        </is>
      </c>
      <c r="B544" s="3" t="inlineStr">
        <is>
          <t>001795</t>
        </is>
      </c>
      <c r="C544" s="3" t="inlineStr">
        <is>
          <t>001151</t>
        </is>
      </c>
      <c r="D544" s="4" t="n">
        <v>45510</v>
      </c>
      <c r="E544" s="2" t="inlineStr">
        <is>
          <t>08:56</t>
        </is>
      </c>
      <c r="F544" s="5" t="n">
        <v>548.33</v>
      </c>
      <c r="G544" s="5" t="n"/>
      <c r="H544" s="5" t="n"/>
      <c r="I544" s="5" t="n"/>
      <c r="J544" s="5" t="n">
        <v>109.67</v>
      </c>
      <c r="K544" s="5" t="n"/>
      <c r="L544" s="5" t="n"/>
      <c r="M544" s="5" t="n"/>
      <c r="N544" s="5" t="n"/>
      <c r="O544" s="5" t="n">
        <v>658</v>
      </c>
      <c r="P544" s="5" t="n">
        <v>658</v>
      </c>
      <c r="Q544" s="5" t="n"/>
      <c r="R544" s="5" t="n"/>
    </row>
    <row r="545">
      <c r="A545" s="2" t="inlineStr">
        <is>
          <t>EJ300824.TXT</t>
        </is>
      </c>
      <c r="B545" s="3" t="inlineStr">
        <is>
          <t>001798</t>
        </is>
      </c>
      <c r="C545" s="3" t="inlineStr">
        <is>
          <t>001152</t>
        </is>
      </c>
      <c r="D545" s="4" t="n">
        <v>45510</v>
      </c>
      <c r="E545" s="2" t="inlineStr">
        <is>
          <t>16:05</t>
        </is>
      </c>
      <c r="F545" s="5" t="n">
        <v>199.17</v>
      </c>
      <c r="G545" s="5" t="n"/>
      <c r="H545" s="5" t="n"/>
      <c r="I545" s="5" t="n"/>
      <c r="J545" s="5" t="n">
        <v>39.83</v>
      </c>
      <c r="K545" s="5" t="n"/>
      <c r="L545" s="5" t="n"/>
      <c r="M545" s="5" t="n"/>
      <c r="N545" s="5" t="n"/>
      <c r="O545" s="5" t="n">
        <v>239</v>
      </c>
      <c r="P545" s="5" t="n">
        <v>239</v>
      </c>
      <c r="Q545" s="5" t="n"/>
      <c r="R545" s="5" t="n"/>
    </row>
    <row r="546">
      <c r="A546" s="2" t="inlineStr">
        <is>
          <t>EJ300824.TXT</t>
        </is>
      </c>
      <c r="B546" s="3" t="inlineStr">
        <is>
          <t>001799</t>
        </is>
      </c>
      <c r="C546" s="3" t="inlineStr">
        <is>
          <t>001153</t>
        </is>
      </c>
      <c r="D546" s="4" t="n">
        <v>45511</v>
      </c>
      <c r="E546" s="2" t="inlineStr">
        <is>
          <t>09:41</t>
        </is>
      </c>
      <c r="F546" s="5" t="n">
        <v>75</v>
      </c>
      <c r="G546" s="5" t="n"/>
      <c r="H546" s="5" t="n"/>
      <c r="I546" s="5" t="n"/>
      <c r="J546" s="5" t="n">
        <v>15</v>
      </c>
      <c r="K546" s="5" t="n"/>
      <c r="L546" s="5" t="n"/>
      <c r="M546" s="5" t="n"/>
      <c r="N546" s="5" t="n"/>
      <c r="O546" s="5" t="n">
        <v>90</v>
      </c>
      <c r="P546" s="5" t="n">
        <v>90</v>
      </c>
      <c r="Q546" s="5" t="n"/>
      <c r="R546" s="5" t="n"/>
    </row>
    <row r="547">
      <c r="A547" s="2" t="inlineStr">
        <is>
          <t>EJ300824.TXT</t>
        </is>
      </c>
      <c r="B547" s="3" t="inlineStr">
        <is>
          <t>001801</t>
        </is>
      </c>
      <c r="C547" s="3" t="inlineStr">
        <is>
          <t>001154</t>
        </is>
      </c>
      <c r="D547" s="4" t="n">
        <v>45514</v>
      </c>
      <c r="E547" s="2" t="inlineStr">
        <is>
          <t>13:37</t>
        </is>
      </c>
      <c r="F547" s="5" t="n">
        <v>74.92</v>
      </c>
      <c r="G547" s="5" t="n"/>
      <c r="H547" s="5" t="n"/>
      <c r="I547" s="5" t="n"/>
      <c r="J547" s="5" t="n">
        <v>14.98</v>
      </c>
      <c r="K547" s="5" t="n"/>
      <c r="L547" s="5" t="n"/>
      <c r="M547" s="5" t="n"/>
      <c r="N547" s="5" t="n"/>
      <c r="O547" s="5" t="n">
        <v>89.90000000000001</v>
      </c>
      <c r="P547" s="5" t="n">
        <v>89.90000000000001</v>
      </c>
      <c r="Q547" s="5" t="n"/>
      <c r="R547" s="5" t="n"/>
    </row>
    <row r="548">
      <c r="A548" s="2" t="inlineStr">
        <is>
          <t>EJ300824.TXT</t>
        </is>
      </c>
      <c r="B548" s="3" t="inlineStr">
        <is>
          <t>001802</t>
        </is>
      </c>
      <c r="C548" s="3" t="inlineStr">
        <is>
          <t>001155</t>
        </is>
      </c>
      <c r="D548" s="4" t="n">
        <v>45520</v>
      </c>
      <c r="E548" s="2" t="inlineStr">
        <is>
          <t>14:13</t>
        </is>
      </c>
      <c r="F548" s="5" t="n">
        <v>415</v>
      </c>
      <c r="G548" s="5" t="n"/>
      <c r="H548" s="5" t="n"/>
      <c r="I548" s="5" t="n"/>
      <c r="J548" s="5" t="n">
        <v>83</v>
      </c>
      <c r="K548" s="5" t="n"/>
      <c r="L548" s="5" t="n"/>
      <c r="M548" s="5" t="n"/>
      <c r="N548" s="5" t="n"/>
      <c r="O548" s="5" t="n">
        <v>498</v>
      </c>
      <c r="P548" s="5" t="n">
        <v>498</v>
      </c>
      <c r="Q548" s="5" t="n"/>
      <c r="R548" s="5" t="n"/>
    </row>
    <row r="549">
      <c r="A549" s="2" t="inlineStr">
        <is>
          <t>EJ300824.TXT</t>
        </is>
      </c>
      <c r="B549" s="3" t="inlineStr">
        <is>
          <t>001803</t>
        </is>
      </c>
      <c r="C549" s="3" t="inlineStr">
        <is>
          <t>001156</t>
        </is>
      </c>
      <c r="D549" s="4" t="n">
        <v>45521</v>
      </c>
      <c r="E549" s="2" t="inlineStr">
        <is>
          <t>14:58</t>
        </is>
      </c>
      <c r="F549" s="5" t="n">
        <v>1566.67</v>
      </c>
      <c r="G549" s="5" t="n"/>
      <c r="H549" s="5" t="n"/>
      <c r="I549" s="5" t="n"/>
      <c r="J549" s="5" t="n">
        <v>313.33</v>
      </c>
      <c r="K549" s="5" t="n"/>
      <c r="L549" s="5" t="n"/>
      <c r="M549" s="5" t="n"/>
      <c r="N549" s="5" t="n"/>
      <c r="O549" s="5" t="n">
        <v>1880</v>
      </c>
      <c r="P549" s="5" t="n">
        <v>1880</v>
      </c>
      <c r="Q549" s="5" t="n"/>
      <c r="R549" s="5" t="n"/>
    </row>
    <row r="550">
      <c r="A550" s="2" t="inlineStr">
        <is>
          <t>EJ300824.TXT</t>
        </is>
      </c>
      <c r="B550" s="3" t="inlineStr">
        <is>
          <t>001804</t>
        </is>
      </c>
      <c r="C550" s="3" t="inlineStr">
        <is>
          <t>001157</t>
        </is>
      </c>
      <c r="D550" s="4" t="n">
        <v>45521</v>
      </c>
      <c r="E550" s="2" t="inlineStr">
        <is>
          <t>15:20</t>
        </is>
      </c>
      <c r="F550" s="5" t="n">
        <v>548.33</v>
      </c>
      <c r="G550" s="5" t="n"/>
      <c r="H550" s="5" t="n"/>
      <c r="I550" s="5" t="n"/>
      <c r="J550" s="5" t="n">
        <v>109.67</v>
      </c>
      <c r="K550" s="5" t="n"/>
      <c r="L550" s="5" t="n"/>
      <c r="M550" s="5" t="n"/>
      <c r="N550" s="5" t="n"/>
      <c r="O550" s="5" t="n">
        <v>658</v>
      </c>
      <c r="P550" s="5" t="n">
        <v>278</v>
      </c>
      <c r="Q550" s="5" t="n">
        <v>380</v>
      </c>
      <c r="R550" s="5" t="n"/>
    </row>
    <row r="551">
      <c r="A551" s="2" t="inlineStr">
        <is>
          <t>EJ300824.TXT</t>
        </is>
      </c>
      <c r="B551" s="3" t="inlineStr">
        <is>
          <t>001806</t>
        </is>
      </c>
      <c r="C551" s="3" t="inlineStr">
        <is>
          <t>001158</t>
        </is>
      </c>
      <c r="D551" s="4" t="n">
        <v>45521</v>
      </c>
      <c r="E551" s="2" t="inlineStr">
        <is>
          <t>15:45</t>
        </is>
      </c>
      <c r="F551" s="5" t="n">
        <v>191.42</v>
      </c>
      <c r="G551" s="5" t="n"/>
      <c r="H551" s="5" t="n"/>
      <c r="I551" s="5" t="n"/>
      <c r="J551" s="5" t="n">
        <v>38.28</v>
      </c>
      <c r="K551" s="5" t="n"/>
      <c r="L551" s="5" t="n"/>
      <c r="M551" s="5" t="n"/>
      <c r="N551" s="5" t="n"/>
      <c r="O551" s="5" t="n">
        <v>229.7</v>
      </c>
      <c r="P551" s="5" t="n">
        <v>229.7</v>
      </c>
      <c r="Q551" s="5" t="n"/>
      <c r="R551" s="5" t="n"/>
    </row>
    <row r="552">
      <c r="A552" s="2" t="inlineStr">
        <is>
          <t>EJ300824.TXT</t>
        </is>
      </c>
      <c r="B552" s="3" t="inlineStr">
        <is>
          <t>001807</t>
        </is>
      </c>
      <c r="C552" s="3" t="inlineStr">
        <is>
          <t>001159</t>
        </is>
      </c>
      <c r="D552" s="4" t="n">
        <v>45523</v>
      </c>
      <c r="E552" s="2" t="inlineStr">
        <is>
          <t>15:02</t>
        </is>
      </c>
      <c r="F552" s="5" t="n">
        <v>548.33</v>
      </c>
      <c r="G552" s="5" t="n"/>
      <c r="H552" s="5" t="n"/>
      <c r="I552" s="5" t="n"/>
      <c r="J552" s="5" t="n">
        <v>109.67</v>
      </c>
      <c r="K552" s="5" t="n"/>
      <c r="L552" s="5" t="n"/>
      <c r="M552" s="5" t="n"/>
      <c r="N552" s="5" t="n"/>
      <c r="O552" s="5" t="n">
        <v>658</v>
      </c>
      <c r="P552" s="5" t="n"/>
      <c r="Q552" s="5" t="n">
        <v>658</v>
      </c>
      <c r="R552" s="5" t="n"/>
    </row>
    <row r="553">
      <c r="A553" s="2" t="inlineStr">
        <is>
          <t>EJ300824.TXT</t>
        </is>
      </c>
      <c r="B553" s="3" t="inlineStr">
        <is>
          <t>001808</t>
        </is>
      </c>
      <c r="C553" s="3" t="inlineStr">
        <is>
          <t>001160</t>
        </is>
      </c>
      <c r="D553" s="4" t="n">
        <v>45524</v>
      </c>
      <c r="E553" s="2" t="inlineStr">
        <is>
          <t>11:43</t>
        </is>
      </c>
      <c r="F553" s="5" t="n">
        <v>496.67</v>
      </c>
      <c r="G553" s="5" t="n"/>
      <c r="H553" s="5" t="n"/>
      <c r="I553" s="5" t="n"/>
      <c r="J553" s="5" t="n">
        <v>99.33</v>
      </c>
      <c r="K553" s="5" t="n"/>
      <c r="L553" s="5" t="n"/>
      <c r="M553" s="5" t="n"/>
      <c r="N553" s="5" t="n"/>
      <c r="O553" s="5" t="n">
        <v>596</v>
      </c>
      <c r="P553" s="5" t="n">
        <v>596</v>
      </c>
      <c r="Q553" s="5" t="n"/>
      <c r="R553" s="5" t="n"/>
    </row>
    <row r="554">
      <c r="A554" s="2" t="inlineStr">
        <is>
          <t>EJ300824.TXT</t>
        </is>
      </c>
      <c r="B554" s="3" t="inlineStr">
        <is>
          <t>001809</t>
        </is>
      </c>
      <c r="C554" s="3" t="inlineStr">
        <is>
          <t>001161</t>
        </is>
      </c>
      <c r="D554" s="4" t="n">
        <v>45525</v>
      </c>
      <c r="E554" s="2" t="inlineStr">
        <is>
          <t>12:54</t>
        </is>
      </c>
      <c r="F554" s="5" t="n">
        <v>2338.33</v>
      </c>
      <c r="G554" s="5" t="n"/>
      <c r="H554" s="5" t="n"/>
      <c r="I554" s="5" t="n"/>
      <c r="J554" s="5" t="n">
        <v>467.67</v>
      </c>
      <c r="K554" s="5" t="n"/>
      <c r="L554" s="5" t="n"/>
      <c r="M554" s="5" t="n"/>
      <c r="N554" s="5" t="n"/>
      <c r="O554" s="5" t="n">
        <v>2806</v>
      </c>
      <c r="P554" s="5" t="n">
        <v>2806</v>
      </c>
      <c r="Q554" s="5" t="n"/>
      <c r="R554" s="5" t="n"/>
    </row>
    <row r="555">
      <c r="A555" s="2" t="inlineStr">
        <is>
          <t>EJ300824.TXT</t>
        </is>
      </c>
      <c r="B555" s="3" t="inlineStr">
        <is>
          <t>001810</t>
        </is>
      </c>
      <c r="C555" s="3" t="inlineStr">
        <is>
          <t>001162</t>
        </is>
      </c>
      <c r="D555" s="4" t="n">
        <v>45526</v>
      </c>
      <c r="E555" s="2" t="inlineStr">
        <is>
          <t>10:38</t>
        </is>
      </c>
      <c r="F555" s="5" t="n">
        <v>274.17</v>
      </c>
      <c r="G555" s="5" t="n"/>
      <c r="H555" s="5" t="n"/>
      <c r="I555" s="5" t="n"/>
      <c r="J555" s="5" t="n">
        <v>54.83</v>
      </c>
      <c r="K555" s="5" t="n"/>
      <c r="L555" s="5" t="n"/>
      <c r="M555" s="5" t="n"/>
      <c r="N555" s="5" t="n"/>
      <c r="O555" s="5" t="n">
        <v>329</v>
      </c>
      <c r="P555" s="5" t="n"/>
      <c r="Q555" s="5" t="n">
        <v>329</v>
      </c>
      <c r="R555" s="5" t="n"/>
    </row>
    <row r="556">
      <c r="A556" s="2" t="inlineStr">
        <is>
          <t>EJ300824.TXT</t>
        </is>
      </c>
      <c r="B556" s="3" t="inlineStr">
        <is>
          <t>001811</t>
        </is>
      </c>
      <c r="C556" s="3" t="inlineStr">
        <is>
          <t>001163</t>
        </is>
      </c>
      <c r="D556" s="4" t="n">
        <v>45527</v>
      </c>
      <c r="E556" s="2" t="inlineStr">
        <is>
          <t>15:17</t>
        </is>
      </c>
      <c r="F556" s="5" t="n">
        <v>49.92</v>
      </c>
      <c r="G556" s="5" t="n"/>
      <c r="H556" s="5" t="n"/>
      <c r="I556" s="5" t="n"/>
      <c r="J556" s="5" t="n">
        <v>9.98</v>
      </c>
      <c r="K556" s="5" t="n"/>
      <c r="L556" s="5" t="n"/>
      <c r="M556" s="5" t="n"/>
      <c r="N556" s="5" t="n"/>
      <c r="O556" s="5" t="n">
        <v>59.9</v>
      </c>
      <c r="P556" s="5" t="n">
        <v>59.9</v>
      </c>
      <c r="Q556" s="5" t="n"/>
      <c r="R556" s="5" t="n"/>
    </row>
    <row r="557">
      <c r="A557" s="2" t="inlineStr">
        <is>
          <t>EJ300824.TXT</t>
        </is>
      </c>
      <c r="B557" s="3" t="inlineStr">
        <is>
          <t>001812</t>
        </is>
      </c>
      <c r="C557" s="3" t="inlineStr">
        <is>
          <t>001164</t>
        </is>
      </c>
      <c r="D557" s="4" t="n">
        <v>45530</v>
      </c>
      <c r="E557" s="2" t="inlineStr">
        <is>
          <t>09:32</t>
        </is>
      </c>
      <c r="F557" s="5" t="n">
        <v>1096.67</v>
      </c>
      <c r="G557" s="5" t="n"/>
      <c r="H557" s="5" t="n"/>
      <c r="I557" s="5" t="n"/>
      <c r="J557" s="5" t="n">
        <v>219.33</v>
      </c>
      <c r="K557" s="5" t="n"/>
      <c r="L557" s="5" t="n"/>
      <c r="M557" s="5" t="n"/>
      <c r="N557" s="5" t="n"/>
      <c r="O557" s="5" t="n">
        <v>1316</v>
      </c>
      <c r="P557" s="5" t="n">
        <v>316</v>
      </c>
      <c r="Q557" s="5" t="n">
        <v>1000</v>
      </c>
      <c r="R557" s="5" t="n"/>
    </row>
    <row r="558">
      <c r="A558" s="2" t="inlineStr">
        <is>
          <t>EJ300824.TXT</t>
        </is>
      </c>
      <c r="B558" s="3" t="inlineStr">
        <is>
          <t>001814</t>
        </is>
      </c>
      <c r="C558" s="3" t="inlineStr">
        <is>
          <t>001165</t>
        </is>
      </c>
      <c r="D558" s="4" t="n">
        <v>45533</v>
      </c>
      <c r="E558" s="2" t="inlineStr">
        <is>
          <t>11:10</t>
        </is>
      </c>
      <c r="F558" s="5" t="n">
        <v>17500</v>
      </c>
      <c r="G558" s="5" t="n"/>
      <c r="H558" s="5" t="n"/>
      <c r="I558" s="5" t="n"/>
      <c r="J558" s="5" t="n">
        <v>3500</v>
      </c>
      <c r="K558" s="5" t="n"/>
      <c r="L558" s="5" t="n"/>
      <c r="M558" s="5" t="n"/>
      <c r="N558" s="5" t="n"/>
      <c r="O558" s="5" t="n">
        <v>21000</v>
      </c>
      <c r="P558" s="5" t="n">
        <v>21000</v>
      </c>
      <c r="Q558" s="5" t="n"/>
      <c r="R558" s="5" t="n"/>
    </row>
    <row r="559">
      <c r="A559" s="2" t="inlineStr">
        <is>
          <t>EJ300924.TXT</t>
        </is>
      </c>
      <c r="B559" s="3" t="inlineStr">
        <is>
          <t>001822</t>
        </is>
      </c>
      <c r="C559" s="3" t="inlineStr">
        <is>
          <t>001166</t>
        </is>
      </c>
      <c r="D559" s="4" t="n">
        <v>45537</v>
      </c>
      <c r="E559" s="2" t="inlineStr">
        <is>
          <t>14:49</t>
        </is>
      </c>
      <c r="F559" s="5" t="n">
        <v>411.83</v>
      </c>
      <c r="G559" s="5" t="n"/>
      <c r="H559" s="5" t="n"/>
      <c r="I559" s="5" t="n"/>
      <c r="J559" s="5" t="n">
        <v>82.37</v>
      </c>
      <c r="K559" s="5" t="n"/>
      <c r="L559" s="5" t="n"/>
      <c r="M559" s="5" t="n"/>
      <c r="N559" s="5" t="n"/>
      <c r="O559" s="5" t="n">
        <v>494.2</v>
      </c>
      <c r="P559" s="5" t="n"/>
      <c r="Q559" s="5" t="n">
        <v>494.2</v>
      </c>
      <c r="R559" s="5" t="n"/>
    </row>
    <row r="560">
      <c r="A560" s="2" t="inlineStr">
        <is>
          <t>EJ300924.TXT</t>
        </is>
      </c>
      <c r="B560" s="3" t="inlineStr">
        <is>
          <t>001825</t>
        </is>
      </c>
      <c r="C560" s="3" t="inlineStr">
        <is>
          <t>001167</t>
        </is>
      </c>
      <c r="D560" s="4" t="n">
        <v>45538</v>
      </c>
      <c r="E560" s="2" t="inlineStr">
        <is>
          <t>09:38</t>
        </is>
      </c>
      <c r="F560" s="5" t="n">
        <v>190.83</v>
      </c>
      <c r="G560" s="5" t="n"/>
      <c r="H560" s="5" t="n"/>
      <c r="I560" s="5" t="n"/>
      <c r="J560" s="5" t="n">
        <v>38.17</v>
      </c>
      <c r="K560" s="5" t="n"/>
      <c r="L560" s="5" t="n"/>
      <c r="M560" s="5" t="n"/>
      <c r="N560" s="5" t="n"/>
      <c r="O560" s="5" t="n">
        <v>229</v>
      </c>
      <c r="P560" s="5" t="n"/>
      <c r="Q560" s="5" t="n">
        <v>229</v>
      </c>
      <c r="R560" s="5" t="n"/>
    </row>
    <row r="561">
      <c r="A561" s="2" t="inlineStr">
        <is>
          <t>EJ300924.TXT</t>
        </is>
      </c>
      <c r="B561" s="3" t="inlineStr">
        <is>
          <t>001826</t>
        </is>
      </c>
      <c r="C561" s="3" t="inlineStr">
        <is>
          <t>001168</t>
        </is>
      </c>
      <c r="D561" s="4" t="n">
        <v>45538</v>
      </c>
      <c r="E561" s="2" t="inlineStr">
        <is>
          <t>15:10</t>
        </is>
      </c>
      <c r="F561" s="5" t="n">
        <v>1096.67</v>
      </c>
      <c r="G561" s="5" t="n"/>
      <c r="H561" s="5" t="n"/>
      <c r="I561" s="5" t="n"/>
      <c r="J561" s="5" t="n">
        <v>219.33</v>
      </c>
      <c r="K561" s="5" t="n"/>
      <c r="L561" s="5" t="n"/>
      <c r="M561" s="5" t="n"/>
      <c r="N561" s="5" t="n"/>
      <c r="O561" s="5" t="n">
        <v>1316</v>
      </c>
      <c r="P561" s="5" t="n">
        <v>316</v>
      </c>
      <c r="Q561" s="5" t="n">
        <v>1000</v>
      </c>
      <c r="R561" s="5" t="n"/>
    </row>
    <row r="562">
      <c r="A562" s="2" t="inlineStr">
        <is>
          <t>EJ300924.TXT</t>
        </is>
      </c>
      <c r="B562" s="3" t="inlineStr">
        <is>
          <t>001829</t>
        </is>
      </c>
      <c r="C562" s="3" t="inlineStr">
        <is>
          <t>001169</t>
        </is>
      </c>
      <c r="D562" s="4" t="n">
        <v>45541</v>
      </c>
      <c r="E562" s="2" t="inlineStr">
        <is>
          <t>12:13</t>
        </is>
      </c>
      <c r="F562" s="5" t="n">
        <v>45.75</v>
      </c>
      <c r="G562" s="5" t="n"/>
      <c r="H562" s="5" t="n"/>
      <c r="I562" s="5" t="n"/>
      <c r="J562" s="5" t="n">
        <v>9.15</v>
      </c>
      <c r="K562" s="5" t="n"/>
      <c r="L562" s="5" t="n"/>
      <c r="M562" s="5" t="n"/>
      <c r="N562" s="5" t="n"/>
      <c r="O562" s="5" t="n">
        <v>54.9</v>
      </c>
      <c r="P562" s="5" t="n">
        <v>54.9</v>
      </c>
      <c r="Q562" s="5" t="n"/>
      <c r="R562" s="5" t="n"/>
    </row>
    <row r="563">
      <c r="A563" s="2" t="inlineStr">
        <is>
          <t>EJ300924.TXT</t>
        </is>
      </c>
      <c r="B563" s="3" t="inlineStr">
        <is>
          <t>001830</t>
        </is>
      </c>
      <c r="C563" s="3" t="inlineStr">
        <is>
          <t>001170</t>
        </is>
      </c>
      <c r="D563" s="4" t="n">
        <v>45541</v>
      </c>
      <c r="E563" s="2" t="inlineStr">
        <is>
          <t>12:18</t>
        </is>
      </c>
      <c r="F563" s="5" t="n">
        <v>548.33</v>
      </c>
      <c r="G563" s="5" t="n"/>
      <c r="H563" s="5" t="n"/>
      <c r="I563" s="5" t="n"/>
      <c r="J563" s="5" t="n">
        <v>109.67</v>
      </c>
      <c r="K563" s="5" t="n"/>
      <c r="L563" s="5" t="n"/>
      <c r="M563" s="5" t="n"/>
      <c r="N563" s="5" t="n"/>
      <c r="O563" s="5" t="n">
        <v>658</v>
      </c>
      <c r="P563" s="5" t="n"/>
      <c r="Q563" s="5" t="n">
        <v>658</v>
      </c>
      <c r="R563" s="5" t="n"/>
    </row>
    <row r="564">
      <c r="A564" s="2" t="inlineStr">
        <is>
          <t>EJ300924.TXT</t>
        </is>
      </c>
      <c r="B564" s="3" t="inlineStr">
        <is>
          <t>001831</t>
        </is>
      </c>
      <c r="C564" s="3" t="inlineStr">
        <is>
          <t>001171</t>
        </is>
      </c>
      <c r="D564" s="4" t="n">
        <v>45541</v>
      </c>
      <c r="E564" s="2" t="inlineStr">
        <is>
          <t>16:36</t>
        </is>
      </c>
      <c r="F564" s="5" t="n">
        <v>750</v>
      </c>
      <c r="G564" s="5" t="n"/>
      <c r="H564" s="5" t="n"/>
      <c r="I564" s="5" t="n"/>
      <c r="J564" s="5" t="n">
        <v>150</v>
      </c>
      <c r="K564" s="5" t="n"/>
      <c r="L564" s="5" t="n"/>
      <c r="M564" s="5" t="n"/>
      <c r="N564" s="5" t="n"/>
      <c r="O564" s="5" t="n">
        <v>900</v>
      </c>
      <c r="P564" s="5" t="n"/>
      <c r="Q564" s="5" t="n">
        <v>900</v>
      </c>
      <c r="R564" s="5" t="n"/>
    </row>
    <row r="565">
      <c r="A565" s="2" t="inlineStr">
        <is>
          <t>EJ300924.TXT</t>
        </is>
      </c>
      <c r="B565" s="3" t="inlineStr">
        <is>
          <t>001832</t>
        </is>
      </c>
      <c r="C565" s="3" t="inlineStr">
        <is>
          <t>001172</t>
        </is>
      </c>
      <c r="D565" s="4" t="n">
        <v>45541</v>
      </c>
      <c r="E565" s="2" t="inlineStr">
        <is>
          <t>16:37</t>
        </is>
      </c>
      <c r="F565" s="5" t="n">
        <v>106.67</v>
      </c>
      <c r="G565" s="5" t="n"/>
      <c r="H565" s="5" t="n"/>
      <c r="I565" s="5" t="n"/>
      <c r="J565" s="5" t="n">
        <v>21.33</v>
      </c>
      <c r="K565" s="5" t="n"/>
      <c r="L565" s="5" t="n"/>
      <c r="M565" s="5" t="n"/>
      <c r="N565" s="5" t="n"/>
      <c r="O565" s="5" t="n">
        <v>128</v>
      </c>
      <c r="P565" s="5" t="n">
        <v>128</v>
      </c>
      <c r="Q565" s="5" t="n"/>
      <c r="R565" s="5" t="n"/>
    </row>
    <row r="566">
      <c r="A566" s="2" t="inlineStr">
        <is>
          <t>EJ300924.TXT</t>
        </is>
      </c>
      <c r="B566" s="3" t="inlineStr">
        <is>
          <t>001833</t>
        </is>
      </c>
      <c r="C566" s="3" t="inlineStr">
        <is>
          <t>001173</t>
        </is>
      </c>
      <c r="D566" s="4" t="n">
        <v>45541</v>
      </c>
      <c r="E566" s="2" t="inlineStr">
        <is>
          <t>16:49</t>
        </is>
      </c>
      <c r="F566" s="5" t="n">
        <v>140.83</v>
      </c>
      <c r="G566" s="5" t="n"/>
      <c r="H566" s="5" t="n"/>
      <c r="I566" s="5" t="n"/>
      <c r="J566" s="5" t="n">
        <v>28.17</v>
      </c>
      <c r="K566" s="5" t="n"/>
      <c r="L566" s="5" t="n"/>
      <c r="M566" s="5" t="n"/>
      <c r="N566" s="5" t="n"/>
      <c r="O566" s="5" t="n">
        <v>169</v>
      </c>
      <c r="P566" s="5" t="n">
        <v>169</v>
      </c>
      <c r="Q566" s="5" t="n"/>
      <c r="R566" s="5" t="n"/>
    </row>
    <row r="567">
      <c r="A567" s="2" t="inlineStr">
        <is>
          <t>EJ300924.TXT</t>
        </is>
      </c>
      <c r="B567" s="3" t="inlineStr">
        <is>
          <t>001834</t>
        </is>
      </c>
      <c r="C567" s="3" t="inlineStr">
        <is>
          <t>001174</t>
        </is>
      </c>
      <c r="D567" s="4" t="n">
        <v>45544</v>
      </c>
      <c r="E567" s="2" t="inlineStr">
        <is>
          <t>12:33</t>
        </is>
      </c>
      <c r="F567" s="5" t="n">
        <v>548.33</v>
      </c>
      <c r="G567" s="5" t="n"/>
      <c r="H567" s="5" t="n"/>
      <c r="I567" s="5" t="n"/>
      <c r="J567" s="5" t="n">
        <v>109.67</v>
      </c>
      <c r="K567" s="5" t="n"/>
      <c r="L567" s="5" t="n"/>
      <c r="M567" s="5" t="n"/>
      <c r="N567" s="5" t="n"/>
      <c r="O567" s="5" t="n">
        <v>658</v>
      </c>
      <c r="P567" s="5" t="n">
        <v>658</v>
      </c>
      <c r="Q567" s="5" t="n"/>
      <c r="R567" s="5" t="n"/>
    </row>
    <row r="568">
      <c r="A568" s="2" t="inlineStr">
        <is>
          <t>EJ300924.TXT</t>
        </is>
      </c>
      <c r="B568" s="3" t="inlineStr">
        <is>
          <t>001835</t>
        </is>
      </c>
      <c r="C568" s="3" t="inlineStr">
        <is>
          <t>001175</t>
        </is>
      </c>
      <c r="D568" s="4" t="n">
        <v>45545</v>
      </c>
      <c r="E568" s="2" t="inlineStr">
        <is>
          <t>14:31</t>
        </is>
      </c>
      <c r="F568" s="5" t="n">
        <v>548.33</v>
      </c>
      <c r="G568" s="5" t="n"/>
      <c r="H568" s="5" t="n"/>
      <c r="I568" s="5" t="n"/>
      <c r="J568" s="5" t="n">
        <v>109.67</v>
      </c>
      <c r="K568" s="5" t="n"/>
      <c r="L568" s="5" t="n"/>
      <c r="M568" s="5" t="n"/>
      <c r="N568" s="5" t="n"/>
      <c r="O568" s="5" t="n">
        <v>658</v>
      </c>
      <c r="P568" s="5" t="n">
        <v>658</v>
      </c>
      <c r="Q568" s="5" t="n"/>
      <c r="R568" s="5" t="n"/>
    </row>
    <row r="569">
      <c r="A569" s="2" t="inlineStr">
        <is>
          <t>EJ300924.TXT</t>
        </is>
      </c>
      <c r="B569" s="3" t="inlineStr">
        <is>
          <t>001837</t>
        </is>
      </c>
      <c r="C569" s="3" t="inlineStr">
        <is>
          <t>001176</t>
        </is>
      </c>
      <c r="D569" s="4" t="n">
        <v>45548</v>
      </c>
      <c r="E569" s="2" t="inlineStr">
        <is>
          <t>12:15</t>
        </is>
      </c>
      <c r="F569" s="5" t="n">
        <v>73.33</v>
      </c>
      <c r="G569" s="5" t="n"/>
      <c r="H569" s="5" t="n"/>
      <c r="I569" s="5" t="n"/>
      <c r="J569" s="5" t="n">
        <v>14.67</v>
      </c>
      <c r="K569" s="5" t="n"/>
      <c r="L569" s="5" t="n"/>
      <c r="M569" s="5" t="n"/>
      <c r="N569" s="5" t="n"/>
      <c r="O569" s="5" t="n">
        <v>88</v>
      </c>
      <c r="P569" s="5" t="n"/>
      <c r="Q569" s="5" t="n">
        <v>88</v>
      </c>
      <c r="R569" s="5" t="n"/>
    </row>
    <row r="570">
      <c r="A570" s="2" t="inlineStr">
        <is>
          <t>EJ300924.TXT</t>
        </is>
      </c>
      <c r="B570" s="3" t="inlineStr">
        <is>
          <t>001838</t>
        </is>
      </c>
      <c r="C570" s="3" t="inlineStr">
        <is>
          <t>001177</t>
        </is>
      </c>
      <c r="D570" s="4" t="n">
        <v>45552</v>
      </c>
      <c r="E570" s="2" t="inlineStr">
        <is>
          <t>11:36</t>
        </is>
      </c>
      <c r="F570" s="5" t="n">
        <v>796.67</v>
      </c>
      <c r="G570" s="5" t="n"/>
      <c r="H570" s="5" t="n"/>
      <c r="I570" s="5" t="n"/>
      <c r="J570" s="5" t="n">
        <v>159.33</v>
      </c>
      <c r="K570" s="5" t="n"/>
      <c r="L570" s="5" t="n"/>
      <c r="M570" s="5" t="n"/>
      <c r="N570" s="5" t="n"/>
      <c r="O570" s="5" t="n">
        <v>956</v>
      </c>
      <c r="P570" s="5" t="n">
        <v>956</v>
      </c>
      <c r="Q570" s="5" t="n"/>
      <c r="R570" s="5" t="n"/>
    </row>
    <row r="571">
      <c r="A571" s="2" t="inlineStr">
        <is>
          <t>EJ300924.TXT</t>
        </is>
      </c>
      <c r="B571" s="3" t="inlineStr">
        <is>
          <t>001839</t>
        </is>
      </c>
      <c r="C571" s="3" t="inlineStr">
        <is>
          <t>001178</t>
        </is>
      </c>
      <c r="D571" s="4" t="n">
        <v>45553</v>
      </c>
      <c r="E571" s="2" t="inlineStr">
        <is>
          <t>09:38</t>
        </is>
      </c>
      <c r="F571" s="5" t="n">
        <v>548.33</v>
      </c>
      <c r="G571" s="5" t="n"/>
      <c r="H571" s="5" t="n"/>
      <c r="I571" s="5" t="n"/>
      <c r="J571" s="5" t="n">
        <v>109.67</v>
      </c>
      <c r="K571" s="5" t="n"/>
      <c r="L571" s="5" t="n"/>
      <c r="M571" s="5" t="n"/>
      <c r="N571" s="5" t="n"/>
      <c r="O571" s="5" t="n">
        <v>658</v>
      </c>
      <c r="P571" s="5" t="n"/>
      <c r="Q571" s="5" t="n">
        <v>658</v>
      </c>
      <c r="R571" s="5" t="n"/>
    </row>
    <row r="572">
      <c r="A572" s="2" t="inlineStr">
        <is>
          <t>EJ300924.TXT</t>
        </is>
      </c>
      <c r="B572" s="3" t="inlineStr">
        <is>
          <t>001840</t>
        </is>
      </c>
      <c r="C572" s="3" t="inlineStr">
        <is>
          <t>001179</t>
        </is>
      </c>
      <c r="D572" s="4" t="n">
        <v>45553</v>
      </c>
      <c r="E572" s="2" t="inlineStr">
        <is>
          <t>10:12</t>
        </is>
      </c>
      <c r="F572" s="5" t="n">
        <v>548.33</v>
      </c>
      <c r="G572" s="5" t="n"/>
      <c r="H572" s="5" t="n"/>
      <c r="I572" s="5" t="n"/>
      <c r="J572" s="5" t="n">
        <v>109.67</v>
      </c>
      <c r="K572" s="5" t="n"/>
      <c r="L572" s="5" t="n"/>
      <c r="M572" s="5" t="n"/>
      <c r="N572" s="5" t="n"/>
      <c r="O572" s="5" t="n">
        <v>658</v>
      </c>
      <c r="P572" s="5" t="n">
        <v>658</v>
      </c>
      <c r="Q572" s="5" t="n"/>
      <c r="R572" s="5" t="n"/>
    </row>
    <row r="573">
      <c r="A573" s="2" t="inlineStr">
        <is>
          <t>EJ300924.TXT</t>
        </is>
      </c>
      <c r="B573" s="3" t="inlineStr">
        <is>
          <t>001841</t>
        </is>
      </c>
      <c r="C573" s="3" t="inlineStr">
        <is>
          <t>001180</t>
        </is>
      </c>
      <c r="D573" s="4" t="n">
        <v>45553</v>
      </c>
      <c r="E573" s="2" t="inlineStr">
        <is>
          <t>15:18</t>
        </is>
      </c>
      <c r="F573" s="5" t="n">
        <v>1894.83</v>
      </c>
      <c r="G573" s="5" t="n"/>
      <c r="H573" s="5" t="n"/>
      <c r="I573" s="5" t="n"/>
      <c r="J573" s="5" t="n">
        <v>378.97</v>
      </c>
      <c r="K573" s="5" t="n"/>
      <c r="L573" s="5" t="n"/>
      <c r="M573" s="5" t="n"/>
      <c r="N573" s="5" t="n"/>
      <c r="O573" s="5" t="n">
        <v>2273.8</v>
      </c>
      <c r="P573" s="5" t="n">
        <v>1273.8</v>
      </c>
      <c r="Q573" s="5" t="n">
        <v>1000</v>
      </c>
      <c r="R573" s="5" t="n"/>
    </row>
    <row r="574">
      <c r="A574" s="2" t="inlineStr">
        <is>
          <t>EJ300924.TXT</t>
        </is>
      </c>
      <c r="B574" s="3" t="inlineStr">
        <is>
          <t>001843</t>
        </is>
      </c>
      <c r="C574" s="3" t="inlineStr">
        <is>
          <t>001181</t>
        </is>
      </c>
      <c r="D574" s="4" t="n">
        <v>45556</v>
      </c>
      <c r="E574" s="2" t="inlineStr">
        <is>
          <t>13:24</t>
        </is>
      </c>
      <c r="F574" s="5" t="n">
        <v>1896.67</v>
      </c>
      <c r="G574" s="5" t="n"/>
      <c r="H574" s="5" t="n"/>
      <c r="I574" s="5" t="n"/>
      <c r="J574" s="5" t="n">
        <v>379.33</v>
      </c>
      <c r="K574" s="5" t="n"/>
      <c r="L574" s="5" t="n"/>
      <c r="M574" s="5" t="n"/>
      <c r="N574" s="5" t="n"/>
      <c r="O574" s="5" t="n">
        <v>2276</v>
      </c>
      <c r="P574" s="5" t="n">
        <v>2276</v>
      </c>
      <c r="Q574" s="5" t="n"/>
      <c r="R574" s="5" t="n"/>
    </row>
    <row r="575">
      <c r="A575" s="2" t="inlineStr">
        <is>
          <t>EJ300924.TXT</t>
        </is>
      </c>
      <c r="B575" s="3" t="inlineStr">
        <is>
          <t>001844</t>
        </is>
      </c>
      <c r="C575" s="3" t="inlineStr">
        <is>
          <t>001182</t>
        </is>
      </c>
      <c r="D575" s="4" t="n">
        <v>45556</v>
      </c>
      <c r="E575" s="2" t="inlineStr">
        <is>
          <t>13:48</t>
        </is>
      </c>
      <c r="F575" s="5" t="n">
        <v>822.5</v>
      </c>
      <c r="G575" s="5" t="n"/>
      <c r="H575" s="5" t="n"/>
      <c r="I575" s="5" t="n"/>
      <c r="J575" s="5" t="n">
        <v>164.5</v>
      </c>
      <c r="K575" s="5" t="n"/>
      <c r="L575" s="5" t="n"/>
      <c r="M575" s="5" t="n"/>
      <c r="N575" s="5" t="n"/>
      <c r="O575" s="5" t="n">
        <v>987</v>
      </c>
      <c r="P575" s="5" t="n">
        <v>987</v>
      </c>
      <c r="Q575" s="5" t="n"/>
      <c r="R575" s="5" t="n"/>
    </row>
    <row r="576">
      <c r="A576" s="2" t="inlineStr">
        <is>
          <t>EJ300924.TXT</t>
        </is>
      </c>
      <c r="B576" s="3" t="inlineStr">
        <is>
          <t>001845</t>
        </is>
      </c>
      <c r="C576" s="3" t="inlineStr">
        <is>
          <t>001183</t>
        </is>
      </c>
      <c r="D576" s="4" t="n">
        <v>45556</v>
      </c>
      <c r="E576" s="2" t="inlineStr">
        <is>
          <t>16:17</t>
        </is>
      </c>
      <c r="F576" s="5" t="n">
        <v>548.33</v>
      </c>
      <c r="G576" s="5" t="n"/>
      <c r="H576" s="5" t="n"/>
      <c r="I576" s="5" t="n"/>
      <c r="J576" s="5" t="n">
        <v>109.67</v>
      </c>
      <c r="K576" s="5" t="n"/>
      <c r="L576" s="5" t="n"/>
      <c r="M576" s="5" t="n"/>
      <c r="N576" s="5" t="n"/>
      <c r="O576" s="5" t="n">
        <v>658</v>
      </c>
      <c r="P576" s="5" t="n">
        <v>658</v>
      </c>
      <c r="Q576" s="5" t="n"/>
      <c r="R576" s="5" t="n"/>
    </row>
    <row r="577">
      <c r="A577" s="2" t="inlineStr">
        <is>
          <t>EJ300924.TXT</t>
        </is>
      </c>
      <c r="B577" s="3" t="inlineStr">
        <is>
          <t>001846</t>
        </is>
      </c>
      <c r="C577" s="3" t="inlineStr">
        <is>
          <t>001184</t>
        </is>
      </c>
      <c r="D577" s="4" t="n">
        <v>45559</v>
      </c>
      <c r="E577" s="2" t="inlineStr">
        <is>
          <t>10:07</t>
        </is>
      </c>
      <c r="F577" s="5" t="n">
        <v>796.67</v>
      </c>
      <c r="G577" s="5" t="n"/>
      <c r="H577" s="5" t="n"/>
      <c r="I577" s="5" t="n"/>
      <c r="J577" s="5" t="n">
        <v>159.33</v>
      </c>
      <c r="K577" s="5" t="n"/>
      <c r="L577" s="5" t="n"/>
      <c r="M577" s="5" t="n"/>
      <c r="N577" s="5" t="n"/>
      <c r="O577" s="5" t="n">
        <v>956</v>
      </c>
      <c r="P577" s="5" t="n">
        <v>956</v>
      </c>
      <c r="Q577" s="5" t="n"/>
      <c r="R577" s="5" t="n"/>
    </row>
    <row r="578">
      <c r="A578" s="2" t="inlineStr">
        <is>
          <t>EJ300924.TXT</t>
        </is>
      </c>
      <c r="B578" s="3" t="inlineStr">
        <is>
          <t>001847</t>
        </is>
      </c>
      <c r="C578" s="3" t="inlineStr">
        <is>
          <t>001185</t>
        </is>
      </c>
      <c r="D578" s="4" t="n">
        <v>45560</v>
      </c>
      <c r="E578" s="2" t="inlineStr">
        <is>
          <t>10:06</t>
        </is>
      </c>
      <c r="F578" s="5" t="n">
        <v>1530</v>
      </c>
      <c r="G578" s="5" t="n"/>
      <c r="H578" s="5" t="n"/>
      <c r="I578" s="5" t="n"/>
      <c r="J578" s="5" t="n">
        <v>306</v>
      </c>
      <c r="K578" s="5" t="n"/>
      <c r="L578" s="5" t="n"/>
      <c r="M578" s="5" t="n"/>
      <c r="N578" s="5" t="n"/>
      <c r="O578" s="5" t="n">
        <v>1836</v>
      </c>
      <c r="P578" s="5" t="n">
        <v>1836</v>
      </c>
      <c r="Q578" s="5" t="n"/>
      <c r="R578" s="5" t="n"/>
    </row>
    <row r="579">
      <c r="A579" s="2" t="inlineStr">
        <is>
          <t>EJ300924.TXT</t>
        </is>
      </c>
      <c r="B579" s="3" t="inlineStr">
        <is>
          <t>001849</t>
        </is>
      </c>
      <c r="C579" s="3" t="inlineStr">
        <is>
          <t>001186</t>
        </is>
      </c>
      <c r="D579" s="4" t="n">
        <v>45561</v>
      </c>
      <c r="E579" s="2" t="inlineStr">
        <is>
          <t>09:53</t>
        </is>
      </c>
      <c r="F579" s="5" t="n">
        <v>2261.67</v>
      </c>
      <c r="G579" s="5" t="n"/>
      <c r="H579" s="5" t="n"/>
      <c r="I579" s="5" t="n"/>
      <c r="J579" s="5" t="n">
        <v>452.33</v>
      </c>
      <c r="K579" s="5" t="n"/>
      <c r="L579" s="5" t="n"/>
      <c r="M579" s="5" t="n"/>
      <c r="N579" s="5" t="n"/>
      <c r="O579" s="5" t="n">
        <v>2714</v>
      </c>
      <c r="P579" s="5" t="n">
        <v>2714</v>
      </c>
      <c r="Q579" s="5" t="n"/>
      <c r="R579" s="5" t="n"/>
    </row>
    <row r="580">
      <c r="A580" s="2" t="inlineStr">
        <is>
          <t>EJ300924.TXT</t>
        </is>
      </c>
      <c r="B580" s="3" t="inlineStr">
        <is>
          <t>001850</t>
        </is>
      </c>
      <c r="C580" s="3" t="inlineStr">
        <is>
          <t>001187</t>
        </is>
      </c>
      <c r="D580" s="4" t="n">
        <v>45563</v>
      </c>
      <c r="E580" s="2" t="inlineStr">
        <is>
          <t>13:07</t>
        </is>
      </c>
      <c r="F580" s="5" t="n">
        <v>548.33</v>
      </c>
      <c r="G580" s="5" t="n"/>
      <c r="H580" s="5" t="n"/>
      <c r="I580" s="5" t="n"/>
      <c r="J580" s="5" t="n">
        <v>109.67</v>
      </c>
      <c r="K580" s="5" t="n"/>
      <c r="L580" s="5" t="n"/>
      <c r="M580" s="5" t="n"/>
      <c r="N580" s="5" t="n"/>
      <c r="O580" s="5" t="n">
        <v>658</v>
      </c>
      <c r="P580" s="5" t="n">
        <v>658</v>
      </c>
      <c r="Q580" s="5" t="n"/>
      <c r="R580" s="5" t="n"/>
    </row>
    <row r="581">
      <c r="A581" s="2" t="inlineStr">
        <is>
          <t>EJ021124.TXT</t>
        </is>
      </c>
      <c r="B581" s="3" t="inlineStr">
        <is>
          <t>001856</t>
        </is>
      </c>
      <c r="C581" s="3" t="inlineStr">
        <is>
          <t>001188</t>
        </is>
      </c>
      <c r="D581" s="4" t="n">
        <v>45566</v>
      </c>
      <c r="E581" s="2" t="inlineStr">
        <is>
          <t>11:37</t>
        </is>
      </c>
      <c r="F581" s="5" t="n">
        <v>49.92</v>
      </c>
      <c r="G581" s="5" t="n"/>
      <c r="H581" s="5" t="n"/>
      <c r="I581" s="5" t="n"/>
      <c r="J581" s="5" t="n">
        <v>9.98</v>
      </c>
      <c r="K581" s="5" t="n"/>
      <c r="L581" s="5" t="n"/>
      <c r="M581" s="5" t="n"/>
      <c r="N581" s="5" t="n"/>
      <c r="O581" s="5" t="n">
        <v>59.9</v>
      </c>
      <c r="P581" s="5" t="n">
        <v>59.9</v>
      </c>
      <c r="Q581" s="5" t="n"/>
      <c r="R581" s="5" t="n"/>
    </row>
    <row r="582">
      <c r="A582" s="2" t="inlineStr">
        <is>
          <t>EJ021124.TXT</t>
        </is>
      </c>
      <c r="B582" s="3" t="inlineStr">
        <is>
          <t>001857</t>
        </is>
      </c>
      <c r="C582" s="3" t="inlineStr">
        <is>
          <t>001189</t>
        </is>
      </c>
      <c r="D582" s="4" t="n">
        <v>45567</v>
      </c>
      <c r="E582" s="2" t="inlineStr">
        <is>
          <t>13:48</t>
        </is>
      </c>
      <c r="F582" s="5" t="n">
        <v>73.33</v>
      </c>
      <c r="G582" s="5" t="n"/>
      <c r="H582" s="5" t="n"/>
      <c r="I582" s="5" t="n"/>
      <c r="J582" s="5" t="n">
        <v>14.67</v>
      </c>
      <c r="K582" s="5" t="n"/>
      <c r="L582" s="5" t="n"/>
      <c r="M582" s="5" t="n"/>
      <c r="N582" s="5" t="n"/>
      <c r="O582" s="5" t="n">
        <v>88</v>
      </c>
      <c r="P582" s="5" t="n">
        <v>88</v>
      </c>
      <c r="Q582" s="5" t="n"/>
      <c r="R582" s="5" t="n"/>
    </row>
    <row r="583">
      <c r="A583" s="2" t="inlineStr">
        <is>
          <t>EJ021124.TXT</t>
        </is>
      </c>
      <c r="B583" s="3" t="inlineStr">
        <is>
          <t>001860</t>
        </is>
      </c>
      <c r="C583" s="3" t="inlineStr">
        <is>
          <t>001190</t>
        </is>
      </c>
      <c r="D583" s="4" t="n">
        <v>45569</v>
      </c>
      <c r="E583" s="2" t="inlineStr">
        <is>
          <t>16:03</t>
        </is>
      </c>
      <c r="F583" s="5" t="n">
        <v>45.75</v>
      </c>
      <c r="G583" s="5" t="n"/>
      <c r="H583" s="5" t="n"/>
      <c r="I583" s="5" t="n"/>
      <c r="J583" s="5" t="n">
        <v>9.15</v>
      </c>
      <c r="K583" s="5" t="n"/>
      <c r="L583" s="5" t="n"/>
      <c r="M583" s="5" t="n"/>
      <c r="N583" s="5" t="n"/>
      <c r="O583" s="5" t="n">
        <v>54.9</v>
      </c>
      <c r="P583" s="5" t="n">
        <v>54.9</v>
      </c>
      <c r="Q583" s="5" t="n"/>
      <c r="R583" s="5" t="n"/>
    </row>
    <row r="584">
      <c r="A584" s="2" t="inlineStr">
        <is>
          <t>EJ021124.TXT</t>
        </is>
      </c>
      <c r="B584" s="3" t="inlineStr">
        <is>
          <t>001861</t>
        </is>
      </c>
      <c r="C584" s="3" t="inlineStr">
        <is>
          <t>001191</t>
        </is>
      </c>
      <c r="D584" s="4" t="n">
        <v>45572</v>
      </c>
      <c r="E584" s="2" t="inlineStr">
        <is>
          <t>10:14</t>
        </is>
      </c>
      <c r="F584" s="5" t="n">
        <v>21000</v>
      </c>
      <c r="G584" s="5" t="n"/>
      <c r="H584" s="5" t="n"/>
      <c r="I584" s="5" t="n"/>
      <c r="J584" s="5" t="n">
        <v>4200</v>
      </c>
      <c r="K584" s="5" t="n"/>
      <c r="L584" s="5" t="n"/>
      <c r="M584" s="5" t="n"/>
      <c r="N584" s="5" t="n"/>
      <c r="O584" s="5" t="n">
        <v>25200</v>
      </c>
      <c r="P584" s="5" t="n">
        <v>25200</v>
      </c>
      <c r="Q584" s="5" t="n"/>
      <c r="R584" s="5" t="n"/>
    </row>
    <row r="585">
      <c r="A585" s="2" t="inlineStr">
        <is>
          <t>EJ021124.TXT</t>
        </is>
      </c>
      <c r="B585" s="3" t="inlineStr">
        <is>
          <t>001862</t>
        </is>
      </c>
      <c r="C585" s="3" t="inlineStr">
        <is>
          <t>001192</t>
        </is>
      </c>
      <c r="D585" s="4" t="n">
        <v>45574</v>
      </c>
      <c r="E585" s="2" t="inlineStr">
        <is>
          <t>15:23</t>
        </is>
      </c>
      <c r="F585" s="5" t="n">
        <v>274.17</v>
      </c>
      <c r="G585" s="5" t="n"/>
      <c r="H585" s="5" t="n"/>
      <c r="I585" s="5" t="n"/>
      <c r="J585" s="5" t="n">
        <v>54.83</v>
      </c>
      <c r="K585" s="5" t="n"/>
      <c r="L585" s="5" t="n"/>
      <c r="M585" s="5" t="n"/>
      <c r="N585" s="5" t="n"/>
      <c r="O585" s="5" t="n">
        <v>329</v>
      </c>
      <c r="P585" s="5" t="n">
        <v>329</v>
      </c>
      <c r="Q585" s="5" t="n"/>
      <c r="R585" s="5" t="n"/>
    </row>
    <row r="586">
      <c r="A586" s="2" t="inlineStr">
        <is>
          <t>EJ021124.TXT</t>
        </is>
      </c>
      <c r="B586" s="3" t="inlineStr">
        <is>
          <t>001863</t>
        </is>
      </c>
      <c r="C586" s="3" t="inlineStr">
        <is>
          <t>001193</t>
        </is>
      </c>
      <c r="D586" s="4" t="n">
        <v>45575</v>
      </c>
      <c r="E586" s="2" t="inlineStr">
        <is>
          <t>13:18</t>
        </is>
      </c>
      <c r="F586" s="5" t="n">
        <v>2413.33</v>
      </c>
      <c r="G586" s="5" t="n"/>
      <c r="H586" s="5" t="n"/>
      <c r="I586" s="5" t="n"/>
      <c r="J586" s="5" t="n">
        <v>482.67</v>
      </c>
      <c r="K586" s="5" t="n"/>
      <c r="L586" s="5" t="n"/>
      <c r="M586" s="5" t="n"/>
      <c r="N586" s="5" t="n"/>
      <c r="O586" s="5" t="n">
        <v>2896</v>
      </c>
      <c r="P586" s="5" t="n">
        <v>1896</v>
      </c>
      <c r="Q586" s="5" t="n">
        <v>1000</v>
      </c>
      <c r="R586" s="5" t="n"/>
    </row>
    <row r="587">
      <c r="A587" s="2" t="inlineStr">
        <is>
          <t>EJ021124.TXT</t>
        </is>
      </c>
      <c r="B587" s="3" t="inlineStr">
        <is>
          <t>001867</t>
        </is>
      </c>
      <c r="C587" s="3" t="inlineStr">
        <is>
          <t>001194</t>
        </is>
      </c>
      <c r="D587" s="4" t="n">
        <v>45581</v>
      </c>
      <c r="E587" s="2" t="inlineStr">
        <is>
          <t>14:16</t>
        </is>
      </c>
      <c r="F587" s="5" t="n">
        <v>82.33</v>
      </c>
      <c r="G587" s="5" t="n"/>
      <c r="H587" s="5" t="n"/>
      <c r="I587" s="5" t="n"/>
      <c r="J587" s="5" t="n">
        <v>16.47</v>
      </c>
      <c r="K587" s="5" t="n"/>
      <c r="L587" s="5" t="n"/>
      <c r="M587" s="5" t="n"/>
      <c r="N587" s="5" t="n"/>
      <c r="O587" s="5" t="n">
        <v>98.8</v>
      </c>
      <c r="P587" s="5" t="n"/>
      <c r="Q587" s="5" t="n">
        <v>98.8</v>
      </c>
      <c r="R587" s="5" t="n"/>
    </row>
    <row r="588">
      <c r="A588" s="2" t="inlineStr">
        <is>
          <t>EJ021124.TXT</t>
        </is>
      </c>
      <c r="B588" s="3" t="inlineStr">
        <is>
          <t>001868</t>
        </is>
      </c>
      <c r="C588" s="3" t="inlineStr">
        <is>
          <t>001195</t>
        </is>
      </c>
      <c r="D588" s="4" t="n">
        <v>45583</v>
      </c>
      <c r="E588" s="2" t="inlineStr">
        <is>
          <t>15:57</t>
        </is>
      </c>
      <c r="F588" s="5" t="n">
        <v>3200</v>
      </c>
      <c r="G588" s="5" t="n"/>
      <c r="H588" s="5" t="n"/>
      <c r="I588" s="5" t="n"/>
      <c r="J588" s="5" t="n">
        <v>640</v>
      </c>
      <c r="K588" s="5" t="n"/>
      <c r="L588" s="5" t="n"/>
      <c r="M588" s="5" t="n"/>
      <c r="N588" s="5" t="n"/>
      <c r="O588" s="5" t="n">
        <v>3840</v>
      </c>
      <c r="P588" s="5" t="n">
        <v>3840</v>
      </c>
      <c r="Q588" s="5" t="n"/>
      <c r="R588" s="5" t="n"/>
    </row>
    <row r="589">
      <c r="A589" s="2" t="inlineStr">
        <is>
          <t>EJ021124.TXT</t>
        </is>
      </c>
      <c r="B589" s="3" t="inlineStr">
        <is>
          <t>001869</t>
        </is>
      </c>
      <c r="C589" s="3" t="inlineStr">
        <is>
          <t>001196</t>
        </is>
      </c>
      <c r="D589" s="4" t="n">
        <v>45587</v>
      </c>
      <c r="E589" s="2" t="inlineStr">
        <is>
          <t>13:53</t>
        </is>
      </c>
      <c r="F589" s="5" t="n">
        <v>274.17</v>
      </c>
      <c r="G589" s="5" t="n"/>
      <c r="H589" s="5" t="n"/>
      <c r="I589" s="5" t="n"/>
      <c r="J589" s="5" t="n">
        <v>54.83</v>
      </c>
      <c r="K589" s="5" t="n"/>
      <c r="L589" s="5" t="n"/>
      <c r="M589" s="5" t="n"/>
      <c r="N589" s="5" t="n"/>
      <c r="O589" s="5" t="n">
        <v>329</v>
      </c>
      <c r="P589" s="5" t="n">
        <v>329</v>
      </c>
      <c r="Q589" s="5" t="n"/>
      <c r="R589" s="5" t="n"/>
    </row>
    <row r="590">
      <c r="A590" s="2" t="inlineStr">
        <is>
          <t>EJ021124.TXT</t>
        </is>
      </c>
      <c r="B590" s="3" t="inlineStr">
        <is>
          <t>001870</t>
        </is>
      </c>
      <c r="C590" s="3" t="inlineStr">
        <is>
          <t>001197</t>
        </is>
      </c>
      <c r="D590" s="4" t="n">
        <v>45587</v>
      </c>
      <c r="E590" s="2" t="inlineStr">
        <is>
          <t>14:42</t>
        </is>
      </c>
      <c r="F590" s="5" t="n">
        <v>175</v>
      </c>
      <c r="G590" s="5" t="n"/>
      <c r="H590" s="5" t="n"/>
      <c r="I590" s="5" t="n"/>
      <c r="J590" s="5" t="n">
        <v>35</v>
      </c>
      <c r="K590" s="5" t="n"/>
      <c r="L590" s="5" t="n"/>
      <c r="M590" s="5" t="n"/>
      <c r="N590" s="5" t="n"/>
      <c r="O590" s="5" t="n">
        <v>210</v>
      </c>
      <c r="P590" s="5" t="n"/>
      <c r="Q590" s="5" t="n">
        <v>210</v>
      </c>
      <c r="R590" s="5" t="n"/>
    </row>
    <row r="591">
      <c r="A591" s="2" t="inlineStr">
        <is>
          <t>EJ021124.TXT</t>
        </is>
      </c>
      <c r="B591" s="3" t="inlineStr">
        <is>
          <t>001871</t>
        </is>
      </c>
      <c r="C591" s="3" t="inlineStr">
        <is>
          <t>001198</t>
        </is>
      </c>
      <c r="D591" s="4" t="n">
        <v>45593</v>
      </c>
      <c r="E591" s="2" t="inlineStr">
        <is>
          <t>11:38</t>
        </is>
      </c>
      <c r="F591" s="5" t="n">
        <v>274.17</v>
      </c>
      <c r="G591" s="5" t="n"/>
      <c r="H591" s="5" t="n"/>
      <c r="I591" s="5" t="n"/>
      <c r="J591" s="5" t="n">
        <v>54.83</v>
      </c>
      <c r="K591" s="5" t="n"/>
      <c r="L591" s="5" t="n"/>
      <c r="M591" s="5" t="n"/>
      <c r="N591" s="5" t="n"/>
      <c r="O591" s="5" t="n">
        <v>329</v>
      </c>
      <c r="P591" s="5" t="n"/>
      <c r="Q591" s="5" t="n">
        <v>329</v>
      </c>
      <c r="R591" s="5" t="n"/>
    </row>
    <row r="592">
      <c r="A592" s="2" t="inlineStr">
        <is>
          <t>EJ021124.TXT</t>
        </is>
      </c>
      <c r="B592" s="3" t="inlineStr">
        <is>
          <t>001872</t>
        </is>
      </c>
      <c r="C592" s="3" t="inlineStr">
        <is>
          <t>001199</t>
        </is>
      </c>
      <c r="D592" s="4" t="n">
        <v>45594</v>
      </c>
      <c r="E592" s="2" t="inlineStr">
        <is>
          <t>16:48</t>
        </is>
      </c>
      <c r="F592" s="5" t="n">
        <v>2298.33</v>
      </c>
      <c r="G592" s="5" t="n"/>
      <c r="H592" s="5" t="n"/>
      <c r="I592" s="5" t="n"/>
      <c r="J592" s="5" t="n">
        <v>459.67</v>
      </c>
      <c r="K592" s="5" t="n"/>
      <c r="L592" s="5" t="n"/>
      <c r="M592" s="5" t="n"/>
      <c r="N592" s="5" t="n"/>
      <c r="O592" s="5" t="n">
        <v>2758</v>
      </c>
      <c r="P592" s="5" t="n">
        <v>2758</v>
      </c>
      <c r="Q592" s="5" t="n"/>
      <c r="R592" s="5" t="n"/>
    </row>
    <row r="593">
      <c r="A593" s="2" t="inlineStr">
        <is>
          <t>EJ021124.TXT</t>
        </is>
      </c>
      <c r="B593" s="3" t="inlineStr">
        <is>
          <t>001873</t>
        </is>
      </c>
      <c r="C593" s="3" t="inlineStr">
        <is>
          <t>001200</t>
        </is>
      </c>
      <c r="D593" s="4" t="n">
        <v>45596</v>
      </c>
      <c r="E593" s="2" t="inlineStr">
        <is>
          <t>12:57</t>
        </is>
      </c>
      <c r="F593" s="5" t="n">
        <v>124.17</v>
      </c>
      <c r="G593" s="5" t="n"/>
      <c r="H593" s="5" t="n"/>
      <c r="I593" s="5" t="n"/>
      <c r="J593" s="5" t="n">
        <v>24.83</v>
      </c>
      <c r="K593" s="5" t="n"/>
      <c r="L593" s="5" t="n"/>
      <c r="M593" s="5" t="n"/>
      <c r="N593" s="5" t="n"/>
      <c r="O593" s="5" t="n">
        <v>149</v>
      </c>
      <c r="P593" s="5" t="n">
        <v>149</v>
      </c>
      <c r="Q593" s="5" t="n"/>
      <c r="R593" s="5" t="n"/>
    </row>
    <row r="594">
      <c r="A594" s="2" t="inlineStr">
        <is>
          <t>EJ021124.TXT</t>
        </is>
      </c>
      <c r="B594" s="3" t="inlineStr">
        <is>
          <t>001874</t>
        </is>
      </c>
      <c r="C594" s="3" t="inlineStr">
        <is>
          <t>001201</t>
        </is>
      </c>
      <c r="D594" s="4" t="n">
        <v>45598</v>
      </c>
      <c r="E594" s="2" t="inlineStr">
        <is>
          <t>14:11</t>
        </is>
      </c>
      <c r="F594" s="5" t="n">
        <v>830</v>
      </c>
      <c r="G594" s="5" t="n"/>
      <c r="H594" s="5" t="n"/>
      <c r="I594" s="5" t="n"/>
      <c r="J594" s="5" t="n">
        <v>166</v>
      </c>
      <c r="K594" s="5" t="n"/>
      <c r="L594" s="5" t="n"/>
      <c r="M594" s="5" t="n"/>
      <c r="N594" s="5" t="n"/>
      <c r="O594" s="5" t="n">
        <v>996</v>
      </c>
      <c r="P594" s="5" t="n"/>
      <c r="Q594" s="5" t="n">
        <v>996</v>
      </c>
      <c r="R594" s="5" t="n"/>
    </row>
    <row r="595">
      <c r="A595" s="2" t="inlineStr">
        <is>
          <t>EJ021224.TXT</t>
        </is>
      </c>
      <c r="B595" s="3" t="inlineStr">
        <is>
          <t>001881</t>
        </is>
      </c>
      <c r="C595" s="3" t="inlineStr">
        <is>
          <t>001202</t>
        </is>
      </c>
      <c r="D595" s="4" t="n">
        <v>45609</v>
      </c>
      <c r="E595" s="2" t="inlineStr">
        <is>
          <t>12:46</t>
        </is>
      </c>
      <c r="F595" s="5" t="n">
        <v>1096.67</v>
      </c>
      <c r="G595" s="5" t="n"/>
      <c r="H595" s="5" t="n"/>
      <c r="I595" s="5" t="n"/>
      <c r="J595" s="5" t="n">
        <v>219.33</v>
      </c>
      <c r="K595" s="5" t="n"/>
      <c r="L595" s="5" t="n"/>
      <c r="M595" s="5" t="n"/>
      <c r="N595" s="5" t="n"/>
      <c r="O595" s="5" t="n">
        <v>1316</v>
      </c>
      <c r="P595" s="5" t="n">
        <v>1316</v>
      </c>
      <c r="Q595" s="5" t="n"/>
      <c r="R595" s="5" t="n"/>
    </row>
    <row r="596">
      <c r="A596" s="2" t="inlineStr">
        <is>
          <t>EJ021224.TXT</t>
        </is>
      </c>
      <c r="B596" s="3" t="inlineStr">
        <is>
          <t>001885</t>
        </is>
      </c>
      <c r="C596" s="3" t="inlineStr">
        <is>
          <t>001203</t>
        </is>
      </c>
      <c r="D596" s="4" t="n">
        <v>45617</v>
      </c>
      <c r="E596" s="2" t="inlineStr">
        <is>
          <t>13:23</t>
        </is>
      </c>
      <c r="F596" s="5" t="n">
        <v>73.33</v>
      </c>
      <c r="G596" s="5" t="n"/>
      <c r="H596" s="5" t="n"/>
      <c r="I596" s="5" t="n"/>
      <c r="J596" s="5" t="n">
        <v>14.67</v>
      </c>
      <c r="K596" s="5" t="n"/>
      <c r="L596" s="5" t="n"/>
      <c r="M596" s="5" t="n"/>
      <c r="N596" s="5" t="n"/>
      <c r="O596" s="5" t="n">
        <v>88</v>
      </c>
      <c r="P596" s="5" t="n">
        <v>88</v>
      </c>
      <c r="Q596" s="5" t="n"/>
      <c r="R596" s="5" t="n"/>
    </row>
    <row r="597">
      <c r="A597" s="2" t="inlineStr">
        <is>
          <t>EJ021224.TXT</t>
        </is>
      </c>
      <c r="B597" s="3" t="inlineStr">
        <is>
          <t>001886</t>
        </is>
      </c>
      <c r="C597" s="3" t="inlineStr">
        <is>
          <t>001204</t>
        </is>
      </c>
      <c r="D597" s="4" t="n">
        <v>45617</v>
      </c>
      <c r="E597" s="2" t="inlineStr">
        <is>
          <t>13:33</t>
        </is>
      </c>
      <c r="F597" s="5" t="n">
        <v>199.17</v>
      </c>
      <c r="G597" s="5" t="n"/>
      <c r="H597" s="5" t="n"/>
      <c r="I597" s="5" t="n"/>
      <c r="J597" s="5" t="n">
        <v>39.83</v>
      </c>
      <c r="K597" s="5" t="n"/>
      <c r="L597" s="5" t="n"/>
      <c r="M597" s="5" t="n"/>
      <c r="N597" s="5" t="n"/>
      <c r="O597" s="5" t="n">
        <v>239</v>
      </c>
      <c r="P597" s="5" t="n">
        <v>239</v>
      </c>
      <c r="Q597" s="5" t="n"/>
      <c r="R597" s="5" t="n"/>
    </row>
    <row r="598">
      <c r="A598" s="2" t="inlineStr">
        <is>
          <t>EJ021224.TXT</t>
        </is>
      </c>
      <c r="B598" s="3" t="inlineStr">
        <is>
          <t>001887</t>
        </is>
      </c>
      <c r="C598" s="3" t="inlineStr">
        <is>
          <t>001205</t>
        </is>
      </c>
      <c r="D598" s="4" t="n">
        <v>45618</v>
      </c>
      <c r="E598" s="2" t="inlineStr">
        <is>
          <t>13:01</t>
        </is>
      </c>
      <c r="F598" s="5" t="n">
        <v>57.42</v>
      </c>
      <c r="G598" s="5" t="n"/>
      <c r="H598" s="5" t="n"/>
      <c r="I598" s="5" t="n"/>
      <c r="J598" s="5" t="n">
        <v>11.48</v>
      </c>
      <c r="K598" s="5" t="n"/>
      <c r="L598" s="5" t="n"/>
      <c r="M598" s="5" t="n"/>
      <c r="N598" s="5" t="n"/>
      <c r="O598" s="5" t="n">
        <v>68.90000000000001</v>
      </c>
      <c r="P598" s="5" t="n">
        <v>68.90000000000001</v>
      </c>
      <c r="Q598" s="5" t="n"/>
      <c r="R598" s="5" t="n"/>
    </row>
    <row r="599">
      <c r="A599" s="2" t="inlineStr">
        <is>
          <t>EJ021224.TXT</t>
        </is>
      </c>
      <c r="B599" s="3" t="inlineStr">
        <is>
          <t>001888</t>
        </is>
      </c>
      <c r="C599" s="3" t="inlineStr">
        <is>
          <t>001206</t>
        </is>
      </c>
      <c r="D599" s="4" t="n">
        <v>45618</v>
      </c>
      <c r="E599" s="2" t="inlineStr">
        <is>
          <t>15:52</t>
        </is>
      </c>
      <c r="F599" s="5" t="n">
        <v>548.33</v>
      </c>
      <c r="G599" s="5" t="n"/>
      <c r="H599" s="5" t="n"/>
      <c r="I599" s="5" t="n"/>
      <c r="J599" s="5" t="n">
        <v>109.67</v>
      </c>
      <c r="K599" s="5" t="n"/>
      <c r="L599" s="5" t="n"/>
      <c r="M599" s="5" t="n"/>
      <c r="N599" s="5" t="n"/>
      <c r="O599" s="5" t="n">
        <v>658</v>
      </c>
      <c r="P599" s="5" t="n">
        <v>658</v>
      </c>
      <c r="Q599" s="5" t="n"/>
      <c r="R599" s="5" t="n"/>
    </row>
    <row r="600">
      <c r="A600" s="2" t="inlineStr">
        <is>
          <t>EJ021224.TXT</t>
        </is>
      </c>
      <c r="B600" s="3" t="inlineStr">
        <is>
          <t>001889</t>
        </is>
      </c>
      <c r="C600" s="3" t="inlineStr">
        <is>
          <t>001207</t>
        </is>
      </c>
      <c r="D600" s="4" t="n">
        <v>45622</v>
      </c>
      <c r="E600" s="2" t="inlineStr">
        <is>
          <t>10:35</t>
        </is>
      </c>
      <c r="F600" s="5" t="n">
        <v>1096.67</v>
      </c>
      <c r="G600" s="5" t="n"/>
      <c r="H600" s="5" t="n"/>
      <c r="I600" s="5" t="n"/>
      <c r="J600" s="5" t="n">
        <v>219.33</v>
      </c>
      <c r="K600" s="5" t="n"/>
      <c r="L600" s="5" t="n"/>
      <c r="M600" s="5" t="n"/>
      <c r="N600" s="5" t="n"/>
      <c r="O600" s="5" t="n">
        <v>1316</v>
      </c>
      <c r="P600" s="5" t="n">
        <v>1316</v>
      </c>
      <c r="Q600" s="5" t="n"/>
      <c r="R600" s="5" t="n"/>
    </row>
    <row r="601">
      <c r="A601" s="2" t="inlineStr">
        <is>
          <t>EJ021224.TXT</t>
        </is>
      </c>
      <c r="B601" s="3" t="inlineStr">
        <is>
          <t>001891</t>
        </is>
      </c>
      <c r="C601" s="3" t="inlineStr">
        <is>
          <t>001208</t>
        </is>
      </c>
      <c r="D601" s="4" t="n">
        <v>45624</v>
      </c>
      <c r="E601" s="2" t="inlineStr">
        <is>
          <t>14:31</t>
        </is>
      </c>
      <c r="F601" s="5" t="n">
        <v>1096.67</v>
      </c>
      <c r="G601" s="5" t="n"/>
      <c r="H601" s="5" t="n"/>
      <c r="I601" s="5" t="n"/>
      <c r="J601" s="5" t="n">
        <v>219.33</v>
      </c>
      <c r="K601" s="5" t="n"/>
      <c r="L601" s="5" t="n"/>
      <c r="M601" s="5" t="n"/>
      <c r="N601" s="5" t="n"/>
      <c r="O601" s="5" t="n">
        <v>1316</v>
      </c>
      <c r="P601" s="5" t="n">
        <v>1316</v>
      </c>
      <c r="Q601" s="5" t="n"/>
      <c r="R601" s="5" t="n"/>
    </row>
    <row r="602">
      <c r="A602" s="2" t="inlineStr">
        <is>
          <t>EJ311224.TXT</t>
        </is>
      </c>
      <c r="B602" s="3" t="inlineStr">
        <is>
          <t>001900</t>
        </is>
      </c>
      <c r="C602" s="3" t="inlineStr">
        <is>
          <t>001209</t>
        </is>
      </c>
      <c r="D602" s="4" t="n">
        <v>45629</v>
      </c>
      <c r="E602" s="2" t="inlineStr">
        <is>
          <t>14:03</t>
        </is>
      </c>
      <c r="F602" s="5" t="n">
        <v>531.67</v>
      </c>
      <c r="G602" s="5" t="n"/>
      <c r="H602" s="5" t="n"/>
      <c r="I602" s="5" t="n"/>
      <c r="J602" s="5" t="n">
        <v>106.33</v>
      </c>
      <c r="K602" s="5" t="n"/>
      <c r="L602" s="5" t="n"/>
      <c r="M602" s="5" t="n"/>
      <c r="N602" s="5" t="n"/>
      <c r="O602" s="5" t="n">
        <v>638</v>
      </c>
      <c r="P602" s="5" t="n">
        <v>638</v>
      </c>
      <c r="Q602" s="5" t="n"/>
      <c r="R602" s="5" t="n"/>
    </row>
    <row r="603">
      <c r="A603" s="2" t="inlineStr">
        <is>
          <t>EJ311224.TXT</t>
        </is>
      </c>
      <c r="B603" s="3" t="inlineStr">
        <is>
          <t>001901</t>
        </is>
      </c>
      <c r="C603" s="3" t="inlineStr">
        <is>
          <t>001210</t>
        </is>
      </c>
      <c r="D603" s="4" t="n">
        <v>45631</v>
      </c>
      <c r="E603" s="2" t="inlineStr">
        <is>
          <t>10:42</t>
        </is>
      </c>
      <c r="F603" s="5" t="n">
        <v>531.67</v>
      </c>
      <c r="G603" s="5" t="n"/>
      <c r="H603" s="5" t="n"/>
      <c r="I603" s="5" t="n"/>
      <c r="J603" s="5" t="n">
        <v>106.33</v>
      </c>
      <c r="K603" s="5" t="n"/>
      <c r="L603" s="5" t="n"/>
      <c r="M603" s="5" t="n"/>
      <c r="N603" s="5" t="n"/>
      <c r="O603" s="5" t="n">
        <v>638</v>
      </c>
      <c r="P603" s="5" t="n">
        <v>638</v>
      </c>
      <c r="Q603" s="5" t="n"/>
      <c r="R603" s="5" t="n"/>
    </row>
    <row r="604">
      <c r="A604" s="2" t="inlineStr">
        <is>
          <t>EJ311224.TXT</t>
        </is>
      </c>
      <c r="B604" s="3" t="inlineStr">
        <is>
          <t>001902</t>
        </is>
      </c>
      <c r="C604" s="3" t="inlineStr">
        <is>
          <t>001211</t>
        </is>
      </c>
      <c r="D604" s="4" t="n">
        <v>45631</v>
      </c>
      <c r="E604" s="2" t="inlineStr">
        <is>
          <t>13:27</t>
        </is>
      </c>
      <c r="F604" s="5" t="n">
        <v>175</v>
      </c>
      <c r="G604" s="5" t="n"/>
      <c r="H604" s="5" t="n"/>
      <c r="I604" s="5" t="n"/>
      <c r="J604" s="5" t="n">
        <v>35</v>
      </c>
      <c r="K604" s="5" t="n"/>
      <c r="L604" s="5" t="n"/>
      <c r="M604" s="5" t="n"/>
      <c r="N604" s="5" t="n"/>
      <c r="O604" s="5" t="n">
        <v>210</v>
      </c>
      <c r="P604" s="5" t="n">
        <v>210</v>
      </c>
      <c r="Q604" s="5" t="n"/>
      <c r="R604" s="5" t="n"/>
    </row>
    <row r="605">
      <c r="A605" s="2" t="inlineStr">
        <is>
          <t>EJ311224.TXT</t>
        </is>
      </c>
      <c r="B605" s="3" t="inlineStr">
        <is>
          <t>001903</t>
        </is>
      </c>
      <c r="C605" s="3" t="inlineStr">
        <is>
          <t>001212</t>
        </is>
      </c>
      <c r="D605" s="4" t="n">
        <v>45632</v>
      </c>
      <c r="E605" s="2" t="inlineStr">
        <is>
          <t>14:23</t>
        </is>
      </c>
      <c r="F605" s="5" t="n">
        <v>548.33</v>
      </c>
      <c r="G605" s="5" t="n"/>
      <c r="H605" s="5" t="n"/>
      <c r="I605" s="5" t="n"/>
      <c r="J605" s="5" t="n">
        <v>109.67</v>
      </c>
      <c r="K605" s="5" t="n"/>
      <c r="L605" s="5" t="n"/>
      <c r="M605" s="5" t="n"/>
      <c r="N605" s="5" t="n"/>
      <c r="O605" s="5" t="n">
        <v>658</v>
      </c>
      <c r="P605" s="5" t="n">
        <v>658</v>
      </c>
      <c r="Q605" s="5" t="n"/>
      <c r="R605" s="5" t="n"/>
    </row>
    <row r="606">
      <c r="A606" s="2" t="inlineStr">
        <is>
          <t>EJ311224.TXT</t>
        </is>
      </c>
      <c r="B606" s="3" t="inlineStr">
        <is>
          <t>001904</t>
        </is>
      </c>
      <c r="C606" s="3" t="inlineStr">
        <is>
          <t>001213</t>
        </is>
      </c>
      <c r="D606" s="4" t="n">
        <v>45632</v>
      </c>
      <c r="E606" s="2" t="inlineStr">
        <is>
          <t>15:51</t>
        </is>
      </c>
      <c r="F606" s="5" t="n">
        <v>199.17</v>
      </c>
      <c r="G606" s="5" t="n"/>
      <c r="H606" s="5" t="n"/>
      <c r="I606" s="5" t="n"/>
      <c r="J606" s="5" t="n">
        <v>39.83</v>
      </c>
      <c r="K606" s="5" t="n"/>
      <c r="L606" s="5" t="n"/>
      <c r="M606" s="5" t="n"/>
      <c r="N606" s="5" t="n"/>
      <c r="O606" s="5" t="n">
        <v>239</v>
      </c>
      <c r="P606" s="5" t="n">
        <v>239</v>
      </c>
      <c r="Q606" s="5" t="n"/>
      <c r="R606" s="5" t="n"/>
    </row>
    <row r="607">
      <c r="A607" s="2" t="inlineStr">
        <is>
          <t>EJ311224.TXT</t>
        </is>
      </c>
      <c r="B607" s="3" t="inlineStr">
        <is>
          <t>001905</t>
        </is>
      </c>
      <c r="C607" s="3" t="inlineStr">
        <is>
          <t>001214</t>
        </is>
      </c>
      <c r="D607" s="4" t="n">
        <v>45632</v>
      </c>
      <c r="E607" s="2" t="inlineStr">
        <is>
          <t>17:09</t>
        </is>
      </c>
      <c r="F607" s="5" t="n">
        <v>548.33</v>
      </c>
      <c r="G607" s="5" t="n"/>
      <c r="H607" s="5" t="n"/>
      <c r="I607" s="5" t="n"/>
      <c r="J607" s="5" t="n">
        <v>109.67</v>
      </c>
      <c r="K607" s="5" t="n"/>
      <c r="L607" s="5" t="n"/>
      <c r="M607" s="5" t="n"/>
      <c r="N607" s="5" t="n"/>
      <c r="O607" s="5" t="n">
        <v>658</v>
      </c>
      <c r="P607" s="5" t="n"/>
      <c r="Q607" s="5" t="n">
        <v>658</v>
      </c>
      <c r="R607" s="5" t="n"/>
    </row>
    <row r="608">
      <c r="A608" s="2" t="inlineStr">
        <is>
          <t>EJ311224.TXT</t>
        </is>
      </c>
      <c r="B608" s="3" t="inlineStr">
        <is>
          <t>001906</t>
        </is>
      </c>
      <c r="C608" s="3" t="inlineStr">
        <is>
          <t>001215</t>
        </is>
      </c>
      <c r="D608" s="4" t="n">
        <v>45643</v>
      </c>
      <c r="E608" s="2" t="inlineStr">
        <is>
          <t>10:06</t>
        </is>
      </c>
      <c r="F608" s="5" t="n">
        <v>548.33</v>
      </c>
      <c r="G608" s="5" t="n"/>
      <c r="H608" s="5" t="n"/>
      <c r="I608" s="5" t="n"/>
      <c r="J608" s="5" t="n">
        <v>109.67</v>
      </c>
      <c r="K608" s="5" t="n"/>
      <c r="L608" s="5" t="n"/>
      <c r="M608" s="5" t="n"/>
      <c r="N608" s="5" t="n"/>
      <c r="O608" s="5" t="n">
        <v>658</v>
      </c>
      <c r="P608" s="5" t="n">
        <v>658</v>
      </c>
      <c r="Q608" s="5" t="n"/>
      <c r="R608" s="5" t="n"/>
    </row>
    <row r="609">
      <c r="A609" s="2" t="inlineStr">
        <is>
          <t>EJ311224.TXT</t>
        </is>
      </c>
      <c r="B609" s="3" t="inlineStr">
        <is>
          <t>001907</t>
        </is>
      </c>
      <c r="C609" s="3" t="inlineStr">
        <is>
          <t>001216</t>
        </is>
      </c>
      <c r="D609" s="4" t="n">
        <v>45643</v>
      </c>
      <c r="E609" s="2" t="inlineStr">
        <is>
          <t>10:06</t>
        </is>
      </c>
      <c r="F609" s="5" t="n">
        <v>548.33</v>
      </c>
      <c r="G609" s="5" t="n"/>
      <c r="H609" s="5" t="n"/>
      <c r="I609" s="5" t="n"/>
      <c r="J609" s="5" t="n">
        <v>109.67</v>
      </c>
      <c r="K609" s="5" t="n"/>
      <c r="L609" s="5" t="n"/>
      <c r="M609" s="5" t="n"/>
      <c r="N609" s="5" t="n"/>
      <c r="O609" s="5" t="n">
        <v>658</v>
      </c>
      <c r="P609" s="5" t="n">
        <v>658</v>
      </c>
      <c r="Q609" s="5" t="n"/>
      <c r="R609" s="5" t="n"/>
    </row>
    <row r="610">
      <c r="A610" s="2" t="inlineStr">
        <is>
          <t>EJ311224.TXT</t>
        </is>
      </c>
      <c r="B610" s="3" t="inlineStr">
        <is>
          <t>001908</t>
        </is>
      </c>
      <c r="C610" s="3" t="inlineStr">
        <is>
          <t>001217</t>
        </is>
      </c>
      <c r="D610" s="4" t="n">
        <v>45643</v>
      </c>
      <c r="E610" s="2" t="inlineStr">
        <is>
          <t>12:32</t>
        </is>
      </c>
      <c r="F610" s="5" t="n">
        <v>58.25</v>
      </c>
      <c r="G610" s="5" t="n"/>
      <c r="H610" s="5" t="n"/>
      <c r="I610" s="5" t="n"/>
      <c r="J610" s="5" t="n">
        <v>11.65</v>
      </c>
      <c r="K610" s="5" t="n"/>
      <c r="L610" s="5" t="n"/>
      <c r="M610" s="5" t="n"/>
      <c r="N610" s="5" t="n"/>
      <c r="O610" s="5" t="n">
        <v>69.90000000000001</v>
      </c>
      <c r="P610" s="5" t="n">
        <v>69.90000000000001</v>
      </c>
      <c r="Q610" s="5" t="n"/>
      <c r="R610" s="5" t="n"/>
    </row>
    <row r="611">
      <c r="A611" s="2" t="inlineStr">
        <is>
          <t>EJ311224.TXT</t>
        </is>
      </c>
      <c r="B611" s="3" t="inlineStr">
        <is>
          <t>001909</t>
        </is>
      </c>
      <c r="C611" s="3" t="inlineStr">
        <is>
          <t>001218</t>
        </is>
      </c>
      <c r="D611" s="4" t="n">
        <v>45645</v>
      </c>
      <c r="E611" s="2" t="inlineStr">
        <is>
          <t>13:54</t>
        </is>
      </c>
      <c r="F611" s="5" t="n">
        <v>574</v>
      </c>
      <c r="G611" s="5" t="n"/>
      <c r="H611" s="5" t="n"/>
      <c r="I611" s="5" t="n"/>
      <c r="J611" s="5" t="n">
        <v>114.8</v>
      </c>
      <c r="K611" s="5" t="n"/>
      <c r="L611" s="5" t="n"/>
      <c r="M611" s="5" t="n"/>
      <c r="N611" s="5" t="n"/>
      <c r="O611" s="5" t="n">
        <v>688.8</v>
      </c>
      <c r="P611" s="5" t="n">
        <v>688.8</v>
      </c>
      <c r="Q611" s="5" t="n"/>
      <c r="R611" s="5" t="n"/>
    </row>
    <row r="612">
      <c r="A612" s="2" t="inlineStr">
        <is>
          <t>EJ311224.TXT</t>
        </is>
      </c>
      <c r="B612" s="3" t="inlineStr">
        <is>
          <t>001910</t>
        </is>
      </c>
      <c r="C612" s="3" t="inlineStr">
        <is>
          <t>001219</t>
        </is>
      </c>
      <c r="D612" s="4" t="n">
        <v>45646</v>
      </c>
      <c r="E612" s="2" t="inlineStr">
        <is>
          <t>15:26</t>
        </is>
      </c>
      <c r="F612" s="5" t="n">
        <v>948.33</v>
      </c>
      <c r="G612" s="5" t="n"/>
      <c r="H612" s="5" t="n"/>
      <c r="I612" s="5" t="n"/>
      <c r="J612" s="5" t="n">
        <v>189.67</v>
      </c>
      <c r="K612" s="5" t="n"/>
      <c r="L612" s="5" t="n"/>
      <c r="M612" s="5" t="n"/>
      <c r="N612" s="5" t="n"/>
      <c r="O612" s="5" t="n">
        <v>1138</v>
      </c>
      <c r="P612" s="5" t="n">
        <v>1138</v>
      </c>
      <c r="Q612" s="5" t="n"/>
      <c r="R612" s="5" t="n"/>
    </row>
    <row r="613">
      <c r="A613" s="2" t="inlineStr">
        <is>
          <t>EJ311224.TXT</t>
        </is>
      </c>
      <c r="B613" s="3" t="inlineStr">
        <is>
          <t>001911</t>
        </is>
      </c>
      <c r="C613" s="3" t="inlineStr">
        <is>
          <t>001220</t>
        </is>
      </c>
      <c r="D613" s="4" t="n">
        <v>45649</v>
      </c>
      <c r="E613" s="2" t="inlineStr">
        <is>
          <t>16:49</t>
        </is>
      </c>
      <c r="F613" s="5" t="n">
        <v>58.25</v>
      </c>
      <c r="G613" s="5" t="n"/>
      <c r="H613" s="5" t="n"/>
      <c r="I613" s="5" t="n"/>
      <c r="J613" s="5" t="n">
        <v>11.65</v>
      </c>
      <c r="K613" s="5" t="n"/>
      <c r="L613" s="5" t="n"/>
      <c r="M613" s="5" t="n"/>
      <c r="N613" s="5" t="n"/>
      <c r="O613" s="5" t="n">
        <v>69.90000000000001</v>
      </c>
      <c r="P613" s="5" t="n">
        <v>69.90000000000001</v>
      </c>
      <c r="Q613" s="5" t="n"/>
      <c r="R613" s="5" t="n"/>
    </row>
    <row r="614">
      <c r="A614" s="2" t="inlineStr">
        <is>
          <t>EJ311224.TXT</t>
        </is>
      </c>
      <c r="B614" s="3" t="inlineStr">
        <is>
          <t>001912</t>
        </is>
      </c>
      <c r="C614" s="3" t="inlineStr">
        <is>
          <t>001221</t>
        </is>
      </c>
      <c r="D614" s="4" t="n">
        <v>45649</v>
      </c>
      <c r="E614" s="2" t="inlineStr">
        <is>
          <t>17:18</t>
        </is>
      </c>
      <c r="F614" s="5" t="n">
        <v>274.17</v>
      </c>
      <c r="G614" s="5" t="n"/>
      <c r="H614" s="5" t="n"/>
      <c r="I614" s="5" t="n"/>
      <c r="J614" s="5" t="n">
        <v>54.83</v>
      </c>
      <c r="K614" s="5" t="n"/>
      <c r="L614" s="5" t="n"/>
      <c r="M614" s="5" t="n"/>
      <c r="N614" s="5" t="n"/>
      <c r="O614" s="5" t="n">
        <v>329</v>
      </c>
      <c r="P614" s="5" t="n">
        <v>329</v>
      </c>
      <c r="Q614" s="5" t="n"/>
      <c r="R614" s="5" t="n"/>
    </row>
    <row r="615">
      <c r="A615" s="2" t="inlineStr">
        <is>
          <t>EJ311224.TXT</t>
        </is>
      </c>
      <c r="B615" s="3" t="inlineStr">
        <is>
          <t>001913</t>
        </is>
      </c>
      <c r="C615" s="3" t="inlineStr">
        <is>
          <t>001222</t>
        </is>
      </c>
      <c r="D615" s="4" t="n">
        <v>45654</v>
      </c>
      <c r="E615" s="2" t="inlineStr">
        <is>
          <t>14:18</t>
        </is>
      </c>
      <c r="F615" s="5" t="n">
        <v>274.17</v>
      </c>
      <c r="G615" s="5" t="n"/>
      <c r="H615" s="5" t="n"/>
      <c r="I615" s="5" t="n"/>
      <c r="J615" s="5" t="n">
        <v>54.83</v>
      </c>
      <c r="K615" s="5" t="n"/>
      <c r="L615" s="5" t="n"/>
      <c r="M615" s="5" t="n"/>
      <c r="N615" s="5" t="n"/>
      <c r="O615" s="5" t="n">
        <v>329</v>
      </c>
      <c r="P615" s="5" t="n"/>
      <c r="Q615" s="5" t="n">
        <v>329</v>
      </c>
      <c r="R615" s="5" t="n"/>
    </row>
    <row r="616">
      <c r="A616" s="2" t="inlineStr">
        <is>
          <t>EJ311224.TXT</t>
        </is>
      </c>
      <c r="B616" s="3" t="inlineStr">
        <is>
          <t>001914</t>
        </is>
      </c>
      <c r="C616" s="3" t="inlineStr">
        <is>
          <t>001223</t>
        </is>
      </c>
      <c r="D616" s="4" t="n">
        <v>45654</v>
      </c>
      <c r="E616" s="2" t="inlineStr">
        <is>
          <t>15:24</t>
        </is>
      </c>
      <c r="F616" s="5" t="n">
        <v>822.5</v>
      </c>
      <c r="G616" s="5" t="n"/>
      <c r="H616" s="5" t="n"/>
      <c r="I616" s="5" t="n"/>
      <c r="J616" s="5" t="n">
        <v>164.5</v>
      </c>
      <c r="K616" s="5" t="n"/>
      <c r="L616" s="5" t="n"/>
      <c r="M616" s="5" t="n"/>
      <c r="N616" s="5" t="n"/>
      <c r="O616" s="5" t="n">
        <v>987</v>
      </c>
      <c r="P616" s="5" t="n"/>
      <c r="Q616" s="5" t="n">
        <v>987</v>
      </c>
      <c r="R616" s="5" t="n"/>
    </row>
    <row r="617">
      <c r="A617" s="2" t="inlineStr">
        <is>
          <t>EJ311224.TXT</t>
        </is>
      </c>
      <c r="B617" s="3" t="inlineStr">
        <is>
          <t>001915</t>
        </is>
      </c>
      <c r="C617" s="3" t="inlineStr">
        <is>
          <t>001224</t>
        </is>
      </c>
      <c r="D617" s="4" t="n">
        <v>45656</v>
      </c>
      <c r="E617" s="2" t="inlineStr">
        <is>
          <t>15:06</t>
        </is>
      </c>
      <c r="F617" s="5" t="n">
        <v>2392.5</v>
      </c>
      <c r="G617" s="5" t="n"/>
      <c r="H617" s="5" t="n"/>
      <c r="I617" s="5" t="n"/>
      <c r="J617" s="5" t="n">
        <v>478.5</v>
      </c>
      <c r="K617" s="5" t="n"/>
      <c r="L617" s="5" t="n"/>
      <c r="M617" s="5" t="n"/>
      <c r="N617" s="5" t="n"/>
      <c r="O617" s="5" t="n">
        <v>2871</v>
      </c>
      <c r="P617" s="5" t="n">
        <v>1871</v>
      </c>
      <c r="Q617" s="5" t="n">
        <v>1000</v>
      </c>
      <c r="R617" s="5" t="n"/>
    </row>
    <row r="618">
      <c r="A618" s="2" t="inlineStr">
        <is>
          <t>EJ311224.TXT</t>
        </is>
      </c>
      <c r="B618" s="3" t="inlineStr">
        <is>
          <t>001917</t>
        </is>
      </c>
      <c r="C618" s="3" t="inlineStr">
        <is>
          <t>001225</t>
        </is>
      </c>
      <c r="D618" s="4" t="n">
        <v>45657</v>
      </c>
      <c r="E618" s="2" t="inlineStr">
        <is>
          <t>10:55</t>
        </is>
      </c>
      <c r="F618" s="5" t="n">
        <v>73.33</v>
      </c>
      <c r="G618" s="5" t="n"/>
      <c r="H618" s="5" t="n"/>
      <c r="I618" s="5" t="n"/>
      <c r="J618" s="5" t="n">
        <v>14.67</v>
      </c>
      <c r="K618" s="5" t="n"/>
      <c r="L618" s="5" t="n"/>
      <c r="M618" s="5" t="n"/>
      <c r="N618" s="5" t="n"/>
      <c r="O618" s="5" t="n">
        <v>88</v>
      </c>
      <c r="P618" s="5" t="n"/>
      <c r="Q618" s="5" t="n">
        <v>88</v>
      </c>
      <c r="R618" s="5" t="n"/>
    </row>
    <row r="619">
      <c r="A619" s="2" t="inlineStr">
        <is>
          <t>EJ010225.TXT</t>
        </is>
      </c>
      <c r="B619" s="3" t="inlineStr">
        <is>
          <t>001925</t>
        </is>
      </c>
      <c r="C619" s="3" t="inlineStr">
        <is>
          <t>001226</t>
        </is>
      </c>
      <c r="D619" s="4" t="n">
        <v>45661</v>
      </c>
      <c r="E619" s="2" t="inlineStr">
        <is>
          <t>14:58</t>
        </is>
      </c>
      <c r="F619" s="5" t="n">
        <v>548.33</v>
      </c>
      <c r="G619" s="5" t="n"/>
      <c r="H619" s="5" t="n"/>
      <c r="I619" s="5" t="n"/>
      <c r="J619" s="5" t="n">
        <v>109.67</v>
      </c>
      <c r="K619" s="5" t="n"/>
      <c r="L619" s="5" t="n"/>
      <c r="M619" s="5" t="n"/>
      <c r="N619" s="5" t="n"/>
      <c r="O619" s="5" t="n">
        <v>658</v>
      </c>
      <c r="P619" s="5" t="n"/>
      <c r="Q619" s="5" t="n">
        <v>658</v>
      </c>
      <c r="R619" s="5" t="n"/>
    </row>
    <row r="620">
      <c r="A620" s="2" t="inlineStr">
        <is>
          <t>EJ010225.TXT</t>
        </is>
      </c>
      <c r="B620" s="3" t="inlineStr">
        <is>
          <t>001926</t>
        </is>
      </c>
      <c r="C620" s="3" t="inlineStr">
        <is>
          <t>001227</t>
        </is>
      </c>
      <c r="D620" s="4" t="n">
        <v>45663</v>
      </c>
      <c r="E620" s="2" t="inlineStr">
        <is>
          <t>10:57</t>
        </is>
      </c>
      <c r="F620" s="5" t="n">
        <v>4275</v>
      </c>
      <c r="G620" s="5" t="n"/>
      <c r="H620" s="5" t="n"/>
      <c r="I620" s="5" t="n"/>
      <c r="J620" s="5" t="n">
        <v>855</v>
      </c>
      <c r="K620" s="5" t="n"/>
      <c r="L620" s="5" t="n"/>
      <c r="M620" s="5" t="n"/>
      <c r="N620" s="5" t="n"/>
      <c r="O620" s="5" t="n">
        <v>5130</v>
      </c>
      <c r="P620" s="5" t="n">
        <v>5130</v>
      </c>
      <c r="Q620" s="5" t="n"/>
      <c r="R620" s="5" t="n"/>
    </row>
    <row r="621">
      <c r="A621" s="2" t="inlineStr">
        <is>
          <t>EJ010225.TXT</t>
        </is>
      </c>
      <c r="B621" s="3" t="inlineStr">
        <is>
          <t>001927</t>
        </is>
      </c>
      <c r="C621" s="3" t="inlineStr">
        <is>
          <t>001228</t>
        </is>
      </c>
      <c r="D621" s="4" t="n">
        <v>45664</v>
      </c>
      <c r="E621" s="2" t="inlineStr">
        <is>
          <t>17:38</t>
        </is>
      </c>
      <c r="F621" s="5" t="n">
        <v>548.33</v>
      </c>
      <c r="G621" s="5" t="n"/>
      <c r="H621" s="5" t="n"/>
      <c r="I621" s="5" t="n"/>
      <c r="J621" s="5" t="n">
        <v>109.67</v>
      </c>
      <c r="K621" s="5" t="n"/>
      <c r="L621" s="5" t="n"/>
      <c r="M621" s="5" t="n"/>
      <c r="N621" s="5" t="n"/>
      <c r="O621" s="5" t="n">
        <v>658</v>
      </c>
      <c r="P621" s="5" t="n">
        <v>658</v>
      </c>
      <c r="Q621" s="5" t="n"/>
      <c r="R621" s="5" t="n"/>
    </row>
    <row r="622">
      <c r="A622" s="2" t="inlineStr">
        <is>
          <t>EJ010225.TXT</t>
        </is>
      </c>
      <c r="B622" s="3" t="inlineStr">
        <is>
          <t>001928</t>
        </is>
      </c>
      <c r="C622" s="3" t="inlineStr">
        <is>
          <t>001229</t>
        </is>
      </c>
      <c r="D622" s="4" t="n">
        <v>45667</v>
      </c>
      <c r="E622" s="2" t="inlineStr">
        <is>
          <t>17:10</t>
        </is>
      </c>
      <c r="F622" s="5" t="n">
        <v>395</v>
      </c>
      <c r="G622" s="5" t="n"/>
      <c r="H622" s="5" t="n"/>
      <c r="I622" s="5" t="n"/>
      <c r="J622" s="5" t="n">
        <v>79</v>
      </c>
      <c r="K622" s="5" t="n"/>
      <c r="L622" s="5" t="n"/>
      <c r="M622" s="5" t="n"/>
      <c r="N622" s="5" t="n"/>
      <c r="O622" s="5" t="n">
        <v>474</v>
      </c>
      <c r="P622" s="5" t="n">
        <v>474</v>
      </c>
      <c r="Q622" s="5" t="n"/>
      <c r="R622" s="5" t="n"/>
    </row>
    <row r="623">
      <c r="A623" s="2" t="inlineStr">
        <is>
          <t>EJ010225.TXT</t>
        </is>
      </c>
      <c r="B623" s="3" t="inlineStr">
        <is>
          <t>001929</t>
        </is>
      </c>
      <c r="C623" s="3" t="inlineStr">
        <is>
          <t>001230</t>
        </is>
      </c>
      <c r="D623" s="4" t="n">
        <v>45672</v>
      </c>
      <c r="E623" s="2" t="inlineStr">
        <is>
          <t>16:06</t>
        </is>
      </c>
      <c r="F623" s="5" t="n">
        <v>340.67</v>
      </c>
      <c r="G623" s="5" t="n"/>
      <c r="H623" s="5" t="n"/>
      <c r="I623" s="5" t="n"/>
      <c r="J623" s="5" t="n">
        <v>68.13</v>
      </c>
      <c r="K623" s="5" t="n"/>
      <c r="L623" s="5" t="n"/>
      <c r="M623" s="5" t="n"/>
      <c r="N623" s="5" t="n"/>
      <c r="O623" s="5" t="n">
        <v>408.8</v>
      </c>
      <c r="P623" s="5" t="n"/>
      <c r="Q623" s="5" t="n">
        <v>408.8</v>
      </c>
      <c r="R623" s="5" t="n"/>
    </row>
    <row r="624">
      <c r="A624" s="2" t="inlineStr">
        <is>
          <t>EJ010225.TXT</t>
        </is>
      </c>
      <c r="B624" s="3" t="inlineStr">
        <is>
          <t>001931</t>
        </is>
      </c>
      <c r="C624" s="3" t="inlineStr">
        <is>
          <t>001231</t>
        </is>
      </c>
      <c r="D624" s="4" t="n">
        <v>45678</v>
      </c>
      <c r="E624" s="2" t="inlineStr">
        <is>
          <t>14:24</t>
        </is>
      </c>
      <c r="F624" s="5" t="n">
        <v>274.17</v>
      </c>
      <c r="G624" s="5" t="n"/>
      <c r="H624" s="5" t="n"/>
      <c r="I624" s="5" t="n"/>
      <c r="J624" s="5" t="n">
        <v>54.83</v>
      </c>
      <c r="K624" s="5" t="n"/>
      <c r="L624" s="5" t="n"/>
      <c r="M624" s="5" t="n"/>
      <c r="N624" s="5" t="n"/>
      <c r="O624" s="5" t="n">
        <v>329</v>
      </c>
      <c r="P624" s="5" t="n">
        <v>329</v>
      </c>
      <c r="Q624" s="5" t="n"/>
      <c r="R624" s="5" t="n"/>
    </row>
    <row r="625">
      <c r="A625" s="2" t="inlineStr">
        <is>
          <t>EJ010225.TXT</t>
        </is>
      </c>
      <c r="B625" s="3" t="inlineStr">
        <is>
          <t>001932</t>
        </is>
      </c>
      <c r="C625" s="3" t="inlineStr">
        <is>
          <t>001232</t>
        </is>
      </c>
      <c r="D625" s="4" t="n">
        <v>45678</v>
      </c>
      <c r="E625" s="2" t="inlineStr">
        <is>
          <t>14:27</t>
        </is>
      </c>
      <c r="F625" s="5" t="n">
        <v>274.17</v>
      </c>
      <c r="G625" s="5" t="n"/>
      <c r="H625" s="5" t="n"/>
      <c r="I625" s="5" t="n"/>
      <c r="J625" s="5" t="n">
        <v>54.83</v>
      </c>
      <c r="K625" s="5" t="n"/>
      <c r="L625" s="5" t="n"/>
      <c r="M625" s="5" t="n"/>
      <c r="N625" s="5" t="n"/>
      <c r="O625" s="5" t="n">
        <v>329</v>
      </c>
      <c r="P625" s="5" t="n">
        <v>329</v>
      </c>
      <c r="Q625" s="5" t="n"/>
      <c r="R625" s="5" t="n"/>
    </row>
    <row r="626">
      <c r="A626" s="2" t="inlineStr">
        <is>
          <t>EJ010225.TXT</t>
        </is>
      </c>
      <c r="B626" s="3" t="inlineStr">
        <is>
          <t>001933</t>
        </is>
      </c>
      <c r="C626" s="3" t="inlineStr">
        <is>
          <t>001233</t>
        </is>
      </c>
      <c r="D626" s="4" t="n">
        <v>45678</v>
      </c>
      <c r="E626" s="2" t="inlineStr">
        <is>
          <t>17:18</t>
        </is>
      </c>
      <c r="F626" s="5" t="n">
        <v>73.33</v>
      </c>
      <c r="G626" s="5" t="n"/>
      <c r="H626" s="5" t="n"/>
      <c r="I626" s="5" t="n"/>
      <c r="J626" s="5" t="n">
        <v>14.67</v>
      </c>
      <c r="K626" s="5" t="n"/>
      <c r="L626" s="5" t="n"/>
      <c r="M626" s="5" t="n"/>
      <c r="N626" s="5" t="n"/>
      <c r="O626" s="5" t="n">
        <v>88</v>
      </c>
      <c r="P626" s="5" t="n">
        <v>88</v>
      </c>
      <c r="Q626" s="5" t="n"/>
      <c r="R626" s="5" t="n"/>
    </row>
    <row r="627">
      <c r="A627" s="2" t="inlineStr">
        <is>
          <t>EJ010225.TXT</t>
        </is>
      </c>
      <c r="B627" s="3" t="inlineStr">
        <is>
          <t>001935</t>
        </is>
      </c>
      <c r="C627" s="3" t="inlineStr">
        <is>
          <t>001234</t>
        </is>
      </c>
      <c r="D627" s="4" t="n">
        <v>45679</v>
      </c>
      <c r="E627" s="2" t="inlineStr">
        <is>
          <t>15:13</t>
        </is>
      </c>
      <c r="F627" s="5" t="n">
        <v>49.92</v>
      </c>
      <c r="G627" s="5" t="n"/>
      <c r="H627" s="5" t="n"/>
      <c r="I627" s="5" t="n"/>
      <c r="J627" s="5" t="n">
        <v>9.98</v>
      </c>
      <c r="K627" s="5" t="n"/>
      <c r="L627" s="5" t="n"/>
      <c r="M627" s="5" t="n"/>
      <c r="N627" s="5" t="n"/>
      <c r="O627" s="5" t="n">
        <v>59.9</v>
      </c>
      <c r="P627" s="5" t="n">
        <v>59.9</v>
      </c>
      <c r="Q627" s="5" t="n"/>
      <c r="R627" s="5" t="n"/>
    </row>
    <row r="628">
      <c r="A628" s="2" t="inlineStr">
        <is>
          <t>EJ010225.TXT</t>
        </is>
      </c>
      <c r="B628" s="3" t="inlineStr">
        <is>
          <t>001937</t>
        </is>
      </c>
      <c r="C628" s="3" t="inlineStr">
        <is>
          <t>001235</t>
        </is>
      </c>
      <c r="D628" s="4" t="n">
        <v>45680</v>
      </c>
      <c r="E628" s="2" t="inlineStr">
        <is>
          <t>10:20</t>
        </is>
      </c>
      <c r="F628" s="5" t="n">
        <v>548.33</v>
      </c>
      <c r="G628" s="5" t="n"/>
      <c r="H628" s="5" t="n"/>
      <c r="I628" s="5" t="n"/>
      <c r="J628" s="5" t="n">
        <v>109.67</v>
      </c>
      <c r="K628" s="5" t="n"/>
      <c r="L628" s="5" t="n"/>
      <c r="M628" s="5" t="n"/>
      <c r="N628" s="5" t="n"/>
      <c r="O628" s="5" t="n">
        <v>658</v>
      </c>
      <c r="P628" s="5" t="n"/>
      <c r="Q628" s="5" t="n">
        <v>658</v>
      </c>
      <c r="R628" s="5" t="n"/>
    </row>
    <row r="629">
      <c r="A629" s="2" t="inlineStr">
        <is>
          <t>EJ010225.TXT</t>
        </is>
      </c>
      <c r="B629" s="3" t="inlineStr">
        <is>
          <t>001938</t>
        </is>
      </c>
      <c r="C629" s="3" t="inlineStr">
        <is>
          <t>001236</t>
        </is>
      </c>
      <c r="D629" s="4" t="n">
        <v>45681</v>
      </c>
      <c r="E629" s="2" t="inlineStr">
        <is>
          <t>15:36</t>
        </is>
      </c>
      <c r="F629" s="5" t="n">
        <v>49.92</v>
      </c>
      <c r="G629" s="5" t="n"/>
      <c r="H629" s="5" t="n"/>
      <c r="I629" s="5" t="n"/>
      <c r="J629" s="5" t="n">
        <v>9.98</v>
      </c>
      <c r="K629" s="5" t="n"/>
      <c r="L629" s="5" t="n"/>
      <c r="M629" s="5" t="n"/>
      <c r="N629" s="5" t="n"/>
      <c r="O629" s="5" t="n">
        <v>59.9</v>
      </c>
      <c r="P629" s="5" t="n"/>
      <c r="Q629" s="5" t="n">
        <v>59.9</v>
      </c>
      <c r="R629" s="5" t="n"/>
    </row>
    <row r="630">
      <c r="A630" s="2" t="inlineStr">
        <is>
          <t>EJ010225.TXT</t>
        </is>
      </c>
      <c r="B630" s="3" t="inlineStr">
        <is>
          <t>001939</t>
        </is>
      </c>
      <c r="C630" s="3" t="inlineStr">
        <is>
          <t>001237</t>
        </is>
      </c>
      <c r="D630" s="4" t="n">
        <v>45682</v>
      </c>
      <c r="E630" s="2" t="inlineStr">
        <is>
          <t>16:41</t>
        </is>
      </c>
      <c r="F630" s="5" t="n">
        <v>548.33</v>
      </c>
      <c r="G630" s="5" t="n"/>
      <c r="H630" s="5" t="n"/>
      <c r="I630" s="5" t="n"/>
      <c r="J630" s="5" t="n">
        <v>109.67</v>
      </c>
      <c r="K630" s="5" t="n"/>
      <c r="L630" s="5" t="n"/>
      <c r="M630" s="5" t="n"/>
      <c r="N630" s="5" t="n"/>
      <c r="O630" s="5" t="n">
        <v>658</v>
      </c>
      <c r="P630" s="5" t="n">
        <v>658</v>
      </c>
      <c r="Q630" s="5" t="n"/>
      <c r="R630" s="5" t="n"/>
    </row>
    <row r="631">
      <c r="A631" s="2" t="inlineStr">
        <is>
          <t>EJ010225.TXT</t>
        </is>
      </c>
      <c r="B631" s="3" t="inlineStr">
        <is>
          <t>001940</t>
        </is>
      </c>
      <c r="C631" s="3" t="inlineStr">
        <is>
          <t>001238</t>
        </is>
      </c>
      <c r="D631" s="4" t="n">
        <v>45682</v>
      </c>
      <c r="E631" s="2" t="inlineStr">
        <is>
          <t>16:59</t>
        </is>
      </c>
      <c r="F631" s="5" t="n">
        <v>73.33</v>
      </c>
      <c r="G631" s="5" t="n"/>
      <c r="H631" s="5" t="n"/>
      <c r="I631" s="5" t="n"/>
      <c r="J631" s="5" t="n">
        <v>14.67</v>
      </c>
      <c r="K631" s="5" t="n"/>
      <c r="L631" s="5" t="n"/>
      <c r="M631" s="5" t="n"/>
      <c r="N631" s="5" t="n"/>
      <c r="O631" s="5" t="n">
        <v>88</v>
      </c>
      <c r="P631" s="5" t="n">
        <v>88</v>
      </c>
      <c r="Q631" s="5" t="n"/>
      <c r="R631" s="5" t="n"/>
    </row>
    <row r="632">
      <c r="A632" s="2" t="inlineStr">
        <is>
          <t>EJ010225.TXT</t>
        </is>
      </c>
      <c r="B632" s="3" t="inlineStr">
        <is>
          <t>001941</t>
        </is>
      </c>
      <c r="C632" s="3" t="inlineStr">
        <is>
          <t>001239</t>
        </is>
      </c>
      <c r="D632" s="4" t="n">
        <v>45682</v>
      </c>
      <c r="E632" s="2" t="inlineStr">
        <is>
          <t>17:48</t>
        </is>
      </c>
      <c r="F632" s="5" t="n">
        <v>347.5</v>
      </c>
      <c r="G632" s="5" t="n"/>
      <c r="H632" s="5" t="n"/>
      <c r="I632" s="5" t="n"/>
      <c r="J632" s="5" t="n">
        <v>69.5</v>
      </c>
      <c r="K632" s="5" t="n"/>
      <c r="L632" s="5" t="n"/>
      <c r="M632" s="5" t="n"/>
      <c r="N632" s="5" t="n"/>
      <c r="O632" s="5" t="n">
        <v>417</v>
      </c>
      <c r="P632" s="5" t="n">
        <v>417</v>
      </c>
      <c r="Q632" s="5" t="n"/>
      <c r="R632" s="5" t="n"/>
    </row>
    <row r="633">
      <c r="A633" s="2" t="inlineStr">
        <is>
          <t>EJ010225.TXT</t>
        </is>
      </c>
      <c r="B633" s="3" t="inlineStr">
        <is>
          <t>001942</t>
        </is>
      </c>
      <c r="C633" s="3" t="inlineStr">
        <is>
          <t>001240</t>
        </is>
      </c>
      <c r="D633" s="4" t="n">
        <v>45684</v>
      </c>
      <c r="E633" s="2" t="inlineStr">
        <is>
          <t>12:13</t>
        </is>
      </c>
      <c r="F633" s="5" t="n">
        <v>489.17</v>
      </c>
      <c r="G633" s="5" t="n"/>
      <c r="H633" s="5" t="n"/>
      <c r="I633" s="5" t="n"/>
      <c r="J633" s="5" t="n">
        <v>97.83</v>
      </c>
      <c r="K633" s="5" t="n"/>
      <c r="L633" s="5" t="n"/>
      <c r="M633" s="5" t="n"/>
      <c r="N633" s="5" t="n"/>
      <c r="O633" s="5" t="n">
        <v>587</v>
      </c>
      <c r="P633" s="5" t="n"/>
      <c r="Q633" s="5" t="n">
        <v>587</v>
      </c>
      <c r="R633" s="5" t="n"/>
    </row>
    <row r="634">
      <c r="A634" s="2" t="inlineStr">
        <is>
          <t>EJ010225.TXT</t>
        </is>
      </c>
      <c r="B634" s="3" t="inlineStr">
        <is>
          <t>001945</t>
        </is>
      </c>
      <c r="C634" s="3" t="inlineStr">
        <is>
          <t>001241</t>
        </is>
      </c>
      <c r="D634" s="4" t="n">
        <v>45685</v>
      </c>
      <c r="E634" s="2" t="inlineStr">
        <is>
          <t>11:34</t>
        </is>
      </c>
      <c r="F634" s="5" t="n">
        <v>274.17</v>
      </c>
      <c r="G634" s="5" t="n"/>
      <c r="H634" s="5" t="n"/>
      <c r="I634" s="5" t="n"/>
      <c r="J634" s="5" t="n">
        <v>54.83</v>
      </c>
      <c r="K634" s="5" t="n"/>
      <c r="L634" s="5" t="n"/>
      <c r="M634" s="5" t="n"/>
      <c r="N634" s="5" t="n"/>
      <c r="O634" s="5" t="n">
        <v>329</v>
      </c>
      <c r="P634" s="5" t="n">
        <v>329</v>
      </c>
      <c r="Q634" s="5" t="n"/>
      <c r="R634" s="5" t="n"/>
    </row>
    <row r="635">
      <c r="A635" s="2" t="inlineStr">
        <is>
          <t>EJ010225.TXT</t>
        </is>
      </c>
      <c r="B635" s="3" t="inlineStr">
        <is>
          <t>001946</t>
        </is>
      </c>
      <c r="C635" s="3" t="inlineStr">
        <is>
          <t>001242</t>
        </is>
      </c>
      <c r="D635" s="4" t="n">
        <v>45685</v>
      </c>
      <c r="E635" s="2" t="inlineStr">
        <is>
          <t>15:48</t>
        </is>
      </c>
      <c r="F635" s="5" t="n">
        <v>299.83</v>
      </c>
      <c r="G635" s="5" t="n"/>
      <c r="H635" s="5" t="n"/>
      <c r="I635" s="5" t="n"/>
      <c r="J635" s="5" t="n">
        <v>59.97</v>
      </c>
      <c r="K635" s="5" t="n"/>
      <c r="L635" s="5" t="n"/>
      <c r="M635" s="5" t="n"/>
      <c r="N635" s="5" t="n"/>
      <c r="O635" s="5" t="n">
        <v>359.8</v>
      </c>
      <c r="P635" s="5" t="n"/>
      <c r="Q635" s="5" t="n">
        <v>359.8</v>
      </c>
      <c r="R635" s="5" t="n"/>
    </row>
    <row r="636">
      <c r="A636" s="2" t="inlineStr">
        <is>
          <t>EJ010225.TXT</t>
        </is>
      </c>
      <c r="B636" s="3" t="inlineStr">
        <is>
          <t>001950</t>
        </is>
      </c>
      <c r="C636" s="3" t="inlineStr">
        <is>
          <t>001243</t>
        </is>
      </c>
      <c r="D636" s="4" t="n">
        <v>45686</v>
      </c>
      <c r="E636" s="2" t="inlineStr">
        <is>
          <t>16:28</t>
        </is>
      </c>
      <c r="F636" s="5" t="n">
        <v>49.92</v>
      </c>
      <c r="G636" s="5" t="n"/>
      <c r="H636" s="5" t="n"/>
      <c r="I636" s="5" t="n"/>
      <c r="J636" s="5" t="n">
        <v>9.98</v>
      </c>
      <c r="K636" s="5" t="n"/>
      <c r="L636" s="5" t="n"/>
      <c r="M636" s="5" t="n"/>
      <c r="N636" s="5" t="n"/>
      <c r="O636" s="5" t="n">
        <v>59.9</v>
      </c>
      <c r="P636" s="5" t="n">
        <v>59.9</v>
      </c>
      <c r="Q636" s="5" t="n"/>
      <c r="R636" s="5" t="n"/>
    </row>
    <row r="637">
      <c r="A637" s="2" t="inlineStr">
        <is>
          <t>EJ010225.TXT</t>
        </is>
      </c>
      <c r="B637" s="3" t="inlineStr">
        <is>
          <t>001951</t>
        </is>
      </c>
      <c r="C637" s="3" t="inlineStr">
        <is>
          <t>001244</t>
        </is>
      </c>
      <c r="D637" s="4" t="n">
        <v>45689</v>
      </c>
      <c r="E637" s="2" t="inlineStr">
        <is>
          <t>15:51</t>
        </is>
      </c>
      <c r="F637" s="5" t="n">
        <v>274.17</v>
      </c>
      <c r="G637" s="5" t="n"/>
      <c r="H637" s="5" t="n"/>
      <c r="I637" s="5" t="n"/>
      <c r="J637" s="5" t="n">
        <v>54.83</v>
      </c>
      <c r="K637" s="5" t="n"/>
      <c r="L637" s="5" t="n"/>
      <c r="M637" s="5" t="n"/>
      <c r="N637" s="5" t="n"/>
      <c r="O637" s="5" t="n">
        <v>329</v>
      </c>
      <c r="P637" s="5" t="n">
        <v>329</v>
      </c>
      <c r="Q637" s="5" t="n"/>
      <c r="R637" s="5" t="n"/>
    </row>
    <row r="638">
      <c r="A638" s="2" t="inlineStr">
        <is>
          <t>EJ010325.TXT</t>
        </is>
      </c>
      <c r="B638" s="3" t="inlineStr">
        <is>
          <t>001960</t>
        </is>
      </c>
      <c r="C638" s="3" t="inlineStr">
        <is>
          <t>001245</t>
        </is>
      </c>
      <c r="D638" s="4" t="n">
        <v>45695</v>
      </c>
      <c r="E638" s="2" t="inlineStr">
        <is>
          <t>15:24</t>
        </is>
      </c>
      <c r="F638" s="5" t="n">
        <v>274.17</v>
      </c>
      <c r="G638" s="5" t="n"/>
      <c r="H638" s="5" t="n"/>
      <c r="I638" s="5" t="n"/>
      <c r="J638" s="5" t="n">
        <v>54.83</v>
      </c>
      <c r="K638" s="5" t="n"/>
      <c r="L638" s="5" t="n"/>
      <c r="M638" s="5" t="n"/>
      <c r="N638" s="5" t="n"/>
      <c r="O638" s="5" t="n">
        <v>329</v>
      </c>
      <c r="P638" s="5" t="n"/>
      <c r="Q638" s="5" t="n">
        <v>329</v>
      </c>
      <c r="R638" s="5" t="n"/>
    </row>
    <row r="639">
      <c r="A639" s="2" t="inlineStr">
        <is>
          <t>EJ010325.TXT</t>
        </is>
      </c>
      <c r="B639" s="3" t="inlineStr">
        <is>
          <t>001962</t>
        </is>
      </c>
      <c r="C639" s="3" t="inlineStr">
        <is>
          <t>001246</t>
        </is>
      </c>
      <c r="D639" s="4" t="n">
        <v>45696</v>
      </c>
      <c r="E639" s="2" t="inlineStr">
        <is>
          <t>16:55</t>
        </is>
      </c>
      <c r="F639" s="5" t="n">
        <v>41.58</v>
      </c>
      <c r="G639" s="5" t="n"/>
      <c r="H639" s="5" t="n"/>
      <c r="I639" s="5" t="n"/>
      <c r="J639" s="5" t="n">
        <v>8.32</v>
      </c>
      <c r="K639" s="5" t="n"/>
      <c r="L639" s="5" t="n"/>
      <c r="M639" s="5" t="n"/>
      <c r="N639" s="5" t="n"/>
      <c r="O639" s="5" t="n">
        <v>49.9</v>
      </c>
      <c r="P639" s="5" t="n">
        <v>49.9</v>
      </c>
      <c r="Q639" s="5" t="n"/>
      <c r="R639" s="5" t="n"/>
    </row>
    <row r="640">
      <c r="A640" s="2" t="inlineStr">
        <is>
          <t>EJ010325.TXT</t>
        </is>
      </c>
      <c r="B640" s="3" t="inlineStr">
        <is>
          <t>001963</t>
        </is>
      </c>
      <c r="C640" s="3" t="inlineStr">
        <is>
          <t>001247</t>
        </is>
      </c>
      <c r="D640" s="4" t="n">
        <v>45698</v>
      </c>
      <c r="E640" s="2" t="inlineStr">
        <is>
          <t>11:23</t>
        </is>
      </c>
      <c r="F640" s="5" t="n">
        <v>274.17</v>
      </c>
      <c r="G640" s="5" t="n"/>
      <c r="H640" s="5" t="n"/>
      <c r="I640" s="5" t="n"/>
      <c r="J640" s="5" t="n">
        <v>54.83</v>
      </c>
      <c r="K640" s="5" t="n"/>
      <c r="L640" s="5" t="n"/>
      <c r="M640" s="5" t="n"/>
      <c r="N640" s="5" t="n"/>
      <c r="O640" s="5" t="n">
        <v>329</v>
      </c>
      <c r="P640" s="5" t="n"/>
      <c r="Q640" s="5" t="n">
        <v>329</v>
      </c>
      <c r="R640" s="5" t="n"/>
    </row>
    <row r="641">
      <c r="A641" s="2" t="inlineStr">
        <is>
          <t>EJ010325.TXT</t>
        </is>
      </c>
      <c r="B641" s="3" t="inlineStr">
        <is>
          <t>001964</t>
        </is>
      </c>
      <c r="C641" s="3" t="inlineStr">
        <is>
          <t>001248</t>
        </is>
      </c>
      <c r="D641" s="4" t="n">
        <v>45698</v>
      </c>
      <c r="E641" s="2" t="inlineStr">
        <is>
          <t>13:35</t>
        </is>
      </c>
      <c r="F641" s="5" t="n">
        <v>830</v>
      </c>
      <c r="G641" s="5" t="n"/>
      <c r="H641" s="5" t="n"/>
      <c r="I641" s="5" t="n"/>
      <c r="J641" s="5" t="n">
        <v>166</v>
      </c>
      <c r="K641" s="5" t="n"/>
      <c r="L641" s="5" t="n"/>
      <c r="M641" s="5" t="n"/>
      <c r="N641" s="5" t="n"/>
      <c r="O641" s="5" t="n">
        <v>996</v>
      </c>
      <c r="P641" s="5" t="n"/>
      <c r="Q641" s="5" t="n">
        <v>996</v>
      </c>
      <c r="R641" s="5" t="n"/>
    </row>
    <row r="642">
      <c r="A642" s="2" t="inlineStr">
        <is>
          <t>EJ010325.TXT</t>
        </is>
      </c>
      <c r="B642" s="3" t="inlineStr">
        <is>
          <t>001965</t>
        </is>
      </c>
      <c r="C642" s="3" t="inlineStr">
        <is>
          <t>001249</t>
        </is>
      </c>
      <c r="D642" s="4" t="n">
        <v>45699</v>
      </c>
      <c r="E642" s="2" t="inlineStr">
        <is>
          <t>16:48</t>
        </is>
      </c>
      <c r="F642" s="5" t="n">
        <v>57.5</v>
      </c>
      <c r="G642" s="5" t="n"/>
      <c r="H642" s="5" t="n"/>
      <c r="I642" s="5" t="n"/>
      <c r="J642" s="5" t="n">
        <v>11.5</v>
      </c>
      <c r="K642" s="5" t="n"/>
      <c r="L642" s="5" t="n"/>
      <c r="M642" s="5" t="n"/>
      <c r="N642" s="5" t="n"/>
      <c r="O642" s="5" t="n">
        <v>69</v>
      </c>
      <c r="P642" s="5" t="n"/>
      <c r="Q642" s="5" t="n">
        <v>69</v>
      </c>
      <c r="R642" s="5" t="n"/>
    </row>
    <row r="643">
      <c r="A643" s="2" t="inlineStr">
        <is>
          <t>EJ010325.TXT</t>
        </is>
      </c>
      <c r="B643" s="3" t="inlineStr">
        <is>
          <t>001968</t>
        </is>
      </c>
      <c r="C643" s="3" t="inlineStr">
        <is>
          <t>001250</t>
        </is>
      </c>
      <c r="D643" s="4" t="n">
        <v>45701</v>
      </c>
      <c r="E643" s="2" t="inlineStr">
        <is>
          <t>11:18</t>
        </is>
      </c>
      <c r="F643" s="5" t="n">
        <v>274.17</v>
      </c>
      <c r="G643" s="5" t="n"/>
      <c r="H643" s="5" t="n"/>
      <c r="I643" s="5" t="n"/>
      <c r="J643" s="5" t="n">
        <v>54.83</v>
      </c>
      <c r="K643" s="5" t="n"/>
      <c r="L643" s="5" t="n"/>
      <c r="M643" s="5" t="n"/>
      <c r="N643" s="5" t="n"/>
      <c r="O643" s="5" t="n">
        <v>329</v>
      </c>
      <c r="P643" s="5" t="n"/>
      <c r="Q643" s="5" t="n">
        <v>329</v>
      </c>
      <c r="R643" s="5" t="n"/>
    </row>
    <row r="644">
      <c r="A644" s="2" t="inlineStr">
        <is>
          <t>EJ010325.TXT</t>
        </is>
      </c>
      <c r="B644" s="3" t="inlineStr">
        <is>
          <t>001969</t>
        </is>
      </c>
      <c r="C644" s="3" t="inlineStr">
        <is>
          <t>001251</t>
        </is>
      </c>
      <c r="D644" s="4" t="n">
        <v>45703</v>
      </c>
      <c r="E644" s="2" t="inlineStr">
        <is>
          <t>14:16</t>
        </is>
      </c>
      <c r="F644" s="5" t="n">
        <v>124.17</v>
      </c>
      <c r="G644" s="5" t="n"/>
      <c r="H644" s="5" t="n"/>
      <c r="I644" s="5" t="n"/>
      <c r="J644" s="5" t="n">
        <v>24.83</v>
      </c>
      <c r="K644" s="5" t="n"/>
      <c r="L644" s="5" t="n"/>
      <c r="M644" s="5" t="n"/>
      <c r="N644" s="5" t="n"/>
      <c r="O644" s="5" t="n">
        <v>149</v>
      </c>
      <c r="P644" s="5" t="n"/>
      <c r="Q644" s="5" t="n">
        <v>149</v>
      </c>
      <c r="R644" s="5" t="n"/>
    </row>
    <row r="645">
      <c r="A645" s="2" t="inlineStr">
        <is>
          <t>EJ010325.TXT</t>
        </is>
      </c>
      <c r="B645" s="3" t="inlineStr">
        <is>
          <t>001971</t>
        </is>
      </c>
      <c r="C645" s="3" t="inlineStr">
        <is>
          <t>001252</t>
        </is>
      </c>
      <c r="D645" s="4" t="n">
        <v>45703</v>
      </c>
      <c r="E645" s="2" t="inlineStr">
        <is>
          <t>17:35</t>
        </is>
      </c>
      <c r="F645" s="5" t="n">
        <v>398.33</v>
      </c>
      <c r="G645" s="5" t="n"/>
      <c r="H645" s="5" t="n"/>
      <c r="I645" s="5" t="n"/>
      <c r="J645" s="5" t="n">
        <v>79.67</v>
      </c>
      <c r="K645" s="5" t="n"/>
      <c r="L645" s="5" t="n"/>
      <c r="M645" s="5" t="n"/>
      <c r="N645" s="5" t="n"/>
      <c r="O645" s="5" t="n">
        <v>478</v>
      </c>
      <c r="P645" s="5" t="n">
        <v>478</v>
      </c>
      <c r="Q645" s="5" t="n"/>
      <c r="R645" s="5" t="n"/>
    </row>
    <row r="646">
      <c r="A646" s="2" t="inlineStr">
        <is>
          <t>EJ010325.TXT</t>
        </is>
      </c>
      <c r="B646" s="3" t="inlineStr">
        <is>
          <t>001973</t>
        </is>
      </c>
      <c r="C646" s="3" t="inlineStr">
        <is>
          <t>001253</t>
        </is>
      </c>
      <c r="D646" s="4" t="n">
        <v>45705</v>
      </c>
      <c r="E646" s="2" t="inlineStr">
        <is>
          <t>13:42</t>
        </is>
      </c>
      <c r="F646" s="5" t="n">
        <v>548.33</v>
      </c>
      <c r="G646" s="5" t="n"/>
      <c r="H646" s="5" t="n"/>
      <c r="I646" s="5" t="n"/>
      <c r="J646" s="5" t="n">
        <v>109.67</v>
      </c>
      <c r="K646" s="5" t="n"/>
      <c r="L646" s="5" t="n"/>
      <c r="M646" s="5" t="n"/>
      <c r="N646" s="5" t="n"/>
      <c r="O646" s="5" t="n">
        <v>658</v>
      </c>
      <c r="P646" s="5" t="n">
        <v>658</v>
      </c>
      <c r="Q646" s="5" t="n"/>
      <c r="R646" s="5" t="n"/>
    </row>
    <row r="647">
      <c r="A647" s="2" t="inlineStr">
        <is>
          <t>EJ010325.TXT</t>
        </is>
      </c>
      <c r="B647" s="3" t="inlineStr">
        <is>
          <t>001974</t>
        </is>
      </c>
      <c r="C647" s="3" t="inlineStr">
        <is>
          <t>001254</t>
        </is>
      </c>
      <c r="D647" s="4" t="n">
        <v>45707</v>
      </c>
      <c r="E647" s="2" t="inlineStr">
        <is>
          <t>13:56</t>
        </is>
      </c>
      <c r="F647" s="5" t="n">
        <v>274.17</v>
      </c>
      <c r="G647" s="5" t="n"/>
      <c r="H647" s="5" t="n"/>
      <c r="I647" s="5" t="n"/>
      <c r="J647" s="5" t="n">
        <v>54.83</v>
      </c>
      <c r="K647" s="5" t="n"/>
      <c r="L647" s="5" t="n"/>
      <c r="M647" s="5" t="n"/>
      <c r="N647" s="5" t="n"/>
      <c r="O647" s="5" t="n">
        <v>329</v>
      </c>
      <c r="P647" s="5" t="n"/>
      <c r="Q647" s="5" t="n">
        <v>329</v>
      </c>
      <c r="R647" s="5" t="n"/>
    </row>
    <row r="648">
      <c r="A648" s="2" t="inlineStr">
        <is>
          <t>EJ010325.TXT</t>
        </is>
      </c>
      <c r="B648" s="3" t="inlineStr">
        <is>
          <t>001975</t>
        </is>
      </c>
      <c r="C648" s="3" t="inlineStr">
        <is>
          <t>001255</t>
        </is>
      </c>
      <c r="D648" s="4" t="n">
        <v>45710</v>
      </c>
      <c r="E648" s="2" t="inlineStr">
        <is>
          <t>17:57</t>
        </is>
      </c>
      <c r="F648" s="5" t="n">
        <v>49.92</v>
      </c>
      <c r="G648" s="5" t="n"/>
      <c r="H648" s="5" t="n"/>
      <c r="I648" s="5" t="n"/>
      <c r="J648" s="5" t="n">
        <v>9.98</v>
      </c>
      <c r="K648" s="5" t="n"/>
      <c r="L648" s="5" t="n"/>
      <c r="M648" s="5" t="n"/>
      <c r="N648" s="5" t="n"/>
      <c r="O648" s="5" t="n">
        <v>59.9</v>
      </c>
      <c r="P648" s="5" t="n">
        <v>59.9</v>
      </c>
      <c r="Q648" s="5" t="n"/>
      <c r="R648" s="5" t="n"/>
    </row>
    <row r="649">
      <c r="A649" s="2" t="inlineStr">
        <is>
          <t>EJ010325.TXT</t>
        </is>
      </c>
      <c r="B649" s="3" t="inlineStr">
        <is>
          <t>001976</t>
        </is>
      </c>
      <c r="C649" s="3" t="inlineStr">
        <is>
          <t>001256</t>
        </is>
      </c>
      <c r="D649" s="4" t="n">
        <v>45714</v>
      </c>
      <c r="E649" s="2" t="inlineStr">
        <is>
          <t>16:49</t>
        </is>
      </c>
      <c r="F649" s="5" t="n">
        <v>395</v>
      </c>
      <c r="G649" s="5" t="n"/>
      <c r="H649" s="5" t="n"/>
      <c r="I649" s="5" t="n"/>
      <c r="J649" s="5" t="n">
        <v>79</v>
      </c>
      <c r="K649" s="5" t="n"/>
      <c r="L649" s="5" t="n"/>
      <c r="M649" s="5" t="n"/>
      <c r="N649" s="5" t="n"/>
      <c r="O649" s="5" t="n">
        <v>474</v>
      </c>
      <c r="P649" s="5" t="n">
        <v>474</v>
      </c>
      <c r="Q649" s="5" t="n"/>
      <c r="R649" s="5" t="n"/>
    </row>
    <row r="650">
      <c r="A650" s="2" t="inlineStr">
        <is>
          <t>EJ010325.TXT</t>
        </is>
      </c>
      <c r="B650" s="3" t="inlineStr">
        <is>
          <t>001979</t>
        </is>
      </c>
      <c r="C650" s="3" t="inlineStr">
        <is>
          <t>001257</t>
        </is>
      </c>
      <c r="D650" s="4" t="n">
        <v>45716</v>
      </c>
      <c r="E650" s="2" t="inlineStr">
        <is>
          <t>14:59</t>
        </is>
      </c>
      <c r="F650" s="5" t="n">
        <v>274.17</v>
      </c>
      <c r="G650" s="5" t="n"/>
      <c r="H650" s="5" t="n"/>
      <c r="I650" s="5" t="n"/>
      <c r="J650" s="5" t="n">
        <v>54.83</v>
      </c>
      <c r="K650" s="5" t="n"/>
      <c r="L650" s="5" t="n"/>
      <c r="M650" s="5" t="n"/>
      <c r="N650" s="5" t="n"/>
      <c r="O650" s="5" t="n">
        <v>329</v>
      </c>
      <c r="P650" s="5" t="n">
        <v>329</v>
      </c>
      <c r="Q650" s="5" t="n"/>
      <c r="R650" s="5" t="n"/>
    </row>
    <row r="651">
      <c r="A651" s="2" t="inlineStr">
        <is>
          <t>EJ010425.TXT</t>
        </is>
      </c>
      <c r="B651" s="3" t="inlineStr">
        <is>
          <t>001991</t>
        </is>
      </c>
      <c r="C651" s="3" t="inlineStr">
        <is>
          <t>001258</t>
        </is>
      </c>
      <c r="D651" s="4" t="n">
        <v>45723</v>
      </c>
      <c r="E651" s="2" t="inlineStr">
        <is>
          <t>15:21</t>
        </is>
      </c>
      <c r="F651" s="5" t="n">
        <v>199.17</v>
      </c>
      <c r="G651" s="5" t="n"/>
      <c r="H651" s="5" t="n"/>
      <c r="I651" s="5" t="n"/>
      <c r="J651" s="5" t="n">
        <v>39.83</v>
      </c>
      <c r="K651" s="5" t="n"/>
      <c r="L651" s="5" t="n"/>
      <c r="M651" s="5" t="n"/>
      <c r="N651" s="5" t="n"/>
      <c r="O651" s="5" t="n">
        <v>239</v>
      </c>
      <c r="P651" s="5" t="n">
        <v>239</v>
      </c>
      <c r="Q651" s="5" t="n"/>
      <c r="R651" s="5" t="n"/>
    </row>
    <row r="652">
      <c r="A652" s="2" t="inlineStr">
        <is>
          <t>EJ010425.TXT</t>
        </is>
      </c>
      <c r="B652" s="3" t="inlineStr">
        <is>
          <t>001992</t>
        </is>
      </c>
      <c r="C652" s="3" t="inlineStr">
        <is>
          <t>001259</t>
        </is>
      </c>
      <c r="D652" s="4" t="n">
        <v>45728</v>
      </c>
      <c r="E652" s="2" t="inlineStr">
        <is>
          <t>15:03</t>
        </is>
      </c>
      <c r="F652" s="5" t="n">
        <v>123.25</v>
      </c>
      <c r="G652" s="5" t="n"/>
      <c r="H652" s="5" t="n"/>
      <c r="I652" s="5" t="n"/>
      <c r="J652" s="5" t="n">
        <v>24.65</v>
      </c>
      <c r="K652" s="5" t="n"/>
      <c r="L652" s="5" t="n"/>
      <c r="M652" s="5" t="n"/>
      <c r="N652" s="5" t="n"/>
      <c r="O652" s="5" t="n">
        <v>147.9</v>
      </c>
      <c r="P652" s="5" t="n">
        <v>147.9</v>
      </c>
      <c r="Q652" s="5" t="n"/>
      <c r="R652" s="5" t="n"/>
    </row>
    <row r="653">
      <c r="A653" s="2" t="inlineStr">
        <is>
          <t>EJ010425.TXT</t>
        </is>
      </c>
      <c r="B653" s="3" t="inlineStr">
        <is>
          <t>001993</t>
        </is>
      </c>
      <c r="C653" s="3" t="inlineStr">
        <is>
          <t>001260</t>
        </is>
      </c>
      <c r="D653" s="4" t="n">
        <v>45729</v>
      </c>
      <c r="E653" s="2" t="inlineStr">
        <is>
          <t>12:01</t>
        </is>
      </c>
      <c r="F653" s="5" t="n">
        <v>41.58</v>
      </c>
      <c r="G653" s="5" t="n"/>
      <c r="H653" s="5" t="n"/>
      <c r="I653" s="5" t="n"/>
      <c r="J653" s="5" t="n">
        <v>8.32</v>
      </c>
      <c r="K653" s="5" t="n"/>
      <c r="L653" s="5" t="n"/>
      <c r="M653" s="5" t="n"/>
      <c r="N653" s="5" t="n"/>
      <c r="O653" s="5" t="n">
        <v>49.9</v>
      </c>
      <c r="P653" s="5" t="n">
        <v>49.9</v>
      </c>
      <c r="Q653" s="5" t="n"/>
      <c r="R653" s="5" t="n"/>
    </row>
    <row r="654">
      <c r="A654" s="2" t="inlineStr">
        <is>
          <t>EJ010425.TXT</t>
        </is>
      </c>
      <c r="B654" s="3" t="inlineStr">
        <is>
          <t>001994</t>
        </is>
      </c>
      <c r="C654" s="3" t="inlineStr">
        <is>
          <t>001261</t>
        </is>
      </c>
      <c r="D654" s="4" t="n">
        <v>45729</v>
      </c>
      <c r="E654" s="2" t="inlineStr">
        <is>
          <t>14:51</t>
        </is>
      </c>
      <c r="F654" s="5" t="n">
        <v>274.17</v>
      </c>
      <c r="G654" s="5" t="n"/>
      <c r="H654" s="5" t="n"/>
      <c r="I654" s="5" t="n"/>
      <c r="J654" s="5" t="n">
        <v>54.83</v>
      </c>
      <c r="K654" s="5" t="n"/>
      <c r="L654" s="5" t="n"/>
      <c r="M654" s="5" t="n"/>
      <c r="N654" s="5" t="n"/>
      <c r="O654" s="5" t="n">
        <v>329</v>
      </c>
      <c r="P654" s="5" t="n">
        <v>329</v>
      </c>
      <c r="Q654" s="5" t="n"/>
      <c r="R654" s="5" t="n"/>
    </row>
    <row r="655">
      <c r="A655" s="2" t="inlineStr">
        <is>
          <t>EJ010425.TXT</t>
        </is>
      </c>
      <c r="B655" s="3" t="inlineStr">
        <is>
          <t>001995</t>
        </is>
      </c>
      <c r="C655" s="3" t="inlineStr">
        <is>
          <t>001262</t>
        </is>
      </c>
      <c r="D655" s="4" t="n">
        <v>45730</v>
      </c>
      <c r="E655" s="2" t="inlineStr">
        <is>
          <t>16:44</t>
        </is>
      </c>
      <c r="F655" s="5" t="n">
        <v>548.33</v>
      </c>
      <c r="G655" s="5" t="n"/>
      <c r="H655" s="5" t="n"/>
      <c r="I655" s="5" t="n"/>
      <c r="J655" s="5" t="n">
        <v>109.67</v>
      </c>
      <c r="K655" s="5" t="n"/>
      <c r="L655" s="5" t="n"/>
      <c r="M655" s="5" t="n"/>
      <c r="N655" s="5" t="n"/>
      <c r="O655" s="5" t="n">
        <v>658</v>
      </c>
      <c r="P655" s="5" t="n">
        <v>658</v>
      </c>
      <c r="Q655" s="5" t="n"/>
      <c r="R655" s="5" t="n"/>
    </row>
    <row r="656">
      <c r="A656" s="2" t="inlineStr">
        <is>
          <t>EJ010425.TXT</t>
        </is>
      </c>
      <c r="B656" s="3" t="inlineStr">
        <is>
          <t>001997</t>
        </is>
      </c>
      <c r="C656" s="3" t="inlineStr">
        <is>
          <t>001263</t>
        </is>
      </c>
      <c r="D656" s="4" t="n">
        <v>45731</v>
      </c>
      <c r="E656" s="2" t="inlineStr">
        <is>
          <t>17:33</t>
        </is>
      </c>
      <c r="F656" s="5" t="n">
        <v>124.17</v>
      </c>
      <c r="G656" s="5" t="n"/>
      <c r="H656" s="5" t="n"/>
      <c r="I656" s="5" t="n"/>
      <c r="J656" s="5" t="n">
        <v>24.83</v>
      </c>
      <c r="K656" s="5" t="n"/>
      <c r="L656" s="5" t="n"/>
      <c r="M656" s="5" t="n"/>
      <c r="N656" s="5" t="n"/>
      <c r="O656" s="5" t="n">
        <v>149</v>
      </c>
      <c r="P656" s="5" t="n">
        <v>149</v>
      </c>
      <c r="Q656" s="5" t="n"/>
      <c r="R656" s="5" t="n"/>
    </row>
    <row r="657">
      <c r="A657" s="2" t="inlineStr">
        <is>
          <t>EJ010425.TXT</t>
        </is>
      </c>
      <c r="B657" s="3" t="inlineStr">
        <is>
          <t>001998</t>
        </is>
      </c>
      <c r="C657" s="3" t="inlineStr">
        <is>
          <t>001264</t>
        </is>
      </c>
      <c r="D657" s="4" t="n">
        <v>45731</v>
      </c>
      <c r="E657" s="2" t="inlineStr">
        <is>
          <t>17:39</t>
        </is>
      </c>
      <c r="F657" s="5" t="n">
        <v>274.17</v>
      </c>
      <c r="G657" s="5" t="n"/>
      <c r="H657" s="5" t="n"/>
      <c r="I657" s="5" t="n"/>
      <c r="J657" s="5" t="n">
        <v>54.83</v>
      </c>
      <c r="K657" s="5" t="n"/>
      <c r="L657" s="5" t="n"/>
      <c r="M657" s="5" t="n"/>
      <c r="N657" s="5" t="n"/>
      <c r="O657" s="5" t="n">
        <v>329</v>
      </c>
      <c r="P657" s="5" t="n"/>
      <c r="Q657" s="5" t="n">
        <v>329</v>
      </c>
      <c r="R657" s="5" t="n"/>
    </row>
    <row r="658">
      <c r="A658" s="2" t="inlineStr">
        <is>
          <t>EJ010425.TXT</t>
        </is>
      </c>
      <c r="B658" s="3" t="inlineStr">
        <is>
          <t>001999</t>
        </is>
      </c>
      <c r="C658" s="3" t="inlineStr">
        <is>
          <t>001265</t>
        </is>
      </c>
      <c r="D658" s="4" t="n">
        <v>45731</v>
      </c>
      <c r="E658" s="2" t="inlineStr">
        <is>
          <t>17:58</t>
        </is>
      </c>
      <c r="F658" s="5" t="n">
        <v>1195.83</v>
      </c>
      <c r="G658" s="5" t="n"/>
      <c r="H658" s="5" t="n"/>
      <c r="I658" s="5" t="n"/>
      <c r="J658" s="5" t="n">
        <v>239.17</v>
      </c>
      <c r="K658" s="5" t="n"/>
      <c r="L658" s="5" t="n"/>
      <c r="M658" s="5" t="n"/>
      <c r="N658" s="5" t="n"/>
      <c r="O658" s="5" t="n">
        <v>1435</v>
      </c>
      <c r="P658" s="5" t="n">
        <v>1435</v>
      </c>
      <c r="Q658" s="5" t="n"/>
      <c r="R658" s="5" t="n"/>
    </row>
    <row r="659">
      <c r="A659" s="2" t="inlineStr">
        <is>
          <t>EJ010425.TXT</t>
        </is>
      </c>
      <c r="B659" s="3" t="inlineStr">
        <is>
          <t>002000</t>
        </is>
      </c>
      <c r="C659" s="3" t="inlineStr">
        <is>
          <t>001266</t>
        </is>
      </c>
      <c r="D659" s="4" t="n">
        <v>45736</v>
      </c>
      <c r="E659" s="2" t="inlineStr">
        <is>
          <t>16:21</t>
        </is>
      </c>
      <c r="F659" s="5" t="n">
        <v>36.67</v>
      </c>
      <c r="G659" s="5" t="n"/>
      <c r="H659" s="5" t="n"/>
      <c r="I659" s="5" t="n"/>
      <c r="J659" s="5" t="n">
        <v>7.33</v>
      </c>
      <c r="K659" s="5" t="n"/>
      <c r="L659" s="5" t="n"/>
      <c r="M659" s="5" t="n"/>
      <c r="N659" s="5" t="n"/>
      <c r="O659" s="5" t="n">
        <v>44</v>
      </c>
      <c r="P659" s="5" t="n">
        <v>44</v>
      </c>
      <c r="Q659" s="5" t="n"/>
      <c r="R659" s="5" t="n"/>
    </row>
    <row r="660">
      <c r="A660" s="2" t="inlineStr">
        <is>
          <t>EJ010425.TXT</t>
        </is>
      </c>
      <c r="B660" s="3" t="inlineStr">
        <is>
          <t>002001</t>
        </is>
      </c>
      <c r="C660" s="3" t="inlineStr">
        <is>
          <t>001267</t>
        </is>
      </c>
      <c r="D660" s="4" t="n">
        <v>45737</v>
      </c>
      <c r="E660" s="2" t="inlineStr">
        <is>
          <t>11:01</t>
        </is>
      </c>
      <c r="F660" s="5" t="n">
        <v>73.33</v>
      </c>
      <c r="G660" s="5" t="n"/>
      <c r="H660" s="5" t="n"/>
      <c r="I660" s="5" t="n"/>
      <c r="J660" s="5" t="n">
        <v>14.67</v>
      </c>
      <c r="K660" s="5" t="n"/>
      <c r="L660" s="5" t="n"/>
      <c r="M660" s="5" t="n"/>
      <c r="N660" s="5" t="n"/>
      <c r="O660" s="5" t="n">
        <v>88</v>
      </c>
      <c r="P660" s="5" t="n">
        <v>88</v>
      </c>
      <c r="Q660" s="5" t="n"/>
      <c r="R660" s="5" t="n"/>
    </row>
    <row r="661">
      <c r="A661" s="2" t="inlineStr">
        <is>
          <t>EJ010425.TXT</t>
        </is>
      </c>
      <c r="B661" s="3" t="inlineStr">
        <is>
          <t>002002</t>
        </is>
      </c>
      <c r="C661" s="3" t="inlineStr">
        <is>
          <t>001268</t>
        </is>
      </c>
      <c r="D661" s="4" t="n">
        <v>45738</v>
      </c>
      <c r="E661" s="2" t="inlineStr">
        <is>
          <t>13:59</t>
        </is>
      </c>
      <c r="F661" s="5" t="n">
        <v>146.67</v>
      </c>
      <c r="G661" s="5" t="n"/>
      <c r="H661" s="5" t="n"/>
      <c r="I661" s="5" t="n"/>
      <c r="J661" s="5" t="n">
        <v>29.33</v>
      </c>
      <c r="K661" s="5" t="n"/>
      <c r="L661" s="5" t="n"/>
      <c r="M661" s="5" t="n"/>
      <c r="N661" s="5" t="n"/>
      <c r="O661" s="5" t="n">
        <v>176</v>
      </c>
      <c r="P661" s="5" t="n"/>
      <c r="Q661" s="5" t="n">
        <v>176</v>
      </c>
      <c r="R661" s="5" t="n"/>
    </row>
    <row r="662">
      <c r="A662" s="2" t="inlineStr">
        <is>
          <t>EJ010425.TXT</t>
        </is>
      </c>
      <c r="B662" s="3" t="inlineStr">
        <is>
          <t>002003</t>
        </is>
      </c>
      <c r="C662" s="3" t="inlineStr">
        <is>
          <t>001269</t>
        </is>
      </c>
      <c r="D662" s="4" t="n">
        <v>45743</v>
      </c>
      <c r="E662" s="2" t="inlineStr">
        <is>
          <t>12:55</t>
        </is>
      </c>
      <c r="F662" s="5" t="n">
        <v>174.08</v>
      </c>
      <c r="G662" s="5" t="n"/>
      <c r="H662" s="5" t="n"/>
      <c r="I662" s="5" t="n"/>
      <c r="J662" s="5" t="n">
        <v>34.82</v>
      </c>
      <c r="K662" s="5" t="n"/>
      <c r="L662" s="5" t="n"/>
      <c r="M662" s="5" t="n"/>
      <c r="N662" s="5" t="n"/>
      <c r="O662" s="5" t="n">
        <v>208.9</v>
      </c>
      <c r="P662" s="5" t="n">
        <v>208.9</v>
      </c>
      <c r="Q662" s="5" t="n"/>
      <c r="R662" s="5" t="n"/>
    </row>
    <row r="663">
      <c r="A663" s="2" t="inlineStr">
        <is>
          <t>EJ020525.TXT</t>
        </is>
      </c>
      <c r="B663" s="3" t="inlineStr">
        <is>
          <t>002007</t>
        </is>
      </c>
      <c r="C663" s="3" t="inlineStr">
        <is>
          <t>001270</t>
        </is>
      </c>
      <c r="D663" s="4" t="n">
        <v>45748</v>
      </c>
      <c r="E663" s="2" t="inlineStr">
        <is>
          <t>17:04</t>
        </is>
      </c>
      <c r="F663" s="5" t="n">
        <v>822.5</v>
      </c>
      <c r="G663" s="5" t="n"/>
      <c r="H663" s="5" t="n"/>
      <c r="I663" s="5" t="n"/>
      <c r="J663" s="5" t="n">
        <v>164.5</v>
      </c>
      <c r="K663" s="5" t="n"/>
      <c r="L663" s="5" t="n"/>
      <c r="M663" s="5" t="n"/>
      <c r="N663" s="5" t="n"/>
      <c r="O663" s="5" t="n">
        <v>987</v>
      </c>
      <c r="P663" s="5" t="n"/>
      <c r="Q663" s="5" t="n">
        <v>987</v>
      </c>
      <c r="R663" s="5" t="n"/>
    </row>
    <row r="664">
      <c r="A664" s="2" t="inlineStr">
        <is>
          <t>EJ020525.TXT</t>
        </is>
      </c>
      <c r="B664" s="3" t="inlineStr">
        <is>
          <t>002012</t>
        </is>
      </c>
      <c r="C664" s="3" t="inlineStr">
        <is>
          <t>001271</t>
        </is>
      </c>
      <c r="D664" s="4" t="n">
        <v>45749</v>
      </c>
      <c r="E664" s="2" t="inlineStr">
        <is>
          <t>14:28</t>
        </is>
      </c>
      <c r="F664" s="5" t="n">
        <v>797.5</v>
      </c>
      <c r="G664" s="5" t="n"/>
      <c r="H664" s="5" t="n"/>
      <c r="I664" s="5" t="n"/>
      <c r="J664" s="5" t="n">
        <v>159.5</v>
      </c>
      <c r="K664" s="5" t="n"/>
      <c r="L664" s="5" t="n"/>
      <c r="M664" s="5" t="n"/>
      <c r="N664" s="5" t="n"/>
      <c r="O664" s="5" t="n">
        <v>957</v>
      </c>
      <c r="P664" s="5" t="n"/>
      <c r="Q664" s="5" t="n">
        <v>957</v>
      </c>
      <c r="R664" s="5" t="n"/>
    </row>
    <row r="665">
      <c r="A665" s="2" t="inlineStr">
        <is>
          <t>EJ020525.TXT</t>
        </is>
      </c>
      <c r="B665" s="3" t="inlineStr">
        <is>
          <t>002014</t>
        </is>
      </c>
      <c r="C665" s="3" t="inlineStr">
        <is>
          <t>001272</t>
        </is>
      </c>
      <c r="D665" s="4" t="n">
        <v>45751</v>
      </c>
      <c r="E665" s="2" t="inlineStr">
        <is>
          <t>10:29</t>
        </is>
      </c>
      <c r="F665" s="5" t="n">
        <v>548.33</v>
      </c>
      <c r="G665" s="5" t="n"/>
      <c r="H665" s="5" t="n"/>
      <c r="I665" s="5" t="n"/>
      <c r="J665" s="5" t="n">
        <v>109.67</v>
      </c>
      <c r="K665" s="5" t="n"/>
      <c r="L665" s="5" t="n"/>
      <c r="M665" s="5" t="n"/>
      <c r="N665" s="5" t="n"/>
      <c r="O665" s="5" t="n">
        <v>658</v>
      </c>
      <c r="P665" s="5" t="n">
        <v>658</v>
      </c>
      <c r="Q665" s="5" t="n"/>
      <c r="R665" s="5" t="n"/>
    </row>
    <row r="666">
      <c r="A666" s="2" t="inlineStr">
        <is>
          <t>EJ020525.TXT</t>
        </is>
      </c>
      <c r="B666" s="3" t="inlineStr">
        <is>
          <t>002017</t>
        </is>
      </c>
      <c r="C666" s="3" t="inlineStr">
        <is>
          <t>001273</t>
        </is>
      </c>
      <c r="D666" s="4" t="n">
        <v>45755</v>
      </c>
      <c r="E666" s="2" t="inlineStr">
        <is>
          <t>13:37</t>
        </is>
      </c>
      <c r="F666" s="5" t="n">
        <v>781.67</v>
      </c>
      <c r="G666" s="5" t="n"/>
      <c r="H666" s="5" t="n"/>
      <c r="I666" s="5" t="n"/>
      <c r="J666" s="5" t="n">
        <v>156.33</v>
      </c>
      <c r="K666" s="5" t="n"/>
      <c r="L666" s="5" t="n"/>
      <c r="M666" s="5" t="n"/>
      <c r="N666" s="5" t="n"/>
      <c r="O666" s="5" t="n">
        <v>938</v>
      </c>
      <c r="P666" s="5" t="n"/>
      <c r="Q666" s="5" t="n">
        <v>938</v>
      </c>
      <c r="R666" s="5" t="n"/>
    </row>
    <row r="667">
      <c r="A667" s="2" t="inlineStr">
        <is>
          <t>EJ020525.TXT</t>
        </is>
      </c>
      <c r="B667" s="3" t="inlineStr">
        <is>
          <t>002018</t>
        </is>
      </c>
      <c r="C667" s="3" t="inlineStr">
        <is>
          <t>001274</t>
        </is>
      </c>
      <c r="D667" s="4" t="n">
        <v>45756</v>
      </c>
      <c r="E667" s="2" t="inlineStr">
        <is>
          <t>12:38</t>
        </is>
      </c>
      <c r="F667" s="5" t="n">
        <v>57.5</v>
      </c>
      <c r="G667" s="5" t="n"/>
      <c r="H667" s="5" t="n"/>
      <c r="I667" s="5" t="n"/>
      <c r="J667" s="5" t="n">
        <v>11.5</v>
      </c>
      <c r="K667" s="5" t="n"/>
      <c r="L667" s="5" t="n"/>
      <c r="M667" s="5" t="n"/>
      <c r="N667" s="5" t="n"/>
      <c r="O667" s="5" t="n">
        <v>69</v>
      </c>
      <c r="P667" s="5" t="n">
        <v>69</v>
      </c>
      <c r="Q667" s="5" t="n"/>
      <c r="R667" s="5" t="n"/>
    </row>
    <row r="668">
      <c r="A668" s="2" t="inlineStr">
        <is>
          <t>EJ020525.TXT</t>
        </is>
      </c>
      <c r="B668" s="3" t="inlineStr">
        <is>
          <t>002019</t>
        </is>
      </c>
      <c r="C668" s="3" t="inlineStr">
        <is>
          <t>001275</t>
        </is>
      </c>
      <c r="D668" s="4" t="n">
        <v>45757</v>
      </c>
      <c r="E668" s="2" t="inlineStr">
        <is>
          <t>12:01</t>
        </is>
      </c>
      <c r="F668" s="5" t="n">
        <v>274.17</v>
      </c>
      <c r="G668" s="5" t="n"/>
      <c r="H668" s="5" t="n"/>
      <c r="I668" s="5" t="n"/>
      <c r="J668" s="5" t="n">
        <v>54.83</v>
      </c>
      <c r="K668" s="5" t="n"/>
      <c r="L668" s="5" t="n"/>
      <c r="M668" s="5" t="n"/>
      <c r="N668" s="5" t="n"/>
      <c r="O668" s="5" t="n">
        <v>329</v>
      </c>
      <c r="P668" s="5" t="n"/>
      <c r="Q668" s="5" t="n">
        <v>329</v>
      </c>
      <c r="R668" s="5" t="n"/>
    </row>
    <row r="669">
      <c r="A669" s="2" t="inlineStr">
        <is>
          <t>EJ020525.TXT</t>
        </is>
      </c>
      <c r="B669" s="3" t="inlineStr">
        <is>
          <t>002021</t>
        </is>
      </c>
      <c r="C669" s="3" t="inlineStr">
        <is>
          <t>001276</t>
        </is>
      </c>
      <c r="D669" s="4" t="n">
        <v>45757</v>
      </c>
      <c r="E669" s="2" t="inlineStr">
        <is>
          <t>15:43</t>
        </is>
      </c>
      <c r="F669" s="5" t="n">
        <v>274.17</v>
      </c>
      <c r="G669" s="5" t="n"/>
      <c r="H669" s="5" t="n"/>
      <c r="I669" s="5" t="n"/>
      <c r="J669" s="5" t="n">
        <v>54.83</v>
      </c>
      <c r="K669" s="5" t="n"/>
      <c r="L669" s="5" t="n"/>
      <c r="M669" s="5" t="n"/>
      <c r="N669" s="5" t="n"/>
      <c r="O669" s="5" t="n">
        <v>329</v>
      </c>
      <c r="P669" s="5" t="n">
        <v>329</v>
      </c>
      <c r="Q669" s="5" t="n"/>
      <c r="R669" s="5" t="n"/>
    </row>
    <row r="670">
      <c r="A670" s="2" t="inlineStr">
        <is>
          <t>EJ020525.TXT</t>
        </is>
      </c>
      <c r="B670" s="3" t="inlineStr">
        <is>
          <t>002022</t>
        </is>
      </c>
      <c r="C670" s="3" t="inlineStr">
        <is>
          <t>001277</t>
        </is>
      </c>
      <c r="D670" s="4" t="n">
        <v>45758</v>
      </c>
      <c r="E670" s="2" t="inlineStr">
        <is>
          <t>13:52</t>
        </is>
      </c>
      <c r="F670" s="5" t="n">
        <v>274.17</v>
      </c>
      <c r="G670" s="5" t="n"/>
      <c r="H670" s="5" t="n"/>
      <c r="I670" s="5" t="n"/>
      <c r="J670" s="5" t="n">
        <v>54.83</v>
      </c>
      <c r="K670" s="5" t="n"/>
      <c r="L670" s="5" t="n"/>
      <c r="M670" s="5" t="n"/>
      <c r="N670" s="5" t="n"/>
      <c r="O670" s="5" t="n">
        <v>329</v>
      </c>
      <c r="P670" s="5" t="n">
        <v>329</v>
      </c>
      <c r="Q670" s="5" t="n"/>
      <c r="R670" s="5" t="n"/>
    </row>
    <row r="671">
      <c r="A671" s="2" t="inlineStr">
        <is>
          <t>EJ020525.TXT</t>
        </is>
      </c>
      <c r="B671" s="3" t="inlineStr">
        <is>
          <t>002023</t>
        </is>
      </c>
      <c r="C671" s="3" t="inlineStr">
        <is>
          <t>001278</t>
        </is>
      </c>
      <c r="D671" s="4" t="n">
        <v>45761</v>
      </c>
      <c r="E671" s="2" t="inlineStr">
        <is>
          <t>09:40</t>
        </is>
      </c>
      <c r="F671" s="5" t="n">
        <v>726.67</v>
      </c>
      <c r="G671" s="5" t="n"/>
      <c r="H671" s="5" t="n"/>
      <c r="I671" s="5" t="n"/>
      <c r="J671" s="5" t="n">
        <v>145.33</v>
      </c>
      <c r="K671" s="5" t="n"/>
      <c r="L671" s="5" t="n"/>
      <c r="M671" s="5" t="n"/>
      <c r="N671" s="5" t="n"/>
      <c r="O671" s="5" t="n">
        <v>872</v>
      </c>
      <c r="P671" s="5" t="n"/>
      <c r="Q671" s="5" t="n">
        <v>872</v>
      </c>
      <c r="R671" s="5" t="n"/>
    </row>
    <row r="672">
      <c r="A672" s="2" t="inlineStr">
        <is>
          <t>EJ020525.TXT</t>
        </is>
      </c>
      <c r="B672" s="3" t="inlineStr">
        <is>
          <t>002024</t>
        </is>
      </c>
      <c r="C672" s="3" t="inlineStr">
        <is>
          <t>001279</t>
        </is>
      </c>
      <c r="D672" s="4" t="n">
        <v>45761</v>
      </c>
      <c r="E672" s="2" t="inlineStr">
        <is>
          <t>16:51</t>
        </is>
      </c>
      <c r="F672" s="5" t="n">
        <v>398.33</v>
      </c>
      <c r="G672" s="5" t="n"/>
      <c r="H672" s="5" t="n"/>
      <c r="I672" s="5" t="n"/>
      <c r="J672" s="5" t="n">
        <v>79.67</v>
      </c>
      <c r="K672" s="5" t="n"/>
      <c r="L672" s="5" t="n"/>
      <c r="M672" s="5" t="n"/>
      <c r="N672" s="5" t="n"/>
      <c r="O672" s="5" t="n">
        <v>478</v>
      </c>
      <c r="P672" s="5" t="n">
        <v>478</v>
      </c>
      <c r="Q672" s="5" t="n"/>
      <c r="R672" s="5" t="n"/>
    </row>
    <row r="673">
      <c r="A673" s="2" t="inlineStr">
        <is>
          <t>EJ020525.TXT</t>
        </is>
      </c>
      <c r="B673" s="3" t="inlineStr">
        <is>
          <t>002025</t>
        </is>
      </c>
      <c r="C673" s="3" t="inlineStr">
        <is>
          <t>001280</t>
        </is>
      </c>
      <c r="D673" s="4" t="n">
        <v>45762</v>
      </c>
      <c r="E673" s="2" t="inlineStr">
        <is>
          <t>11:52</t>
        </is>
      </c>
      <c r="F673" s="5" t="n">
        <v>548.33</v>
      </c>
      <c r="G673" s="5" t="n"/>
      <c r="H673" s="5" t="n"/>
      <c r="I673" s="5" t="n"/>
      <c r="J673" s="5" t="n">
        <v>109.67</v>
      </c>
      <c r="K673" s="5" t="n"/>
      <c r="L673" s="5" t="n"/>
      <c r="M673" s="5" t="n"/>
      <c r="N673" s="5" t="n"/>
      <c r="O673" s="5" t="n">
        <v>658</v>
      </c>
      <c r="P673" s="5" t="n"/>
      <c r="Q673" s="5" t="n">
        <v>658</v>
      </c>
      <c r="R673" s="5" t="n"/>
    </row>
    <row r="674">
      <c r="A674" s="2" t="inlineStr">
        <is>
          <t>EJ020525.TXT</t>
        </is>
      </c>
      <c r="B674" s="3" t="inlineStr">
        <is>
          <t>002028</t>
        </is>
      </c>
      <c r="C674" s="3" t="inlineStr">
        <is>
          <t>001281</t>
        </is>
      </c>
      <c r="D674" s="4" t="n">
        <v>45763</v>
      </c>
      <c r="E674" s="2" t="inlineStr">
        <is>
          <t>09:19</t>
        </is>
      </c>
      <c r="F674" s="5" t="n">
        <v>790.83</v>
      </c>
      <c r="G674" s="5" t="n"/>
      <c r="H674" s="5" t="n"/>
      <c r="I674" s="5" t="n"/>
      <c r="J674" s="5" t="n">
        <v>158.17</v>
      </c>
      <c r="K674" s="5" t="n"/>
      <c r="L674" s="5" t="n"/>
      <c r="M674" s="5" t="n"/>
      <c r="N674" s="5" t="n"/>
      <c r="O674" s="5" t="n">
        <v>949</v>
      </c>
      <c r="P674" s="5" t="n"/>
      <c r="Q674" s="5" t="n">
        <v>949</v>
      </c>
      <c r="R674" s="5" t="n"/>
    </row>
    <row r="675">
      <c r="A675" s="2" t="inlineStr">
        <is>
          <t>EJ020525.TXT</t>
        </is>
      </c>
      <c r="B675" s="3" t="inlineStr">
        <is>
          <t>002029</t>
        </is>
      </c>
      <c r="C675" s="3" t="inlineStr">
        <is>
          <t>001282</t>
        </is>
      </c>
      <c r="D675" s="4" t="n">
        <v>45764</v>
      </c>
      <c r="E675" s="2" t="inlineStr">
        <is>
          <t>11:57</t>
        </is>
      </c>
      <c r="F675" s="5" t="n">
        <v>73.33</v>
      </c>
      <c r="G675" s="5" t="n"/>
      <c r="H675" s="5" t="n"/>
      <c r="I675" s="5" t="n"/>
      <c r="J675" s="5" t="n">
        <v>14.67</v>
      </c>
      <c r="K675" s="5" t="n"/>
      <c r="L675" s="5" t="n"/>
      <c r="M675" s="5" t="n"/>
      <c r="N675" s="5" t="n"/>
      <c r="O675" s="5" t="n">
        <v>88</v>
      </c>
      <c r="P675" s="5" t="n">
        <v>88</v>
      </c>
      <c r="Q675" s="5" t="n"/>
      <c r="R675" s="5" t="n"/>
    </row>
    <row r="676">
      <c r="A676" s="2" t="inlineStr">
        <is>
          <t>EJ020525.TXT</t>
        </is>
      </c>
      <c r="B676" s="3" t="inlineStr">
        <is>
          <t>002031</t>
        </is>
      </c>
      <c r="C676" s="3" t="inlineStr">
        <is>
          <t>001283</t>
        </is>
      </c>
      <c r="D676" s="4" t="n">
        <v>45766</v>
      </c>
      <c r="E676" s="2" t="inlineStr">
        <is>
          <t>13:51</t>
        </is>
      </c>
      <c r="F676" s="5" t="n">
        <v>248.33</v>
      </c>
      <c r="G676" s="5" t="n"/>
      <c r="H676" s="5" t="n"/>
      <c r="I676" s="5" t="n"/>
      <c r="J676" s="5" t="n">
        <v>49.67</v>
      </c>
      <c r="K676" s="5" t="n"/>
      <c r="L676" s="5" t="n"/>
      <c r="M676" s="5" t="n"/>
      <c r="N676" s="5" t="n"/>
      <c r="O676" s="5" t="n">
        <v>298</v>
      </c>
      <c r="P676" s="5" t="n">
        <v>298</v>
      </c>
      <c r="Q676" s="5" t="n"/>
      <c r="R676" s="5" t="n"/>
    </row>
    <row r="677">
      <c r="A677" s="2" t="inlineStr">
        <is>
          <t>EJ020525.TXT</t>
        </is>
      </c>
      <c r="B677" s="3" t="inlineStr">
        <is>
          <t>002032</t>
        </is>
      </c>
      <c r="C677" s="3" t="inlineStr">
        <is>
          <t>001284</t>
        </is>
      </c>
      <c r="D677" s="4" t="n">
        <v>45769</v>
      </c>
      <c r="E677" s="2" t="inlineStr">
        <is>
          <t>09:22</t>
        </is>
      </c>
      <c r="F677" s="5" t="n">
        <v>783.33</v>
      </c>
      <c r="G677" s="5" t="n"/>
      <c r="H677" s="5" t="n"/>
      <c r="I677" s="5" t="n"/>
      <c r="J677" s="5" t="n">
        <v>156.67</v>
      </c>
      <c r="K677" s="5" t="n"/>
      <c r="L677" s="5" t="n"/>
      <c r="M677" s="5" t="n"/>
      <c r="N677" s="5" t="n"/>
      <c r="O677" s="5" t="n">
        <v>940</v>
      </c>
      <c r="P677" s="5" t="n"/>
      <c r="Q677" s="5" t="n">
        <v>940</v>
      </c>
      <c r="R677" s="5" t="n"/>
    </row>
    <row r="678">
      <c r="A678" s="2" t="inlineStr">
        <is>
          <t>EJ020525.TXT</t>
        </is>
      </c>
      <c r="B678" s="3" t="inlineStr">
        <is>
          <t>002036</t>
        </is>
      </c>
      <c r="C678" s="3" t="inlineStr">
        <is>
          <t>001285</t>
        </is>
      </c>
      <c r="D678" s="4" t="n">
        <v>45772</v>
      </c>
      <c r="E678" s="2" t="inlineStr">
        <is>
          <t>16:45</t>
        </is>
      </c>
      <c r="F678" s="5" t="n">
        <v>724.17</v>
      </c>
      <c r="G678" s="5" t="n"/>
      <c r="H678" s="5" t="n"/>
      <c r="I678" s="5" t="n"/>
      <c r="J678" s="5" t="n">
        <v>144.83</v>
      </c>
      <c r="K678" s="5" t="n"/>
      <c r="L678" s="5" t="n"/>
      <c r="M678" s="5" t="n"/>
      <c r="N678" s="5" t="n"/>
      <c r="O678" s="5" t="n">
        <v>869</v>
      </c>
      <c r="P678" s="5" t="n"/>
      <c r="Q678" s="5" t="n">
        <v>869</v>
      </c>
      <c r="R678" s="5" t="n"/>
    </row>
    <row r="679">
      <c r="A679" s="2" t="inlineStr">
        <is>
          <t>EJ020525.TXT</t>
        </is>
      </c>
      <c r="B679" s="3" t="inlineStr">
        <is>
          <t>002037</t>
        </is>
      </c>
      <c r="C679" s="3" t="inlineStr">
        <is>
          <t>001286</t>
        </is>
      </c>
      <c r="D679" s="4" t="n">
        <v>45773</v>
      </c>
      <c r="E679" s="2" t="inlineStr">
        <is>
          <t>13:11</t>
        </is>
      </c>
      <c r="F679" s="5" t="n">
        <v>822.5</v>
      </c>
      <c r="G679" s="5" t="n"/>
      <c r="H679" s="5" t="n"/>
      <c r="I679" s="5" t="n"/>
      <c r="J679" s="5" t="n">
        <v>164.5</v>
      </c>
      <c r="K679" s="5" t="n"/>
      <c r="L679" s="5" t="n"/>
      <c r="M679" s="5" t="n"/>
      <c r="N679" s="5" t="n"/>
      <c r="O679" s="5" t="n">
        <v>987</v>
      </c>
      <c r="P679" s="5" t="n"/>
      <c r="Q679" s="5" t="n">
        <v>987</v>
      </c>
      <c r="R679" s="5" t="n"/>
    </row>
    <row r="680">
      <c r="A680" s="2" t="inlineStr">
        <is>
          <t>EJ020525.TXT</t>
        </is>
      </c>
      <c r="B680" s="3" t="inlineStr">
        <is>
          <t>002038</t>
        </is>
      </c>
      <c r="C680" s="3" t="inlineStr">
        <is>
          <t>001287</t>
        </is>
      </c>
      <c r="D680" s="4" t="n">
        <v>45775</v>
      </c>
      <c r="E680" s="2" t="inlineStr">
        <is>
          <t>10:28</t>
        </is>
      </c>
      <c r="F680" s="5" t="n">
        <v>548.33</v>
      </c>
      <c r="G680" s="5" t="n"/>
      <c r="H680" s="5" t="n"/>
      <c r="I680" s="5" t="n"/>
      <c r="J680" s="5" t="n">
        <v>109.67</v>
      </c>
      <c r="K680" s="5" t="n"/>
      <c r="L680" s="5" t="n"/>
      <c r="M680" s="5" t="n"/>
      <c r="N680" s="5" t="n"/>
      <c r="O680" s="5" t="n">
        <v>658</v>
      </c>
      <c r="P680" s="5" t="n"/>
      <c r="Q680" s="5" t="n">
        <v>658</v>
      </c>
      <c r="R680" s="5" t="n"/>
    </row>
    <row r="681">
      <c r="A681" s="2" t="inlineStr">
        <is>
          <t>EJ020525.TXT</t>
        </is>
      </c>
      <c r="B681" s="3" t="inlineStr">
        <is>
          <t>002039</t>
        </is>
      </c>
      <c r="C681" s="3" t="inlineStr">
        <is>
          <t>001288</t>
        </is>
      </c>
      <c r="D681" s="4" t="n">
        <v>45776</v>
      </c>
      <c r="E681" s="2" t="inlineStr">
        <is>
          <t>16:20</t>
        </is>
      </c>
      <c r="F681" s="5" t="n">
        <v>1096.67</v>
      </c>
      <c r="G681" s="5" t="n"/>
      <c r="H681" s="5" t="n"/>
      <c r="I681" s="5" t="n"/>
      <c r="J681" s="5" t="n">
        <v>219.33</v>
      </c>
      <c r="K681" s="5" t="n"/>
      <c r="L681" s="5" t="n"/>
      <c r="M681" s="5" t="n"/>
      <c r="N681" s="5" t="n"/>
      <c r="O681" s="5" t="n">
        <v>1316</v>
      </c>
      <c r="P681" s="5" t="n">
        <v>1316</v>
      </c>
      <c r="Q681" s="5" t="n"/>
      <c r="R681" s="5" t="n"/>
    </row>
    <row r="682">
      <c r="A682" s="2" t="inlineStr">
        <is>
          <t>EJ020525.TXT</t>
        </is>
      </c>
      <c r="B682" s="3" t="inlineStr">
        <is>
          <t>002040</t>
        </is>
      </c>
      <c r="C682" s="3" t="inlineStr">
        <is>
          <t>001289</t>
        </is>
      </c>
      <c r="D682" s="4" t="n">
        <v>45777</v>
      </c>
      <c r="E682" s="2" t="inlineStr">
        <is>
          <t>08:48</t>
        </is>
      </c>
      <c r="F682" s="5" t="n">
        <v>405</v>
      </c>
      <c r="G682" s="5" t="n"/>
      <c r="H682" s="5" t="n"/>
      <c r="I682" s="5" t="n"/>
      <c r="J682" s="5" t="n">
        <v>81</v>
      </c>
      <c r="K682" s="5" t="n"/>
      <c r="L682" s="5" t="n"/>
      <c r="M682" s="5" t="n"/>
      <c r="N682" s="5" t="n"/>
      <c r="O682" s="5" t="n">
        <v>486</v>
      </c>
      <c r="P682" s="5" t="n"/>
      <c r="Q682" s="5" t="n">
        <v>486</v>
      </c>
      <c r="R682" s="5" t="n"/>
    </row>
    <row r="683">
      <c r="A683" s="2" t="inlineStr">
        <is>
          <t>EJ020625.TXT</t>
        </is>
      </c>
      <c r="B683" s="3" t="inlineStr">
        <is>
          <t>002045</t>
        </is>
      </c>
      <c r="C683" s="3" t="inlineStr">
        <is>
          <t>001290</t>
        </is>
      </c>
      <c r="D683" s="4" t="n">
        <v>45779</v>
      </c>
      <c r="E683" s="2" t="inlineStr">
        <is>
          <t>09:50</t>
        </is>
      </c>
      <c r="F683" s="5" t="n">
        <v>265.83</v>
      </c>
      <c r="G683" s="5" t="n"/>
      <c r="H683" s="5" t="n"/>
      <c r="I683" s="5" t="n"/>
      <c r="J683" s="5" t="n">
        <v>53.17</v>
      </c>
      <c r="K683" s="5" t="n"/>
      <c r="L683" s="5" t="n"/>
      <c r="M683" s="5" t="n"/>
      <c r="N683" s="5" t="n"/>
      <c r="O683" s="5" t="n">
        <v>319</v>
      </c>
      <c r="P683" s="5" t="n"/>
      <c r="Q683" s="5" t="n">
        <v>319</v>
      </c>
      <c r="R683" s="5" t="n"/>
    </row>
    <row r="684">
      <c r="A684" s="2" t="inlineStr">
        <is>
          <t>EJ020625.TXT</t>
        </is>
      </c>
      <c r="B684" s="3" t="inlineStr">
        <is>
          <t>002047</t>
        </is>
      </c>
      <c r="C684" s="3" t="inlineStr">
        <is>
          <t>001291</t>
        </is>
      </c>
      <c r="D684" s="4" t="n">
        <v>45779</v>
      </c>
      <c r="E684" s="2" t="inlineStr">
        <is>
          <t>16:26</t>
        </is>
      </c>
      <c r="F684" s="5" t="n">
        <v>293.33</v>
      </c>
      <c r="G684" s="5" t="n"/>
      <c r="H684" s="5" t="n"/>
      <c r="I684" s="5" t="n"/>
      <c r="J684" s="5" t="n">
        <v>58.67</v>
      </c>
      <c r="K684" s="5" t="n"/>
      <c r="L684" s="5" t="n"/>
      <c r="M684" s="5" t="n"/>
      <c r="N684" s="5" t="n"/>
      <c r="O684" s="5" t="n">
        <v>352</v>
      </c>
      <c r="P684" s="5" t="n">
        <v>352</v>
      </c>
      <c r="Q684" s="5" t="n"/>
      <c r="R684" s="5" t="n"/>
    </row>
    <row r="685">
      <c r="A685" s="2" t="inlineStr">
        <is>
          <t>EJ020625.TXT</t>
        </is>
      </c>
      <c r="B685" s="3" t="inlineStr">
        <is>
          <t>002048</t>
        </is>
      </c>
      <c r="C685" s="3" t="inlineStr">
        <is>
          <t>001292</t>
        </is>
      </c>
      <c r="D685" s="4" t="n">
        <v>45782</v>
      </c>
      <c r="E685" s="2" t="inlineStr">
        <is>
          <t>13:29</t>
        </is>
      </c>
      <c r="F685" s="5" t="n">
        <v>33.33</v>
      </c>
      <c r="G685" s="5" t="n"/>
      <c r="H685" s="5" t="n"/>
      <c r="I685" s="5" t="n"/>
      <c r="J685" s="5" t="n">
        <v>6.67</v>
      </c>
      <c r="K685" s="5" t="n"/>
      <c r="L685" s="5" t="n"/>
      <c r="M685" s="5" t="n"/>
      <c r="N685" s="5" t="n"/>
      <c r="O685" s="5" t="n">
        <v>40</v>
      </c>
      <c r="P685" s="5" t="n"/>
      <c r="Q685" s="5" t="n"/>
      <c r="R685" s="5" t="n">
        <v>40</v>
      </c>
    </row>
    <row r="686">
      <c r="A686" s="2" t="inlineStr">
        <is>
          <t>EJ020625.TXT</t>
        </is>
      </c>
      <c r="B686" s="3" t="inlineStr">
        <is>
          <t>002049</t>
        </is>
      </c>
      <c r="C686" s="3" t="inlineStr">
        <is>
          <t>001293</t>
        </is>
      </c>
      <c r="D686" s="4" t="n">
        <v>45786</v>
      </c>
      <c r="E686" s="2" t="inlineStr">
        <is>
          <t>12:49</t>
        </is>
      </c>
      <c r="F686" s="5" t="n">
        <v>73.33</v>
      </c>
      <c r="G686" s="5" t="n"/>
      <c r="H686" s="5" t="n"/>
      <c r="I686" s="5" t="n"/>
      <c r="J686" s="5" t="n">
        <v>14.67</v>
      </c>
      <c r="K686" s="5" t="n"/>
      <c r="L686" s="5" t="n"/>
      <c r="M686" s="5" t="n"/>
      <c r="N686" s="5" t="n"/>
      <c r="O686" s="5" t="n">
        <v>88</v>
      </c>
      <c r="P686" s="5" t="n">
        <v>88</v>
      </c>
      <c r="Q686" s="5" t="n"/>
      <c r="R686" s="5" t="n"/>
    </row>
    <row r="687">
      <c r="A687" s="2" t="inlineStr">
        <is>
          <t>EJ020625.TXT</t>
        </is>
      </c>
      <c r="B687" s="3" t="inlineStr">
        <is>
          <t>002057</t>
        </is>
      </c>
      <c r="C687" s="3" t="inlineStr">
        <is>
          <t>001294</t>
        </is>
      </c>
      <c r="D687" s="4" t="n">
        <v>45792</v>
      </c>
      <c r="E687" s="2" t="inlineStr">
        <is>
          <t>16:08</t>
        </is>
      </c>
      <c r="F687" s="5" t="n">
        <v>465.83</v>
      </c>
      <c r="G687" s="5" t="n"/>
      <c r="H687" s="5" t="n"/>
      <c r="I687" s="5" t="n"/>
      <c r="J687" s="5" t="n">
        <v>93.17</v>
      </c>
      <c r="K687" s="5" t="n"/>
      <c r="L687" s="5" t="n"/>
      <c r="M687" s="5" t="n"/>
      <c r="N687" s="5" t="n"/>
      <c r="O687" s="5" t="n">
        <v>559</v>
      </c>
      <c r="P687" s="5" t="n"/>
      <c r="Q687" s="5" t="n">
        <v>559</v>
      </c>
      <c r="R687" s="5" t="n"/>
    </row>
    <row r="688">
      <c r="A688" s="2" t="inlineStr">
        <is>
          <t>EJ020625.TXT</t>
        </is>
      </c>
      <c r="B688" s="3" t="inlineStr">
        <is>
          <t>002058</t>
        </is>
      </c>
      <c r="C688" s="3" t="inlineStr">
        <is>
          <t>001295</t>
        </is>
      </c>
      <c r="D688" s="4" t="n">
        <v>45792</v>
      </c>
      <c r="E688" s="2" t="inlineStr">
        <is>
          <t>16:08</t>
        </is>
      </c>
      <c r="F688" s="5" t="n">
        <v>465.83</v>
      </c>
      <c r="G688" s="5" t="n"/>
      <c r="H688" s="5" t="n"/>
      <c r="I688" s="5" t="n"/>
      <c r="J688" s="5" t="n">
        <v>93.17</v>
      </c>
      <c r="K688" s="5" t="n"/>
      <c r="L688" s="5" t="n"/>
      <c r="M688" s="5" t="n"/>
      <c r="N688" s="5" t="n"/>
      <c r="O688" s="5" t="n">
        <v>559</v>
      </c>
      <c r="P688" s="5" t="n"/>
      <c r="Q688" s="5" t="n">
        <v>559</v>
      </c>
      <c r="R688" s="5" t="n"/>
    </row>
    <row r="689">
      <c r="A689" s="2" t="inlineStr">
        <is>
          <t>EJ020625.TXT</t>
        </is>
      </c>
      <c r="B689" s="3" t="inlineStr">
        <is>
          <t>002059</t>
        </is>
      </c>
      <c r="C689" s="3" t="inlineStr">
        <is>
          <t>001296</t>
        </is>
      </c>
      <c r="D689" s="4" t="n">
        <v>45793</v>
      </c>
      <c r="E689" s="2" t="inlineStr">
        <is>
          <t>09:50</t>
        </is>
      </c>
      <c r="F689" s="5" t="n">
        <v>36.67</v>
      </c>
      <c r="G689" s="5" t="n"/>
      <c r="H689" s="5" t="n"/>
      <c r="I689" s="5" t="n"/>
      <c r="J689" s="5" t="n">
        <v>7.33</v>
      </c>
      <c r="K689" s="5" t="n"/>
      <c r="L689" s="5" t="n"/>
      <c r="M689" s="5" t="n"/>
      <c r="N689" s="5" t="n"/>
      <c r="O689" s="5" t="n">
        <v>44</v>
      </c>
      <c r="P689" s="5" t="n">
        <v>44</v>
      </c>
      <c r="Q689" s="5" t="n"/>
      <c r="R689" s="5" t="n"/>
    </row>
    <row r="690">
      <c r="A690" s="2" t="inlineStr">
        <is>
          <t>EJ020625.TXT</t>
        </is>
      </c>
      <c r="B690" s="3" t="inlineStr">
        <is>
          <t>002060</t>
        </is>
      </c>
      <c r="C690" s="3" t="inlineStr">
        <is>
          <t>001297</t>
        </is>
      </c>
      <c r="D690" s="4" t="n">
        <v>45793</v>
      </c>
      <c r="E690" s="2" t="inlineStr">
        <is>
          <t>14:48</t>
        </is>
      </c>
      <c r="F690" s="5" t="n">
        <v>274.17</v>
      </c>
      <c r="G690" s="5" t="n"/>
      <c r="H690" s="5" t="n"/>
      <c r="I690" s="5" t="n"/>
      <c r="J690" s="5" t="n">
        <v>54.83</v>
      </c>
      <c r="K690" s="5" t="n"/>
      <c r="L690" s="5" t="n"/>
      <c r="M690" s="5" t="n"/>
      <c r="N690" s="5" t="n"/>
      <c r="O690" s="5" t="n">
        <v>329</v>
      </c>
      <c r="P690" s="5" t="n"/>
      <c r="Q690" s="5" t="n">
        <v>329</v>
      </c>
      <c r="R690" s="5" t="n"/>
    </row>
    <row r="691">
      <c r="A691" s="2" t="inlineStr">
        <is>
          <t>EJ020625.TXT</t>
        </is>
      </c>
      <c r="B691" s="3" t="inlineStr">
        <is>
          <t>002062</t>
        </is>
      </c>
      <c r="C691" s="3" t="inlineStr">
        <is>
          <t>001298</t>
        </is>
      </c>
      <c r="D691" s="4" t="n">
        <v>45794</v>
      </c>
      <c r="E691" s="2" t="inlineStr">
        <is>
          <t>14:04</t>
        </is>
      </c>
      <c r="F691" s="5" t="n">
        <v>274.17</v>
      </c>
      <c r="G691" s="5" t="n"/>
      <c r="H691" s="5" t="n"/>
      <c r="I691" s="5" t="n"/>
      <c r="J691" s="5" t="n">
        <v>54.83</v>
      </c>
      <c r="K691" s="5" t="n"/>
      <c r="L691" s="5" t="n"/>
      <c r="M691" s="5" t="n"/>
      <c r="N691" s="5" t="n"/>
      <c r="O691" s="5" t="n">
        <v>329</v>
      </c>
      <c r="P691" s="5" t="n">
        <v>329</v>
      </c>
      <c r="Q691" s="5" t="n"/>
      <c r="R691" s="5" t="n"/>
    </row>
    <row r="692">
      <c r="A692" s="2" t="inlineStr">
        <is>
          <t>EJ020625.TXT</t>
        </is>
      </c>
      <c r="B692" s="3" t="inlineStr">
        <is>
          <t>002063</t>
        </is>
      </c>
      <c r="C692" s="3" t="inlineStr">
        <is>
          <t>001299</t>
        </is>
      </c>
      <c r="D692" s="4" t="n">
        <v>45796</v>
      </c>
      <c r="E692" s="2" t="inlineStr">
        <is>
          <t>16:20</t>
        </is>
      </c>
      <c r="F692" s="5" t="n">
        <v>41.58</v>
      </c>
      <c r="G692" s="5" t="n"/>
      <c r="H692" s="5" t="n"/>
      <c r="I692" s="5" t="n"/>
      <c r="J692" s="5" t="n">
        <v>8.32</v>
      </c>
      <c r="K692" s="5" t="n"/>
      <c r="L692" s="5" t="n"/>
      <c r="M692" s="5" t="n"/>
      <c r="N692" s="5" t="n"/>
      <c r="O692" s="5" t="n">
        <v>49.9</v>
      </c>
      <c r="P692" s="5" t="n">
        <v>49.9</v>
      </c>
      <c r="Q692" s="5" t="n"/>
      <c r="R692" s="5" t="n"/>
    </row>
    <row r="693">
      <c r="A693" s="2" t="inlineStr">
        <is>
          <t>EJ020625.TXT</t>
        </is>
      </c>
      <c r="B693" s="3" t="inlineStr">
        <is>
          <t>002064</t>
        </is>
      </c>
      <c r="C693" s="3" t="inlineStr">
        <is>
          <t>001300</t>
        </is>
      </c>
      <c r="D693" s="4" t="n">
        <v>45797</v>
      </c>
      <c r="E693" s="2" t="inlineStr">
        <is>
          <t>14:19</t>
        </is>
      </c>
      <c r="F693" s="5" t="n">
        <v>207.5</v>
      </c>
      <c r="G693" s="5" t="n"/>
      <c r="H693" s="5" t="n"/>
      <c r="I693" s="5" t="n"/>
      <c r="J693" s="5" t="n">
        <v>41.5</v>
      </c>
      <c r="K693" s="5" t="n"/>
      <c r="L693" s="5" t="n"/>
      <c r="M693" s="5" t="n"/>
      <c r="N693" s="5" t="n"/>
      <c r="O693" s="5" t="n">
        <v>249</v>
      </c>
      <c r="P693" s="5" t="n">
        <v>249</v>
      </c>
      <c r="Q693" s="5" t="n"/>
      <c r="R693" s="5" t="n"/>
    </row>
    <row r="694">
      <c r="A694" s="2" t="inlineStr">
        <is>
          <t>EJ020625.TXT</t>
        </is>
      </c>
      <c r="B694" s="3" t="inlineStr">
        <is>
          <t>002067</t>
        </is>
      </c>
      <c r="C694" s="3" t="inlineStr">
        <is>
          <t>001301</t>
        </is>
      </c>
      <c r="D694" s="4" t="n">
        <v>45803</v>
      </c>
      <c r="E694" s="2" t="inlineStr">
        <is>
          <t>08:55</t>
        </is>
      </c>
      <c r="F694" s="5" t="n">
        <v>548.33</v>
      </c>
      <c r="G694" s="5" t="n"/>
      <c r="H694" s="5" t="n"/>
      <c r="I694" s="5" t="n"/>
      <c r="J694" s="5" t="n">
        <v>109.67</v>
      </c>
      <c r="K694" s="5" t="n"/>
      <c r="L694" s="5" t="n"/>
      <c r="M694" s="5" t="n"/>
      <c r="N694" s="5" t="n"/>
      <c r="O694" s="5" t="n">
        <v>658</v>
      </c>
      <c r="P694" s="5" t="n"/>
      <c r="Q694" s="5" t="n">
        <v>658</v>
      </c>
      <c r="R694" s="5" t="n"/>
    </row>
    <row r="695">
      <c r="A695" s="2" t="inlineStr">
        <is>
          <t>EJ020625.TXT</t>
        </is>
      </c>
      <c r="B695" s="3" t="inlineStr">
        <is>
          <t>002068</t>
        </is>
      </c>
      <c r="C695" s="3" t="inlineStr">
        <is>
          <t>001302</t>
        </is>
      </c>
      <c r="D695" s="4" t="n">
        <v>45805</v>
      </c>
      <c r="E695" s="2" t="inlineStr">
        <is>
          <t>16:08</t>
        </is>
      </c>
      <c r="F695" s="5" t="n">
        <v>41.58</v>
      </c>
      <c r="G695" s="5" t="n"/>
      <c r="H695" s="5" t="n"/>
      <c r="I695" s="5" t="n"/>
      <c r="J695" s="5" t="n">
        <v>8.32</v>
      </c>
      <c r="K695" s="5" t="n"/>
      <c r="L695" s="5" t="n"/>
      <c r="M695" s="5" t="n"/>
      <c r="N695" s="5" t="n"/>
      <c r="O695" s="5" t="n">
        <v>49.9</v>
      </c>
      <c r="P695" s="5" t="n">
        <v>49.9</v>
      </c>
      <c r="Q695" s="5" t="n"/>
      <c r="R695" s="5" t="n"/>
    </row>
    <row r="696">
      <c r="A696" s="2" t="inlineStr">
        <is>
          <t>EJ020625.TXT</t>
        </is>
      </c>
      <c r="B696" s="3" t="inlineStr">
        <is>
          <t>002069</t>
        </is>
      </c>
      <c r="C696" s="3" t="inlineStr">
        <is>
          <t>001303</t>
        </is>
      </c>
      <c r="D696" s="4" t="n">
        <v>45807</v>
      </c>
      <c r="E696" s="2" t="inlineStr">
        <is>
          <t>16:12</t>
        </is>
      </c>
      <c r="F696" s="5" t="n">
        <v>149.92</v>
      </c>
      <c r="G696" s="5" t="n"/>
      <c r="H696" s="5" t="n"/>
      <c r="I696" s="5" t="n"/>
      <c r="J696" s="5" t="n">
        <v>29.98</v>
      </c>
      <c r="K696" s="5" t="n"/>
      <c r="L696" s="5" t="n"/>
      <c r="M696" s="5" t="n"/>
      <c r="N696" s="5" t="n"/>
      <c r="O696" s="5" t="n">
        <v>179.9</v>
      </c>
      <c r="P696" s="5" t="n">
        <v>179.9</v>
      </c>
      <c r="Q696" s="5" t="n"/>
      <c r="R696" s="5" t="n"/>
    </row>
    <row r="697">
      <c r="A697" s="2" t="inlineStr">
        <is>
          <t>EJ010825.TXT</t>
        </is>
      </c>
      <c r="B697" s="3" t="inlineStr">
        <is>
          <t>002078</t>
        </is>
      </c>
      <c r="C697" s="3" t="inlineStr">
        <is>
          <t>001304</t>
        </is>
      </c>
      <c r="D697" s="4" t="n">
        <v>45811</v>
      </c>
      <c r="E697" s="2" t="inlineStr">
        <is>
          <t>11:05</t>
        </is>
      </c>
      <c r="F697" s="5" t="n">
        <v>548.33</v>
      </c>
      <c r="G697" s="5" t="n"/>
      <c r="H697" s="5" t="n"/>
      <c r="I697" s="5" t="n"/>
      <c r="J697" s="5" t="n">
        <v>109.67</v>
      </c>
      <c r="K697" s="5" t="n"/>
      <c r="L697" s="5" t="n"/>
      <c r="M697" s="5" t="n"/>
      <c r="N697" s="5" t="n"/>
      <c r="O697" s="5" t="n">
        <v>658</v>
      </c>
      <c r="P697" s="5" t="n">
        <v>658</v>
      </c>
      <c r="Q697" s="5" t="n"/>
      <c r="R697" s="5" t="n"/>
    </row>
    <row r="698">
      <c r="A698" s="2" t="inlineStr">
        <is>
          <t>EJ010825.TXT</t>
        </is>
      </c>
      <c r="B698" s="3" t="inlineStr">
        <is>
          <t>002079</t>
        </is>
      </c>
      <c r="C698" s="3" t="inlineStr">
        <is>
          <t>001305</t>
        </is>
      </c>
      <c r="D698" s="4" t="n">
        <v>45811</v>
      </c>
      <c r="E698" s="2" t="inlineStr">
        <is>
          <t>11:37</t>
        </is>
      </c>
      <c r="F698" s="5" t="n">
        <v>49.92</v>
      </c>
      <c r="G698" s="5" t="n"/>
      <c r="H698" s="5" t="n"/>
      <c r="I698" s="5" t="n"/>
      <c r="J698" s="5" t="n">
        <v>9.98</v>
      </c>
      <c r="K698" s="5" t="n"/>
      <c r="L698" s="5" t="n"/>
      <c r="M698" s="5" t="n"/>
      <c r="N698" s="5" t="n"/>
      <c r="O698" s="5" t="n">
        <v>59.9</v>
      </c>
      <c r="P698" s="5" t="n">
        <v>59.9</v>
      </c>
      <c r="Q698" s="5" t="n"/>
      <c r="R698" s="5" t="n"/>
    </row>
    <row r="699">
      <c r="A699" s="2" t="inlineStr">
        <is>
          <t>EJ010825.TXT</t>
        </is>
      </c>
      <c r="B699" s="3" t="inlineStr">
        <is>
          <t>002080</t>
        </is>
      </c>
      <c r="C699" s="3" t="inlineStr">
        <is>
          <t>001306</t>
        </is>
      </c>
      <c r="D699" s="4" t="n">
        <v>45820</v>
      </c>
      <c r="E699" s="2" t="inlineStr">
        <is>
          <t>14:27</t>
        </is>
      </c>
      <c r="F699" s="5" t="n">
        <v>274.17</v>
      </c>
      <c r="G699" s="5" t="n"/>
      <c r="H699" s="5" t="n"/>
      <c r="I699" s="5" t="n"/>
      <c r="J699" s="5" t="n">
        <v>54.83</v>
      </c>
      <c r="K699" s="5" t="n"/>
      <c r="L699" s="5" t="n"/>
      <c r="M699" s="5" t="n"/>
      <c r="N699" s="5" t="n"/>
      <c r="O699" s="5" t="n">
        <v>329</v>
      </c>
      <c r="P699" s="5" t="n"/>
      <c r="Q699" s="5" t="n">
        <v>329</v>
      </c>
      <c r="R699" s="5" t="n"/>
    </row>
    <row r="700">
      <c r="A700" s="2" t="inlineStr">
        <is>
          <t>EJ010825.TXT</t>
        </is>
      </c>
      <c r="B700" s="3" t="inlineStr">
        <is>
          <t>002081</t>
        </is>
      </c>
      <c r="C700" s="3" t="inlineStr">
        <is>
          <t>001307</t>
        </is>
      </c>
      <c r="D700" s="4" t="n">
        <v>45820</v>
      </c>
      <c r="E700" s="2" t="inlineStr">
        <is>
          <t>16:25</t>
        </is>
      </c>
      <c r="F700" s="5" t="n">
        <v>548.33</v>
      </c>
      <c r="G700" s="5" t="n"/>
      <c r="H700" s="5" t="n"/>
      <c r="I700" s="5" t="n"/>
      <c r="J700" s="5" t="n">
        <v>109.67</v>
      </c>
      <c r="K700" s="5" t="n"/>
      <c r="L700" s="5" t="n"/>
      <c r="M700" s="5" t="n"/>
      <c r="N700" s="5" t="n"/>
      <c r="O700" s="5" t="n">
        <v>658</v>
      </c>
      <c r="P700" s="5" t="n">
        <v>658</v>
      </c>
      <c r="Q700" s="5" t="n"/>
      <c r="R700" s="5" t="n"/>
    </row>
    <row r="701">
      <c r="A701" s="2" t="inlineStr">
        <is>
          <t>EJ010825.TXT</t>
        </is>
      </c>
      <c r="B701" s="3" t="inlineStr">
        <is>
          <t>002082</t>
        </is>
      </c>
      <c r="C701" s="3" t="inlineStr">
        <is>
          <t>001308</t>
        </is>
      </c>
      <c r="D701" s="4" t="n">
        <v>45824</v>
      </c>
      <c r="E701" s="2" t="inlineStr">
        <is>
          <t>13:03</t>
        </is>
      </c>
      <c r="F701" s="5" t="n">
        <v>415</v>
      </c>
      <c r="G701" s="5" t="n"/>
      <c r="H701" s="5" t="n"/>
      <c r="I701" s="5" t="n"/>
      <c r="J701" s="5" t="n">
        <v>83</v>
      </c>
      <c r="K701" s="5" t="n"/>
      <c r="L701" s="5" t="n"/>
      <c r="M701" s="5" t="n"/>
      <c r="N701" s="5" t="n"/>
      <c r="O701" s="5" t="n">
        <v>498</v>
      </c>
      <c r="P701" s="5" t="n">
        <v>498</v>
      </c>
      <c r="Q701" s="5" t="n"/>
      <c r="R701" s="5" t="n"/>
    </row>
    <row r="702">
      <c r="A702" s="2" t="inlineStr">
        <is>
          <t>EJ010825.TXT</t>
        </is>
      </c>
      <c r="B702" s="3" t="inlineStr">
        <is>
          <t>002083</t>
        </is>
      </c>
      <c r="C702" s="3" t="inlineStr">
        <is>
          <t>001309</t>
        </is>
      </c>
      <c r="D702" s="4" t="n">
        <v>45825</v>
      </c>
      <c r="E702" s="2" t="inlineStr">
        <is>
          <t>15:58</t>
        </is>
      </c>
      <c r="F702" s="5" t="n">
        <v>274.17</v>
      </c>
      <c r="G702" s="5" t="n"/>
      <c r="H702" s="5" t="n"/>
      <c r="I702" s="5" t="n"/>
      <c r="J702" s="5" t="n">
        <v>54.83</v>
      </c>
      <c r="K702" s="5" t="n"/>
      <c r="L702" s="5" t="n"/>
      <c r="M702" s="5" t="n"/>
      <c r="N702" s="5" t="n"/>
      <c r="O702" s="5" t="n">
        <v>329</v>
      </c>
      <c r="P702" s="5" t="n"/>
      <c r="Q702" s="5" t="n">
        <v>329</v>
      </c>
      <c r="R702" s="5" t="n"/>
    </row>
    <row r="703">
      <c r="A703" s="2" t="inlineStr">
        <is>
          <t>EJ010825.TXT</t>
        </is>
      </c>
      <c r="B703" s="3" t="inlineStr">
        <is>
          <t>002084</t>
        </is>
      </c>
      <c r="C703" s="3" t="inlineStr">
        <is>
          <t>001310</t>
        </is>
      </c>
      <c r="D703" s="4" t="n">
        <v>45828</v>
      </c>
      <c r="E703" s="2" t="inlineStr">
        <is>
          <t>14:36</t>
        </is>
      </c>
      <c r="F703" s="5" t="n">
        <v>274.17</v>
      </c>
      <c r="G703" s="5" t="n"/>
      <c r="H703" s="5" t="n"/>
      <c r="I703" s="5" t="n"/>
      <c r="J703" s="5" t="n">
        <v>54.83</v>
      </c>
      <c r="K703" s="5" t="n"/>
      <c r="L703" s="5" t="n"/>
      <c r="M703" s="5" t="n"/>
      <c r="N703" s="5" t="n"/>
      <c r="O703" s="5" t="n">
        <v>329</v>
      </c>
      <c r="P703" s="5" t="n">
        <v>329</v>
      </c>
      <c r="Q703" s="5" t="n"/>
      <c r="R703" s="5" t="n"/>
    </row>
    <row r="704">
      <c r="A704" s="2" t="inlineStr">
        <is>
          <t>EJ010825.TXT</t>
        </is>
      </c>
      <c r="B704" s="3" t="inlineStr">
        <is>
          <t>002085</t>
        </is>
      </c>
      <c r="C704" s="3" t="inlineStr">
        <is>
          <t>001311</t>
        </is>
      </c>
      <c r="D704" s="4" t="n">
        <v>45835</v>
      </c>
      <c r="E704" s="2" t="inlineStr">
        <is>
          <t>09:08</t>
        </is>
      </c>
      <c r="F704" s="5" t="n">
        <v>73.33</v>
      </c>
      <c r="G704" s="5" t="n"/>
      <c r="H704" s="5" t="n"/>
      <c r="I704" s="5" t="n"/>
      <c r="J704" s="5" t="n">
        <v>14.67</v>
      </c>
      <c r="K704" s="5" t="n"/>
      <c r="L704" s="5" t="n"/>
      <c r="M704" s="5" t="n"/>
      <c r="N704" s="5" t="n"/>
      <c r="O704" s="5" t="n">
        <v>88</v>
      </c>
      <c r="P704" s="5" t="n">
        <v>88</v>
      </c>
      <c r="Q704" s="5" t="n"/>
      <c r="R704" s="5" t="n"/>
    </row>
    <row r="705">
      <c r="A705" s="2" t="inlineStr">
        <is>
          <t>EJ010825.TXT</t>
        </is>
      </c>
      <c r="B705" s="3" t="inlineStr">
        <is>
          <t>002086</t>
        </is>
      </c>
      <c r="C705" s="3" t="inlineStr">
        <is>
          <t>001312</t>
        </is>
      </c>
      <c r="D705" s="4" t="n">
        <v>45839</v>
      </c>
      <c r="E705" s="2" t="inlineStr">
        <is>
          <t>10:01</t>
        </is>
      </c>
      <c r="F705" s="5" t="n">
        <v>531.67</v>
      </c>
      <c r="G705" s="5" t="n"/>
      <c r="H705" s="5" t="n"/>
      <c r="I705" s="5" t="n"/>
      <c r="J705" s="5" t="n">
        <v>106.33</v>
      </c>
      <c r="K705" s="5" t="n"/>
      <c r="L705" s="5" t="n"/>
      <c r="M705" s="5" t="n"/>
      <c r="N705" s="5" t="n"/>
      <c r="O705" s="5" t="n">
        <v>638</v>
      </c>
      <c r="P705" s="5" t="n">
        <v>638</v>
      </c>
      <c r="Q705" s="5" t="n"/>
      <c r="R705" s="5" t="n"/>
    </row>
    <row r="706">
      <c r="A706" s="2" t="inlineStr">
        <is>
          <t>EJ010825.TXT</t>
        </is>
      </c>
      <c r="B706" s="3" t="inlineStr">
        <is>
          <t>002088</t>
        </is>
      </c>
      <c r="C706" s="3" t="inlineStr">
        <is>
          <t>001313</t>
        </is>
      </c>
      <c r="D706" s="4" t="n">
        <v>45841</v>
      </c>
      <c r="E706" s="2" t="inlineStr">
        <is>
          <t>14:15</t>
        </is>
      </c>
      <c r="F706" s="5" t="n">
        <v>248.33</v>
      </c>
      <c r="G706" s="5" t="n"/>
      <c r="H706" s="5" t="n"/>
      <c r="I706" s="5" t="n"/>
      <c r="J706" s="5" t="n">
        <v>49.67</v>
      </c>
      <c r="K706" s="5" t="n"/>
      <c r="L706" s="5" t="n"/>
      <c r="M706" s="5" t="n"/>
      <c r="N706" s="5" t="n"/>
      <c r="O706" s="5" t="n">
        <v>298</v>
      </c>
      <c r="P706" s="5" t="n"/>
      <c r="Q706" s="5" t="n">
        <v>298</v>
      </c>
      <c r="R706" s="5" t="n"/>
    </row>
    <row r="707">
      <c r="A707" s="2" t="inlineStr">
        <is>
          <t>EJ010825.TXT</t>
        </is>
      </c>
      <c r="B707" s="3" t="inlineStr">
        <is>
          <t>002089</t>
        </is>
      </c>
      <c r="C707" s="3" t="inlineStr">
        <is>
          <t>001314</t>
        </is>
      </c>
      <c r="D707" s="4" t="n">
        <v>45848</v>
      </c>
      <c r="E707" s="2" t="inlineStr">
        <is>
          <t>14:53</t>
        </is>
      </c>
      <c r="F707" s="5" t="n">
        <v>866.67</v>
      </c>
      <c r="G707" s="5" t="n"/>
      <c r="H707" s="5" t="n"/>
      <c r="I707" s="5" t="n"/>
      <c r="J707" s="5" t="n">
        <v>173.33</v>
      </c>
      <c r="K707" s="5" t="n"/>
      <c r="L707" s="5" t="n"/>
      <c r="M707" s="5" t="n"/>
      <c r="N707" s="5" t="n"/>
      <c r="O707" s="5" t="n">
        <v>1040</v>
      </c>
      <c r="P707" s="5" t="n">
        <v>1040</v>
      </c>
      <c r="Q707" s="5" t="n"/>
      <c r="R707" s="5" t="n"/>
    </row>
    <row r="708">
      <c r="A708" s="2" t="inlineStr">
        <is>
          <t>EJ010825.TXT</t>
        </is>
      </c>
      <c r="B708" s="3" t="inlineStr">
        <is>
          <t>002090</t>
        </is>
      </c>
      <c r="C708" s="3" t="inlineStr">
        <is>
          <t>001315</t>
        </is>
      </c>
      <c r="D708" s="4" t="n">
        <v>45849</v>
      </c>
      <c r="E708" s="2" t="inlineStr">
        <is>
          <t>15:57</t>
        </is>
      </c>
      <c r="F708" s="5" t="n">
        <v>274.17</v>
      </c>
      <c r="G708" s="5" t="n"/>
      <c r="H708" s="5" t="n"/>
      <c r="I708" s="5" t="n"/>
      <c r="J708" s="5" t="n">
        <v>54.83</v>
      </c>
      <c r="K708" s="5" t="n"/>
      <c r="L708" s="5" t="n"/>
      <c r="M708" s="5" t="n"/>
      <c r="N708" s="5" t="n"/>
      <c r="O708" s="5" t="n">
        <v>329</v>
      </c>
      <c r="P708" s="5" t="n">
        <v>329</v>
      </c>
      <c r="Q708" s="5" t="n"/>
      <c r="R708" s="5" t="n"/>
    </row>
    <row r="709">
      <c r="A709" s="2" t="inlineStr">
        <is>
          <t>EJ010825.TXT</t>
        </is>
      </c>
      <c r="B709" s="3" t="inlineStr">
        <is>
          <t>002092</t>
        </is>
      </c>
      <c r="C709" s="3" t="inlineStr">
        <is>
          <t>001316</t>
        </is>
      </c>
      <c r="D709" s="4" t="n">
        <v>45854</v>
      </c>
      <c r="E709" s="2" t="inlineStr">
        <is>
          <t>12:41</t>
        </is>
      </c>
      <c r="F709" s="5" t="n">
        <v>474.17</v>
      </c>
      <c r="G709" s="5" t="n"/>
      <c r="H709" s="5" t="n"/>
      <c r="I709" s="5" t="n"/>
      <c r="J709" s="5" t="n">
        <v>94.83</v>
      </c>
      <c r="K709" s="5" t="n"/>
      <c r="L709" s="5" t="n"/>
      <c r="M709" s="5" t="n"/>
      <c r="N709" s="5" t="n"/>
      <c r="O709" s="5" t="n">
        <v>569</v>
      </c>
      <c r="P709" s="5" t="n"/>
      <c r="Q709" s="5" t="n">
        <v>569</v>
      </c>
      <c r="R709" s="5" t="n"/>
    </row>
    <row r="710">
      <c r="A710" s="2" t="inlineStr">
        <is>
          <t>EJ010825.TXT</t>
        </is>
      </c>
      <c r="B710" s="3" t="inlineStr">
        <is>
          <t>002093</t>
        </is>
      </c>
      <c r="C710" s="3" t="inlineStr">
        <is>
          <t>001317</t>
        </is>
      </c>
      <c r="D710" s="4" t="n">
        <v>45854</v>
      </c>
      <c r="E710" s="2" t="inlineStr">
        <is>
          <t>12:44</t>
        </is>
      </c>
      <c r="F710" s="5" t="n">
        <v>474.17</v>
      </c>
      <c r="G710" s="5" t="n"/>
      <c r="H710" s="5" t="n"/>
      <c r="I710" s="5" t="n"/>
      <c r="J710" s="5" t="n">
        <v>94.83</v>
      </c>
      <c r="K710" s="5" t="n"/>
      <c r="L710" s="5" t="n"/>
      <c r="M710" s="5" t="n"/>
      <c r="N710" s="5" t="n"/>
      <c r="O710" s="5" t="n">
        <v>569</v>
      </c>
      <c r="P710" s="5" t="n"/>
      <c r="Q710" s="5" t="n">
        <v>569</v>
      </c>
      <c r="R710" s="5" t="n"/>
    </row>
    <row r="711">
      <c r="A711" s="2" t="inlineStr">
        <is>
          <t>EJ010825.TXT</t>
        </is>
      </c>
      <c r="B711" s="3" t="inlineStr">
        <is>
          <t>002094</t>
        </is>
      </c>
      <c r="C711" s="3" t="inlineStr">
        <is>
          <t>001318</t>
        </is>
      </c>
      <c r="D711" s="4" t="n">
        <v>45854</v>
      </c>
      <c r="E711" s="2" t="inlineStr">
        <is>
          <t>12:44</t>
        </is>
      </c>
      <c r="F711" s="5" t="n">
        <v>474.17</v>
      </c>
      <c r="G711" s="5" t="n"/>
      <c r="H711" s="5" t="n"/>
      <c r="I711" s="5" t="n"/>
      <c r="J711" s="5" t="n">
        <v>94.83</v>
      </c>
      <c r="K711" s="5" t="n"/>
      <c r="L711" s="5" t="n"/>
      <c r="M711" s="5" t="n"/>
      <c r="N711" s="5" t="n"/>
      <c r="O711" s="5" t="n">
        <v>569</v>
      </c>
      <c r="P711" s="5" t="n"/>
      <c r="Q711" s="5" t="n">
        <v>569</v>
      </c>
      <c r="R711" s="5" t="n"/>
    </row>
    <row r="712">
      <c r="A712" s="2" t="inlineStr">
        <is>
          <t>EJ010825.TXT</t>
        </is>
      </c>
      <c r="B712" s="3" t="inlineStr">
        <is>
          <t>002095</t>
        </is>
      </c>
      <c r="C712" s="3" t="inlineStr">
        <is>
          <t>001319</t>
        </is>
      </c>
      <c r="D712" s="4" t="n">
        <v>45854</v>
      </c>
      <c r="E712" s="2" t="inlineStr">
        <is>
          <t>12:44</t>
        </is>
      </c>
      <c r="F712" s="5" t="n">
        <v>474.17</v>
      </c>
      <c r="G712" s="5" t="n"/>
      <c r="H712" s="5" t="n"/>
      <c r="I712" s="5" t="n"/>
      <c r="J712" s="5" t="n">
        <v>94.83</v>
      </c>
      <c r="K712" s="5" t="n"/>
      <c r="L712" s="5" t="n"/>
      <c r="M712" s="5" t="n"/>
      <c r="N712" s="5" t="n"/>
      <c r="O712" s="5" t="n">
        <v>569</v>
      </c>
      <c r="P712" s="5" t="n"/>
      <c r="Q712" s="5" t="n">
        <v>569</v>
      </c>
      <c r="R712" s="5" t="n"/>
    </row>
    <row r="713">
      <c r="A713" s="2" t="inlineStr">
        <is>
          <t>EJ010825.TXT</t>
        </is>
      </c>
      <c r="B713" s="3" t="inlineStr">
        <is>
          <t>002096</t>
        </is>
      </c>
      <c r="C713" s="3" t="inlineStr">
        <is>
          <t>001320</t>
        </is>
      </c>
      <c r="D713" s="4" t="n">
        <v>45854</v>
      </c>
      <c r="E713" s="2" t="inlineStr">
        <is>
          <t>12:44</t>
        </is>
      </c>
      <c r="F713" s="5" t="n">
        <v>474.17</v>
      </c>
      <c r="G713" s="5" t="n"/>
      <c r="H713" s="5" t="n"/>
      <c r="I713" s="5" t="n"/>
      <c r="J713" s="5" t="n">
        <v>94.83</v>
      </c>
      <c r="K713" s="5" t="n"/>
      <c r="L713" s="5" t="n"/>
      <c r="M713" s="5" t="n"/>
      <c r="N713" s="5" t="n"/>
      <c r="O713" s="5" t="n">
        <v>569</v>
      </c>
      <c r="P713" s="5" t="n"/>
      <c r="Q713" s="5" t="n">
        <v>569</v>
      </c>
      <c r="R713" s="5" t="n"/>
    </row>
    <row r="714">
      <c r="A714" s="2" t="inlineStr">
        <is>
          <t>EJ010825.TXT</t>
        </is>
      </c>
      <c r="B714" s="3" t="inlineStr">
        <is>
          <t>002097</t>
        </is>
      </c>
      <c r="C714" s="3" t="inlineStr">
        <is>
          <t>001321</t>
        </is>
      </c>
      <c r="D714" s="4" t="n">
        <v>45866</v>
      </c>
      <c r="E714" s="2" t="inlineStr">
        <is>
          <t>14:18</t>
        </is>
      </c>
      <c r="F714" s="5" t="n">
        <v>73.33</v>
      </c>
      <c r="G714" s="5" t="n"/>
      <c r="H714" s="5" t="n"/>
      <c r="I714" s="5" t="n"/>
      <c r="J714" s="5" t="n">
        <v>14.67</v>
      </c>
      <c r="K714" s="5" t="n"/>
      <c r="L714" s="5" t="n"/>
      <c r="M714" s="5" t="n"/>
      <c r="N714" s="5" t="n"/>
      <c r="O714" s="5" t="n">
        <v>88</v>
      </c>
      <c r="P714" s="5" t="n"/>
      <c r="Q714" s="5" t="n">
        <v>88</v>
      </c>
      <c r="R714" s="5" t="n"/>
    </row>
    <row r="715">
      <c r="A715" s="2" t="inlineStr">
        <is>
          <t>EJ010825.TXT</t>
        </is>
      </c>
      <c r="B715" s="3" t="inlineStr">
        <is>
          <t>002098</t>
        </is>
      </c>
      <c r="C715" s="3" t="inlineStr">
        <is>
          <t>001322</t>
        </is>
      </c>
      <c r="D715" s="4" t="n">
        <v>45867</v>
      </c>
      <c r="E715" s="2" t="inlineStr">
        <is>
          <t>10:07</t>
        </is>
      </c>
      <c r="F715" s="5" t="n">
        <v>274.17</v>
      </c>
      <c r="G715" s="5" t="n"/>
      <c r="H715" s="5" t="n"/>
      <c r="I715" s="5" t="n"/>
      <c r="J715" s="5" t="n">
        <v>54.83</v>
      </c>
      <c r="K715" s="5" t="n"/>
      <c r="L715" s="5" t="n"/>
      <c r="M715" s="5" t="n"/>
      <c r="N715" s="5" t="n"/>
      <c r="O715" s="5" t="n">
        <v>329</v>
      </c>
      <c r="P715" s="5" t="n">
        <v>229</v>
      </c>
      <c r="Q715" s="5" t="n">
        <v>100</v>
      </c>
      <c r="R715" s="5" t="n"/>
    </row>
    <row r="716">
      <c r="A716" s="2" t="inlineStr">
        <is>
          <t>EJ010825.TXT</t>
        </is>
      </c>
      <c r="B716" s="3" t="inlineStr">
        <is>
          <t>002100</t>
        </is>
      </c>
      <c r="C716" s="3" t="inlineStr">
        <is>
          <t>001323</t>
        </is>
      </c>
      <c r="D716" s="4" t="n">
        <v>45868</v>
      </c>
      <c r="E716" s="2" t="inlineStr">
        <is>
          <t>12:18</t>
        </is>
      </c>
      <c r="F716" s="5" t="n">
        <v>1107.5</v>
      </c>
      <c r="G716" s="5" t="n"/>
      <c r="H716" s="5" t="n"/>
      <c r="I716" s="5" t="n"/>
      <c r="J716" s="5" t="n">
        <v>221.5</v>
      </c>
      <c r="K716" s="5" t="n"/>
      <c r="L716" s="5" t="n"/>
      <c r="M716" s="5" t="n"/>
      <c r="N716" s="5" t="n"/>
      <c r="O716" s="5" t="n">
        <v>1329</v>
      </c>
      <c r="P716" s="5" t="n">
        <v>329</v>
      </c>
      <c r="Q716" s="5" t="n">
        <v>1000</v>
      </c>
      <c r="R716" s="5" t="n"/>
    </row>
    <row r="717">
      <c r="A717" s="2" t="inlineStr">
        <is>
          <t>EJ010825.TXT</t>
        </is>
      </c>
      <c r="B717" s="3" t="inlineStr">
        <is>
          <t>002102</t>
        </is>
      </c>
      <c r="C717" s="3" t="inlineStr">
        <is>
          <t>001324</t>
        </is>
      </c>
      <c r="D717" s="4" t="n">
        <v>45870</v>
      </c>
      <c r="E717" s="2" t="inlineStr">
        <is>
          <t>09:37</t>
        </is>
      </c>
      <c r="F717" s="5" t="n">
        <v>190.83</v>
      </c>
      <c r="G717" s="5" t="n"/>
      <c r="H717" s="5" t="n"/>
      <c r="I717" s="5" t="n"/>
      <c r="J717" s="5" t="n">
        <v>38.17</v>
      </c>
      <c r="K717" s="5" t="n"/>
      <c r="L717" s="5" t="n"/>
      <c r="M717" s="5" t="n"/>
      <c r="N717" s="5" t="n"/>
      <c r="O717" s="5" t="n">
        <v>229</v>
      </c>
      <c r="P717" s="5" t="n">
        <v>229</v>
      </c>
      <c r="Q717" s="5" t="n"/>
      <c r="R717" s="5" t="n"/>
    </row>
    <row r="718">
      <c r="A718" s="2" t="inlineStr">
        <is>
          <t>EJ010925.TXT</t>
        </is>
      </c>
      <c r="B718" s="3" t="inlineStr">
        <is>
          <t>002106</t>
        </is>
      </c>
      <c r="C718" s="3" t="inlineStr">
        <is>
          <t>001325</t>
        </is>
      </c>
      <c r="D718" s="4" t="n">
        <v>45875</v>
      </c>
      <c r="E718" s="2" t="inlineStr">
        <is>
          <t>16:08</t>
        </is>
      </c>
      <c r="F718" s="5" t="n">
        <v>73.33</v>
      </c>
      <c r="G718" s="5" t="n"/>
      <c r="H718" s="5" t="n"/>
      <c r="I718" s="5" t="n"/>
      <c r="J718" s="5" t="n">
        <v>14.67</v>
      </c>
      <c r="K718" s="5" t="n"/>
      <c r="L718" s="5" t="n"/>
      <c r="M718" s="5" t="n"/>
      <c r="N718" s="5" t="n"/>
      <c r="O718" s="5" t="n">
        <v>88</v>
      </c>
      <c r="P718" s="5" t="n">
        <v>88</v>
      </c>
      <c r="Q718" s="5" t="n"/>
      <c r="R718" s="5" t="n"/>
    </row>
    <row r="719">
      <c r="A719" s="2" t="inlineStr">
        <is>
          <t>EJ010925.TXT</t>
        </is>
      </c>
      <c r="B719" s="3" t="inlineStr">
        <is>
          <t>002107</t>
        </is>
      </c>
      <c r="C719" s="3" t="inlineStr">
        <is>
          <t>001326</t>
        </is>
      </c>
      <c r="D719" s="4" t="n">
        <v>45877</v>
      </c>
      <c r="E719" s="2" t="inlineStr">
        <is>
          <t>12:03</t>
        </is>
      </c>
      <c r="F719" s="5" t="n">
        <v>473.33</v>
      </c>
      <c r="G719" s="5" t="n"/>
      <c r="H719" s="5" t="n"/>
      <c r="I719" s="5" t="n"/>
      <c r="J719" s="5" t="n">
        <v>94.67</v>
      </c>
      <c r="K719" s="5" t="n"/>
      <c r="L719" s="5" t="n"/>
      <c r="M719" s="5" t="n"/>
      <c r="N719" s="5" t="n"/>
      <c r="O719" s="5" t="n">
        <v>568</v>
      </c>
      <c r="P719" s="5" t="n">
        <v>568</v>
      </c>
      <c r="Q719" s="5" t="n"/>
      <c r="R719" s="5" t="n"/>
    </row>
    <row r="720">
      <c r="A720" s="2" t="inlineStr">
        <is>
          <t>EJ010925.TXT</t>
        </is>
      </c>
      <c r="B720" s="3" t="inlineStr">
        <is>
          <t>002108</t>
        </is>
      </c>
      <c r="C720" s="3" t="inlineStr">
        <is>
          <t>001327</t>
        </is>
      </c>
      <c r="D720" s="4" t="n">
        <v>45891</v>
      </c>
      <c r="E720" s="2" t="inlineStr">
        <is>
          <t>16:41</t>
        </is>
      </c>
      <c r="F720" s="5" t="n">
        <v>329.17</v>
      </c>
      <c r="G720" s="5" t="n"/>
      <c r="H720" s="5" t="n"/>
      <c r="I720" s="5" t="n"/>
      <c r="J720" s="5" t="n">
        <v>65.83</v>
      </c>
      <c r="K720" s="5" t="n"/>
      <c r="L720" s="5" t="n"/>
      <c r="M720" s="5" t="n"/>
      <c r="N720" s="5" t="n"/>
      <c r="O720" s="5" t="n">
        <v>395</v>
      </c>
      <c r="P720" s="5" t="n"/>
      <c r="Q720" s="5" t="n">
        <v>395</v>
      </c>
      <c r="R720" s="5" t="n"/>
    </row>
    <row r="721">
      <c r="A721" s="2" t="inlineStr">
        <is>
          <t>EJ010925.TXT</t>
        </is>
      </c>
      <c r="B721" s="3" t="inlineStr">
        <is>
          <t>002109</t>
        </is>
      </c>
      <c r="C721" s="3" t="inlineStr">
        <is>
          <t>001328</t>
        </is>
      </c>
      <c r="D721" s="4" t="n">
        <v>45891</v>
      </c>
      <c r="E721" s="2" t="inlineStr">
        <is>
          <t>16:52</t>
        </is>
      </c>
      <c r="F721" s="5" t="n">
        <v>590</v>
      </c>
      <c r="G721" s="5" t="n"/>
      <c r="H721" s="5" t="n"/>
      <c r="I721" s="5" t="n"/>
      <c r="J721" s="5" t="n">
        <v>118</v>
      </c>
      <c r="K721" s="5" t="n"/>
      <c r="L721" s="5" t="n"/>
      <c r="M721" s="5" t="n"/>
      <c r="N721" s="5" t="n"/>
      <c r="O721" s="5" t="n">
        <v>708</v>
      </c>
      <c r="P721" s="5" t="n"/>
      <c r="Q721" s="5" t="n">
        <v>708</v>
      </c>
      <c r="R721" s="5" t="n"/>
    </row>
    <row r="722">
      <c r="A722" s="2" t="inlineStr">
        <is>
          <t>EJ010925.TXT</t>
        </is>
      </c>
      <c r="B722" s="3" t="inlineStr">
        <is>
          <t>002110</t>
        </is>
      </c>
      <c r="C722" s="3" t="inlineStr">
        <is>
          <t>001329</t>
        </is>
      </c>
      <c r="D722" s="4" t="n">
        <v>45892</v>
      </c>
      <c r="E722" s="2" t="inlineStr">
        <is>
          <t>14:18</t>
        </is>
      </c>
      <c r="F722" s="5" t="n">
        <v>274.17</v>
      </c>
      <c r="G722" s="5" t="n"/>
      <c r="H722" s="5" t="n"/>
      <c r="I722" s="5" t="n"/>
      <c r="J722" s="5" t="n">
        <v>54.83</v>
      </c>
      <c r="K722" s="5" t="n"/>
      <c r="L722" s="5" t="n"/>
      <c r="M722" s="5" t="n"/>
      <c r="N722" s="5" t="n"/>
      <c r="O722" s="5" t="n">
        <v>329</v>
      </c>
      <c r="P722" s="5" t="n"/>
      <c r="Q722" s="5" t="n">
        <v>329</v>
      </c>
      <c r="R722" s="5" t="n"/>
    </row>
    <row r="723">
      <c r="A723" s="2" t="inlineStr">
        <is>
          <t>EJ010925.TXT</t>
        </is>
      </c>
      <c r="B723" s="3" t="inlineStr">
        <is>
          <t>002113</t>
        </is>
      </c>
      <c r="C723" s="3" t="inlineStr">
        <is>
          <t>001330</t>
        </is>
      </c>
      <c r="D723" s="4" t="n">
        <v>45898</v>
      </c>
      <c r="E723" s="2" t="inlineStr">
        <is>
          <t>15:06</t>
        </is>
      </c>
      <c r="F723" s="5" t="n">
        <v>73.33</v>
      </c>
      <c r="G723" s="5" t="n"/>
      <c r="H723" s="5" t="n"/>
      <c r="I723" s="5" t="n"/>
      <c r="J723" s="5" t="n">
        <v>14.67</v>
      </c>
      <c r="K723" s="5" t="n"/>
      <c r="L723" s="5" t="n"/>
      <c r="M723" s="5" t="n"/>
      <c r="N723" s="5" t="n"/>
      <c r="O723" s="5" t="n">
        <v>88</v>
      </c>
      <c r="P723" s="5" t="n">
        <v>88</v>
      </c>
      <c r="Q723" s="5" t="n"/>
      <c r="R723" s="5" t="n"/>
    </row>
  </sheetData>
  <autoFilter ref="A1:R72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34" customHeight="1">
      <c r="A1" s="1" t="inlineStr">
        <is>
          <t>nomfichier</t>
        </is>
      </c>
      <c r="B1" s="1" t="inlineStr">
        <is>
          <t>E_NUM_INTERNE</t>
        </is>
      </c>
      <c r="C1" s="1" t="inlineStr">
        <is>
          <t>E_NUM_TICKET</t>
        </is>
      </c>
      <c r="D1" s="1" t="inlineStr">
        <is>
          <t>E_DATE_TICKET</t>
        </is>
      </c>
      <c r="E1" s="1" t="inlineStr">
        <is>
          <t>E_HEURE_TICKET</t>
        </is>
      </c>
      <c r="F1" s="1" t="inlineStr">
        <is>
          <t>E_HT1</t>
        </is>
      </c>
      <c r="G1" s="1" t="inlineStr">
        <is>
          <t>E_HT2</t>
        </is>
      </c>
      <c r="H1" s="1" t="inlineStr">
        <is>
          <t>E_HT3</t>
        </is>
      </c>
      <c r="I1" s="1" t="inlineStr">
        <is>
          <t>E_HT4</t>
        </is>
      </c>
      <c r="J1" s="1" t="inlineStr">
        <is>
          <t>E_TVA1</t>
        </is>
      </c>
      <c r="K1" s="1" t="inlineStr">
        <is>
          <t>E_TVA2</t>
        </is>
      </c>
      <c r="L1" s="1" t="inlineStr">
        <is>
          <t>E_TVA3</t>
        </is>
      </c>
      <c r="M1" s="1" t="inlineStr">
        <is>
          <t>E_TVA4</t>
        </is>
      </c>
      <c r="N1" s="1" t="inlineStr">
        <is>
          <t>E_HT_NON_TAXABLE</t>
        </is>
      </c>
      <c r="O1" s="1" t="inlineStr">
        <is>
          <t>E_TTC</t>
        </is>
      </c>
      <c r="P1" s="1" t="inlineStr">
        <is>
          <t>E_MDP_CB</t>
        </is>
      </c>
      <c r="Q1" s="1" t="inlineStr">
        <is>
          <t>E_MDP_ESPECES</t>
        </is>
      </c>
      <c r="R1" s="1" t="inlineStr">
        <is>
          <t>E_MDP_CHEQUES</t>
        </is>
      </c>
    </row>
    <row r="2">
      <c r="A2" s="2" t="inlineStr">
        <is>
          <t>EJ010223.TXT</t>
        </is>
      </c>
      <c r="B2" s="3" t="inlineStr">
        <is>
          <t>000977</t>
        </is>
      </c>
      <c r="C2" s="3" t="inlineStr">
        <is>
          <t>000609</t>
        </is>
      </c>
      <c r="D2" s="4" t="n">
        <v>44930</v>
      </c>
      <c r="E2" s="2" t="inlineStr">
        <is>
          <t>12:01</t>
        </is>
      </c>
      <c r="F2" s="5" t="n">
        <v>747.5</v>
      </c>
      <c r="G2" s="5" t="n"/>
      <c r="H2" s="5" t="n"/>
      <c r="I2" s="5" t="n"/>
      <c r="J2" s="5" t="n">
        <v>149.5</v>
      </c>
      <c r="K2" s="5" t="n"/>
      <c r="L2" s="5" t="n"/>
      <c r="M2" s="5" t="n"/>
      <c r="N2" s="5" t="n"/>
      <c r="O2" s="5" t="n">
        <v>897</v>
      </c>
      <c r="P2" s="5" t="n"/>
      <c r="Q2" s="5" t="n">
        <v>897</v>
      </c>
      <c r="R2" s="5" t="n"/>
    </row>
    <row r="3">
      <c r="A3" s="2" t="inlineStr">
        <is>
          <t>EJ010223.TXT</t>
        </is>
      </c>
      <c r="B3" s="3" t="inlineStr">
        <is>
          <t>000978</t>
        </is>
      </c>
      <c r="C3" s="3" t="inlineStr">
        <is>
          <t>000610</t>
        </is>
      </c>
      <c r="D3" s="4" t="n">
        <v>44932</v>
      </c>
      <c r="E3" s="2" t="inlineStr">
        <is>
          <t>11:30</t>
        </is>
      </c>
      <c r="F3" s="5" t="n">
        <v>498.33</v>
      </c>
      <c r="G3" s="5" t="n"/>
      <c r="H3" s="5" t="n"/>
      <c r="I3" s="5" t="n"/>
      <c r="J3" s="5" t="n">
        <v>99.67</v>
      </c>
      <c r="K3" s="5" t="n"/>
      <c r="L3" s="5" t="n"/>
      <c r="M3" s="5" t="n"/>
      <c r="N3" s="5" t="n"/>
      <c r="O3" s="5" t="n">
        <v>598</v>
      </c>
      <c r="P3" s="5" t="n">
        <v>598</v>
      </c>
      <c r="Q3" s="5" t="n"/>
      <c r="R3" s="5" t="n"/>
    </row>
    <row r="4">
      <c r="A4" s="2" t="inlineStr">
        <is>
          <t>EJ010223.TXT</t>
        </is>
      </c>
      <c r="B4" s="3" t="inlineStr">
        <is>
          <t>000979</t>
        </is>
      </c>
      <c r="C4" s="3" t="inlineStr">
        <is>
          <t>000611</t>
        </is>
      </c>
      <c r="D4" s="4" t="n">
        <v>44932</v>
      </c>
      <c r="E4" s="2" t="inlineStr">
        <is>
          <t>13:38</t>
        </is>
      </c>
      <c r="F4" s="5" t="n">
        <v>483.33</v>
      </c>
      <c r="G4" s="5" t="n"/>
      <c r="H4" s="5" t="n"/>
      <c r="I4" s="5" t="n"/>
      <c r="J4" s="5" t="n">
        <v>96.67</v>
      </c>
      <c r="K4" s="5" t="n"/>
      <c r="L4" s="5" t="n"/>
      <c r="M4" s="5" t="n"/>
      <c r="N4" s="5" t="n"/>
      <c r="O4" s="5" t="n">
        <v>580</v>
      </c>
      <c r="P4" s="5" t="n">
        <v>580</v>
      </c>
      <c r="Q4" s="5" t="n"/>
      <c r="R4" s="5" t="n"/>
    </row>
    <row r="5">
      <c r="A5" s="2" t="inlineStr">
        <is>
          <t>EJ010223.TXT</t>
        </is>
      </c>
      <c r="B5" s="3" t="inlineStr">
        <is>
          <t>000980</t>
        </is>
      </c>
      <c r="C5" s="3" t="inlineStr">
        <is>
          <t>000612</t>
        </is>
      </c>
      <c r="D5" s="4" t="n">
        <v>44932</v>
      </c>
      <c r="E5" s="2" t="inlineStr">
        <is>
          <t>13:38</t>
        </is>
      </c>
      <c r="F5" s="5" t="n">
        <v>1450</v>
      </c>
      <c r="G5" s="5" t="n"/>
      <c r="H5" s="5" t="n"/>
      <c r="I5" s="5" t="n"/>
      <c r="J5" s="5" t="n">
        <v>290</v>
      </c>
      <c r="K5" s="5" t="n"/>
      <c r="L5" s="5" t="n"/>
      <c r="M5" s="5" t="n"/>
      <c r="N5" s="5" t="n"/>
      <c r="O5" s="5" t="n">
        <v>1740</v>
      </c>
      <c r="P5" s="5" t="n">
        <v>1740</v>
      </c>
      <c r="Q5" s="5" t="n"/>
      <c r="R5" s="5" t="n"/>
    </row>
    <row r="6">
      <c r="A6" s="2" t="inlineStr">
        <is>
          <t>EJ010223.TXT</t>
        </is>
      </c>
      <c r="B6" s="3" t="inlineStr">
        <is>
          <t>000981</t>
        </is>
      </c>
      <c r="C6" s="3" t="inlineStr">
        <is>
          <t>000613</t>
        </is>
      </c>
      <c r="D6" s="4" t="n">
        <v>44932</v>
      </c>
      <c r="E6" s="2" t="inlineStr">
        <is>
          <t>13:58</t>
        </is>
      </c>
      <c r="F6" s="5" t="n">
        <v>1450</v>
      </c>
      <c r="G6" s="5" t="n"/>
      <c r="H6" s="5" t="n"/>
      <c r="I6" s="5" t="n"/>
      <c r="J6" s="5" t="n">
        <v>290</v>
      </c>
      <c r="K6" s="5" t="n"/>
      <c r="L6" s="5" t="n"/>
      <c r="M6" s="5" t="n"/>
      <c r="N6" s="5" t="n"/>
      <c r="O6" s="5" t="n">
        <v>1740</v>
      </c>
      <c r="P6" s="5" t="n">
        <v>1740</v>
      </c>
      <c r="Q6" s="5" t="n"/>
      <c r="R6" s="5" t="n"/>
    </row>
    <row r="7">
      <c r="A7" s="2" t="inlineStr">
        <is>
          <t>EJ010223.TXT</t>
        </is>
      </c>
      <c r="B7" s="3" t="inlineStr">
        <is>
          <t>000982</t>
        </is>
      </c>
      <c r="C7" s="3" t="inlineStr">
        <is>
          <t>000614</t>
        </is>
      </c>
      <c r="D7" s="4" t="n">
        <v>44932</v>
      </c>
      <c r="E7" s="2" t="inlineStr">
        <is>
          <t>13:59</t>
        </is>
      </c>
      <c r="F7" s="5" t="n">
        <v>2900</v>
      </c>
      <c r="G7" s="5" t="n"/>
      <c r="H7" s="5" t="n"/>
      <c r="I7" s="5" t="n"/>
      <c r="J7" s="5" t="n">
        <v>580</v>
      </c>
      <c r="K7" s="5" t="n"/>
      <c r="L7" s="5" t="n"/>
      <c r="M7" s="5" t="n"/>
      <c r="N7" s="5" t="n"/>
      <c r="O7" s="5" t="n">
        <v>3480</v>
      </c>
      <c r="P7" s="5" t="n">
        <v>3480</v>
      </c>
      <c r="Q7" s="5" t="n"/>
      <c r="R7" s="5" t="n"/>
    </row>
    <row r="8">
      <c r="A8" s="2" t="inlineStr">
        <is>
          <t>EJ010223.TXT</t>
        </is>
      </c>
      <c r="B8" s="3" t="inlineStr">
        <is>
          <t>000983</t>
        </is>
      </c>
      <c r="C8" s="3" t="inlineStr">
        <is>
          <t>000615</t>
        </is>
      </c>
      <c r="D8" s="4" t="n">
        <v>44937</v>
      </c>
      <c r="E8" s="2" t="inlineStr">
        <is>
          <t>12:38</t>
        </is>
      </c>
      <c r="F8" s="5" t="n">
        <v>73.33</v>
      </c>
      <c r="G8" s="5" t="n"/>
      <c r="H8" s="5" t="n"/>
      <c r="I8" s="5" t="n"/>
      <c r="J8" s="5" t="n">
        <v>14.67</v>
      </c>
      <c r="K8" s="5" t="n"/>
      <c r="L8" s="5" t="n"/>
      <c r="M8" s="5" t="n"/>
      <c r="N8" s="5" t="n"/>
      <c r="O8" s="5" t="n">
        <v>88</v>
      </c>
      <c r="P8" s="5" t="n">
        <v>88</v>
      </c>
      <c r="Q8" s="5" t="n"/>
      <c r="R8" s="5" t="n"/>
    </row>
    <row r="9">
      <c r="A9" s="2" t="inlineStr">
        <is>
          <t>EJ010223.TXT</t>
        </is>
      </c>
      <c r="B9" s="3" t="inlineStr">
        <is>
          <t>000984</t>
        </is>
      </c>
      <c r="C9" s="3" t="inlineStr">
        <is>
          <t>000616</t>
        </is>
      </c>
      <c r="D9" s="4" t="n">
        <v>44937</v>
      </c>
      <c r="E9" s="2" t="inlineStr">
        <is>
          <t>14:46</t>
        </is>
      </c>
      <c r="F9" s="5" t="n">
        <v>311.5</v>
      </c>
      <c r="G9" s="5" t="n"/>
      <c r="H9" s="5" t="n"/>
      <c r="I9" s="5" t="n"/>
      <c r="J9" s="5" t="n">
        <v>62.3</v>
      </c>
      <c r="K9" s="5" t="n"/>
      <c r="L9" s="5" t="n"/>
      <c r="M9" s="5" t="n"/>
      <c r="N9" s="5" t="n"/>
      <c r="O9" s="5" t="n">
        <v>373.8</v>
      </c>
      <c r="P9" s="5" t="n">
        <v>373.8</v>
      </c>
      <c r="Q9" s="5" t="n"/>
      <c r="R9" s="5" t="n"/>
    </row>
    <row r="10">
      <c r="A10" s="2" t="inlineStr">
        <is>
          <t>EJ010223.TXT</t>
        </is>
      </c>
      <c r="B10" s="3" t="inlineStr">
        <is>
          <t>000985</t>
        </is>
      </c>
      <c r="C10" s="3" t="inlineStr">
        <is>
          <t>000617</t>
        </is>
      </c>
      <c r="D10" s="4" t="n">
        <v>44939</v>
      </c>
      <c r="E10" s="2" t="inlineStr">
        <is>
          <t>10:27</t>
        </is>
      </c>
      <c r="F10" s="5" t="n">
        <v>249.17</v>
      </c>
      <c r="G10" s="5" t="n"/>
      <c r="H10" s="5" t="n"/>
      <c r="I10" s="5" t="n"/>
      <c r="J10" s="5" t="n">
        <v>49.83</v>
      </c>
      <c r="K10" s="5" t="n"/>
      <c r="L10" s="5" t="n"/>
      <c r="M10" s="5" t="n"/>
      <c r="N10" s="5" t="n"/>
      <c r="O10" s="5" t="n">
        <v>299</v>
      </c>
      <c r="P10" s="5" t="n">
        <v>299</v>
      </c>
      <c r="Q10" s="5" t="n"/>
      <c r="R10" s="5" t="n"/>
    </row>
    <row r="11">
      <c r="A11" s="2" t="inlineStr">
        <is>
          <t>EJ010223.TXT</t>
        </is>
      </c>
      <c r="B11" s="3" t="inlineStr">
        <is>
          <t>000986</t>
        </is>
      </c>
      <c r="C11" s="3" t="inlineStr">
        <is>
          <t>000618</t>
        </is>
      </c>
      <c r="D11" s="4" t="n">
        <v>44939</v>
      </c>
      <c r="E11" s="2" t="inlineStr">
        <is>
          <t>10:48</t>
        </is>
      </c>
      <c r="F11" s="5" t="n">
        <v>146.67</v>
      </c>
      <c r="G11" s="5" t="n"/>
      <c r="H11" s="5" t="n"/>
      <c r="I11" s="5" t="n"/>
      <c r="J11" s="5" t="n">
        <v>29.33</v>
      </c>
      <c r="K11" s="5" t="n"/>
      <c r="L11" s="5" t="n"/>
      <c r="M11" s="5" t="n"/>
      <c r="N11" s="5" t="n"/>
      <c r="O11" s="5" t="n">
        <v>176</v>
      </c>
      <c r="P11" s="5" t="n">
        <v>176</v>
      </c>
      <c r="Q11" s="5" t="n"/>
      <c r="R11" s="5" t="n"/>
    </row>
    <row r="12">
      <c r="A12" s="2" t="inlineStr">
        <is>
          <t>EJ010223.TXT</t>
        </is>
      </c>
      <c r="B12" s="3" t="inlineStr">
        <is>
          <t>000987</t>
        </is>
      </c>
      <c r="C12" s="3" t="inlineStr">
        <is>
          <t>000619</t>
        </is>
      </c>
      <c r="D12" s="4" t="n">
        <v>44939</v>
      </c>
      <c r="E12" s="2" t="inlineStr">
        <is>
          <t>13:05</t>
        </is>
      </c>
      <c r="F12" s="5" t="n">
        <v>498.33</v>
      </c>
      <c r="G12" s="5" t="n"/>
      <c r="H12" s="5" t="n"/>
      <c r="I12" s="5" t="n"/>
      <c r="J12" s="5" t="n">
        <v>99.67</v>
      </c>
      <c r="K12" s="5" t="n"/>
      <c r="L12" s="5" t="n"/>
      <c r="M12" s="5" t="n"/>
      <c r="N12" s="5" t="n"/>
      <c r="O12" s="5" t="n">
        <v>598</v>
      </c>
      <c r="P12" s="5" t="n">
        <v>598</v>
      </c>
      <c r="Q12" s="5" t="n"/>
      <c r="R12" s="5" t="n"/>
    </row>
    <row r="13">
      <c r="A13" s="2" t="inlineStr">
        <is>
          <t>EJ010223.TXT</t>
        </is>
      </c>
      <c r="B13" s="3" t="inlineStr">
        <is>
          <t>000988</t>
        </is>
      </c>
      <c r="C13" s="3" t="inlineStr">
        <is>
          <t>000620</t>
        </is>
      </c>
      <c r="D13" s="4" t="n">
        <v>44940</v>
      </c>
      <c r="E13" s="2" t="inlineStr">
        <is>
          <t>16:39</t>
        </is>
      </c>
      <c r="F13" s="5" t="n">
        <v>498.33</v>
      </c>
      <c r="G13" s="5" t="n"/>
      <c r="H13" s="5" t="n"/>
      <c r="I13" s="5" t="n"/>
      <c r="J13" s="5" t="n">
        <v>99.67</v>
      </c>
      <c r="K13" s="5" t="n"/>
      <c r="L13" s="5" t="n"/>
      <c r="M13" s="5" t="n"/>
      <c r="N13" s="5" t="n"/>
      <c r="O13" s="5" t="n">
        <v>598</v>
      </c>
      <c r="P13" s="5" t="n">
        <v>598</v>
      </c>
      <c r="Q13" s="5" t="n"/>
      <c r="R13" s="5" t="n"/>
    </row>
    <row r="14">
      <c r="A14" s="2" t="inlineStr">
        <is>
          <t>EJ010223.TXT</t>
        </is>
      </c>
      <c r="B14" s="3" t="inlineStr">
        <is>
          <t>000989</t>
        </is>
      </c>
      <c r="C14" s="3" t="inlineStr">
        <is>
          <t>000621</t>
        </is>
      </c>
      <c r="D14" s="4" t="n">
        <v>44940</v>
      </c>
      <c r="E14" s="2" t="inlineStr">
        <is>
          <t>16:53</t>
        </is>
      </c>
      <c r="F14" s="5" t="n">
        <v>288.33</v>
      </c>
      <c r="G14" s="5" t="n"/>
      <c r="H14" s="5" t="n"/>
      <c r="I14" s="5" t="n"/>
      <c r="J14" s="5" t="n">
        <v>57.67</v>
      </c>
      <c r="K14" s="5" t="n"/>
      <c r="L14" s="5" t="n"/>
      <c r="M14" s="5" t="n"/>
      <c r="N14" s="5" t="n"/>
      <c r="O14" s="5" t="n">
        <v>346</v>
      </c>
      <c r="P14" s="5" t="n">
        <v>346</v>
      </c>
      <c r="Q14" s="5" t="n"/>
      <c r="R14" s="5" t="n"/>
    </row>
    <row r="15">
      <c r="A15" s="2" t="inlineStr">
        <is>
          <t>EJ010223.TXT</t>
        </is>
      </c>
      <c r="B15" s="3" t="inlineStr">
        <is>
          <t>000990</t>
        </is>
      </c>
      <c r="C15" s="3" t="inlineStr">
        <is>
          <t>000622</t>
        </is>
      </c>
      <c r="D15" s="4" t="n">
        <v>44942</v>
      </c>
      <c r="E15" s="2" t="inlineStr">
        <is>
          <t>17:36</t>
        </is>
      </c>
      <c r="F15" s="5" t="n">
        <v>658.33</v>
      </c>
      <c r="G15" s="5" t="n"/>
      <c r="H15" s="5" t="n"/>
      <c r="I15" s="5" t="n"/>
      <c r="J15" s="5" t="n">
        <v>131.67</v>
      </c>
      <c r="K15" s="5" t="n"/>
      <c r="L15" s="5" t="n"/>
      <c r="M15" s="5" t="n"/>
      <c r="N15" s="5" t="n"/>
      <c r="O15" s="5" t="n">
        <v>790</v>
      </c>
      <c r="P15" s="5" t="n"/>
      <c r="Q15" s="5" t="n">
        <v>790</v>
      </c>
      <c r="R15" s="5" t="n"/>
    </row>
    <row r="16">
      <c r="A16" s="2" t="inlineStr">
        <is>
          <t>EJ010223.TXT</t>
        </is>
      </c>
      <c r="B16" s="3" t="inlineStr">
        <is>
          <t>000991</t>
        </is>
      </c>
      <c r="C16" s="3" t="inlineStr">
        <is>
          <t>000623</t>
        </is>
      </c>
      <c r="D16" s="4" t="n">
        <v>44942</v>
      </c>
      <c r="E16" s="2" t="inlineStr">
        <is>
          <t>17:44</t>
        </is>
      </c>
      <c r="F16" s="5" t="n">
        <v>241.67</v>
      </c>
      <c r="G16" s="5" t="n"/>
      <c r="H16" s="5" t="n"/>
      <c r="I16" s="5" t="n"/>
      <c r="J16" s="5" t="n">
        <v>48.33</v>
      </c>
      <c r="K16" s="5" t="n"/>
      <c r="L16" s="5" t="n"/>
      <c r="M16" s="5" t="n"/>
      <c r="N16" s="5" t="n"/>
      <c r="O16" s="5" t="n">
        <v>290</v>
      </c>
      <c r="P16" s="5" t="n"/>
      <c r="Q16" s="5" t="n">
        <v>290</v>
      </c>
      <c r="R16" s="5" t="n"/>
    </row>
    <row r="17">
      <c r="A17" s="2" t="inlineStr">
        <is>
          <t>EJ010223.TXT</t>
        </is>
      </c>
      <c r="B17" s="3" t="inlineStr">
        <is>
          <t>000992</t>
        </is>
      </c>
      <c r="C17" s="3" t="inlineStr">
        <is>
          <t>000624</t>
        </is>
      </c>
      <c r="D17" s="4" t="n">
        <v>44942</v>
      </c>
      <c r="E17" s="2" t="inlineStr">
        <is>
          <t>17:44</t>
        </is>
      </c>
      <c r="F17" s="5" t="n">
        <v>241.67</v>
      </c>
      <c r="G17" s="5" t="n"/>
      <c r="H17" s="5" t="n"/>
      <c r="I17" s="5" t="n"/>
      <c r="J17" s="5" t="n">
        <v>48.33</v>
      </c>
      <c r="K17" s="5" t="n"/>
      <c r="L17" s="5" t="n"/>
      <c r="M17" s="5" t="n"/>
      <c r="N17" s="5" t="n"/>
      <c r="O17" s="5" t="n">
        <v>290</v>
      </c>
      <c r="P17" s="5" t="n"/>
      <c r="Q17" s="5" t="n">
        <v>290</v>
      </c>
      <c r="R17" s="5" t="n"/>
    </row>
    <row r="18">
      <c r="A18" s="2" t="inlineStr">
        <is>
          <t>EJ010223.TXT</t>
        </is>
      </c>
      <c r="B18" s="3" t="inlineStr">
        <is>
          <t>000993</t>
        </is>
      </c>
      <c r="C18" s="3" t="inlineStr">
        <is>
          <t>000625</t>
        </is>
      </c>
      <c r="D18" s="4" t="n">
        <v>44942</v>
      </c>
      <c r="E18" s="2" t="inlineStr">
        <is>
          <t>17:44</t>
        </is>
      </c>
      <c r="F18" s="5" t="n">
        <v>241.67</v>
      </c>
      <c r="G18" s="5" t="n"/>
      <c r="H18" s="5" t="n"/>
      <c r="I18" s="5" t="n"/>
      <c r="J18" s="5" t="n">
        <v>48.33</v>
      </c>
      <c r="K18" s="5" t="n"/>
      <c r="L18" s="5" t="n"/>
      <c r="M18" s="5" t="n"/>
      <c r="N18" s="5" t="n"/>
      <c r="O18" s="5" t="n">
        <v>290</v>
      </c>
      <c r="P18" s="5" t="n"/>
      <c r="Q18" s="5" t="n">
        <v>290</v>
      </c>
      <c r="R18" s="5" t="n"/>
    </row>
    <row r="19">
      <c r="A19" s="2" t="inlineStr">
        <is>
          <t>EJ010223.TXT</t>
        </is>
      </c>
      <c r="B19" s="3" t="inlineStr">
        <is>
          <t>000994</t>
        </is>
      </c>
      <c r="C19" s="3" t="inlineStr">
        <is>
          <t>000626</t>
        </is>
      </c>
      <c r="D19" s="4" t="n">
        <v>44943</v>
      </c>
      <c r="E19" s="2" t="inlineStr">
        <is>
          <t>10:05</t>
        </is>
      </c>
      <c r="F19" s="5" t="n">
        <v>747.5</v>
      </c>
      <c r="G19" s="5" t="n"/>
      <c r="H19" s="5" t="n"/>
      <c r="I19" s="5" t="n"/>
      <c r="J19" s="5" t="n">
        <v>149.5</v>
      </c>
      <c r="K19" s="5" t="n"/>
      <c r="L19" s="5" t="n"/>
      <c r="M19" s="5" t="n"/>
      <c r="N19" s="5" t="n"/>
      <c r="O19" s="5" t="n">
        <v>897</v>
      </c>
      <c r="P19" s="5" t="n">
        <v>897</v>
      </c>
      <c r="Q19" s="5" t="n"/>
      <c r="R19" s="5" t="n"/>
    </row>
    <row r="20">
      <c r="A20" s="2" t="inlineStr">
        <is>
          <t>EJ010223.TXT</t>
        </is>
      </c>
      <c r="B20" s="3" t="inlineStr">
        <is>
          <t>000995</t>
        </is>
      </c>
      <c r="C20" s="3" t="inlineStr">
        <is>
          <t>000627</t>
        </is>
      </c>
      <c r="D20" s="4" t="n">
        <v>44943</v>
      </c>
      <c r="E20" s="2" t="inlineStr">
        <is>
          <t>11:17</t>
        </is>
      </c>
      <c r="F20" s="5" t="n">
        <v>115.83</v>
      </c>
      <c r="G20" s="5" t="n"/>
      <c r="H20" s="5" t="n"/>
      <c r="I20" s="5" t="n"/>
      <c r="J20" s="5" t="n">
        <v>23.17</v>
      </c>
      <c r="K20" s="5" t="n"/>
      <c r="L20" s="5" t="n"/>
      <c r="M20" s="5" t="n"/>
      <c r="N20" s="5" t="n"/>
      <c r="O20" s="5" t="n">
        <v>139</v>
      </c>
      <c r="P20" s="5" t="n">
        <v>139</v>
      </c>
      <c r="Q20" s="5" t="n"/>
      <c r="R20" s="5" t="n"/>
    </row>
    <row r="21">
      <c r="A21" s="2" t="inlineStr">
        <is>
          <t>EJ010223.TXT</t>
        </is>
      </c>
      <c r="B21" s="3" t="inlineStr">
        <is>
          <t>000996</t>
        </is>
      </c>
      <c r="C21" s="3" t="inlineStr">
        <is>
          <t>000628</t>
        </is>
      </c>
      <c r="D21" s="4" t="n">
        <v>44943</v>
      </c>
      <c r="E21" s="2" t="inlineStr">
        <is>
          <t>11:23</t>
        </is>
      </c>
      <c r="F21" s="5" t="n">
        <v>2900</v>
      </c>
      <c r="G21" s="5" t="n"/>
      <c r="H21" s="5" t="n"/>
      <c r="I21" s="5" t="n"/>
      <c r="J21" s="5" t="n">
        <v>580</v>
      </c>
      <c r="K21" s="5" t="n"/>
      <c r="L21" s="5" t="n"/>
      <c r="M21" s="5" t="n"/>
      <c r="N21" s="5" t="n"/>
      <c r="O21" s="5" t="n">
        <v>3480</v>
      </c>
      <c r="P21" s="5" t="n">
        <v>3480</v>
      </c>
      <c r="Q21" s="5" t="n"/>
      <c r="R21" s="5" t="n"/>
    </row>
    <row r="22">
      <c r="A22" s="2" t="inlineStr">
        <is>
          <t>EJ010223.TXT</t>
        </is>
      </c>
      <c r="B22" s="3" t="inlineStr">
        <is>
          <t>000997</t>
        </is>
      </c>
      <c r="C22" s="3" t="inlineStr">
        <is>
          <t>000629</t>
        </is>
      </c>
      <c r="D22" s="4" t="n">
        <v>44943</v>
      </c>
      <c r="E22" s="2" t="inlineStr">
        <is>
          <t>12:30</t>
        </is>
      </c>
      <c r="F22" s="5" t="n">
        <v>144.17</v>
      </c>
      <c r="G22" s="5" t="n"/>
      <c r="H22" s="5" t="n"/>
      <c r="I22" s="5" t="n"/>
      <c r="J22" s="5" t="n">
        <v>28.83</v>
      </c>
      <c r="K22" s="5" t="n"/>
      <c r="L22" s="5" t="n"/>
      <c r="M22" s="5" t="n"/>
      <c r="N22" s="5" t="n"/>
      <c r="O22" s="5" t="n">
        <v>173</v>
      </c>
      <c r="P22" s="5" t="n">
        <v>173</v>
      </c>
      <c r="Q22" s="5" t="n"/>
      <c r="R22" s="5" t="n"/>
    </row>
    <row r="23">
      <c r="A23" s="2" t="inlineStr">
        <is>
          <t>EJ010223.TXT</t>
        </is>
      </c>
      <c r="B23" s="3" t="inlineStr">
        <is>
          <t>000998</t>
        </is>
      </c>
      <c r="C23" s="3" t="inlineStr">
        <is>
          <t>000630</t>
        </is>
      </c>
      <c r="D23" s="4" t="n">
        <v>44943</v>
      </c>
      <c r="E23" s="2" t="inlineStr">
        <is>
          <t>13:47</t>
        </is>
      </c>
      <c r="F23" s="5" t="n">
        <v>498.33</v>
      </c>
      <c r="G23" s="5" t="n"/>
      <c r="H23" s="5" t="n"/>
      <c r="I23" s="5" t="n"/>
      <c r="J23" s="5" t="n">
        <v>99.67</v>
      </c>
      <c r="K23" s="5" t="n"/>
      <c r="L23" s="5" t="n"/>
      <c r="M23" s="5" t="n"/>
      <c r="N23" s="5" t="n"/>
      <c r="O23" s="5" t="n">
        <v>598</v>
      </c>
      <c r="P23" s="5" t="n"/>
      <c r="Q23" s="5" t="n">
        <v>598</v>
      </c>
      <c r="R23" s="5" t="n"/>
    </row>
    <row r="24">
      <c r="A24" s="2" t="inlineStr">
        <is>
          <t>EJ010223.TXT</t>
        </is>
      </c>
      <c r="B24" s="3" t="inlineStr">
        <is>
          <t>000999</t>
        </is>
      </c>
      <c r="C24" s="3" t="inlineStr">
        <is>
          <t>000631</t>
        </is>
      </c>
      <c r="D24" s="4" t="n">
        <v>44944</v>
      </c>
      <c r="E24" s="2" t="inlineStr">
        <is>
          <t>12:59</t>
        </is>
      </c>
      <c r="F24" s="5" t="n">
        <v>149</v>
      </c>
      <c r="G24" s="5" t="n"/>
      <c r="H24" s="5" t="n"/>
      <c r="I24" s="5" t="n"/>
      <c r="J24" s="5" t="n">
        <v>29.8</v>
      </c>
      <c r="K24" s="5" t="n"/>
      <c r="L24" s="5" t="n"/>
      <c r="M24" s="5" t="n"/>
      <c r="N24" s="5" t="n"/>
      <c r="O24" s="5" t="n">
        <v>178.8</v>
      </c>
      <c r="P24" s="5" t="n">
        <v>178.8</v>
      </c>
      <c r="Q24" s="5" t="n"/>
      <c r="R24" s="5" t="n"/>
    </row>
    <row r="25">
      <c r="A25" s="2" t="inlineStr">
        <is>
          <t>EJ010223.TXT</t>
        </is>
      </c>
      <c r="B25" s="3" t="inlineStr">
        <is>
          <t>001000</t>
        </is>
      </c>
      <c r="C25" s="3" t="inlineStr">
        <is>
          <t>000632</t>
        </is>
      </c>
      <c r="D25" s="4" t="n">
        <v>44944</v>
      </c>
      <c r="E25" s="2" t="inlineStr">
        <is>
          <t>17:24</t>
        </is>
      </c>
      <c r="F25" s="5" t="n">
        <v>73.33</v>
      </c>
      <c r="G25" s="5" t="n"/>
      <c r="H25" s="5" t="n"/>
      <c r="I25" s="5" t="n"/>
      <c r="J25" s="5" t="n">
        <v>14.67</v>
      </c>
      <c r="K25" s="5" t="n"/>
      <c r="L25" s="5" t="n"/>
      <c r="M25" s="5" t="n"/>
      <c r="N25" s="5" t="n"/>
      <c r="O25" s="5" t="n">
        <v>88</v>
      </c>
      <c r="P25" s="5" t="n">
        <v>88</v>
      </c>
      <c r="Q25" s="5" t="n"/>
      <c r="R25" s="5" t="n"/>
    </row>
    <row r="26">
      <c r="A26" s="2" t="inlineStr">
        <is>
          <t>EJ010223.TXT</t>
        </is>
      </c>
      <c r="B26" s="3" t="inlineStr">
        <is>
          <t>001001</t>
        </is>
      </c>
      <c r="C26" s="3" t="inlineStr">
        <is>
          <t>000633</t>
        </is>
      </c>
      <c r="D26" s="4" t="n">
        <v>44945</v>
      </c>
      <c r="E26" s="2" t="inlineStr">
        <is>
          <t>12:34</t>
        </is>
      </c>
      <c r="F26" s="5" t="n">
        <v>498.33</v>
      </c>
      <c r="G26" s="5" t="n"/>
      <c r="H26" s="5" t="n"/>
      <c r="I26" s="5" t="n"/>
      <c r="J26" s="5" t="n">
        <v>99.67</v>
      </c>
      <c r="K26" s="5" t="n"/>
      <c r="L26" s="5" t="n"/>
      <c r="M26" s="5" t="n"/>
      <c r="N26" s="5" t="n"/>
      <c r="O26" s="5" t="n">
        <v>598</v>
      </c>
      <c r="P26" s="5" t="n"/>
      <c r="Q26" s="5" t="n">
        <v>598</v>
      </c>
      <c r="R26" s="5" t="n"/>
    </row>
    <row r="27">
      <c r="A27" s="2" t="inlineStr">
        <is>
          <t>EJ010223.TXT</t>
        </is>
      </c>
      <c r="B27" s="3" t="inlineStr">
        <is>
          <t>001002</t>
        </is>
      </c>
      <c r="C27" s="3" t="inlineStr">
        <is>
          <t>000634</t>
        </is>
      </c>
      <c r="D27" s="4" t="n">
        <v>44947</v>
      </c>
      <c r="E27" s="2" t="inlineStr">
        <is>
          <t>14:43</t>
        </is>
      </c>
      <c r="F27" s="5" t="n">
        <v>498.33</v>
      </c>
      <c r="G27" s="5" t="n"/>
      <c r="H27" s="5" t="n"/>
      <c r="I27" s="5" t="n"/>
      <c r="J27" s="5" t="n">
        <v>99.67</v>
      </c>
      <c r="K27" s="5" t="n"/>
      <c r="L27" s="5" t="n"/>
      <c r="M27" s="5" t="n"/>
      <c r="N27" s="5" t="n"/>
      <c r="O27" s="5" t="n">
        <v>598</v>
      </c>
      <c r="P27" s="5" t="n">
        <v>598</v>
      </c>
      <c r="Q27" s="5" t="n"/>
      <c r="R27" s="5" t="n"/>
    </row>
    <row r="28">
      <c r="A28" s="2" t="inlineStr">
        <is>
          <t>EJ010223.TXT</t>
        </is>
      </c>
      <c r="B28" s="3" t="inlineStr">
        <is>
          <t>001003</t>
        </is>
      </c>
      <c r="C28" s="3" t="inlineStr">
        <is>
          <t>000635</t>
        </is>
      </c>
      <c r="D28" s="4" t="n">
        <v>44951</v>
      </c>
      <c r="E28" s="2" t="inlineStr">
        <is>
          <t>09:58</t>
        </is>
      </c>
      <c r="F28" s="5" t="n">
        <v>249.17</v>
      </c>
      <c r="G28" s="5" t="n"/>
      <c r="H28" s="5" t="n"/>
      <c r="I28" s="5" t="n"/>
      <c r="J28" s="5" t="n">
        <v>49.83</v>
      </c>
      <c r="K28" s="5" t="n"/>
      <c r="L28" s="5" t="n"/>
      <c r="M28" s="5" t="n"/>
      <c r="N28" s="5" t="n"/>
      <c r="O28" s="5" t="n">
        <v>299</v>
      </c>
      <c r="P28" s="5" t="n"/>
      <c r="Q28" s="5" t="n">
        <v>299</v>
      </c>
      <c r="R28" s="5" t="n"/>
    </row>
    <row r="29">
      <c r="A29" s="2" t="inlineStr">
        <is>
          <t>EJ010223.TXT</t>
        </is>
      </c>
      <c r="B29" s="3" t="inlineStr">
        <is>
          <t>001004</t>
        </is>
      </c>
      <c r="C29" s="3" t="inlineStr">
        <is>
          <t>000636</t>
        </is>
      </c>
      <c r="D29" s="4" t="n">
        <v>44951</v>
      </c>
      <c r="E29" s="2" t="inlineStr">
        <is>
          <t>16:08</t>
        </is>
      </c>
      <c r="F29" s="5" t="n">
        <v>498.33</v>
      </c>
      <c r="G29" s="5" t="n"/>
      <c r="H29" s="5" t="n"/>
      <c r="I29" s="5" t="n"/>
      <c r="J29" s="5" t="n">
        <v>99.67</v>
      </c>
      <c r="K29" s="5" t="n"/>
      <c r="L29" s="5" t="n"/>
      <c r="M29" s="5" t="n"/>
      <c r="N29" s="5" t="n"/>
      <c r="O29" s="5" t="n">
        <v>598</v>
      </c>
      <c r="P29" s="5" t="n">
        <v>598</v>
      </c>
      <c r="Q29" s="5" t="n"/>
      <c r="R29" s="5" t="n"/>
    </row>
    <row r="30">
      <c r="A30" s="2" t="inlineStr">
        <is>
          <t>EJ010223.TXT</t>
        </is>
      </c>
      <c r="B30" s="3" t="inlineStr">
        <is>
          <t>001005</t>
        </is>
      </c>
      <c r="C30" s="3" t="inlineStr">
        <is>
          <t>000637</t>
        </is>
      </c>
      <c r="D30" s="4" t="n">
        <v>44951</v>
      </c>
      <c r="E30" s="2" t="inlineStr">
        <is>
          <t>16:46</t>
        </is>
      </c>
      <c r="F30" s="5" t="n">
        <v>498.33</v>
      </c>
      <c r="G30" s="5" t="n"/>
      <c r="H30" s="5" t="n"/>
      <c r="I30" s="5" t="n"/>
      <c r="J30" s="5" t="n">
        <v>99.67</v>
      </c>
      <c r="K30" s="5" t="n"/>
      <c r="L30" s="5" t="n"/>
      <c r="M30" s="5" t="n"/>
      <c r="N30" s="5" t="n"/>
      <c r="O30" s="5" t="n">
        <v>598</v>
      </c>
      <c r="P30" s="5" t="n"/>
      <c r="Q30" s="5" t="n">
        <v>598</v>
      </c>
      <c r="R30" s="5" t="n"/>
    </row>
    <row r="31">
      <c r="A31" s="2" t="inlineStr">
        <is>
          <t>EJ010223.TXT</t>
        </is>
      </c>
      <c r="B31" s="3" t="inlineStr">
        <is>
          <t>001006</t>
        </is>
      </c>
      <c r="C31" s="3" t="inlineStr">
        <is>
          <t>000638</t>
        </is>
      </c>
      <c r="D31" s="4" t="n">
        <v>44952</v>
      </c>
      <c r="E31" s="2" t="inlineStr">
        <is>
          <t>16:05</t>
        </is>
      </c>
      <c r="F31" s="5" t="n">
        <v>498.33</v>
      </c>
      <c r="G31" s="5" t="n"/>
      <c r="H31" s="5" t="n"/>
      <c r="I31" s="5" t="n"/>
      <c r="J31" s="5" t="n">
        <v>99.67</v>
      </c>
      <c r="K31" s="5" t="n"/>
      <c r="L31" s="5" t="n"/>
      <c r="M31" s="5" t="n"/>
      <c r="N31" s="5" t="n"/>
      <c r="O31" s="5" t="n">
        <v>598</v>
      </c>
      <c r="P31" s="5" t="n"/>
      <c r="Q31" s="5" t="n">
        <v>598</v>
      </c>
      <c r="R31" s="5" t="n"/>
    </row>
    <row r="32">
      <c r="A32" s="2" t="inlineStr">
        <is>
          <t>EJ010223.TXT</t>
        </is>
      </c>
      <c r="B32" s="3" t="inlineStr">
        <is>
          <t>001007</t>
        </is>
      </c>
      <c r="C32" s="3" t="inlineStr">
        <is>
          <t>000639</t>
        </is>
      </c>
      <c r="D32" s="4" t="n">
        <v>44953</v>
      </c>
      <c r="E32" s="2" t="inlineStr">
        <is>
          <t>13:19</t>
        </is>
      </c>
      <c r="F32" s="5" t="n">
        <v>498.33</v>
      </c>
      <c r="G32" s="5" t="n"/>
      <c r="H32" s="5" t="n"/>
      <c r="I32" s="5" t="n"/>
      <c r="J32" s="5" t="n">
        <v>99.67</v>
      </c>
      <c r="K32" s="5" t="n"/>
      <c r="L32" s="5" t="n"/>
      <c r="M32" s="5" t="n"/>
      <c r="N32" s="5" t="n"/>
      <c r="O32" s="5" t="n">
        <v>598</v>
      </c>
      <c r="P32" s="5" t="n">
        <v>598</v>
      </c>
      <c r="Q32" s="5" t="n"/>
      <c r="R32" s="5" t="n"/>
    </row>
    <row r="33">
      <c r="A33" s="2" t="inlineStr">
        <is>
          <t>EJ010223.TXT</t>
        </is>
      </c>
      <c r="B33" s="3" t="inlineStr">
        <is>
          <t>001008</t>
        </is>
      </c>
      <c r="C33" s="3" t="inlineStr">
        <is>
          <t>000640</t>
        </is>
      </c>
      <c r="D33" s="4" t="n">
        <v>44953</v>
      </c>
      <c r="E33" s="2" t="inlineStr">
        <is>
          <t>17:19</t>
        </is>
      </c>
      <c r="F33" s="5" t="n">
        <v>498.33</v>
      </c>
      <c r="G33" s="5" t="n"/>
      <c r="H33" s="5" t="n"/>
      <c r="I33" s="5" t="n"/>
      <c r="J33" s="5" t="n">
        <v>99.67</v>
      </c>
      <c r="K33" s="5" t="n"/>
      <c r="L33" s="5" t="n"/>
      <c r="M33" s="5" t="n"/>
      <c r="N33" s="5" t="n"/>
      <c r="O33" s="5" t="n">
        <v>598</v>
      </c>
      <c r="P33" s="5" t="n">
        <v>598</v>
      </c>
      <c r="Q33" s="5" t="n"/>
      <c r="R33" s="5" t="n"/>
    </row>
    <row r="34">
      <c r="A34" s="2" t="inlineStr">
        <is>
          <t>EJ010323.TXT</t>
        </is>
      </c>
      <c r="B34" s="3" t="inlineStr">
        <is>
          <t>001015</t>
        </is>
      </c>
      <c r="C34" s="3" t="inlineStr">
        <is>
          <t>000641</t>
        </is>
      </c>
      <c r="D34" s="4" t="n">
        <v>44958</v>
      </c>
      <c r="E34" s="2" t="inlineStr">
        <is>
          <t>15:26</t>
        </is>
      </c>
      <c r="F34" s="5" t="n">
        <v>24.83</v>
      </c>
      <c r="G34" s="5" t="n"/>
      <c r="H34" s="5" t="n"/>
      <c r="I34" s="5" t="n"/>
      <c r="J34" s="5" t="n">
        <v>4.97</v>
      </c>
      <c r="K34" s="5" t="n"/>
      <c r="L34" s="5" t="n"/>
      <c r="M34" s="5" t="n"/>
      <c r="N34" s="5" t="n"/>
      <c r="O34" s="5" t="n">
        <v>29.8</v>
      </c>
      <c r="P34" s="5" t="n"/>
      <c r="Q34" s="5" t="n">
        <v>29.8</v>
      </c>
      <c r="R34" s="5" t="n"/>
    </row>
    <row r="35">
      <c r="A35" s="2" t="inlineStr">
        <is>
          <t>EJ010323.TXT</t>
        </is>
      </c>
      <c r="B35" s="3" t="inlineStr">
        <is>
          <t>001017</t>
        </is>
      </c>
      <c r="C35" s="3" t="inlineStr">
        <is>
          <t>000642</t>
        </is>
      </c>
      <c r="D35" s="4" t="n">
        <v>44959</v>
      </c>
      <c r="E35" s="2" t="inlineStr">
        <is>
          <t>12:55</t>
        </is>
      </c>
      <c r="F35" s="5" t="n">
        <v>274.17</v>
      </c>
      <c r="G35" s="5" t="n"/>
      <c r="H35" s="5" t="n"/>
      <c r="I35" s="5" t="n"/>
      <c r="J35" s="5" t="n">
        <v>54.83</v>
      </c>
      <c r="K35" s="5" t="n"/>
      <c r="L35" s="5" t="n"/>
      <c r="M35" s="5" t="n"/>
      <c r="N35" s="5" t="n"/>
      <c r="O35" s="5" t="n">
        <v>329</v>
      </c>
      <c r="P35" s="5" t="n">
        <v>329</v>
      </c>
      <c r="Q35" s="5" t="n"/>
      <c r="R35" s="5" t="n"/>
    </row>
    <row r="36">
      <c r="A36" s="2" t="inlineStr">
        <is>
          <t>EJ010323.TXT</t>
        </is>
      </c>
      <c r="B36" s="3" t="inlineStr">
        <is>
          <t>001020</t>
        </is>
      </c>
      <c r="C36" s="3" t="inlineStr">
        <is>
          <t>000643</t>
        </is>
      </c>
      <c r="D36" s="4" t="n">
        <v>44959</v>
      </c>
      <c r="E36" s="2" t="inlineStr">
        <is>
          <t>14:04</t>
        </is>
      </c>
      <c r="F36" s="5" t="n">
        <v>274.17</v>
      </c>
      <c r="G36" s="5" t="n"/>
      <c r="H36" s="5" t="n"/>
      <c r="I36" s="5" t="n"/>
      <c r="J36" s="5" t="n">
        <v>54.83</v>
      </c>
      <c r="K36" s="5" t="n"/>
      <c r="L36" s="5" t="n"/>
      <c r="M36" s="5" t="n"/>
      <c r="N36" s="5" t="n"/>
      <c r="O36" s="5" t="n">
        <v>329</v>
      </c>
      <c r="P36" s="5" t="n"/>
      <c r="Q36" s="5" t="n">
        <v>329</v>
      </c>
      <c r="R36" s="5" t="n"/>
    </row>
    <row r="37">
      <c r="A37" s="2" t="inlineStr">
        <is>
          <t>EJ010323.TXT</t>
        </is>
      </c>
      <c r="B37" s="3" t="inlineStr">
        <is>
          <t>001021</t>
        </is>
      </c>
      <c r="C37" s="3" t="inlineStr">
        <is>
          <t>000644</t>
        </is>
      </c>
      <c r="D37" s="4" t="n">
        <v>44961</v>
      </c>
      <c r="E37" s="2" t="inlineStr">
        <is>
          <t>15:31</t>
        </is>
      </c>
      <c r="F37" s="5" t="n">
        <v>548.33</v>
      </c>
      <c r="G37" s="5" t="n"/>
      <c r="H37" s="5" t="n"/>
      <c r="I37" s="5" t="n"/>
      <c r="J37" s="5" t="n">
        <v>109.67</v>
      </c>
      <c r="K37" s="5" t="n"/>
      <c r="L37" s="5" t="n"/>
      <c r="M37" s="5" t="n"/>
      <c r="N37" s="5" t="n"/>
      <c r="O37" s="5" t="n">
        <v>658</v>
      </c>
      <c r="P37" s="5" t="n"/>
      <c r="Q37" s="5" t="n">
        <v>658</v>
      </c>
      <c r="R37" s="5" t="n"/>
    </row>
    <row r="38">
      <c r="A38" s="2" t="inlineStr">
        <is>
          <t>EJ010323.TXT</t>
        </is>
      </c>
      <c r="B38" s="3" t="inlineStr">
        <is>
          <t>001022</t>
        </is>
      </c>
      <c r="C38" s="3" t="inlineStr">
        <is>
          <t>000645</t>
        </is>
      </c>
      <c r="D38" s="4" t="n">
        <v>44961</v>
      </c>
      <c r="E38" s="2" t="inlineStr">
        <is>
          <t>15:34</t>
        </is>
      </c>
      <c r="F38" s="5" t="n">
        <v>548.33</v>
      </c>
      <c r="G38" s="5" t="n"/>
      <c r="H38" s="5" t="n"/>
      <c r="I38" s="5" t="n"/>
      <c r="J38" s="5" t="n">
        <v>109.67</v>
      </c>
      <c r="K38" s="5" t="n"/>
      <c r="L38" s="5" t="n"/>
      <c r="M38" s="5" t="n"/>
      <c r="N38" s="5" t="n"/>
      <c r="O38" s="5" t="n">
        <v>658</v>
      </c>
      <c r="P38" s="5" t="n">
        <v>658</v>
      </c>
      <c r="Q38" s="5" t="n"/>
      <c r="R38" s="5" t="n"/>
    </row>
    <row r="39">
      <c r="A39" s="2" t="inlineStr">
        <is>
          <t>EJ010323.TXT</t>
        </is>
      </c>
      <c r="B39" s="3" t="inlineStr">
        <is>
          <t>001023</t>
        </is>
      </c>
      <c r="C39" s="3" t="inlineStr">
        <is>
          <t>000646</t>
        </is>
      </c>
      <c r="D39" s="4" t="n">
        <v>44961</v>
      </c>
      <c r="E39" s="2" t="inlineStr">
        <is>
          <t>16:26</t>
        </is>
      </c>
      <c r="F39" s="5" t="n">
        <v>822.5</v>
      </c>
      <c r="G39" s="5" t="n"/>
      <c r="H39" s="5" t="n"/>
      <c r="I39" s="5" t="n"/>
      <c r="J39" s="5" t="n">
        <v>164.5</v>
      </c>
      <c r="K39" s="5" t="n"/>
      <c r="L39" s="5" t="n"/>
      <c r="M39" s="5" t="n"/>
      <c r="N39" s="5" t="n"/>
      <c r="O39" s="5" t="n">
        <v>987</v>
      </c>
      <c r="P39" s="5" t="n"/>
      <c r="Q39" s="5" t="n">
        <v>987</v>
      </c>
      <c r="R39" s="5" t="n"/>
    </row>
    <row r="40">
      <c r="A40" s="2" t="inlineStr">
        <is>
          <t>EJ010323.TXT</t>
        </is>
      </c>
      <c r="B40" s="3" t="inlineStr">
        <is>
          <t>001024</t>
        </is>
      </c>
      <c r="C40" s="3" t="inlineStr">
        <is>
          <t>000647</t>
        </is>
      </c>
      <c r="D40" s="4" t="n">
        <v>44961</v>
      </c>
      <c r="E40" s="2" t="inlineStr">
        <is>
          <t>16:35</t>
        </is>
      </c>
      <c r="F40" s="5" t="n">
        <v>548.33</v>
      </c>
      <c r="G40" s="5" t="n"/>
      <c r="H40" s="5" t="n"/>
      <c r="I40" s="5" t="n"/>
      <c r="J40" s="5" t="n">
        <v>109.67</v>
      </c>
      <c r="K40" s="5" t="n"/>
      <c r="L40" s="5" t="n"/>
      <c r="M40" s="5" t="n"/>
      <c r="N40" s="5" t="n"/>
      <c r="O40" s="5" t="n">
        <v>658</v>
      </c>
      <c r="P40" s="5" t="n">
        <v>658</v>
      </c>
      <c r="Q40" s="5" t="n"/>
      <c r="R40" s="5" t="n"/>
    </row>
    <row r="41">
      <c r="A41" s="2" t="inlineStr">
        <is>
          <t>EJ010323.TXT</t>
        </is>
      </c>
      <c r="B41" s="3" t="inlineStr">
        <is>
          <t>001025</t>
        </is>
      </c>
      <c r="C41" s="3" t="inlineStr">
        <is>
          <t>000648</t>
        </is>
      </c>
      <c r="D41" s="4" t="n">
        <v>44963</v>
      </c>
      <c r="E41" s="2" t="inlineStr">
        <is>
          <t>13:29</t>
        </is>
      </c>
      <c r="F41" s="5" t="n">
        <v>1495</v>
      </c>
      <c r="G41" s="5" t="n"/>
      <c r="H41" s="5" t="n"/>
      <c r="I41" s="5" t="n"/>
      <c r="J41" s="5" t="n">
        <v>299</v>
      </c>
      <c r="K41" s="5" t="n"/>
      <c r="L41" s="5" t="n"/>
      <c r="M41" s="5" t="n"/>
      <c r="N41" s="5" t="n"/>
      <c r="O41" s="5" t="n">
        <v>1794</v>
      </c>
      <c r="P41" s="5" t="n">
        <v>1794</v>
      </c>
      <c r="Q41" s="5" t="n"/>
      <c r="R41" s="5" t="n"/>
    </row>
    <row r="42">
      <c r="A42" s="2" t="inlineStr">
        <is>
          <t>EJ010323.TXT</t>
        </is>
      </c>
      <c r="B42" s="3" t="inlineStr">
        <is>
          <t>001026</t>
        </is>
      </c>
      <c r="C42" s="3" t="inlineStr">
        <is>
          <t>000649</t>
        </is>
      </c>
      <c r="D42" s="4" t="n">
        <v>44963</v>
      </c>
      <c r="E42" s="2" t="inlineStr">
        <is>
          <t>17:56</t>
        </is>
      </c>
      <c r="F42" s="5" t="n">
        <v>897.5</v>
      </c>
      <c r="G42" s="5" t="n"/>
      <c r="H42" s="5" t="n"/>
      <c r="I42" s="5" t="n"/>
      <c r="J42" s="5" t="n">
        <v>179.5</v>
      </c>
      <c r="K42" s="5" t="n"/>
      <c r="L42" s="5" t="n"/>
      <c r="M42" s="5" t="n"/>
      <c r="N42" s="5" t="n"/>
      <c r="O42" s="5" t="n">
        <v>1077</v>
      </c>
      <c r="P42" s="5" t="n"/>
      <c r="Q42" s="5" t="n">
        <v>1077</v>
      </c>
      <c r="R42" s="5" t="n"/>
    </row>
    <row r="43">
      <c r="A43" s="2" t="inlineStr">
        <is>
          <t>EJ010323.TXT</t>
        </is>
      </c>
      <c r="B43" s="3" t="inlineStr">
        <is>
          <t>001027</t>
        </is>
      </c>
      <c r="C43" s="3" t="inlineStr">
        <is>
          <t>000650</t>
        </is>
      </c>
      <c r="D43" s="4" t="n">
        <v>44966</v>
      </c>
      <c r="E43" s="2" t="inlineStr">
        <is>
          <t>15:16</t>
        </is>
      </c>
      <c r="F43" s="5" t="n">
        <v>548.33</v>
      </c>
      <c r="G43" s="5" t="n"/>
      <c r="H43" s="5" t="n"/>
      <c r="I43" s="5" t="n"/>
      <c r="J43" s="5" t="n">
        <v>109.67</v>
      </c>
      <c r="K43" s="5" t="n"/>
      <c r="L43" s="5" t="n"/>
      <c r="M43" s="5" t="n"/>
      <c r="N43" s="5" t="n"/>
      <c r="O43" s="5" t="n">
        <v>658</v>
      </c>
      <c r="P43" s="5" t="n">
        <v>58</v>
      </c>
      <c r="Q43" s="5" t="n">
        <v>600</v>
      </c>
      <c r="R43" s="5" t="n"/>
    </row>
    <row r="44">
      <c r="A44" s="2" t="inlineStr">
        <is>
          <t>EJ010323.TXT</t>
        </is>
      </c>
      <c r="B44" s="3" t="inlineStr">
        <is>
          <t>001029</t>
        </is>
      </c>
      <c r="C44" s="3" t="inlineStr">
        <is>
          <t>000651</t>
        </is>
      </c>
      <c r="D44" s="4" t="n">
        <v>44967</v>
      </c>
      <c r="E44" s="2" t="inlineStr">
        <is>
          <t>17:03</t>
        </is>
      </c>
      <c r="F44" s="5" t="n">
        <v>1449.17</v>
      </c>
      <c r="G44" s="5" t="n"/>
      <c r="H44" s="5" t="n"/>
      <c r="I44" s="5" t="n"/>
      <c r="J44" s="5" t="n">
        <v>289.83</v>
      </c>
      <c r="K44" s="5" t="n"/>
      <c r="L44" s="5" t="n"/>
      <c r="M44" s="5" t="n"/>
      <c r="N44" s="5" t="n"/>
      <c r="O44" s="5" t="n">
        <v>1739</v>
      </c>
      <c r="P44" s="5" t="n">
        <v>1739</v>
      </c>
      <c r="Q44" s="5" t="n"/>
      <c r="R44" s="5" t="n"/>
    </row>
    <row r="45">
      <c r="A45" s="2" t="inlineStr">
        <is>
          <t>EJ010323.TXT</t>
        </is>
      </c>
      <c r="B45" s="3" t="inlineStr">
        <is>
          <t>001030</t>
        </is>
      </c>
      <c r="C45" s="3" t="inlineStr">
        <is>
          <t>000652</t>
        </is>
      </c>
      <c r="D45" s="4" t="n">
        <v>44970</v>
      </c>
      <c r="E45" s="2" t="inlineStr">
        <is>
          <t>11:49</t>
        </is>
      </c>
      <c r="F45" s="5" t="n">
        <v>646.67</v>
      </c>
      <c r="G45" s="5" t="n"/>
      <c r="H45" s="5" t="n"/>
      <c r="I45" s="5" t="n"/>
      <c r="J45" s="5" t="n">
        <v>129.33</v>
      </c>
      <c r="K45" s="5" t="n"/>
      <c r="L45" s="5" t="n"/>
      <c r="M45" s="5" t="n"/>
      <c r="N45" s="5" t="n"/>
      <c r="O45" s="5" t="n">
        <v>776</v>
      </c>
      <c r="P45" s="5" t="n"/>
      <c r="Q45" s="5" t="n">
        <v>776</v>
      </c>
      <c r="R45" s="5" t="n"/>
    </row>
    <row r="46">
      <c r="A46" s="2" t="inlineStr">
        <is>
          <t>EJ010323.TXT</t>
        </is>
      </c>
      <c r="B46" s="3" t="inlineStr">
        <is>
          <t>001031</t>
        </is>
      </c>
      <c r="C46" s="3" t="inlineStr">
        <is>
          <t>000653</t>
        </is>
      </c>
      <c r="D46" s="4" t="n">
        <v>44972</v>
      </c>
      <c r="E46" s="2" t="inlineStr">
        <is>
          <t>10:22</t>
        </is>
      </c>
      <c r="F46" s="5" t="n">
        <v>1600</v>
      </c>
      <c r="G46" s="5" t="n"/>
      <c r="H46" s="5" t="n"/>
      <c r="I46" s="5" t="n"/>
      <c r="J46" s="5" t="n">
        <v>320</v>
      </c>
      <c r="K46" s="5" t="n"/>
      <c r="L46" s="5" t="n"/>
      <c r="M46" s="5" t="n"/>
      <c r="N46" s="5" t="n"/>
      <c r="O46" s="5" t="n">
        <v>1920</v>
      </c>
      <c r="P46" s="5" t="n">
        <v>920</v>
      </c>
      <c r="Q46" s="5" t="n">
        <v>1000</v>
      </c>
      <c r="R46" s="5" t="n"/>
    </row>
    <row r="47">
      <c r="A47" s="2" t="inlineStr">
        <is>
          <t>EJ010323.TXT</t>
        </is>
      </c>
      <c r="B47" s="3" t="inlineStr">
        <is>
          <t>001033</t>
        </is>
      </c>
      <c r="C47" s="3" t="inlineStr">
        <is>
          <t>000654</t>
        </is>
      </c>
      <c r="D47" s="4" t="n">
        <v>44972</v>
      </c>
      <c r="E47" s="2" t="inlineStr">
        <is>
          <t>10:50</t>
        </is>
      </c>
      <c r="F47" s="5" t="n">
        <v>274.17</v>
      </c>
      <c r="G47" s="5" t="n"/>
      <c r="H47" s="5" t="n"/>
      <c r="I47" s="5" t="n"/>
      <c r="J47" s="5" t="n">
        <v>54.83</v>
      </c>
      <c r="K47" s="5" t="n"/>
      <c r="L47" s="5" t="n"/>
      <c r="M47" s="5" t="n"/>
      <c r="N47" s="5" t="n"/>
      <c r="O47" s="5" t="n">
        <v>329</v>
      </c>
      <c r="P47" s="5" t="n"/>
      <c r="Q47" s="5" t="n"/>
      <c r="R47" s="5" t="n">
        <v>329</v>
      </c>
    </row>
    <row r="48">
      <c r="A48" s="2" t="inlineStr">
        <is>
          <t>EJ010323.TXT</t>
        </is>
      </c>
      <c r="B48" s="3" t="inlineStr">
        <is>
          <t>001034</t>
        </is>
      </c>
      <c r="C48" s="3" t="inlineStr">
        <is>
          <t>000655</t>
        </is>
      </c>
      <c r="D48" s="4" t="n">
        <v>44972</v>
      </c>
      <c r="E48" s="2" t="inlineStr">
        <is>
          <t>13:58</t>
        </is>
      </c>
      <c r="F48" s="5" t="n">
        <v>465</v>
      </c>
      <c r="G48" s="5" t="n"/>
      <c r="H48" s="5" t="n"/>
      <c r="I48" s="5" t="n"/>
      <c r="J48" s="5" t="n">
        <v>93</v>
      </c>
      <c r="K48" s="5" t="n"/>
      <c r="L48" s="5" t="n"/>
      <c r="M48" s="5" t="n"/>
      <c r="N48" s="5" t="n"/>
      <c r="O48" s="5" t="n">
        <v>558</v>
      </c>
      <c r="P48" s="5" t="n">
        <v>558</v>
      </c>
      <c r="Q48" s="5" t="n"/>
      <c r="R48" s="5" t="n"/>
    </row>
    <row r="49">
      <c r="A49" s="2" t="inlineStr">
        <is>
          <t>EJ010323.TXT</t>
        </is>
      </c>
      <c r="B49" s="3" t="inlineStr">
        <is>
          <t>001035</t>
        </is>
      </c>
      <c r="C49" s="3" t="inlineStr">
        <is>
          <t>000656</t>
        </is>
      </c>
      <c r="D49" s="4" t="n">
        <v>44972</v>
      </c>
      <c r="E49" s="2" t="inlineStr">
        <is>
          <t>15:51</t>
        </is>
      </c>
      <c r="F49" s="5" t="n">
        <v>548.33</v>
      </c>
      <c r="G49" s="5" t="n"/>
      <c r="H49" s="5" t="n"/>
      <c r="I49" s="5" t="n"/>
      <c r="J49" s="5" t="n">
        <v>109.67</v>
      </c>
      <c r="K49" s="5" t="n"/>
      <c r="L49" s="5" t="n"/>
      <c r="M49" s="5" t="n"/>
      <c r="N49" s="5" t="n"/>
      <c r="O49" s="5" t="n">
        <v>658</v>
      </c>
      <c r="P49" s="5" t="n">
        <v>158</v>
      </c>
      <c r="Q49" s="5" t="n">
        <v>500</v>
      </c>
      <c r="R49" s="5" t="n"/>
    </row>
    <row r="50">
      <c r="A50" s="2" t="inlineStr">
        <is>
          <t>EJ010323.TXT</t>
        </is>
      </c>
      <c r="B50" s="3" t="inlineStr">
        <is>
          <t>001038</t>
        </is>
      </c>
      <c r="C50" s="3" t="inlineStr">
        <is>
          <t>000657</t>
        </is>
      </c>
      <c r="D50" s="4" t="n">
        <v>44974</v>
      </c>
      <c r="E50" s="2" t="inlineStr">
        <is>
          <t>13:43</t>
        </is>
      </c>
      <c r="F50" s="5" t="n">
        <v>548.33</v>
      </c>
      <c r="G50" s="5" t="n"/>
      <c r="H50" s="5" t="n"/>
      <c r="I50" s="5" t="n"/>
      <c r="J50" s="5" t="n">
        <v>109.67</v>
      </c>
      <c r="K50" s="5" t="n"/>
      <c r="L50" s="5" t="n"/>
      <c r="M50" s="5" t="n"/>
      <c r="N50" s="5" t="n"/>
      <c r="O50" s="5" t="n">
        <v>658</v>
      </c>
      <c r="P50" s="5" t="n"/>
      <c r="Q50" s="5" t="n">
        <v>658</v>
      </c>
      <c r="R50" s="5" t="n"/>
    </row>
    <row r="51">
      <c r="A51" s="2" t="inlineStr">
        <is>
          <t>EJ010323.TXT</t>
        </is>
      </c>
      <c r="B51" s="3" t="inlineStr">
        <is>
          <t>001039</t>
        </is>
      </c>
      <c r="C51" s="3" t="inlineStr">
        <is>
          <t>000658</t>
        </is>
      </c>
      <c r="D51" s="4" t="n">
        <v>44974</v>
      </c>
      <c r="E51" s="2" t="inlineStr">
        <is>
          <t>13:43</t>
        </is>
      </c>
      <c r="F51" s="5" t="n">
        <v>548.33</v>
      </c>
      <c r="G51" s="5" t="n"/>
      <c r="H51" s="5" t="n"/>
      <c r="I51" s="5" t="n"/>
      <c r="J51" s="5" t="n">
        <v>109.67</v>
      </c>
      <c r="K51" s="5" t="n"/>
      <c r="L51" s="5" t="n"/>
      <c r="M51" s="5" t="n"/>
      <c r="N51" s="5" t="n"/>
      <c r="O51" s="5" t="n">
        <v>658</v>
      </c>
      <c r="P51" s="5" t="n"/>
      <c r="Q51" s="5" t="n">
        <v>658</v>
      </c>
      <c r="R51" s="5" t="n"/>
    </row>
    <row r="52">
      <c r="A52" s="2" t="inlineStr">
        <is>
          <t>EJ010323.TXT</t>
        </is>
      </c>
      <c r="B52" s="3" t="inlineStr">
        <is>
          <t>001040</t>
        </is>
      </c>
      <c r="C52" s="3" t="inlineStr">
        <is>
          <t>000659</t>
        </is>
      </c>
      <c r="D52" s="4" t="n">
        <v>44975</v>
      </c>
      <c r="E52" s="2" t="inlineStr">
        <is>
          <t>17:47</t>
        </is>
      </c>
      <c r="F52" s="5" t="n">
        <v>533.33</v>
      </c>
      <c r="G52" s="5" t="n"/>
      <c r="H52" s="5" t="n"/>
      <c r="I52" s="5" t="n"/>
      <c r="J52" s="5" t="n">
        <v>106.67</v>
      </c>
      <c r="K52" s="5" t="n"/>
      <c r="L52" s="5" t="n"/>
      <c r="M52" s="5" t="n"/>
      <c r="N52" s="5" t="n"/>
      <c r="O52" s="5" t="n">
        <v>640</v>
      </c>
      <c r="P52" s="5" t="n"/>
      <c r="Q52" s="5" t="n">
        <v>640</v>
      </c>
      <c r="R52" s="5" t="n"/>
    </row>
    <row r="53">
      <c r="A53" s="2" t="inlineStr">
        <is>
          <t>EJ010323.TXT</t>
        </is>
      </c>
      <c r="B53" s="3" t="inlineStr">
        <is>
          <t>001041</t>
        </is>
      </c>
      <c r="C53" s="3" t="inlineStr">
        <is>
          <t>000660</t>
        </is>
      </c>
      <c r="D53" s="4" t="n">
        <v>44978</v>
      </c>
      <c r="E53" s="2" t="inlineStr">
        <is>
          <t>11:02</t>
        </is>
      </c>
      <c r="F53" s="5" t="n">
        <v>548.33</v>
      </c>
      <c r="G53" s="5" t="n"/>
      <c r="H53" s="5" t="n"/>
      <c r="I53" s="5" t="n"/>
      <c r="J53" s="5" t="n">
        <v>109.67</v>
      </c>
      <c r="K53" s="5" t="n"/>
      <c r="L53" s="5" t="n"/>
      <c r="M53" s="5" t="n"/>
      <c r="N53" s="5" t="n"/>
      <c r="O53" s="5" t="n">
        <v>658</v>
      </c>
      <c r="P53" s="5" t="n">
        <v>658</v>
      </c>
      <c r="Q53" s="5" t="n"/>
      <c r="R53" s="5" t="n"/>
    </row>
    <row r="54">
      <c r="A54" s="2" t="inlineStr">
        <is>
          <t>EJ010323.TXT</t>
        </is>
      </c>
      <c r="B54" s="3" t="inlineStr">
        <is>
          <t>001042</t>
        </is>
      </c>
      <c r="C54" s="3" t="inlineStr">
        <is>
          <t>000661</t>
        </is>
      </c>
      <c r="D54" s="4" t="n">
        <v>44978</v>
      </c>
      <c r="E54" s="2" t="inlineStr">
        <is>
          <t>11:03</t>
        </is>
      </c>
      <c r="F54" s="5" t="n">
        <v>548.33</v>
      </c>
      <c r="G54" s="5" t="n"/>
      <c r="H54" s="5" t="n"/>
      <c r="I54" s="5" t="n"/>
      <c r="J54" s="5" t="n">
        <v>109.67</v>
      </c>
      <c r="K54" s="5" t="n"/>
      <c r="L54" s="5" t="n"/>
      <c r="M54" s="5" t="n"/>
      <c r="N54" s="5" t="n"/>
      <c r="O54" s="5" t="n">
        <v>658</v>
      </c>
      <c r="P54" s="5" t="n">
        <v>658</v>
      </c>
      <c r="Q54" s="5" t="n"/>
      <c r="R54" s="5" t="n"/>
    </row>
    <row r="55">
      <c r="A55" s="2" t="inlineStr">
        <is>
          <t>EJ010323.TXT</t>
        </is>
      </c>
      <c r="B55" s="3" t="inlineStr">
        <is>
          <t>001043</t>
        </is>
      </c>
      <c r="C55" s="3" t="inlineStr">
        <is>
          <t>000662</t>
        </is>
      </c>
      <c r="D55" s="4" t="n">
        <v>44978</v>
      </c>
      <c r="E55" s="2" t="inlineStr">
        <is>
          <t>11:09</t>
        </is>
      </c>
      <c r="F55" s="5" t="n">
        <v>274.17</v>
      </c>
      <c r="G55" s="5" t="n"/>
      <c r="H55" s="5" t="n"/>
      <c r="I55" s="5" t="n"/>
      <c r="J55" s="5" t="n">
        <v>54.83</v>
      </c>
      <c r="K55" s="5" t="n"/>
      <c r="L55" s="5" t="n"/>
      <c r="M55" s="5" t="n"/>
      <c r="N55" s="5" t="n"/>
      <c r="O55" s="5" t="n">
        <v>329</v>
      </c>
      <c r="P55" s="5" t="n">
        <v>329</v>
      </c>
      <c r="Q55" s="5" t="n"/>
      <c r="R55" s="5" t="n"/>
    </row>
    <row r="56">
      <c r="A56" s="2" t="inlineStr">
        <is>
          <t>EJ010323.TXT</t>
        </is>
      </c>
      <c r="B56" s="3" t="inlineStr">
        <is>
          <t>001044</t>
        </is>
      </c>
      <c r="C56" s="3" t="inlineStr">
        <is>
          <t>000663</t>
        </is>
      </c>
      <c r="D56" s="4" t="n">
        <v>44978</v>
      </c>
      <c r="E56" s="2" t="inlineStr">
        <is>
          <t>13:53</t>
        </is>
      </c>
      <c r="F56" s="5" t="n">
        <v>2466.67</v>
      </c>
      <c r="G56" s="5" t="n"/>
      <c r="H56" s="5" t="n"/>
      <c r="I56" s="5" t="n"/>
      <c r="J56" s="5" t="n">
        <v>493.33</v>
      </c>
      <c r="K56" s="5" t="n"/>
      <c r="L56" s="5" t="n"/>
      <c r="M56" s="5" t="n"/>
      <c r="N56" s="5" t="n"/>
      <c r="O56" s="5" t="n">
        <v>2960</v>
      </c>
      <c r="P56" s="5" t="n">
        <v>2960</v>
      </c>
      <c r="Q56" s="5" t="n"/>
      <c r="R56" s="5" t="n"/>
    </row>
    <row r="57">
      <c r="A57" s="2" t="inlineStr">
        <is>
          <t>EJ010323.TXT</t>
        </is>
      </c>
      <c r="B57" s="3" t="inlineStr">
        <is>
          <t>001045</t>
        </is>
      </c>
      <c r="C57" s="3" t="inlineStr">
        <is>
          <t>000664</t>
        </is>
      </c>
      <c r="D57" s="4" t="n">
        <v>44982</v>
      </c>
      <c r="E57" s="2" t="inlineStr">
        <is>
          <t>15:57</t>
        </is>
      </c>
      <c r="F57" s="5" t="n">
        <v>274.17</v>
      </c>
      <c r="G57" s="5" t="n"/>
      <c r="H57" s="5" t="n"/>
      <c r="I57" s="5" t="n"/>
      <c r="J57" s="5" t="n">
        <v>54.83</v>
      </c>
      <c r="K57" s="5" t="n"/>
      <c r="L57" s="5" t="n"/>
      <c r="M57" s="5" t="n"/>
      <c r="N57" s="5" t="n"/>
      <c r="O57" s="5" t="n">
        <v>329</v>
      </c>
      <c r="P57" s="5" t="n"/>
      <c r="Q57" s="5" t="n">
        <v>329</v>
      </c>
      <c r="R57" s="5" t="n"/>
    </row>
    <row r="58">
      <c r="A58" s="2" t="inlineStr">
        <is>
          <t>EJ010323.TXT</t>
        </is>
      </c>
      <c r="B58" s="3" t="inlineStr">
        <is>
          <t>001046</t>
        </is>
      </c>
      <c r="C58" s="3" t="inlineStr">
        <is>
          <t>000665</t>
        </is>
      </c>
      <c r="D58" s="4" t="n">
        <v>44982</v>
      </c>
      <c r="E58" s="2" t="inlineStr">
        <is>
          <t>15:58</t>
        </is>
      </c>
      <c r="F58" s="5" t="n">
        <v>274.17</v>
      </c>
      <c r="G58" s="5" t="n"/>
      <c r="H58" s="5" t="n"/>
      <c r="I58" s="5" t="n"/>
      <c r="J58" s="5" t="n">
        <v>54.83</v>
      </c>
      <c r="K58" s="5" t="n"/>
      <c r="L58" s="5" t="n"/>
      <c r="M58" s="5" t="n"/>
      <c r="N58" s="5" t="n"/>
      <c r="O58" s="5" t="n">
        <v>329</v>
      </c>
      <c r="P58" s="5" t="n"/>
      <c r="Q58" s="5" t="n">
        <v>329</v>
      </c>
      <c r="R58" s="5" t="n"/>
    </row>
    <row r="59">
      <c r="A59" s="2" t="inlineStr">
        <is>
          <t>EJ010423.TXT</t>
        </is>
      </c>
      <c r="B59" s="3" t="inlineStr">
        <is>
          <t>001055</t>
        </is>
      </c>
      <c r="C59" s="3" t="inlineStr">
        <is>
          <t>000666</t>
        </is>
      </c>
      <c r="D59" s="4" t="n">
        <v>44988</v>
      </c>
      <c r="E59" s="2" t="inlineStr">
        <is>
          <t>15:04</t>
        </is>
      </c>
      <c r="F59" s="5" t="n">
        <v>329.17</v>
      </c>
      <c r="G59" s="5" t="n"/>
      <c r="H59" s="5" t="n"/>
      <c r="I59" s="5" t="n"/>
      <c r="J59" s="5" t="n">
        <v>65.83</v>
      </c>
      <c r="K59" s="5" t="n"/>
      <c r="L59" s="5" t="n"/>
      <c r="M59" s="5" t="n"/>
      <c r="N59" s="5" t="n"/>
      <c r="O59" s="5" t="n">
        <v>395</v>
      </c>
      <c r="P59" s="5" t="n">
        <v>395</v>
      </c>
      <c r="Q59" s="5" t="n"/>
      <c r="R59" s="5" t="n"/>
    </row>
    <row r="60">
      <c r="A60" s="2" t="inlineStr">
        <is>
          <t>EJ010423.TXT</t>
        </is>
      </c>
      <c r="B60" s="3" t="inlineStr">
        <is>
          <t>001056</t>
        </is>
      </c>
      <c r="C60" s="3" t="inlineStr">
        <is>
          <t>000667</t>
        </is>
      </c>
      <c r="D60" s="4" t="n">
        <v>44988</v>
      </c>
      <c r="E60" s="2" t="inlineStr">
        <is>
          <t>16:02</t>
        </is>
      </c>
      <c r="F60" s="5" t="n">
        <v>274.17</v>
      </c>
      <c r="G60" s="5" t="n"/>
      <c r="H60" s="5" t="n"/>
      <c r="I60" s="5" t="n"/>
      <c r="J60" s="5" t="n">
        <v>54.83</v>
      </c>
      <c r="K60" s="5" t="n"/>
      <c r="L60" s="5" t="n"/>
      <c r="M60" s="5" t="n"/>
      <c r="N60" s="5" t="n"/>
      <c r="O60" s="5" t="n">
        <v>329</v>
      </c>
      <c r="P60" s="5" t="n">
        <v>329</v>
      </c>
      <c r="Q60" s="5" t="n"/>
      <c r="R60" s="5" t="n"/>
    </row>
    <row r="61">
      <c r="A61" s="2" t="inlineStr">
        <is>
          <t>EJ010423.TXT</t>
        </is>
      </c>
      <c r="B61" s="3" t="inlineStr">
        <is>
          <t>001057</t>
        </is>
      </c>
      <c r="C61" s="3" t="inlineStr">
        <is>
          <t>000668</t>
        </is>
      </c>
      <c r="D61" s="4" t="n">
        <v>44991</v>
      </c>
      <c r="E61" s="2" t="inlineStr">
        <is>
          <t>17:27</t>
        </is>
      </c>
      <c r="F61" s="5" t="n">
        <v>274.17</v>
      </c>
      <c r="G61" s="5" t="n"/>
      <c r="H61" s="5" t="n"/>
      <c r="I61" s="5" t="n"/>
      <c r="J61" s="5" t="n">
        <v>54.83</v>
      </c>
      <c r="K61" s="5" t="n"/>
      <c r="L61" s="5" t="n"/>
      <c r="M61" s="5" t="n"/>
      <c r="N61" s="5" t="n"/>
      <c r="O61" s="5" t="n">
        <v>329</v>
      </c>
      <c r="P61" s="5" t="n"/>
      <c r="Q61" s="5" t="n">
        <v>329</v>
      </c>
      <c r="R61" s="5" t="n"/>
    </row>
    <row r="62">
      <c r="A62" s="2" t="inlineStr">
        <is>
          <t>EJ010423.TXT</t>
        </is>
      </c>
      <c r="B62" s="3" t="inlineStr">
        <is>
          <t>001058</t>
        </is>
      </c>
      <c r="C62" s="3" t="inlineStr">
        <is>
          <t>000669</t>
        </is>
      </c>
      <c r="D62" s="4" t="n">
        <v>44993</v>
      </c>
      <c r="E62" s="2" t="inlineStr">
        <is>
          <t>10:18</t>
        </is>
      </c>
      <c r="F62" s="5" t="n">
        <v>548.33</v>
      </c>
      <c r="G62" s="5" t="n"/>
      <c r="H62" s="5" t="n"/>
      <c r="I62" s="5" t="n"/>
      <c r="J62" s="5" t="n">
        <v>109.67</v>
      </c>
      <c r="K62" s="5" t="n"/>
      <c r="L62" s="5" t="n"/>
      <c r="M62" s="5" t="n"/>
      <c r="N62" s="5" t="n"/>
      <c r="O62" s="5" t="n">
        <v>658</v>
      </c>
      <c r="P62" s="5" t="n"/>
      <c r="Q62" s="5" t="n">
        <v>658</v>
      </c>
      <c r="R62" s="5" t="n"/>
    </row>
    <row r="63">
      <c r="A63" s="2" t="inlineStr">
        <is>
          <t>EJ010423.TXT</t>
        </is>
      </c>
      <c r="B63" s="3" t="inlineStr">
        <is>
          <t>001059</t>
        </is>
      </c>
      <c r="C63" s="3" t="inlineStr">
        <is>
          <t>000670</t>
        </is>
      </c>
      <c r="D63" s="4" t="n">
        <v>44996</v>
      </c>
      <c r="E63" s="2" t="inlineStr">
        <is>
          <t>17:07</t>
        </is>
      </c>
      <c r="F63" s="5" t="n">
        <v>199.17</v>
      </c>
      <c r="G63" s="5" t="n"/>
      <c r="H63" s="5" t="n"/>
      <c r="I63" s="5" t="n"/>
      <c r="J63" s="5" t="n">
        <v>39.83</v>
      </c>
      <c r="K63" s="5" t="n"/>
      <c r="L63" s="5" t="n"/>
      <c r="M63" s="5" t="n"/>
      <c r="N63" s="5" t="n"/>
      <c r="O63" s="5" t="n">
        <v>239</v>
      </c>
      <c r="P63" s="5" t="n"/>
      <c r="Q63" s="5" t="n">
        <v>239</v>
      </c>
      <c r="R63" s="5" t="n"/>
    </row>
    <row r="64">
      <c r="A64" s="2" t="inlineStr">
        <is>
          <t>EJ010423.TXT</t>
        </is>
      </c>
      <c r="B64" s="3" t="inlineStr">
        <is>
          <t>001060</t>
        </is>
      </c>
      <c r="C64" s="3" t="inlineStr">
        <is>
          <t>000671</t>
        </is>
      </c>
      <c r="D64" s="4" t="n">
        <v>45001</v>
      </c>
      <c r="E64" s="2" t="inlineStr">
        <is>
          <t>11:14</t>
        </is>
      </c>
      <c r="F64" s="5" t="n">
        <v>548.33</v>
      </c>
      <c r="G64" s="5" t="n"/>
      <c r="H64" s="5" t="n"/>
      <c r="I64" s="5" t="n"/>
      <c r="J64" s="5" t="n">
        <v>109.67</v>
      </c>
      <c r="K64" s="5" t="n"/>
      <c r="L64" s="5" t="n"/>
      <c r="M64" s="5" t="n"/>
      <c r="N64" s="5" t="n"/>
      <c r="O64" s="5" t="n">
        <v>658</v>
      </c>
      <c r="P64" s="5" t="n">
        <v>8</v>
      </c>
      <c r="Q64" s="5" t="n">
        <v>650</v>
      </c>
      <c r="R64" s="5" t="n"/>
    </row>
    <row r="65">
      <c r="A65" s="2" t="inlineStr">
        <is>
          <t>EJ010423.TXT</t>
        </is>
      </c>
      <c r="B65" s="3" t="inlineStr">
        <is>
          <t>001062</t>
        </is>
      </c>
      <c r="C65" s="3" t="inlineStr">
        <is>
          <t>000672</t>
        </is>
      </c>
      <c r="D65" s="4" t="n">
        <v>45001</v>
      </c>
      <c r="E65" s="2" t="inlineStr">
        <is>
          <t>11:24</t>
        </is>
      </c>
      <c r="F65" s="5" t="n">
        <v>822.5</v>
      </c>
      <c r="G65" s="5" t="n"/>
      <c r="H65" s="5" t="n"/>
      <c r="I65" s="5" t="n"/>
      <c r="J65" s="5" t="n">
        <v>164.5</v>
      </c>
      <c r="K65" s="5" t="n"/>
      <c r="L65" s="5" t="n"/>
      <c r="M65" s="5" t="n"/>
      <c r="N65" s="5" t="n"/>
      <c r="O65" s="5" t="n">
        <v>987</v>
      </c>
      <c r="P65" s="5" t="n">
        <v>987</v>
      </c>
      <c r="Q65" s="5" t="n"/>
      <c r="R65" s="5" t="n"/>
    </row>
    <row r="66">
      <c r="A66" s="2" t="inlineStr">
        <is>
          <t>EJ010423.TXT</t>
        </is>
      </c>
      <c r="B66" s="3" t="inlineStr">
        <is>
          <t>001063</t>
        </is>
      </c>
      <c r="C66" s="3" t="inlineStr">
        <is>
          <t>000673</t>
        </is>
      </c>
      <c r="D66" s="4" t="n">
        <v>45002</v>
      </c>
      <c r="E66" s="2" t="inlineStr">
        <is>
          <t>17:35</t>
        </is>
      </c>
      <c r="F66" s="5" t="n">
        <v>3200</v>
      </c>
      <c r="G66" s="5" t="n"/>
      <c r="H66" s="5" t="n"/>
      <c r="I66" s="5" t="n"/>
      <c r="J66" s="5" t="n">
        <v>640</v>
      </c>
      <c r="K66" s="5" t="n"/>
      <c r="L66" s="5" t="n"/>
      <c r="M66" s="5" t="n"/>
      <c r="N66" s="5" t="n"/>
      <c r="O66" s="5" t="n">
        <v>3840</v>
      </c>
      <c r="P66" s="5" t="n">
        <v>3840</v>
      </c>
      <c r="Q66" s="5" t="n"/>
      <c r="R66" s="5" t="n"/>
    </row>
    <row r="67">
      <c r="A67" s="2" t="inlineStr">
        <is>
          <t>EJ010423.TXT</t>
        </is>
      </c>
      <c r="B67" s="3" t="inlineStr">
        <is>
          <t>001064</t>
        </is>
      </c>
      <c r="C67" s="3" t="inlineStr">
        <is>
          <t>000674</t>
        </is>
      </c>
      <c r="D67" s="4" t="n">
        <v>45003</v>
      </c>
      <c r="E67" s="2" t="inlineStr">
        <is>
          <t>14:58</t>
        </is>
      </c>
      <c r="F67" s="5" t="n">
        <v>548.33</v>
      </c>
      <c r="G67" s="5" t="n"/>
      <c r="H67" s="5" t="n"/>
      <c r="I67" s="5" t="n"/>
      <c r="J67" s="5" t="n">
        <v>109.67</v>
      </c>
      <c r="K67" s="5" t="n"/>
      <c r="L67" s="5" t="n"/>
      <c r="M67" s="5" t="n"/>
      <c r="N67" s="5" t="n"/>
      <c r="O67" s="5" t="n">
        <v>658</v>
      </c>
      <c r="P67" s="5" t="n">
        <v>58</v>
      </c>
      <c r="Q67" s="5" t="n">
        <v>600</v>
      </c>
      <c r="R67" s="5" t="n"/>
    </row>
    <row r="68">
      <c r="A68" s="2" t="inlineStr">
        <is>
          <t>EJ010423.TXT</t>
        </is>
      </c>
      <c r="B68" s="3" t="inlineStr">
        <is>
          <t>001066</t>
        </is>
      </c>
      <c r="C68" s="3" t="inlineStr">
        <is>
          <t>000675</t>
        </is>
      </c>
      <c r="D68" s="4" t="n">
        <v>45003</v>
      </c>
      <c r="E68" s="2" t="inlineStr">
        <is>
          <t>16:53</t>
        </is>
      </c>
      <c r="F68" s="5" t="n">
        <v>1770</v>
      </c>
      <c r="G68" s="5" t="n"/>
      <c r="H68" s="5" t="n"/>
      <c r="I68" s="5" t="n"/>
      <c r="J68" s="5" t="n">
        <v>354</v>
      </c>
      <c r="K68" s="5" t="n"/>
      <c r="L68" s="5" t="n"/>
      <c r="M68" s="5" t="n"/>
      <c r="N68" s="5" t="n"/>
      <c r="O68" s="5" t="n">
        <v>2124</v>
      </c>
      <c r="P68" s="5" t="n">
        <v>2124</v>
      </c>
      <c r="Q68" s="5" t="n"/>
      <c r="R68" s="5" t="n"/>
    </row>
    <row r="69">
      <c r="A69" s="2" t="inlineStr">
        <is>
          <t>EJ010423.TXT</t>
        </is>
      </c>
      <c r="B69" s="3" t="inlineStr">
        <is>
          <t>001067</t>
        </is>
      </c>
      <c r="C69" s="3" t="inlineStr">
        <is>
          <t>000676</t>
        </is>
      </c>
      <c r="D69" s="4" t="n">
        <v>45005</v>
      </c>
      <c r="E69" s="2" t="inlineStr">
        <is>
          <t>13:47</t>
        </is>
      </c>
      <c r="F69" s="5" t="n">
        <v>548.33</v>
      </c>
      <c r="G69" s="5" t="n"/>
      <c r="H69" s="5" t="n"/>
      <c r="I69" s="5" t="n"/>
      <c r="J69" s="5" t="n">
        <v>109.67</v>
      </c>
      <c r="K69" s="5" t="n"/>
      <c r="L69" s="5" t="n"/>
      <c r="M69" s="5" t="n"/>
      <c r="N69" s="5" t="n"/>
      <c r="O69" s="5" t="n">
        <v>658</v>
      </c>
      <c r="P69" s="5" t="n"/>
      <c r="Q69" s="5" t="n">
        <v>658</v>
      </c>
      <c r="R69" s="5" t="n"/>
    </row>
    <row r="70">
      <c r="A70" s="2" t="inlineStr">
        <is>
          <t>EJ010423.TXT</t>
        </is>
      </c>
      <c r="B70" s="3" t="inlineStr">
        <is>
          <t>001070</t>
        </is>
      </c>
      <c r="C70" s="3" t="inlineStr">
        <is>
          <t>000677</t>
        </is>
      </c>
      <c r="D70" s="4" t="n">
        <v>45010</v>
      </c>
      <c r="E70" s="2" t="inlineStr">
        <is>
          <t>14:47</t>
        </is>
      </c>
      <c r="F70" s="5" t="n">
        <v>797.5</v>
      </c>
      <c r="G70" s="5" t="n"/>
      <c r="H70" s="5" t="n"/>
      <c r="I70" s="5" t="n"/>
      <c r="J70" s="5" t="n">
        <v>159.5</v>
      </c>
      <c r="K70" s="5" t="n"/>
      <c r="L70" s="5" t="n"/>
      <c r="M70" s="5" t="n"/>
      <c r="N70" s="5" t="n"/>
      <c r="O70" s="5" t="n">
        <v>957</v>
      </c>
      <c r="P70" s="5" t="n"/>
      <c r="Q70" s="5" t="n">
        <v>957</v>
      </c>
      <c r="R70" s="5" t="n"/>
    </row>
    <row r="71">
      <c r="A71" s="2" t="inlineStr">
        <is>
          <t>EJ010423.TXT</t>
        </is>
      </c>
      <c r="B71" s="3" t="inlineStr">
        <is>
          <t>001071</t>
        </is>
      </c>
      <c r="C71" s="3" t="inlineStr">
        <is>
          <t>000678</t>
        </is>
      </c>
      <c r="D71" s="4" t="n">
        <v>45010</v>
      </c>
      <c r="E71" s="2" t="inlineStr">
        <is>
          <t>15:18</t>
        </is>
      </c>
      <c r="F71" s="5" t="n">
        <v>797.5</v>
      </c>
      <c r="G71" s="5" t="n"/>
      <c r="H71" s="5" t="n"/>
      <c r="I71" s="5" t="n"/>
      <c r="J71" s="5" t="n">
        <v>159.5</v>
      </c>
      <c r="K71" s="5" t="n"/>
      <c r="L71" s="5" t="n"/>
      <c r="M71" s="5" t="n"/>
      <c r="N71" s="5" t="n"/>
      <c r="O71" s="5" t="n">
        <v>957</v>
      </c>
      <c r="P71" s="5" t="n"/>
      <c r="Q71" s="5" t="n">
        <v>957</v>
      </c>
      <c r="R71" s="5" t="n"/>
    </row>
    <row r="72">
      <c r="A72" s="2" t="inlineStr">
        <is>
          <t>EJ010423.TXT</t>
        </is>
      </c>
      <c r="B72" s="3" t="inlineStr">
        <is>
          <t>001072</t>
        </is>
      </c>
      <c r="C72" s="3" t="inlineStr">
        <is>
          <t>000679</t>
        </is>
      </c>
      <c r="D72" s="4" t="n">
        <v>45010</v>
      </c>
      <c r="E72" s="2" t="inlineStr">
        <is>
          <t>15:26</t>
        </is>
      </c>
      <c r="F72" s="5" t="n">
        <v>800</v>
      </c>
      <c r="G72" s="5" t="n"/>
      <c r="H72" s="5" t="n"/>
      <c r="I72" s="5" t="n"/>
      <c r="J72" s="5" t="n">
        <v>160</v>
      </c>
      <c r="K72" s="5" t="n"/>
      <c r="L72" s="5" t="n"/>
      <c r="M72" s="5" t="n"/>
      <c r="N72" s="5" t="n"/>
      <c r="O72" s="5" t="n">
        <v>960</v>
      </c>
      <c r="P72" s="5" t="n"/>
      <c r="Q72" s="5" t="n">
        <v>960</v>
      </c>
      <c r="R72" s="5" t="n"/>
    </row>
    <row r="73">
      <c r="A73" s="2" t="inlineStr">
        <is>
          <t>EJ010423.TXT</t>
        </is>
      </c>
      <c r="B73" s="3" t="inlineStr">
        <is>
          <t>001074</t>
        </is>
      </c>
      <c r="C73" s="3" t="inlineStr">
        <is>
          <t>000680</t>
        </is>
      </c>
      <c r="D73" s="4" t="n">
        <v>45010</v>
      </c>
      <c r="E73" s="2" t="inlineStr">
        <is>
          <t>15:31</t>
        </is>
      </c>
      <c r="F73" s="5" t="n">
        <v>2400</v>
      </c>
      <c r="G73" s="5" t="n"/>
      <c r="H73" s="5" t="n"/>
      <c r="I73" s="5" t="n"/>
      <c r="J73" s="5" t="n">
        <v>480</v>
      </c>
      <c r="K73" s="5" t="n"/>
      <c r="L73" s="5" t="n"/>
      <c r="M73" s="5" t="n"/>
      <c r="N73" s="5" t="n"/>
      <c r="O73" s="5" t="n">
        <v>2880</v>
      </c>
      <c r="P73" s="5" t="n">
        <v>2880</v>
      </c>
      <c r="Q73" s="5" t="n"/>
      <c r="R73" s="5" t="n"/>
    </row>
    <row r="74">
      <c r="A74" s="2" t="inlineStr">
        <is>
          <t>EJ010423.TXT</t>
        </is>
      </c>
      <c r="B74" s="3" t="inlineStr">
        <is>
          <t>001075</t>
        </is>
      </c>
      <c r="C74" s="3" t="inlineStr">
        <is>
          <t>000681</t>
        </is>
      </c>
      <c r="D74" s="4" t="n">
        <v>45010</v>
      </c>
      <c r="E74" s="2" t="inlineStr">
        <is>
          <t>15:41</t>
        </is>
      </c>
      <c r="F74" s="5" t="n">
        <v>548.33</v>
      </c>
      <c r="G74" s="5" t="n"/>
      <c r="H74" s="5" t="n"/>
      <c r="I74" s="5" t="n"/>
      <c r="J74" s="5" t="n">
        <v>109.67</v>
      </c>
      <c r="K74" s="5" t="n"/>
      <c r="L74" s="5" t="n"/>
      <c r="M74" s="5" t="n"/>
      <c r="N74" s="5" t="n"/>
      <c r="O74" s="5" t="n">
        <v>658</v>
      </c>
      <c r="P74" s="5" t="n">
        <v>658</v>
      </c>
      <c r="Q74" s="5" t="n"/>
      <c r="R74" s="5" t="n"/>
    </row>
    <row r="75">
      <c r="A75" s="2" t="inlineStr">
        <is>
          <t>EJ010423.TXT</t>
        </is>
      </c>
      <c r="B75" s="3" t="inlineStr">
        <is>
          <t>001076</t>
        </is>
      </c>
      <c r="C75" s="3" t="inlineStr">
        <is>
          <t>000682</t>
        </is>
      </c>
      <c r="D75" s="4" t="n">
        <v>45010</v>
      </c>
      <c r="E75" s="2" t="inlineStr">
        <is>
          <t>16:05</t>
        </is>
      </c>
      <c r="F75" s="5" t="n">
        <v>797.5</v>
      </c>
      <c r="G75" s="5" t="n"/>
      <c r="H75" s="5" t="n"/>
      <c r="I75" s="5" t="n"/>
      <c r="J75" s="5" t="n">
        <v>159.5</v>
      </c>
      <c r="K75" s="5" t="n"/>
      <c r="L75" s="5" t="n"/>
      <c r="M75" s="5" t="n"/>
      <c r="N75" s="5" t="n"/>
      <c r="O75" s="5" t="n">
        <v>957</v>
      </c>
      <c r="P75" s="5" t="n"/>
      <c r="Q75" s="5" t="n">
        <v>957</v>
      </c>
      <c r="R75" s="5" t="n"/>
    </row>
    <row r="76">
      <c r="A76" s="2" t="inlineStr">
        <is>
          <t>EJ010423.TXT</t>
        </is>
      </c>
      <c r="B76" s="3" t="inlineStr">
        <is>
          <t>001077</t>
        </is>
      </c>
      <c r="C76" s="3" t="inlineStr">
        <is>
          <t>000683</t>
        </is>
      </c>
      <c r="D76" s="4" t="n">
        <v>45010</v>
      </c>
      <c r="E76" s="2" t="inlineStr">
        <is>
          <t>16:06</t>
        </is>
      </c>
      <c r="F76" s="5" t="n">
        <v>797.5</v>
      </c>
      <c r="G76" s="5" t="n"/>
      <c r="H76" s="5" t="n"/>
      <c r="I76" s="5" t="n"/>
      <c r="J76" s="5" t="n">
        <v>159.5</v>
      </c>
      <c r="K76" s="5" t="n"/>
      <c r="L76" s="5" t="n"/>
      <c r="M76" s="5" t="n"/>
      <c r="N76" s="5" t="n"/>
      <c r="O76" s="5" t="n">
        <v>957</v>
      </c>
      <c r="P76" s="5" t="n"/>
      <c r="Q76" s="5" t="n">
        <v>957</v>
      </c>
      <c r="R76" s="5" t="n"/>
    </row>
    <row r="77">
      <c r="A77" s="2" t="inlineStr">
        <is>
          <t>EJ010423.TXT</t>
        </is>
      </c>
      <c r="B77" s="3" t="inlineStr">
        <is>
          <t>001078</t>
        </is>
      </c>
      <c r="C77" s="3" t="inlineStr">
        <is>
          <t>000684</t>
        </is>
      </c>
      <c r="D77" s="4" t="n">
        <v>45010</v>
      </c>
      <c r="E77" s="2" t="inlineStr">
        <is>
          <t>16:09</t>
        </is>
      </c>
      <c r="F77" s="5" t="n">
        <v>274.17</v>
      </c>
      <c r="G77" s="5" t="n"/>
      <c r="H77" s="5" t="n"/>
      <c r="I77" s="5" t="n"/>
      <c r="J77" s="5" t="n">
        <v>54.83</v>
      </c>
      <c r="K77" s="5" t="n"/>
      <c r="L77" s="5" t="n"/>
      <c r="M77" s="5" t="n"/>
      <c r="N77" s="5" t="n"/>
      <c r="O77" s="5" t="n">
        <v>329</v>
      </c>
      <c r="P77" s="5" t="n">
        <v>329</v>
      </c>
      <c r="Q77" s="5" t="n"/>
      <c r="R77" s="5" t="n"/>
    </row>
    <row r="78">
      <c r="A78" s="2" t="inlineStr">
        <is>
          <t>EJ010423.TXT</t>
        </is>
      </c>
      <c r="B78" s="3" t="inlineStr">
        <is>
          <t>001079</t>
        </is>
      </c>
      <c r="C78" s="3" t="inlineStr">
        <is>
          <t>000685</t>
        </is>
      </c>
      <c r="D78" s="4" t="n">
        <v>45010</v>
      </c>
      <c r="E78" s="2" t="inlineStr">
        <is>
          <t>16:19</t>
        </is>
      </c>
      <c r="F78" s="5" t="n">
        <v>531.67</v>
      </c>
      <c r="G78" s="5" t="n"/>
      <c r="H78" s="5" t="n"/>
      <c r="I78" s="5" t="n"/>
      <c r="J78" s="5" t="n">
        <v>106.33</v>
      </c>
      <c r="K78" s="5" t="n"/>
      <c r="L78" s="5" t="n"/>
      <c r="M78" s="5" t="n"/>
      <c r="N78" s="5" t="n"/>
      <c r="O78" s="5" t="n">
        <v>638</v>
      </c>
      <c r="P78" s="5" t="n">
        <v>638</v>
      </c>
      <c r="Q78" s="5" t="n"/>
      <c r="R78" s="5" t="n"/>
    </row>
    <row r="79">
      <c r="A79" s="2" t="inlineStr">
        <is>
          <t>EJ010423.TXT</t>
        </is>
      </c>
      <c r="B79" s="3" t="inlineStr">
        <is>
          <t>001080</t>
        </is>
      </c>
      <c r="C79" s="3" t="inlineStr">
        <is>
          <t>000686</t>
        </is>
      </c>
      <c r="D79" s="4" t="n">
        <v>45011</v>
      </c>
      <c r="E79" s="2" t="inlineStr">
        <is>
          <t>17:15</t>
        </is>
      </c>
      <c r="F79" s="5" t="n">
        <v>797.5</v>
      </c>
      <c r="G79" s="5" t="n"/>
      <c r="H79" s="5" t="n"/>
      <c r="I79" s="5" t="n"/>
      <c r="J79" s="5" t="n">
        <v>159.5</v>
      </c>
      <c r="K79" s="5" t="n"/>
      <c r="L79" s="5" t="n"/>
      <c r="M79" s="5" t="n"/>
      <c r="N79" s="5" t="n"/>
      <c r="O79" s="5" t="n">
        <v>957</v>
      </c>
      <c r="P79" s="5" t="n"/>
      <c r="Q79" s="5" t="n">
        <v>957</v>
      </c>
      <c r="R79" s="5" t="n"/>
    </row>
    <row r="80">
      <c r="A80" s="2" t="inlineStr">
        <is>
          <t>EJ010423.TXT</t>
        </is>
      </c>
      <c r="B80" s="3" t="inlineStr">
        <is>
          <t>001081</t>
        </is>
      </c>
      <c r="C80" s="3" t="inlineStr">
        <is>
          <t>000687</t>
        </is>
      </c>
      <c r="D80" s="4" t="n">
        <v>45011</v>
      </c>
      <c r="E80" s="2" t="inlineStr">
        <is>
          <t>17:18</t>
        </is>
      </c>
      <c r="F80" s="5" t="n">
        <v>797.5</v>
      </c>
      <c r="G80" s="5" t="n"/>
      <c r="H80" s="5" t="n"/>
      <c r="I80" s="5" t="n"/>
      <c r="J80" s="5" t="n">
        <v>159.5</v>
      </c>
      <c r="K80" s="5" t="n"/>
      <c r="L80" s="5" t="n"/>
      <c r="M80" s="5" t="n"/>
      <c r="N80" s="5" t="n"/>
      <c r="O80" s="5" t="n">
        <v>957</v>
      </c>
      <c r="P80" s="5" t="n"/>
      <c r="Q80" s="5" t="n">
        <v>957</v>
      </c>
      <c r="R80" s="5" t="n"/>
    </row>
    <row r="81">
      <c r="A81" s="2" t="inlineStr">
        <is>
          <t>EJ010423.TXT</t>
        </is>
      </c>
      <c r="B81" s="3" t="inlineStr">
        <is>
          <t>001082</t>
        </is>
      </c>
      <c r="C81" s="3" t="inlineStr">
        <is>
          <t>000688</t>
        </is>
      </c>
      <c r="D81" s="4" t="n">
        <v>45013</v>
      </c>
      <c r="E81" s="2" t="inlineStr">
        <is>
          <t>09:40</t>
        </is>
      </c>
      <c r="F81" s="5" t="n">
        <v>548.33</v>
      </c>
      <c r="G81" s="5" t="n"/>
      <c r="H81" s="5" t="n"/>
      <c r="I81" s="5" t="n"/>
      <c r="J81" s="5" t="n">
        <v>109.67</v>
      </c>
      <c r="K81" s="5" t="n"/>
      <c r="L81" s="5" t="n"/>
      <c r="M81" s="5" t="n"/>
      <c r="N81" s="5" t="n"/>
      <c r="O81" s="5" t="n">
        <v>658</v>
      </c>
      <c r="P81" s="5" t="n">
        <v>658</v>
      </c>
      <c r="Q81" s="5" t="n"/>
      <c r="R81" s="5" t="n"/>
    </row>
    <row r="82">
      <c r="A82" s="2" t="inlineStr">
        <is>
          <t>EJ010423.TXT</t>
        </is>
      </c>
      <c r="B82" s="3" t="inlineStr">
        <is>
          <t>001083</t>
        </is>
      </c>
      <c r="C82" s="3" t="inlineStr">
        <is>
          <t>000689</t>
        </is>
      </c>
      <c r="D82" s="4" t="n">
        <v>45014</v>
      </c>
      <c r="E82" s="2" t="inlineStr">
        <is>
          <t>11:47</t>
        </is>
      </c>
      <c r="F82" s="5" t="n">
        <v>548.33</v>
      </c>
      <c r="G82" s="5" t="n"/>
      <c r="H82" s="5" t="n"/>
      <c r="I82" s="5" t="n"/>
      <c r="J82" s="5" t="n">
        <v>109.67</v>
      </c>
      <c r="K82" s="5" t="n"/>
      <c r="L82" s="5" t="n"/>
      <c r="M82" s="5" t="n"/>
      <c r="N82" s="5" t="n"/>
      <c r="O82" s="5" t="n">
        <v>658</v>
      </c>
      <c r="P82" s="5" t="n">
        <v>658</v>
      </c>
      <c r="Q82" s="5" t="n"/>
      <c r="R82" s="5" t="n"/>
    </row>
    <row r="83">
      <c r="A83" s="2" t="inlineStr">
        <is>
          <t>EJ010423.TXT</t>
        </is>
      </c>
      <c r="B83" s="3" t="inlineStr">
        <is>
          <t>001084</t>
        </is>
      </c>
      <c r="C83" s="3" t="inlineStr">
        <is>
          <t>000690</t>
        </is>
      </c>
      <c r="D83" s="4" t="n">
        <v>45016</v>
      </c>
      <c r="E83" s="2" t="inlineStr">
        <is>
          <t>08:58</t>
        </is>
      </c>
      <c r="F83" s="5" t="n">
        <v>1645</v>
      </c>
      <c r="G83" s="5" t="n"/>
      <c r="H83" s="5" t="n"/>
      <c r="I83" s="5" t="n"/>
      <c r="J83" s="5" t="n">
        <v>329</v>
      </c>
      <c r="K83" s="5" t="n"/>
      <c r="L83" s="5" t="n"/>
      <c r="M83" s="5" t="n"/>
      <c r="N83" s="5" t="n"/>
      <c r="O83" s="5" t="n">
        <v>1974</v>
      </c>
      <c r="P83" s="5" t="n">
        <v>1974</v>
      </c>
      <c r="Q83" s="5" t="n"/>
      <c r="R83" s="5" t="n"/>
    </row>
    <row r="84">
      <c r="A84" s="2" t="inlineStr">
        <is>
          <t>EJ020523.TXT</t>
        </is>
      </c>
      <c r="B84" s="3" t="inlineStr">
        <is>
          <t>001092</t>
        </is>
      </c>
      <c r="C84" s="3" t="inlineStr">
        <is>
          <t>000691</t>
        </is>
      </c>
      <c r="D84" s="4" t="n">
        <v>45020</v>
      </c>
      <c r="E84" s="2" t="inlineStr">
        <is>
          <t>12:37</t>
        </is>
      </c>
      <c r="F84" s="5" t="n">
        <v>398.33</v>
      </c>
      <c r="G84" s="5" t="n"/>
      <c r="H84" s="5" t="n"/>
      <c r="I84" s="5" t="n"/>
      <c r="J84" s="5" t="n">
        <v>79.67</v>
      </c>
      <c r="K84" s="5" t="n"/>
      <c r="L84" s="5" t="n"/>
      <c r="M84" s="5" t="n"/>
      <c r="N84" s="5" t="n"/>
      <c r="O84" s="5" t="n">
        <v>478</v>
      </c>
      <c r="P84" s="5" t="n">
        <v>478</v>
      </c>
      <c r="Q84" s="5" t="n"/>
      <c r="R84" s="5" t="n"/>
    </row>
    <row r="85">
      <c r="A85" s="2" t="inlineStr">
        <is>
          <t>EJ020523.TXT</t>
        </is>
      </c>
      <c r="B85" s="3" t="inlineStr">
        <is>
          <t>001098</t>
        </is>
      </c>
      <c r="C85" s="3" t="inlineStr">
        <is>
          <t>000692</t>
        </is>
      </c>
      <c r="D85" s="4" t="n">
        <v>45023</v>
      </c>
      <c r="E85" s="2" t="inlineStr">
        <is>
          <t>12:24</t>
        </is>
      </c>
      <c r="F85" s="5" t="n">
        <v>548.33</v>
      </c>
      <c r="G85" s="5" t="n"/>
      <c r="H85" s="5" t="n"/>
      <c r="I85" s="5" t="n"/>
      <c r="J85" s="5" t="n">
        <v>109.67</v>
      </c>
      <c r="K85" s="5" t="n"/>
      <c r="L85" s="5" t="n"/>
      <c r="M85" s="5" t="n"/>
      <c r="N85" s="5" t="n"/>
      <c r="O85" s="5" t="n">
        <v>658</v>
      </c>
      <c r="P85" s="5" t="n">
        <v>658</v>
      </c>
      <c r="Q85" s="5" t="n"/>
      <c r="R85" s="5" t="n"/>
    </row>
    <row r="86">
      <c r="A86" s="2" t="inlineStr">
        <is>
          <t>EJ020523.TXT</t>
        </is>
      </c>
      <c r="B86" s="3" t="inlineStr">
        <is>
          <t>001099</t>
        </is>
      </c>
      <c r="C86" s="3" t="inlineStr">
        <is>
          <t>000693</t>
        </is>
      </c>
      <c r="D86" s="4" t="n">
        <v>45028</v>
      </c>
      <c r="E86" s="2" t="inlineStr">
        <is>
          <t>12:43</t>
        </is>
      </c>
      <c r="F86" s="5" t="n">
        <v>274.17</v>
      </c>
      <c r="G86" s="5" t="n"/>
      <c r="H86" s="5" t="n"/>
      <c r="I86" s="5" t="n"/>
      <c r="J86" s="5" t="n">
        <v>54.83</v>
      </c>
      <c r="K86" s="5" t="n"/>
      <c r="L86" s="5" t="n"/>
      <c r="M86" s="5" t="n"/>
      <c r="N86" s="5" t="n"/>
      <c r="O86" s="5" t="n">
        <v>329</v>
      </c>
      <c r="P86" s="5" t="n">
        <v>329</v>
      </c>
      <c r="Q86" s="5" t="n"/>
      <c r="R86" s="5" t="n"/>
    </row>
    <row r="87">
      <c r="A87" s="2" t="inlineStr">
        <is>
          <t>EJ020523.TXT</t>
        </is>
      </c>
      <c r="B87" s="3" t="inlineStr">
        <is>
          <t>001100</t>
        </is>
      </c>
      <c r="C87" s="3" t="inlineStr">
        <is>
          <t>000694</t>
        </is>
      </c>
      <c r="D87" s="4" t="n">
        <v>45030</v>
      </c>
      <c r="E87" s="2" t="inlineStr">
        <is>
          <t>12:11</t>
        </is>
      </c>
      <c r="F87" s="5" t="n">
        <v>73.33</v>
      </c>
      <c r="G87" s="5" t="n"/>
      <c r="H87" s="5" t="n"/>
      <c r="I87" s="5" t="n"/>
      <c r="J87" s="5" t="n">
        <v>14.67</v>
      </c>
      <c r="K87" s="5" t="n"/>
      <c r="L87" s="5" t="n"/>
      <c r="M87" s="5" t="n"/>
      <c r="N87" s="5" t="n"/>
      <c r="O87" s="5" t="n">
        <v>88</v>
      </c>
      <c r="P87" s="5" t="n"/>
      <c r="Q87" s="5" t="n">
        <v>88</v>
      </c>
      <c r="R87" s="5" t="n"/>
    </row>
    <row r="88">
      <c r="A88" s="2" t="inlineStr">
        <is>
          <t>EJ020523.TXT</t>
        </is>
      </c>
      <c r="B88" s="3" t="inlineStr">
        <is>
          <t>001107</t>
        </is>
      </c>
      <c r="C88" s="3" t="inlineStr">
        <is>
          <t>000695</t>
        </is>
      </c>
      <c r="D88" s="4" t="n">
        <v>45038</v>
      </c>
      <c r="E88" s="2" t="inlineStr">
        <is>
          <t>15:55</t>
        </is>
      </c>
      <c r="F88" s="5" t="n">
        <v>548.33</v>
      </c>
      <c r="G88" s="5" t="n"/>
      <c r="H88" s="5" t="n"/>
      <c r="I88" s="5" t="n"/>
      <c r="J88" s="5" t="n">
        <v>109.67</v>
      </c>
      <c r="K88" s="5" t="n"/>
      <c r="L88" s="5" t="n"/>
      <c r="M88" s="5" t="n"/>
      <c r="N88" s="5" t="n"/>
      <c r="O88" s="5" t="n">
        <v>658</v>
      </c>
      <c r="P88" s="5" t="n">
        <v>658</v>
      </c>
      <c r="Q88" s="5" t="n"/>
      <c r="R88" s="5" t="n"/>
    </row>
    <row r="89">
      <c r="A89" s="2" t="inlineStr">
        <is>
          <t>EJ020523.TXT</t>
        </is>
      </c>
      <c r="B89" s="3" t="inlineStr">
        <is>
          <t>001109</t>
        </is>
      </c>
      <c r="C89" s="3" t="inlineStr">
        <is>
          <t>000696</t>
        </is>
      </c>
      <c r="D89" s="4" t="n">
        <v>45041</v>
      </c>
      <c r="E89" s="2" t="inlineStr">
        <is>
          <t>15:17</t>
        </is>
      </c>
      <c r="F89" s="5" t="n">
        <v>73.33</v>
      </c>
      <c r="G89" s="5" t="n"/>
      <c r="H89" s="5" t="n"/>
      <c r="I89" s="5" t="n"/>
      <c r="J89" s="5" t="n">
        <v>14.67</v>
      </c>
      <c r="K89" s="5" t="n"/>
      <c r="L89" s="5" t="n"/>
      <c r="M89" s="5" t="n"/>
      <c r="N89" s="5" t="n"/>
      <c r="O89" s="5" t="n">
        <v>88</v>
      </c>
      <c r="P89" s="5" t="n"/>
      <c r="Q89" s="5" t="n">
        <v>88</v>
      </c>
      <c r="R89" s="5" t="n"/>
    </row>
    <row r="90">
      <c r="A90" s="2" t="inlineStr">
        <is>
          <t>EJ020523.TXT</t>
        </is>
      </c>
      <c r="B90" s="3" t="inlineStr">
        <is>
          <t>001110</t>
        </is>
      </c>
      <c r="C90" s="3" t="inlineStr">
        <is>
          <t>000697</t>
        </is>
      </c>
      <c r="D90" s="4" t="n">
        <v>45041</v>
      </c>
      <c r="E90" s="2" t="inlineStr">
        <is>
          <t>15:48</t>
        </is>
      </c>
      <c r="F90" s="5" t="n">
        <v>822.5</v>
      </c>
      <c r="G90" s="5" t="n"/>
      <c r="H90" s="5" t="n"/>
      <c r="I90" s="5" t="n"/>
      <c r="J90" s="5" t="n">
        <v>164.5</v>
      </c>
      <c r="K90" s="5" t="n"/>
      <c r="L90" s="5" t="n"/>
      <c r="M90" s="5" t="n"/>
      <c r="N90" s="5" t="n"/>
      <c r="O90" s="5" t="n">
        <v>987</v>
      </c>
      <c r="P90" s="5" t="n"/>
      <c r="Q90" s="5" t="n">
        <v>987</v>
      </c>
      <c r="R90" s="5" t="n"/>
    </row>
    <row r="91">
      <c r="A91" s="2" t="inlineStr">
        <is>
          <t>EJ020523.TXT</t>
        </is>
      </c>
      <c r="B91" s="3" t="inlineStr">
        <is>
          <t>001111</t>
        </is>
      </c>
      <c r="C91" s="3" t="inlineStr">
        <is>
          <t>000698</t>
        </is>
      </c>
      <c r="D91" s="4" t="n">
        <v>45041</v>
      </c>
      <c r="E91" s="2" t="inlineStr">
        <is>
          <t>15:57</t>
        </is>
      </c>
      <c r="F91" s="5" t="n">
        <v>822.5</v>
      </c>
      <c r="G91" s="5" t="n"/>
      <c r="H91" s="5" t="n"/>
      <c r="I91" s="5" t="n"/>
      <c r="J91" s="5" t="n">
        <v>164.5</v>
      </c>
      <c r="K91" s="5" t="n"/>
      <c r="L91" s="5" t="n"/>
      <c r="M91" s="5" t="n"/>
      <c r="N91" s="5" t="n"/>
      <c r="O91" s="5" t="n">
        <v>987</v>
      </c>
      <c r="P91" s="5" t="n"/>
      <c r="Q91" s="5" t="n">
        <v>987</v>
      </c>
      <c r="R91" s="5" t="n"/>
    </row>
    <row r="92">
      <c r="A92" s="2" t="inlineStr">
        <is>
          <t>EJ020523.TXT</t>
        </is>
      </c>
      <c r="B92" s="3" t="inlineStr">
        <is>
          <t>001112</t>
        </is>
      </c>
      <c r="C92" s="3" t="inlineStr">
        <is>
          <t>000699</t>
        </is>
      </c>
      <c r="D92" s="4" t="n">
        <v>45041</v>
      </c>
      <c r="E92" s="2" t="inlineStr">
        <is>
          <t>17:02</t>
        </is>
      </c>
      <c r="F92" s="5" t="n">
        <v>5298.33</v>
      </c>
      <c r="G92" s="5" t="n"/>
      <c r="H92" s="5" t="n"/>
      <c r="I92" s="5" t="n"/>
      <c r="J92" s="5" t="n">
        <v>1059.67</v>
      </c>
      <c r="K92" s="5" t="n"/>
      <c r="L92" s="5" t="n"/>
      <c r="M92" s="5" t="n"/>
      <c r="N92" s="5" t="n"/>
      <c r="O92" s="5" t="n">
        <v>6358</v>
      </c>
      <c r="P92" s="5" t="n">
        <v>6358</v>
      </c>
      <c r="Q92" s="5" t="n"/>
      <c r="R92" s="5" t="n"/>
    </row>
    <row r="93">
      <c r="A93" s="2" t="inlineStr">
        <is>
          <t>EJ020523.TXT</t>
        </is>
      </c>
      <c r="B93" s="3" t="inlineStr">
        <is>
          <t>001114</t>
        </is>
      </c>
      <c r="C93" s="3" t="inlineStr">
        <is>
          <t>000700</t>
        </is>
      </c>
      <c r="D93" s="4" t="n">
        <v>45042</v>
      </c>
      <c r="E93" s="2" t="inlineStr">
        <is>
          <t>09:36</t>
        </is>
      </c>
      <c r="F93" s="5" t="n">
        <v>548.33</v>
      </c>
      <c r="G93" s="5" t="n"/>
      <c r="H93" s="5" t="n"/>
      <c r="I93" s="5" t="n"/>
      <c r="J93" s="5" t="n">
        <v>109.67</v>
      </c>
      <c r="K93" s="5" t="n"/>
      <c r="L93" s="5" t="n"/>
      <c r="M93" s="5" t="n"/>
      <c r="N93" s="5" t="n"/>
      <c r="O93" s="5" t="n">
        <v>658</v>
      </c>
      <c r="P93" s="5" t="n"/>
      <c r="Q93" s="5" t="n">
        <v>658</v>
      </c>
      <c r="R93" s="5" t="n"/>
    </row>
    <row r="94">
      <c r="A94" s="2" t="inlineStr">
        <is>
          <t>EJ020523.TXT</t>
        </is>
      </c>
      <c r="B94" s="3" t="inlineStr">
        <is>
          <t>001115</t>
        </is>
      </c>
      <c r="C94" s="3" t="inlineStr">
        <is>
          <t>000701</t>
        </is>
      </c>
      <c r="D94" s="4" t="n">
        <v>45042</v>
      </c>
      <c r="E94" s="2" t="inlineStr">
        <is>
          <t>09:50</t>
        </is>
      </c>
      <c r="F94" s="5" t="n">
        <v>146.67</v>
      </c>
      <c r="G94" s="5" t="n"/>
      <c r="H94" s="5" t="n"/>
      <c r="I94" s="5" t="n"/>
      <c r="J94" s="5" t="n">
        <v>29.33</v>
      </c>
      <c r="K94" s="5" t="n"/>
      <c r="L94" s="5" t="n"/>
      <c r="M94" s="5" t="n"/>
      <c r="N94" s="5" t="n"/>
      <c r="O94" s="5" t="n">
        <v>176</v>
      </c>
      <c r="P94" s="5" t="n"/>
      <c r="Q94" s="5" t="n">
        <v>176</v>
      </c>
      <c r="R94" s="5" t="n"/>
    </row>
    <row r="95">
      <c r="A95" s="2" t="inlineStr">
        <is>
          <t>EJ020523.TXT</t>
        </is>
      </c>
      <c r="B95" s="3" t="inlineStr">
        <is>
          <t>001119</t>
        </is>
      </c>
      <c r="C95" s="3" t="inlineStr">
        <is>
          <t>000702</t>
        </is>
      </c>
      <c r="D95" s="4" t="n">
        <v>45043</v>
      </c>
      <c r="E95" s="2" t="inlineStr">
        <is>
          <t>12:23</t>
        </is>
      </c>
      <c r="F95" s="5" t="n">
        <v>49.17</v>
      </c>
      <c r="G95" s="5" t="n"/>
      <c r="H95" s="5" t="n"/>
      <c r="I95" s="5" t="n"/>
      <c r="J95" s="5" t="n">
        <v>9.83</v>
      </c>
      <c r="K95" s="5" t="n"/>
      <c r="L95" s="5" t="n"/>
      <c r="M95" s="5" t="n"/>
      <c r="N95" s="5" t="n"/>
      <c r="O95" s="5" t="n">
        <v>59</v>
      </c>
      <c r="P95" s="5" t="n">
        <v>59</v>
      </c>
      <c r="Q95" s="5" t="n"/>
      <c r="R95" s="5" t="n"/>
    </row>
    <row r="96">
      <c r="A96" s="2" t="inlineStr">
        <is>
          <t>EJ020523.TXT</t>
        </is>
      </c>
      <c r="B96" s="3" t="inlineStr">
        <is>
          <t>001120</t>
        </is>
      </c>
      <c r="C96" s="3" t="inlineStr">
        <is>
          <t>000703</t>
        </is>
      </c>
      <c r="D96" s="4" t="n">
        <v>45043</v>
      </c>
      <c r="E96" s="2" t="inlineStr">
        <is>
          <t>16:00</t>
        </is>
      </c>
      <c r="F96" s="5" t="n">
        <v>615</v>
      </c>
      <c r="G96" s="5" t="n"/>
      <c r="H96" s="5" t="n"/>
      <c r="I96" s="5" t="n"/>
      <c r="J96" s="5" t="n">
        <v>123</v>
      </c>
      <c r="K96" s="5" t="n"/>
      <c r="L96" s="5" t="n"/>
      <c r="M96" s="5" t="n"/>
      <c r="N96" s="5" t="n"/>
      <c r="O96" s="5" t="n">
        <v>738</v>
      </c>
      <c r="P96" s="5" t="n">
        <v>738</v>
      </c>
      <c r="Q96" s="5" t="n"/>
      <c r="R96" s="5" t="n"/>
    </row>
    <row r="97">
      <c r="A97" s="2" t="inlineStr">
        <is>
          <t>EJ020523.TXT</t>
        </is>
      </c>
      <c r="B97" s="3" t="inlineStr">
        <is>
          <t>001122</t>
        </is>
      </c>
      <c r="C97" s="3" t="inlineStr">
        <is>
          <t>000704</t>
        </is>
      </c>
      <c r="D97" s="4" t="n">
        <v>45045</v>
      </c>
      <c r="E97" s="2" t="inlineStr">
        <is>
          <t>16:12</t>
        </is>
      </c>
      <c r="F97" s="5" t="n">
        <v>597.5</v>
      </c>
      <c r="G97" s="5" t="n"/>
      <c r="H97" s="5" t="n"/>
      <c r="I97" s="5" t="n"/>
      <c r="J97" s="5" t="n">
        <v>119.5</v>
      </c>
      <c r="K97" s="5" t="n"/>
      <c r="L97" s="5" t="n"/>
      <c r="M97" s="5" t="n"/>
      <c r="N97" s="5" t="n"/>
      <c r="O97" s="5" t="n">
        <v>717</v>
      </c>
      <c r="P97" s="5" t="n">
        <v>717</v>
      </c>
      <c r="Q97" s="5" t="n"/>
      <c r="R97" s="5" t="n"/>
    </row>
    <row r="98">
      <c r="A98" s="2" t="inlineStr">
        <is>
          <t>EJ020523.TXT</t>
        </is>
      </c>
      <c r="B98" s="3" t="inlineStr">
        <is>
          <t>001123</t>
        </is>
      </c>
      <c r="C98" s="3" t="inlineStr">
        <is>
          <t>000705</t>
        </is>
      </c>
      <c r="D98" s="4" t="n">
        <v>45045</v>
      </c>
      <c r="E98" s="2" t="inlineStr">
        <is>
          <t>16:55</t>
        </is>
      </c>
      <c r="F98" s="5" t="n">
        <v>381.67</v>
      </c>
      <c r="G98" s="5" t="n"/>
      <c r="H98" s="5" t="n"/>
      <c r="I98" s="5" t="n"/>
      <c r="J98" s="5" t="n">
        <v>76.33</v>
      </c>
      <c r="K98" s="5" t="n"/>
      <c r="L98" s="5" t="n"/>
      <c r="M98" s="5" t="n"/>
      <c r="N98" s="5" t="n"/>
      <c r="O98" s="5" t="n">
        <v>458</v>
      </c>
      <c r="P98" s="5" t="n"/>
      <c r="Q98" s="5" t="n">
        <v>458</v>
      </c>
      <c r="R98" s="5" t="n"/>
    </row>
    <row r="99">
      <c r="A99" s="2" t="inlineStr">
        <is>
          <t>EJ010623.TXT</t>
        </is>
      </c>
      <c r="B99" s="3" t="inlineStr">
        <is>
          <t>001130</t>
        </is>
      </c>
      <c r="C99" s="3" t="inlineStr">
        <is>
          <t>000706</t>
        </is>
      </c>
      <c r="D99" s="4" t="n">
        <v>45048</v>
      </c>
      <c r="E99" s="2" t="inlineStr">
        <is>
          <t>12:22</t>
        </is>
      </c>
      <c r="F99" s="5" t="n">
        <v>548.33</v>
      </c>
      <c r="G99" s="5" t="n"/>
      <c r="H99" s="5" t="n"/>
      <c r="I99" s="5" t="n"/>
      <c r="J99" s="5" t="n">
        <v>109.67</v>
      </c>
      <c r="K99" s="5" t="n"/>
      <c r="L99" s="5" t="n"/>
      <c r="M99" s="5" t="n"/>
      <c r="N99" s="5" t="n"/>
      <c r="O99" s="5" t="n">
        <v>658</v>
      </c>
      <c r="P99" s="5" t="n">
        <v>658</v>
      </c>
      <c r="Q99" s="5" t="n"/>
      <c r="R99" s="5" t="n"/>
    </row>
    <row r="100">
      <c r="A100" s="2" t="inlineStr">
        <is>
          <t>EJ010623.TXT</t>
        </is>
      </c>
      <c r="B100" s="3" t="inlineStr">
        <is>
          <t>001131</t>
        </is>
      </c>
      <c r="C100" s="3" t="inlineStr">
        <is>
          <t>000707</t>
        </is>
      </c>
      <c r="D100" s="4" t="n">
        <v>45048</v>
      </c>
      <c r="E100" s="2" t="inlineStr">
        <is>
          <t>13:04</t>
        </is>
      </c>
      <c r="F100" s="5" t="n">
        <v>581.67</v>
      </c>
      <c r="G100" s="5" t="n"/>
      <c r="H100" s="5" t="n"/>
      <c r="I100" s="5" t="n"/>
      <c r="J100" s="5" t="n">
        <v>116.33</v>
      </c>
      <c r="K100" s="5" t="n"/>
      <c r="L100" s="5" t="n"/>
      <c r="M100" s="5" t="n"/>
      <c r="N100" s="5" t="n"/>
      <c r="O100" s="5" t="n">
        <v>698</v>
      </c>
      <c r="P100" s="5" t="n">
        <v>698</v>
      </c>
      <c r="Q100" s="5" t="n"/>
      <c r="R100" s="5" t="n"/>
    </row>
    <row r="101">
      <c r="A101" s="2" t="inlineStr">
        <is>
          <t>EJ010623.TXT</t>
        </is>
      </c>
      <c r="B101" s="3" t="inlineStr">
        <is>
          <t>001132</t>
        </is>
      </c>
      <c r="C101" s="3" t="inlineStr">
        <is>
          <t>000708</t>
        </is>
      </c>
      <c r="D101" s="4" t="n">
        <v>45049</v>
      </c>
      <c r="E101" s="2" t="inlineStr">
        <is>
          <t>12:24</t>
        </is>
      </c>
      <c r="F101" s="5" t="n">
        <v>274.17</v>
      </c>
      <c r="G101" s="5" t="n"/>
      <c r="H101" s="5" t="n"/>
      <c r="I101" s="5" t="n"/>
      <c r="J101" s="5" t="n">
        <v>54.83</v>
      </c>
      <c r="K101" s="5" t="n"/>
      <c r="L101" s="5" t="n"/>
      <c r="M101" s="5" t="n"/>
      <c r="N101" s="5" t="n"/>
      <c r="O101" s="5" t="n">
        <v>329</v>
      </c>
      <c r="P101" s="5" t="n">
        <v>329</v>
      </c>
      <c r="Q101" s="5" t="n"/>
      <c r="R101" s="5" t="n"/>
    </row>
    <row r="102">
      <c r="A102" s="2" t="inlineStr">
        <is>
          <t>EJ010623.TXT</t>
        </is>
      </c>
      <c r="B102" s="3" t="inlineStr">
        <is>
          <t>001134</t>
        </is>
      </c>
      <c r="C102" s="3" t="inlineStr">
        <is>
          <t>000709</t>
        </is>
      </c>
      <c r="D102" s="4" t="n">
        <v>45050</v>
      </c>
      <c r="E102" s="2" t="inlineStr">
        <is>
          <t>14:46</t>
        </is>
      </c>
      <c r="F102" s="5" t="n">
        <v>548.33</v>
      </c>
      <c r="G102" s="5" t="n"/>
      <c r="H102" s="5" t="n"/>
      <c r="I102" s="5" t="n"/>
      <c r="J102" s="5" t="n">
        <v>109.67</v>
      </c>
      <c r="K102" s="5" t="n"/>
      <c r="L102" s="5" t="n"/>
      <c r="M102" s="5" t="n"/>
      <c r="N102" s="5" t="n"/>
      <c r="O102" s="5" t="n">
        <v>658</v>
      </c>
      <c r="P102" s="5" t="n">
        <v>658</v>
      </c>
      <c r="Q102" s="5" t="n"/>
      <c r="R102" s="5" t="n"/>
    </row>
    <row r="103">
      <c r="A103" s="2" t="inlineStr">
        <is>
          <t>EJ010623.TXT</t>
        </is>
      </c>
      <c r="B103" s="3" t="inlineStr">
        <is>
          <t>001136</t>
        </is>
      </c>
      <c r="C103" s="3" t="inlineStr">
        <is>
          <t>000710</t>
        </is>
      </c>
      <c r="D103" s="4" t="n">
        <v>45058</v>
      </c>
      <c r="E103" s="2" t="inlineStr">
        <is>
          <t>14:37</t>
        </is>
      </c>
      <c r="F103" s="5" t="n">
        <v>115</v>
      </c>
      <c r="G103" s="5" t="n"/>
      <c r="H103" s="5" t="n"/>
      <c r="I103" s="5" t="n"/>
      <c r="J103" s="5" t="n">
        <v>23</v>
      </c>
      <c r="K103" s="5" t="n"/>
      <c r="L103" s="5" t="n"/>
      <c r="M103" s="5" t="n"/>
      <c r="N103" s="5" t="n"/>
      <c r="O103" s="5" t="n">
        <v>138</v>
      </c>
      <c r="P103" s="5" t="n">
        <v>138</v>
      </c>
      <c r="Q103" s="5" t="n"/>
      <c r="R103" s="5" t="n"/>
    </row>
    <row r="104">
      <c r="A104" s="2" t="inlineStr">
        <is>
          <t>EJ010623.TXT</t>
        </is>
      </c>
      <c r="B104" s="3" t="inlineStr">
        <is>
          <t>001137</t>
        </is>
      </c>
      <c r="C104" s="3" t="inlineStr">
        <is>
          <t>000711</t>
        </is>
      </c>
      <c r="D104" s="4" t="n">
        <v>45058</v>
      </c>
      <c r="E104" s="2" t="inlineStr">
        <is>
          <t>16:20</t>
        </is>
      </c>
      <c r="F104" s="5" t="n">
        <v>1645</v>
      </c>
      <c r="G104" s="5" t="n"/>
      <c r="H104" s="5" t="n"/>
      <c r="I104" s="5" t="n"/>
      <c r="J104" s="5" t="n">
        <v>329</v>
      </c>
      <c r="K104" s="5" t="n"/>
      <c r="L104" s="5" t="n"/>
      <c r="M104" s="5" t="n"/>
      <c r="N104" s="5" t="n"/>
      <c r="O104" s="5" t="n">
        <v>1974</v>
      </c>
      <c r="P104" s="5" t="n">
        <v>1974</v>
      </c>
      <c r="Q104" s="5" t="n"/>
      <c r="R104" s="5" t="n"/>
    </row>
    <row r="105">
      <c r="A105" s="2" t="inlineStr">
        <is>
          <t>EJ010623.TXT</t>
        </is>
      </c>
      <c r="B105" s="3" t="inlineStr">
        <is>
          <t>001138</t>
        </is>
      </c>
      <c r="C105" s="3" t="inlineStr">
        <is>
          <t>000712</t>
        </is>
      </c>
      <c r="D105" s="4" t="n">
        <v>45059</v>
      </c>
      <c r="E105" s="2" t="inlineStr">
        <is>
          <t>13:45</t>
        </is>
      </c>
      <c r="F105" s="5" t="n">
        <v>548.33</v>
      </c>
      <c r="G105" s="5" t="n"/>
      <c r="H105" s="5" t="n"/>
      <c r="I105" s="5" t="n"/>
      <c r="J105" s="5" t="n">
        <v>109.67</v>
      </c>
      <c r="K105" s="5" t="n"/>
      <c r="L105" s="5" t="n"/>
      <c r="M105" s="5" t="n"/>
      <c r="N105" s="5" t="n"/>
      <c r="O105" s="5" t="n">
        <v>658</v>
      </c>
      <c r="P105" s="5" t="n">
        <v>658</v>
      </c>
      <c r="Q105" s="5" t="n"/>
      <c r="R105" s="5" t="n"/>
    </row>
    <row r="106">
      <c r="A106" s="2" t="inlineStr">
        <is>
          <t>EJ010623.TXT</t>
        </is>
      </c>
      <c r="B106" s="3" t="inlineStr">
        <is>
          <t>001139</t>
        </is>
      </c>
      <c r="C106" s="3" t="inlineStr">
        <is>
          <t>000713</t>
        </is>
      </c>
      <c r="D106" s="4" t="n">
        <v>45059</v>
      </c>
      <c r="E106" s="2" t="inlineStr">
        <is>
          <t>14:04</t>
        </is>
      </c>
      <c r="F106" s="5" t="n">
        <v>548.33</v>
      </c>
      <c r="G106" s="5" t="n"/>
      <c r="H106" s="5" t="n"/>
      <c r="I106" s="5" t="n"/>
      <c r="J106" s="5" t="n">
        <v>109.67</v>
      </c>
      <c r="K106" s="5" t="n"/>
      <c r="L106" s="5" t="n"/>
      <c r="M106" s="5" t="n"/>
      <c r="N106" s="5" t="n"/>
      <c r="O106" s="5" t="n">
        <v>658</v>
      </c>
      <c r="P106" s="5" t="n"/>
      <c r="Q106" s="5" t="n">
        <v>658</v>
      </c>
      <c r="R106" s="5" t="n"/>
    </row>
    <row r="107">
      <c r="A107" s="2" t="inlineStr">
        <is>
          <t>EJ010623.TXT</t>
        </is>
      </c>
      <c r="B107" s="3" t="inlineStr">
        <is>
          <t>001140</t>
        </is>
      </c>
      <c r="C107" s="3" t="inlineStr">
        <is>
          <t>000714</t>
        </is>
      </c>
      <c r="D107" s="4" t="n">
        <v>45059</v>
      </c>
      <c r="E107" s="2" t="inlineStr">
        <is>
          <t>14:43</t>
        </is>
      </c>
      <c r="F107" s="5" t="n">
        <v>266.67</v>
      </c>
      <c r="G107" s="5" t="n"/>
      <c r="H107" s="5" t="n"/>
      <c r="I107" s="5" t="n"/>
      <c r="J107" s="5" t="n">
        <v>53.33</v>
      </c>
      <c r="K107" s="5" t="n"/>
      <c r="L107" s="5" t="n"/>
      <c r="M107" s="5" t="n"/>
      <c r="N107" s="5" t="n"/>
      <c r="O107" s="5" t="n">
        <v>320</v>
      </c>
      <c r="P107" s="5" t="n">
        <v>320</v>
      </c>
      <c r="Q107" s="5" t="n"/>
      <c r="R107" s="5" t="n"/>
    </row>
    <row r="108">
      <c r="A108" s="2" t="inlineStr">
        <is>
          <t>EJ010623.TXT</t>
        </is>
      </c>
      <c r="B108" s="3" t="inlineStr">
        <is>
          <t>001141</t>
        </is>
      </c>
      <c r="C108" s="3" t="inlineStr">
        <is>
          <t>000715</t>
        </is>
      </c>
      <c r="D108" s="4" t="n">
        <v>45059</v>
      </c>
      <c r="E108" s="2" t="inlineStr">
        <is>
          <t>15:13</t>
        </is>
      </c>
      <c r="F108" s="5" t="n">
        <v>65.83</v>
      </c>
      <c r="G108" s="5" t="n"/>
      <c r="H108" s="5" t="n"/>
      <c r="I108" s="5" t="n"/>
      <c r="J108" s="5" t="n">
        <v>13.17</v>
      </c>
      <c r="K108" s="5" t="n"/>
      <c r="L108" s="5" t="n"/>
      <c r="M108" s="5" t="n"/>
      <c r="N108" s="5" t="n"/>
      <c r="O108" s="5" t="n">
        <v>79</v>
      </c>
      <c r="P108" s="5" t="n">
        <v>79</v>
      </c>
      <c r="Q108" s="5" t="n"/>
      <c r="R108" s="5" t="n"/>
    </row>
    <row r="109">
      <c r="A109" s="2" t="inlineStr">
        <is>
          <t>EJ010623.TXT</t>
        </is>
      </c>
      <c r="B109" s="3" t="inlineStr">
        <is>
          <t>001142</t>
        </is>
      </c>
      <c r="C109" s="3" t="inlineStr">
        <is>
          <t>000716</t>
        </is>
      </c>
      <c r="D109" s="4" t="n">
        <v>45062</v>
      </c>
      <c r="E109" s="2" t="inlineStr">
        <is>
          <t>13:26</t>
        </is>
      </c>
      <c r="F109" s="5" t="n">
        <v>548.33</v>
      </c>
      <c r="G109" s="5" t="n"/>
      <c r="H109" s="5" t="n"/>
      <c r="I109" s="5" t="n"/>
      <c r="J109" s="5" t="n">
        <v>109.67</v>
      </c>
      <c r="K109" s="5" t="n"/>
      <c r="L109" s="5" t="n"/>
      <c r="M109" s="5" t="n"/>
      <c r="N109" s="5" t="n"/>
      <c r="O109" s="5" t="n">
        <v>658</v>
      </c>
      <c r="P109" s="5" t="n"/>
      <c r="Q109" s="5" t="n">
        <v>658</v>
      </c>
      <c r="R109" s="5" t="n"/>
    </row>
    <row r="110">
      <c r="A110" s="2" t="inlineStr">
        <is>
          <t>EJ010623.TXT</t>
        </is>
      </c>
      <c r="B110" s="3" t="inlineStr">
        <is>
          <t>001144</t>
        </is>
      </c>
      <c r="C110" s="3" t="inlineStr">
        <is>
          <t>000717</t>
        </is>
      </c>
      <c r="D110" s="4" t="n">
        <v>45065</v>
      </c>
      <c r="E110" s="2" t="inlineStr">
        <is>
          <t>09:52</t>
        </is>
      </c>
      <c r="F110" s="5" t="n">
        <v>1733.33</v>
      </c>
      <c r="G110" s="5" t="n"/>
      <c r="H110" s="5" t="n"/>
      <c r="I110" s="5" t="n"/>
      <c r="J110" s="5" t="n">
        <v>346.67</v>
      </c>
      <c r="K110" s="5" t="n"/>
      <c r="L110" s="5" t="n"/>
      <c r="M110" s="5" t="n"/>
      <c r="N110" s="5" t="n"/>
      <c r="O110" s="5" t="n">
        <v>2080</v>
      </c>
      <c r="P110" s="5" t="n">
        <v>2080</v>
      </c>
      <c r="Q110" s="5" t="n"/>
      <c r="R110" s="5" t="n"/>
    </row>
    <row r="111">
      <c r="A111" s="2" t="inlineStr">
        <is>
          <t>EJ010623.TXT</t>
        </is>
      </c>
      <c r="B111" s="3" t="inlineStr">
        <is>
          <t>001145</t>
        </is>
      </c>
      <c r="C111" s="3" t="inlineStr">
        <is>
          <t>000718</t>
        </is>
      </c>
      <c r="D111" s="4" t="n">
        <v>45065</v>
      </c>
      <c r="E111" s="2" t="inlineStr">
        <is>
          <t>11:25</t>
        </is>
      </c>
      <c r="F111" s="5" t="n">
        <v>822.5</v>
      </c>
      <c r="G111" s="5" t="n"/>
      <c r="H111" s="5" t="n"/>
      <c r="I111" s="5" t="n"/>
      <c r="J111" s="5" t="n">
        <v>164.5</v>
      </c>
      <c r="K111" s="5" t="n"/>
      <c r="L111" s="5" t="n"/>
      <c r="M111" s="5" t="n"/>
      <c r="N111" s="5" t="n"/>
      <c r="O111" s="5" t="n">
        <v>987</v>
      </c>
      <c r="P111" s="5" t="n"/>
      <c r="Q111" s="5" t="n">
        <v>987</v>
      </c>
      <c r="R111" s="5" t="n"/>
    </row>
    <row r="112">
      <c r="A112" s="2" t="inlineStr">
        <is>
          <t>EJ010623.TXT</t>
        </is>
      </c>
      <c r="B112" s="3" t="inlineStr">
        <is>
          <t>001146</t>
        </is>
      </c>
      <c r="C112" s="3" t="inlineStr">
        <is>
          <t>000719</t>
        </is>
      </c>
      <c r="D112" s="4" t="n">
        <v>45065</v>
      </c>
      <c r="E112" s="2" t="inlineStr">
        <is>
          <t>15:19</t>
        </is>
      </c>
      <c r="F112" s="5" t="n">
        <v>274.17</v>
      </c>
      <c r="G112" s="5" t="n"/>
      <c r="H112" s="5" t="n"/>
      <c r="I112" s="5" t="n"/>
      <c r="J112" s="5" t="n">
        <v>54.83</v>
      </c>
      <c r="K112" s="5" t="n"/>
      <c r="L112" s="5" t="n"/>
      <c r="M112" s="5" t="n"/>
      <c r="N112" s="5" t="n"/>
      <c r="O112" s="5" t="n">
        <v>329</v>
      </c>
      <c r="P112" s="5" t="n">
        <v>329</v>
      </c>
      <c r="Q112" s="5" t="n"/>
      <c r="R112" s="5" t="n"/>
    </row>
    <row r="113">
      <c r="A113" s="2" t="inlineStr">
        <is>
          <t>EJ010623.TXT</t>
        </is>
      </c>
      <c r="B113" s="3" t="inlineStr">
        <is>
          <t>001147</t>
        </is>
      </c>
      <c r="C113" s="3" t="inlineStr">
        <is>
          <t>000720</t>
        </is>
      </c>
      <c r="D113" s="4" t="n">
        <v>45066</v>
      </c>
      <c r="E113" s="2" t="inlineStr">
        <is>
          <t>15:12</t>
        </is>
      </c>
      <c r="F113" s="5" t="n">
        <v>548.33</v>
      </c>
      <c r="G113" s="5" t="n"/>
      <c r="H113" s="5" t="n"/>
      <c r="I113" s="5" t="n"/>
      <c r="J113" s="5" t="n">
        <v>109.67</v>
      </c>
      <c r="K113" s="5" t="n"/>
      <c r="L113" s="5" t="n"/>
      <c r="M113" s="5" t="n"/>
      <c r="N113" s="5" t="n"/>
      <c r="O113" s="5" t="n">
        <v>658</v>
      </c>
      <c r="P113" s="5" t="n">
        <v>658</v>
      </c>
      <c r="Q113" s="5" t="n"/>
      <c r="R113" s="5" t="n"/>
    </row>
    <row r="114">
      <c r="A114" s="2" t="inlineStr">
        <is>
          <t>EJ010623.TXT</t>
        </is>
      </c>
      <c r="B114" s="3" t="inlineStr">
        <is>
          <t>001148</t>
        </is>
      </c>
      <c r="C114" s="3" t="inlineStr">
        <is>
          <t>000721</t>
        </is>
      </c>
      <c r="D114" s="4" t="n">
        <v>45068</v>
      </c>
      <c r="E114" s="2" t="inlineStr">
        <is>
          <t>13:01</t>
        </is>
      </c>
      <c r="F114" s="5" t="n">
        <v>82.5</v>
      </c>
      <c r="G114" s="5" t="n"/>
      <c r="H114" s="5" t="n"/>
      <c r="I114" s="5" t="n"/>
      <c r="J114" s="5" t="n">
        <v>16.5</v>
      </c>
      <c r="K114" s="5" t="n"/>
      <c r="L114" s="5" t="n"/>
      <c r="M114" s="5" t="n"/>
      <c r="N114" s="5" t="n"/>
      <c r="O114" s="5" t="n">
        <v>99</v>
      </c>
      <c r="P114" s="5" t="n">
        <v>99</v>
      </c>
      <c r="Q114" s="5" t="n"/>
      <c r="R114" s="5" t="n"/>
    </row>
    <row r="115">
      <c r="A115" s="2" t="inlineStr">
        <is>
          <t>EJ010623.TXT</t>
        </is>
      </c>
      <c r="B115" s="3" t="inlineStr">
        <is>
          <t>001149</t>
        </is>
      </c>
      <c r="C115" s="3" t="inlineStr">
        <is>
          <t>000722</t>
        </is>
      </c>
      <c r="D115" s="4" t="n">
        <v>45069</v>
      </c>
      <c r="E115" s="2" t="inlineStr">
        <is>
          <t>13:58</t>
        </is>
      </c>
      <c r="F115" s="5" t="n">
        <v>199.17</v>
      </c>
      <c r="G115" s="5" t="n"/>
      <c r="H115" s="5" t="n"/>
      <c r="I115" s="5" t="n"/>
      <c r="J115" s="5" t="n">
        <v>39.83</v>
      </c>
      <c r="K115" s="5" t="n"/>
      <c r="L115" s="5" t="n"/>
      <c r="M115" s="5" t="n"/>
      <c r="N115" s="5" t="n"/>
      <c r="O115" s="5" t="n">
        <v>239</v>
      </c>
      <c r="P115" s="5" t="n">
        <v>239</v>
      </c>
      <c r="Q115" s="5" t="n"/>
      <c r="R115" s="5" t="n"/>
    </row>
    <row r="116">
      <c r="A116" s="2" t="inlineStr">
        <is>
          <t>EJ010623.TXT</t>
        </is>
      </c>
      <c r="B116" s="3" t="inlineStr">
        <is>
          <t>001150</t>
        </is>
      </c>
      <c r="C116" s="3" t="inlineStr">
        <is>
          <t>000723</t>
        </is>
      </c>
      <c r="D116" s="4" t="n">
        <v>45073</v>
      </c>
      <c r="E116" s="2" t="inlineStr">
        <is>
          <t>13:56</t>
        </is>
      </c>
      <c r="F116" s="5" t="n">
        <v>548.33</v>
      </c>
      <c r="G116" s="5" t="n"/>
      <c r="H116" s="5" t="n"/>
      <c r="I116" s="5" t="n"/>
      <c r="J116" s="5" t="n">
        <v>109.67</v>
      </c>
      <c r="K116" s="5" t="n"/>
      <c r="L116" s="5" t="n"/>
      <c r="M116" s="5" t="n"/>
      <c r="N116" s="5" t="n"/>
      <c r="O116" s="5" t="n">
        <v>658</v>
      </c>
      <c r="P116" s="5" t="n"/>
      <c r="Q116" s="5" t="n">
        <v>658</v>
      </c>
      <c r="R116" s="5" t="n"/>
    </row>
    <row r="117">
      <c r="A117" s="2" t="inlineStr">
        <is>
          <t>EJ010623.TXT</t>
        </is>
      </c>
      <c r="B117" s="3" t="inlineStr">
        <is>
          <t>001152</t>
        </is>
      </c>
      <c r="C117" s="3" t="inlineStr">
        <is>
          <t>000724</t>
        </is>
      </c>
      <c r="D117" s="4" t="n">
        <v>45073</v>
      </c>
      <c r="E117" s="2" t="inlineStr">
        <is>
          <t>14:45</t>
        </is>
      </c>
      <c r="F117" s="5" t="n">
        <v>1769.17</v>
      </c>
      <c r="G117" s="5" t="n"/>
      <c r="H117" s="5" t="n"/>
      <c r="I117" s="5" t="n"/>
      <c r="J117" s="5" t="n">
        <v>353.83</v>
      </c>
      <c r="K117" s="5" t="n"/>
      <c r="L117" s="5" t="n"/>
      <c r="M117" s="5" t="n"/>
      <c r="N117" s="5" t="n"/>
      <c r="O117" s="5" t="n">
        <v>2123</v>
      </c>
      <c r="P117" s="5" t="n">
        <v>2123</v>
      </c>
      <c r="Q117" s="5" t="n"/>
      <c r="R117" s="5" t="n"/>
    </row>
    <row r="118">
      <c r="A118" s="2" t="inlineStr">
        <is>
          <t>EJ010623.TXT</t>
        </is>
      </c>
      <c r="B118" s="3" t="inlineStr">
        <is>
          <t>001153</t>
        </is>
      </c>
      <c r="C118" s="3" t="inlineStr">
        <is>
          <t>000725</t>
        </is>
      </c>
      <c r="D118" s="4" t="n">
        <v>45073</v>
      </c>
      <c r="E118" s="2" t="inlineStr">
        <is>
          <t>14:51</t>
        </is>
      </c>
      <c r="F118" s="5" t="n">
        <v>124.17</v>
      </c>
      <c r="G118" s="5" t="n"/>
      <c r="H118" s="5" t="n"/>
      <c r="I118" s="5" t="n"/>
      <c r="J118" s="5" t="n">
        <v>24.83</v>
      </c>
      <c r="K118" s="5" t="n"/>
      <c r="L118" s="5" t="n"/>
      <c r="M118" s="5" t="n"/>
      <c r="N118" s="5" t="n"/>
      <c r="O118" s="5" t="n">
        <v>149</v>
      </c>
      <c r="P118" s="5" t="n">
        <v>149</v>
      </c>
      <c r="Q118" s="5" t="n"/>
      <c r="R118" s="5" t="n"/>
    </row>
    <row r="119">
      <c r="A119" s="2" t="inlineStr">
        <is>
          <t>EJ010623.TXT</t>
        </is>
      </c>
      <c r="B119" s="3" t="inlineStr">
        <is>
          <t>001154</t>
        </is>
      </c>
      <c r="C119" s="3" t="inlineStr">
        <is>
          <t>000726</t>
        </is>
      </c>
      <c r="D119" s="4" t="n">
        <v>45073</v>
      </c>
      <c r="E119" s="2" t="inlineStr">
        <is>
          <t>15:50</t>
        </is>
      </c>
      <c r="F119" s="5" t="n">
        <v>548.33</v>
      </c>
      <c r="G119" s="5" t="n"/>
      <c r="H119" s="5" t="n"/>
      <c r="I119" s="5" t="n"/>
      <c r="J119" s="5" t="n">
        <v>109.67</v>
      </c>
      <c r="K119" s="5" t="n"/>
      <c r="L119" s="5" t="n"/>
      <c r="M119" s="5" t="n"/>
      <c r="N119" s="5" t="n"/>
      <c r="O119" s="5" t="n">
        <v>658</v>
      </c>
      <c r="P119" s="5" t="n">
        <v>658</v>
      </c>
      <c r="Q119" s="5" t="n"/>
      <c r="R119" s="5" t="n"/>
    </row>
    <row r="120">
      <c r="A120" s="2" t="inlineStr">
        <is>
          <t>EJ010623.TXT</t>
        </is>
      </c>
      <c r="B120" s="3" t="inlineStr">
        <is>
          <t>001155</t>
        </is>
      </c>
      <c r="C120" s="3" t="inlineStr">
        <is>
          <t>000727</t>
        </is>
      </c>
      <c r="D120" s="4" t="n">
        <v>45073</v>
      </c>
      <c r="E120" s="2" t="inlineStr">
        <is>
          <t>16:21</t>
        </is>
      </c>
      <c r="F120" s="5" t="n">
        <v>199.17</v>
      </c>
      <c r="G120" s="5" t="n"/>
      <c r="H120" s="5" t="n"/>
      <c r="I120" s="5" t="n"/>
      <c r="J120" s="5" t="n">
        <v>39.83</v>
      </c>
      <c r="K120" s="5" t="n"/>
      <c r="L120" s="5" t="n"/>
      <c r="M120" s="5" t="n"/>
      <c r="N120" s="5" t="n"/>
      <c r="O120" s="5" t="n">
        <v>239</v>
      </c>
      <c r="P120" s="5" t="n">
        <v>239</v>
      </c>
      <c r="Q120" s="5" t="n"/>
      <c r="R120" s="5" t="n"/>
    </row>
    <row r="121">
      <c r="A121" s="2" t="inlineStr">
        <is>
          <t>EJ010623.TXT</t>
        </is>
      </c>
      <c r="B121" s="3" t="inlineStr">
        <is>
          <t>001156</t>
        </is>
      </c>
      <c r="C121" s="3" t="inlineStr">
        <is>
          <t>000728</t>
        </is>
      </c>
      <c r="D121" s="4" t="n">
        <v>45075</v>
      </c>
      <c r="E121" s="2" t="inlineStr">
        <is>
          <t>12:21</t>
        </is>
      </c>
      <c r="F121" s="5" t="n">
        <v>65.83</v>
      </c>
      <c r="G121" s="5" t="n"/>
      <c r="H121" s="5" t="n"/>
      <c r="I121" s="5" t="n"/>
      <c r="J121" s="5" t="n">
        <v>13.17</v>
      </c>
      <c r="K121" s="5" t="n"/>
      <c r="L121" s="5" t="n"/>
      <c r="M121" s="5" t="n"/>
      <c r="N121" s="5" t="n"/>
      <c r="O121" s="5" t="n">
        <v>79</v>
      </c>
      <c r="P121" s="5" t="n">
        <v>79</v>
      </c>
      <c r="Q121" s="5" t="n"/>
      <c r="R121" s="5" t="n"/>
    </row>
    <row r="122">
      <c r="A122" s="2" t="inlineStr">
        <is>
          <t>EJ010623.TXT</t>
        </is>
      </c>
      <c r="B122" s="3" t="inlineStr">
        <is>
          <t>001157</t>
        </is>
      </c>
      <c r="C122" s="3" t="inlineStr">
        <is>
          <t>000729</t>
        </is>
      </c>
      <c r="D122" s="4" t="n">
        <v>45076</v>
      </c>
      <c r="E122" s="2" t="inlineStr">
        <is>
          <t>14:56</t>
        </is>
      </c>
      <c r="F122" s="5" t="n">
        <v>350</v>
      </c>
      <c r="G122" s="5" t="n"/>
      <c r="H122" s="5" t="n"/>
      <c r="I122" s="5" t="n"/>
      <c r="J122" s="5" t="n">
        <v>70</v>
      </c>
      <c r="K122" s="5" t="n"/>
      <c r="L122" s="5" t="n"/>
      <c r="M122" s="5" t="n"/>
      <c r="N122" s="5" t="n"/>
      <c r="O122" s="5" t="n">
        <v>420</v>
      </c>
      <c r="P122" s="5" t="n">
        <v>420</v>
      </c>
      <c r="Q122" s="5" t="n"/>
      <c r="R122" s="5" t="n"/>
    </row>
    <row r="123">
      <c r="A123" s="2" t="inlineStr">
        <is>
          <t>EJ010723.TXT</t>
        </is>
      </c>
      <c r="B123" s="3" t="inlineStr">
        <is>
          <t>001162</t>
        </is>
      </c>
      <c r="C123" s="3" t="inlineStr">
        <is>
          <t>000730</t>
        </is>
      </c>
      <c r="D123" s="4" t="n">
        <v>45079</v>
      </c>
      <c r="E123" s="2" t="inlineStr">
        <is>
          <t>10:37</t>
        </is>
      </c>
      <c r="F123" s="5" t="n">
        <v>3200</v>
      </c>
      <c r="G123" s="5" t="n"/>
      <c r="H123" s="5" t="n"/>
      <c r="I123" s="5" t="n"/>
      <c r="J123" s="5" t="n">
        <v>640</v>
      </c>
      <c r="K123" s="5" t="n"/>
      <c r="L123" s="5" t="n"/>
      <c r="M123" s="5" t="n"/>
      <c r="N123" s="5" t="n"/>
      <c r="O123" s="5" t="n">
        <v>3840</v>
      </c>
      <c r="P123" s="5" t="n">
        <v>3840</v>
      </c>
      <c r="Q123" s="5" t="n"/>
      <c r="R123" s="5" t="n"/>
    </row>
    <row r="124">
      <c r="A124" s="2" t="inlineStr">
        <is>
          <t>EJ010723.TXT</t>
        </is>
      </c>
      <c r="B124" s="3" t="inlineStr">
        <is>
          <t>001164</t>
        </is>
      </c>
      <c r="C124" s="3" t="inlineStr">
        <is>
          <t>000731</t>
        </is>
      </c>
      <c r="D124" s="4" t="n">
        <v>45079</v>
      </c>
      <c r="E124" s="2" t="inlineStr">
        <is>
          <t>16:54</t>
        </is>
      </c>
      <c r="F124" s="5" t="n">
        <v>274.17</v>
      </c>
      <c r="G124" s="5" t="n"/>
      <c r="H124" s="5" t="n"/>
      <c r="I124" s="5" t="n"/>
      <c r="J124" s="5" t="n">
        <v>54.83</v>
      </c>
      <c r="K124" s="5" t="n"/>
      <c r="L124" s="5" t="n"/>
      <c r="M124" s="5" t="n"/>
      <c r="N124" s="5" t="n"/>
      <c r="O124" s="5" t="n">
        <v>329</v>
      </c>
      <c r="P124" s="5" t="n">
        <v>329</v>
      </c>
      <c r="Q124" s="5" t="n"/>
      <c r="R124" s="5" t="n"/>
    </row>
    <row r="125">
      <c r="A125" s="2" t="inlineStr">
        <is>
          <t>EJ010723.TXT</t>
        </is>
      </c>
      <c r="B125" s="3" t="inlineStr">
        <is>
          <t>001165</t>
        </is>
      </c>
      <c r="C125" s="3" t="inlineStr">
        <is>
          <t>000732</t>
        </is>
      </c>
      <c r="D125" s="4" t="n">
        <v>45079</v>
      </c>
      <c r="E125" s="2" t="inlineStr">
        <is>
          <t>16:59</t>
        </is>
      </c>
      <c r="F125" s="5" t="n">
        <v>65.83</v>
      </c>
      <c r="G125" s="5" t="n"/>
      <c r="H125" s="5" t="n"/>
      <c r="I125" s="5" t="n"/>
      <c r="J125" s="5" t="n">
        <v>13.17</v>
      </c>
      <c r="K125" s="5" t="n"/>
      <c r="L125" s="5" t="n"/>
      <c r="M125" s="5" t="n"/>
      <c r="N125" s="5" t="n"/>
      <c r="O125" s="5" t="n">
        <v>79</v>
      </c>
      <c r="P125" s="5" t="n">
        <v>79</v>
      </c>
      <c r="Q125" s="5" t="n"/>
      <c r="R125" s="5" t="n"/>
    </row>
    <row r="126">
      <c r="A126" s="2" t="inlineStr">
        <is>
          <t>EJ010723.TXT</t>
        </is>
      </c>
      <c r="B126" s="3" t="inlineStr">
        <is>
          <t>001166</t>
        </is>
      </c>
      <c r="C126" s="3" t="inlineStr">
        <is>
          <t>000733</t>
        </is>
      </c>
      <c r="D126" s="4" t="n">
        <v>45080</v>
      </c>
      <c r="E126" s="2" t="inlineStr">
        <is>
          <t>13:47</t>
        </is>
      </c>
      <c r="F126" s="5" t="n">
        <v>307.5</v>
      </c>
      <c r="G126" s="5" t="n"/>
      <c r="H126" s="5" t="n"/>
      <c r="I126" s="5" t="n"/>
      <c r="J126" s="5" t="n">
        <v>61.5</v>
      </c>
      <c r="K126" s="5" t="n"/>
      <c r="L126" s="5" t="n"/>
      <c r="M126" s="5" t="n"/>
      <c r="N126" s="5" t="n"/>
      <c r="O126" s="5" t="n">
        <v>369</v>
      </c>
      <c r="P126" s="5" t="n">
        <v>369</v>
      </c>
      <c r="Q126" s="5" t="n"/>
      <c r="R126" s="5" t="n"/>
    </row>
    <row r="127">
      <c r="A127" s="2" t="inlineStr">
        <is>
          <t>EJ010723.TXT</t>
        </is>
      </c>
      <c r="B127" s="3" t="inlineStr">
        <is>
          <t>001167</t>
        </is>
      </c>
      <c r="C127" s="3" t="inlineStr">
        <is>
          <t>000734</t>
        </is>
      </c>
      <c r="D127" s="4" t="n">
        <v>45082</v>
      </c>
      <c r="E127" s="2" t="inlineStr">
        <is>
          <t>13:43</t>
        </is>
      </c>
      <c r="F127" s="5" t="n">
        <v>49.17</v>
      </c>
      <c r="G127" s="5" t="n"/>
      <c r="H127" s="5" t="n"/>
      <c r="I127" s="5" t="n"/>
      <c r="J127" s="5" t="n">
        <v>9.83</v>
      </c>
      <c r="K127" s="5" t="n"/>
      <c r="L127" s="5" t="n"/>
      <c r="M127" s="5" t="n"/>
      <c r="N127" s="5" t="n"/>
      <c r="O127" s="5" t="n">
        <v>59</v>
      </c>
      <c r="P127" s="5" t="n">
        <v>59</v>
      </c>
      <c r="Q127" s="5" t="n"/>
      <c r="R127" s="5" t="n"/>
    </row>
    <row r="128">
      <c r="A128" s="2" t="inlineStr">
        <is>
          <t>EJ010723.TXT</t>
        </is>
      </c>
      <c r="B128" s="3" t="inlineStr">
        <is>
          <t>001168</t>
        </is>
      </c>
      <c r="C128" s="3" t="inlineStr">
        <is>
          <t>000735</t>
        </is>
      </c>
      <c r="D128" s="4" t="n">
        <v>45085</v>
      </c>
      <c r="E128" s="2" t="inlineStr">
        <is>
          <t>09:45</t>
        </is>
      </c>
      <c r="F128" s="5" t="n">
        <v>822.5</v>
      </c>
      <c r="G128" s="5" t="n"/>
      <c r="H128" s="5" t="n"/>
      <c r="I128" s="5" t="n"/>
      <c r="J128" s="5" t="n">
        <v>164.5</v>
      </c>
      <c r="K128" s="5" t="n"/>
      <c r="L128" s="5" t="n"/>
      <c r="M128" s="5" t="n"/>
      <c r="N128" s="5" t="n"/>
      <c r="O128" s="5" t="n">
        <v>987</v>
      </c>
      <c r="P128" s="5" t="n">
        <v>987</v>
      </c>
      <c r="Q128" s="5" t="n"/>
      <c r="R128" s="5" t="n"/>
    </row>
    <row r="129">
      <c r="A129" s="2" t="inlineStr">
        <is>
          <t>EJ010723.TXT</t>
        </is>
      </c>
      <c r="B129" s="3" t="inlineStr">
        <is>
          <t>001169</t>
        </is>
      </c>
      <c r="C129" s="3" t="inlineStr">
        <is>
          <t>000736</t>
        </is>
      </c>
      <c r="D129" s="4" t="n">
        <v>45085</v>
      </c>
      <c r="E129" s="2" t="inlineStr">
        <is>
          <t>09:51</t>
        </is>
      </c>
      <c r="F129" s="5" t="n">
        <v>822.5</v>
      </c>
      <c r="G129" s="5" t="n"/>
      <c r="H129" s="5" t="n"/>
      <c r="I129" s="5" t="n"/>
      <c r="J129" s="5" t="n">
        <v>164.5</v>
      </c>
      <c r="K129" s="5" t="n"/>
      <c r="L129" s="5" t="n"/>
      <c r="M129" s="5" t="n"/>
      <c r="N129" s="5" t="n"/>
      <c r="O129" s="5" t="n">
        <v>987</v>
      </c>
      <c r="P129" s="5" t="n">
        <v>987</v>
      </c>
      <c r="Q129" s="5" t="n"/>
      <c r="R129" s="5" t="n"/>
    </row>
    <row r="130">
      <c r="A130" s="2" t="inlineStr">
        <is>
          <t>EJ010723.TXT</t>
        </is>
      </c>
      <c r="B130" s="3" t="inlineStr">
        <is>
          <t>001170</t>
        </is>
      </c>
      <c r="C130" s="3" t="inlineStr">
        <is>
          <t>000737</t>
        </is>
      </c>
      <c r="D130" s="4" t="n">
        <v>45085</v>
      </c>
      <c r="E130" s="2" t="inlineStr">
        <is>
          <t>14:06</t>
        </is>
      </c>
      <c r="F130" s="5" t="n">
        <v>274.17</v>
      </c>
      <c r="G130" s="5" t="n"/>
      <c r="H130" s="5" t="n"/>
      <c r="I130" s="5" t="n"/>
      <c r="J130" s="5" t="n">
        <v>54.83</v>
      </c>
      <c r="K130" s="5" t="n"/>
      <c r="L130" s="5" t="n"/>
      <c r="M130" s="5" t="n"/>
      <c r="N130" s="5" t="n"/>
      <c r="O130" s="5" t="n">
        <v>329</v>
      </c>
      <c r="P130" s="5" t="n">
        <v>329</v>
      </c>
      <c r="Q130" s="5" t="n"/>
      <c r="R130" s="5" t="n"/>
    </row>
    <row r="131">
      <c r="A131" s="2" t="inlineStr">
        <is>
          <t>EJ010723.TXT</t>
        </is>
      </c>
      <c r="B131" s="3" t="inlineStr">
        <is>
          <t>001171</t>
        </is>
      </c>
      <c r="C131" s="3" t="inlineStr">
        <is>
          <t>000738</t>
        </is>
      </c>
      <c r="D131" s="4" t="n">
        <v>45086</v>
      </c>
      <c r="E131" s="2" t="inlineStr">
        <is>
          <t>13:15</t>
        </is>
      </c>
      <c r="F131" s="5" t="n">
        <v>2.74</v>
      </c>
      <c r="G131" s="5" t="n"/>
      <c r="H131" s="5" t="n"/>
      <c r="I131" s="5" t="n"/>
      <c r="J131" s="5" t="n">
        <v>0.55</v>
      </c>
      <c r="K131" s="5" t="n"/>
      <c r="L131" s="5" t="n"/>
      <c r="M131" s="5" t="n"/>
      <c r="N131" s="5" t="n"/>
      <c r="O131" s="5" t="n">
        <v>3.29</v>
      </c>
      <c r="P131" s="5" t="n"/>
      <c r="Q131" s="5" t="n">
        <v>3.29</v>
      </c>
      <c r="R131" s="5" t="n"/>
    </row>
    <row r="132">
      <c r="A132" s="2" t="inlineStr">
        <is>
          <t>EJ010723.TXT</t>
        </is>
      </c>
      <c r="B132" s="3" t="inlineStr">
        <is>
          <t>001172</t>
        </is>
      </c>
      <c r="C132" s="3" t="inlineStr">
        <is>
          <t>000739</t>
        </is>
      </c>
      <c r="D132" s="4" t="n">
        <v>45086</v>
      </c>
      <c r="E132" s="2" t="inlineStr">
        <is>
          <t>13:16</t>
        </is>
      </c>
      <c r="F132" s="5" t="n">
        <v>274.17</v>
      </c>
      <c r="G132" s="5" t="n"/>
      <c r="H132" s="5" t="n"/>
      <c r="I132" s="5" t="n"/>
      <c r="J132" s="5" t="n">
        <v>54.83</v>
      </c>
      <c r="K132" s="5" t="n"/>
      <c r="L132" s="5" t="n"/>
      <c r="M132" s="5" t="n"/>
      <c r="N132" s="5" t="n"/>
      <c r="O132" s="5" t="n">
        <v>329</v>
      </c>
      <c r="P132" s="5" t="n"/>
      <c r="Q132" s="5" t="n">
        <v>329</v>
      </c>
      <c r="R132" s="5" t="n"/>
    </row>
    <row r="133">
      <c r="A133" s="2" t="inlineStr">
        <is>
          <t>EJ010723.TXT</t>
        </is>
      </c>
      <c r="B133" s="3" t="inlineStr">
        <is>
          <t>001174</t>
        </is>
      </c>
      <c r="C133" s="3" t="inlineStr">
        <is>
          <t>000740</t>
        </is>
      </c>
      <c r="D133" s="4" t="n">
        <v>45086</v>
      </c>
      <c r="E133" s="2" t="inlineStr">
        <is>
          <t>15:11</t>
        </is>
      </c>
      <c r="F133" s="5" t="n">
        <v>1656.65</v>
      </c>
      <c r="G133" s="5" t="n"/>
      <c r="H133" s="5" t="n"/>
      <c r="I133" s="5" t="n"/>
      <c r="J133" s="5" t="n">
        <v>331.33</v>
      </c>
      <c r="K133" s="5" t="n"/>
      <c r="L133" s="5" t="n"/>
      <c r="M133" s="5" t="n"/>
      <c r="N133" s="5" t="n"/>
      <c r="O133" s="5" t="n">
        <v>1987.98</v>
      </c>
      <c r="P133" s="5" t="n">
        <v>1987.98</v>
      </c>
      <c r="Q133" s="5" t="n"/>
      <c r="R133" s="5" t="n"/>
    </row>
    <row r="134">
      <c r="A134" s="2" t="inlineStr">
        <is>
          <t>EJ010723.TXT</t>
        </is>
      </c>
      <c r="B134" s="3" t="inlineStr">
        <is>
          <t>001175</t>
        </is>
      </c>
      <c r="C134" s="3" t="inlineStr">
        <is>
          <t>000741</t>
        </is>
      </c>
      <c r="D134" s="4" t="n">
        <v>45086</v>
      </c>
      <c r="E134" s="2" t="inlineStr">
        <is>
          <t>15:17</t>
        </is>
      </c>
      <c r="F134" s="5" t="n">
        <v>1165</v>
      </c>
      <c r="G134" s="5" t="n"/>
      <c r="H134" s="5" t="n"/>
      <c r="I134" s="5" t="n"/>
      <c r="J134" s="5" t="n">
        <v>233</v>
      </c>
      <c r="K134" s="5" t="n"/>
      <c r="L134" s="5" t="n"/>
      <c r="M134" s="5" t="n"/>
      <c r="N134" s="5" t="n"/>
      <c r="O134" s="5" t="n">
        <v>1398</v>
      </c>
      <c r="P134" s="5" t="n">
        <v>1398</v>
      </c>
      <c r="Q134" s="5" t="n"/>
      <c r="R134" s="5" t="n"/>
    </row>
    <row r="135">
      <c r="A135" s="2" t="inlineStr">
        <is>
          <t>EJ010723.TXT</t>
        </is>
      </c>
      <c r="B135" s="3" t="inlineStr">
        <is>
          <t>001176</t>
        </is>
      </c>
      <c r="C135" s="3" t="inlineStr">
        <is>
          <t>000742</t>
        </is>
      </c>
      <c r="D135" s="4" t="n">
        <v>45086</v>
      </c>
      <c r="E135" s="2" t="inlineStr">
        <is>
          <t>15:19</t>
        </is>
      </c>
      <c r="F135" s="5" t="n">
        <v>1645</v>
      </c>
      <c r="G135" s="5" t="n"/>
      <c r="H135" s="5" t="n"/>
      <c r="I135" s="5" t="n"/>
      <c r="J135" s="5" t="n">
        <v>329</v>
      </c>
      <c r="K135" s="5" t="n"/>
      <c r="L135" s="5" t="n"/>
      <c r="M135" s="5" t="n"/>
      <c r="N135" s="5" t="n"/>
      <c r="O135" s="5" t="n">
        <v>1974</v>
      </c>
      <c r="P135" s="5" t="n">
        <v>1974</v>
      </c>
      <c r="Q135" s="5" t="n"/>
      <c r="R135" s="5" t="n"/>
    </row>
    <row r="136">
      <c r="A136" s="2" t="inlineStr">
        <is>
          <t>EJ010723.TXT</t>
        </is>
      </c>
      <c r="B136" s="3" t="inlineStr">
        <is>
          <t>001177</t>
        </is>
      </c>
      <c r="C136" s="3" t="inlineStr">
        <is>
          <t>000743</t>
        </is>
      </c>
      <c r="D136" s="4" t="n">
        <v>45086</v>
      </c>
      <c r="E136" s="2" t="inlineStr">
        <is>
          <t>15:29</t>
        </is>
      </c>
      <c r="F136" s="5" t="n">
        <v>615</v>
      </c>
      <c r="G136" s="5" t="n"/>
      <c r="H136" s="5" t="n"/>
      <c r="I136" s="5" t="n"/>
      <c r="J136" s="5" t="n">
        <v>123</v>
      </c>
      <c r="K136" s="5" t="n"/>
      <c r="L136" s="5" t="n"/>
      <c r="M136" s="5" t="n"/>
      <c r="N136" s="5" t="n"/>
      <c r="O136" s="5" t="n">
        <v>738</v>
      </c>
      <c r="P136" s="5" t="n">
        <v>738</v>
      </c>
      <c r="Q136" s="5" t="n"/>
      <c r="R136" s="5" t="n"/>
    </row>
    <row r="137">
      <c r="A137" s="2" t="inlineStr">
        <is>
          <t>EJ010723.TXT</t>
        </is>
      </c>
      <c r="B137" s="3" t="inlineStr">
        <is>
          <t>001178</t>
        </is>
      </c>
      <c r="C137" s="3" t="inlineStr">
        <is>
          <t>000744</t>
        </is>
      </c>
      <c r="D137" s="4" t="n">
        <v>45090</v>
      </c>
      <c r="E137" s="2" t="inlineStr">
        <is>
          <t>13:37</t>
        </is>
      </c>
      <c r="F137" s="5" t="n">
        <v>1747.5</v>
      </c>
      <c r="G137" s="5" t="n"/>
      <c r="H137" s="5" t="n"/>
      <c r="I137" s="5" t="n"/>
      <c r="J137" s="5" t="n">
        <v>349.5</v>
      </c>
      <c r="K137" s="5" t="n"/>
      <c r="L137" s="5" t="n"/>
      <c r="M137" s="5" t="n"/>
      <c r="N137" s="5" t="n"/>
      <c r="O137" s="5" t="n">
        <v>2097</v>
      </c>
      <c r="P137" s="5" t="n">
        <v>2097</v>
      </c>
      <c r="Q137" s="5" t="n"/>
      <c r="R137" s="5" t="n"/>
    </row>
    <row r="138">
      <c r="A138" s="2" t="inlineStr">
        <is>
          <t>EJ010723.TXT</t>
        </is>
      </c>
      <c r="B138" s="3" t="inlineStr">
        <is>
          <t>001179</t>
        </is>
      </c>
      <c r="C138" s="3" t="inlineStr">
        <is>
          <t>000745</t>
        </is>
      </c>
      <c r="D138" s="4" t="n">
        <v>45091</v>
      </c>
      <c r="E138" s="2" t="inlineStr">
        <is>
          <t>14:56</t>
        </is>
      </c>
      <c r="F138" s="5" t="n">
        <v>331.67</v>
      </c>
      <c r="G138" s="5" t="n"/>
      <c r="H138" s="5" t="n"/>
      <c r="I138" s="5" t="n"/>
      <c r="J138" s="5" t="n">
        <v>66.33</v>
      </c>
      <c r="K138" s="5" t="n"/>
      <c r="L138" s="5" t="n"/>
      <c r="M138" s="5" t="n"/>
      <c r="N138" s="5" t="n"/>
      <c r="O138" s="5" t="n">
        <v>398</v>
      </c>
      <c r="P138" s="5" t="n"/>
      <c r="Q138" s="5" t="n">
        <v>398</v>
      </c>
      <c r="R138" s="5" t="n"/>
    </row>
    <row r="139">
      <c r="A139" s="2" t="inlineStr">
        <is>
          <t>EJ010723.TXT</t>
        </is>
      </c>
      <c r="B139" s="3" t="inlineStr">
        <is>
          <t>001180</t>
        </is>
      </c>
      <c r="C139" s="3" t="inlineStr">
        <is>
          <t>000746</t>
        </is>
      </c>
      <c r="D139" s="4" t="n">
        <v>45091</v>
      </c>
      <c r="E139" s="2" t="inlineStr">
        <is>
          <t>16:43</t>
        </is>
      </c>
      <c r="F139" s="5" t="n">
        <v>548.33</v>
      </c>
      <c r="G139" s="5" t="n"/>
      <c r="H139" s="5" t="n"/>
      <c r="I139" s="5" t="n"/>
      <c r="J139" s="5" t="n">
        <v>109.67</v>
      </c>
      <c r="K139" s="5" t="n"/>
      <c r="L139" s="5" t="n"/>
      <c r="M139" s="5" t="n"/>
      <c r="N139" s="5" t="n"/>
      <c r="O139" s="5" t="n">
        <v>658</v>
      </c>
      <c r="P139" s="5" t="n">
        <v>658</v>
      </c>
      <c r="Q139" s="5" t="n"/>
      <c r="R139" s="5" t="n"/>
    </row>
    <row r="140">
      <c r="A140" s="2" t="inlineStr">
        <is>
          <t>EJ010723.TXT</t>
        </is>
      </c>
      <c r="B140" s="3" t="inlineStr">
        <is>
          <t>001181</t>
        </is>
      </c>
      <c r="C140" s="3" t="inlineStr">
        <is>
          <t>000747</t>
        </is>
      </c>
      <c r="D140" s="4" t="n">
        <v>45093</v>
      </c>
      <c r="E140" s="2" t="inlineStr">
        <is>
          <t>14:32</t>
        </is>
      </c>
      <c r="F140" s="5" t="n">
        <v>548.33</v>
      </c>
      <c r="G140" s="5" t="n"/>
      <c r="H140" s="5" t="n"/>
      <c r="I140" s="5" t="n"/>
      <c r="J140" s="5" t="n">
        <v>109.67</v>
      </c>
      <c r="K140" s="5" t="n"/>
      <c r="L140" s="5" t="n"/>
      <c r="M140" s="5" t="n"/>
      <c r="N140" s="5" t="n"/>
      <c r="O140" s="5" t="n">
        <v>658</v>
      </c>
      <c r="P140" s="5" t="n">
        <v>658</v>
      </c>
      <c r="Q140" s="5" t="n"/>
      <c r="R140" s="5" t="n"/>
    </row>
    <row r="141">
      <c r="A141" s="2" t="inlineStr">
        <is>
          <t>EJ010723.TXT</t>
        </is>
      </c>
      <c r="B141" s="3" t="inlineStr">
        <is>
          <t>001182</t>
        </is>
      </c>
      <c r="C141" s="3" t="inlineStr">
        <is>
          <t>000748</t>
        </is>
      </c>
      <c r="D141" s="4" t="n">
        <v>45094</v>
      </c>
      <c r="E141" s="2" t="inlineStr">
        <is>
          <t>13:56</t>
        </is>
      </c>
      <c r="F141" s="5" t="n">
        <v>3290</v>
      </c>
      <c r="G141" s="5" t="n"/>
      <c r="H141" s="5" t="n"/>
      <c r="I141" s="5" t="n"/>
      <c r="J141" s="5" t="n">
        <v>658</v>
      </c>
      <c r="K141" s="5" t="n"/>
      <c r="L141" s="5" t="n"/>
      <c r="M141" s="5" t="n"/>
      <c r="N141" s="5" t="n"/>
      <c r="O141" s="5" t="n">
        <v>3948</v>
      </c>
      <c r="P141" s="5" t="n">
        <v>2948</v>
      </c>
      <c r="Q141" s="5" t="n">
        <v>1000</v>
      </c>
      <c r="R141" s="5" t="n"/>
    </row>
    <row r="142">
      <c r="A142" s="2" t="inlineStr">
        <is>
          <t>EJ010723.TXT</t>
        </is>
      </c>
      <c r="B142" s="3" t="inlineStr">
        <is>
          <t>001184</t>
        </is>
      </c>
      <c r="C142" s="3" t="inlineStr">
        <is>
          <t>000749</t>
        </is>
      </c>
      <c r="D142" s="4" t="n">
        <v>45096</v>
      </c>
      <c r="E142" s="2" t="inlineStr">
        <is>
          <t>12:10</t>
        </is>
      </c>
      <c r="F142" s="5" t="n">
        <v>548.33</v>
      </c>
      <c r="G142" s="5" t="n"/>
      <c r="H142" s="5" t="n"/>
      <c r="I142" s="5" t="n"/>
      <c r="J142" s="5" t="n">
        <v>109.67</v>
      </c>
      <c r="K142" s="5" t="n"/>
      <c r="L142" s="5" t="n"/>
      <c r="M142" s="5" t="n"/>
      <c r="N142" s="5" t="n"/>
      <c r="O142" s="5" t="n">
        <v>658</v>
      </c>
      <c r="P142" s="5" t="n">
        <v>658</v>
      </c>
      <c r="Q142" s="5" t="n"/>
      <c r="R142" s="5" t="n"/>
    </row>
    <row r="143">
      <c r="A143" s="2" t="inlineStr">
        <is>
          <t>EJ010723.TXT</t>
        </is>
      </c>
      <c r="B143" s="3" t="inlineStr">
        <is>
          <t>001186</t>
        </is>
      </c>
      <c r="C143" s="3" t="inlineStr">
        <is>
          <t>000750</t>
        </is>
      </c>
      <c r="D143" s="4" t="n">
        <v>45101</v>
      </c>
      <c r="E143" s="2" t="inlineStr">
        <is>
          <t>15:57</t>
        </is>
      </c>
      <c r="F143" s="5" t="n">
        <v>274.17</v>
      </c>
      <c r="G143" s="5" t="n"/>
      <c r="H143" s="5" t="n"/>
      <c r="I143" s="5" t="n"/>
      <c r="J143" s="5" t="n">
        <v>54.83</v>
      </c>
      <c r="K143" s="5" t="n"/>
      <c r="L143" s="5" t="n"/>
      <c r="M143" s="5" t="n"/>
      <c r="N143" s="5" t="n"/>
      <c r="O143" s="5" t="n">
        <v>329</v>
      </c>
      <c r="P143" s="5" t="n">
        <v>329</v>
      </c>
      <c r="Q143" s="5" t="n"/>
      <c r="R143" s="5" t="n"/>
    </row>
    <row r="144">
      <c r="A144" s="2" t="inlineStr">
        <is>
          <t>EJ010723.TXT</t>
        </is>
      </c>
      <c r="B144" s="3" t="inlineStr">
        <is>
          <t>001187</t>
        </is>
      </c>
      <c r="C144" s="3" t="inlineStr">
        <is>
          <t>000751</t>
        </is>
      </c>
      <c r="D144" s="4" t="n">
        <v>45104</v>
      </c>
      <c r="E144" s="2" t="inlineStr">
        <is>
          <t>14:36</t>
        </is>
      </c>
      <c r="F144" s="5" t="n">
        <v>1713.33</v>
      </c>
      <c r="G144" s="5" t="n"/>
      <c r="H144" s="5" t="n"/>
      <c r="I144" s="5" t="n"/>
      <c r="J144" s="5" t="n">
        <v>342.67</v>
      </c>
      <c r="K144" s="5" t="n"/>
      <c r="L144" s="5" t="n"/>
      <c r="M144" s="5" t="n"/>
      <c r="N144" s="5" t="n"/>
      <c r="O144" s="5" t="n">
        <v>2056</v>
      </c>
      <c r="P144" s="5" t="n">
        <v>2056</v>
      </c>
      <c r="Q144" s="5" t="n"/>
      <c r="R144" s="5" t="n"/>
    </row>
    <row r="145">
      <c r="A145" s="2" t="inlineStr">
        <is>
          <t>EJ010723.TXT</t>
        </is>
      </c>
      <c r="B145" s="3" t="inlineStr">
        <is>
          <t>001188</t>
        </is>
      </c>
      <c r="C145" s="3" t="inlineStr">
        <is>
          <t>000752</t>
        </is>
      </c>
      <c r="D145" s="4" t="n">
        <v>45104</v>
      </c>
      <c r="E145" s="2" t="inlineStr">
        <is>
          <t>14:46</t>
        </is>
      </c>
      <c r="F145" s="5" t="n">
        <v>1165</v>
      </c>
      <c r="G145" s="5" t="n"/>
      <c r="H145" s="5" t="n"/>
      <c r="I145" s="5" t="n"/>
      <c r="J145" s="5" t="n">
        <v>233</v>
      </c>
      <c r="K145" s="5" t="n"/>
      <c r="L145" s="5" t="n"/>
      <c r="M145" s="5" t="n"/>
      <c r="N145" s="5" t="n"/>
      <c r="O145" s="5" t="n">
        <v>1398</v>
      </c>
      <c r="P145" s="5" t="n">
        <v>1398</v>
      </c>
      <c r="Q145" s="5" t="n"/>
      <c r="R145" s="5" t="n"/>
    </row>
    <row r="146">
      <c r="A146" s="2" t="inlineStr">
        <is>
          <t>EJ010723.TXT</t>
        </is>
      </c>
      <c r="B146" s="3" t="inlineStr">
        <is>
          <t>001189</t>
        </is>
      </c>
      <c r="C146" s="3" t="inlineStr">
        <is>
          <t>000753</t>
        </is>
      </c>
      <c r="D146" s="4" t="n">
        <v>45105</v>
      </c>
      <c r="E146" s="2" t="inlineStr">
        <is>
          <t>15:03</t>
        </is>
      </c>
      <c r="F146" s="5" t="n">
        <v>2481.67</v>
      </c>
      <c r="G146" s="5" t="n"/>
      <c r="H146" s="5" t="n"/>
      <c r="I146" s="5" t="n"/>
      <c r="J146" s="5" t="n">
        <v>496.33</v>
      </c>
      <c r="K146" s="5" t="n"/>
      <c r="L146" s="5" t="n"/>
      <c r="M146" s="5" t="n"/>
      <c r="N146" s="5" t="n"/>
      <c r="O146" s="5" t="n">
        <v>2978</v>
      </c>
      <c r="P146" s="5" t="n">
        <v>2978</v>
      </c>
      <c r="Q146" s="5" t="n"/>
      <c r="R146" s="5" t="n"/>
    </row>
    <row r="147">
      <c r="A147" s="2" t="inlineStr">
        <is>
          <t>EJ010723.TXT</t>
        </is>
      </c>
      <c r="B147" s="3" t="inlineStr">
        <is>
          <t>001190</t>
        </is>
      </c>
      <c r="C147" s="3" t="inlineStr">
        <is>
          <t>000754</t>
        </is>
      </c>
      <c r="D147" s="4" t="n">
        <v>45107</v>
      </c>
      <c r="E147" s="2" t="inlineStr">
        <is>
          <t>09:08</t>
        </is>
      </c>
      <c r="F147" s="5" t="n">
        <v>274.17</v>
      </c>
      <c r="G147" s="5" t="n"/>
      <c r="H147" s="5" t="n"/>
      <c r="I147" s="5" t="n"/>
      <c r="J147" s="5" t="n">
        <v>54.83</v>
      </c>
      <c r="K147" s="5" t="n"/>
      <c r="L147" s="5" t="n"/>
      <c r="M147" s="5" t="n"/>
      <c r="N147" s="5" t="n"/>
      <c r="O147" s="5" t="n">
        <v>329</v>
      </c>
      <c r="P147" s="5" t="n">
        <v>329</v>
      </c>
      <c r="Q147" s="5" t="n"/>
      <c r="R147" s="5" t="n"/>
    </row>
    <row r="148">
      <c r="A148" s="2" t="inlineStr">
        <is>
          <t>EJ010823.TXT</t>
        </is>
      </c>
      <c r="B148" s="3" t="inlineStr">
        <is>
          <t>001194</t>
        </is>
      </c>
      <c r="C148" s="3" t="inlineStr">
        <is>
          <t>000755</t>
        </is>
      </c>
      <c r="D148" s="4" t="n">
        <v>45108</v>
      </c>
      <c r="E148" s="2" t="inlineStr">
        <is>
          <t>13:41</t>
        </is>
      </c>
      <c r="F148" s="5" t="n">
        <v>2370</v>
      </c>
      <c r="G148" s="5" t="n"/>
      <c r="H148" s="5" t="n"/>
      <c r="I148" s="5" t="n"/>
      <c r="J148" s="5" t="n">
        <v>474</v>
      </c>
      <c r="K148" s="5" t="n"/>
      <c r="L148" s="5" t="n"/>
      <c r="M148" s="5" t="n"/>
      <c r="N148" s="5" t="n"/>
      <c r="O148" s="5" t="n">
        <v>2844</v>
      </c>
      <c r="P148" s="5" t="n">
        <v>2844</v>
      </c>
      <c r="Q148" s="5" t="n"/>
      <c r="R148" s="5" t="n"/>
    </row>
    <row r="149">
      <c r="A149" s="2" t="inlineStr">
        <is>
          <t>EJ010823.TXT</t>
        </is>
      </c>
      <c r="B149" s="3" t="inlineStr">
        <is>
          <t>001195</t>
        </is>
      </c>
      <c r="C149" s="3" t="inlineStr">
        <is>
          <t>000756</t>
        </is>
      </c>
      <c r="D149" s="4" t="n">
        <v>45108</v>
      </c>
      <c r="E149" s="2" t="inlineStr">
        <is>
          <t>14:04</t>
        </is>
      </c>
      <c r="F149" s="5" t="n">
        <v>548.33</v>
      </c>
      <c r="G149" s="5" t="n"/>
      <c r="H149" s="5" t="n"/>
      <c r="I149" s="5" t="n"/>
      <c r="J149" s="5" t="n">
        <v>109.67</v>
      </c>
      <c r="K149" s="5" t="n"/>
      <c r="L149" s="5" t="n"/>
      <c r="M149" s="5" t="n"/>
      <c r="N149" s="5" t="n"/>
      <c r="O149" s="5" t="n">
        <v>658</v>
      </c>
      <c r="P149" s="5" t="n">
        <v>658</v>
      </c>
      <c r="Q149" s="5" t="n"/>
      <c r="R149" s="5" t="n"/>
    </row>
    <row r="150">
      <c r="A150" s="2" t="inlineStr">
        <is>
          <t>EJ010823.TXT</t>
        </is>
      </c>
      <c r="B150" s="3" t="inlineStr">
        <is>
          <t>001196</t>
        </is>
      </c>
      <c r="C150" s="3" t="inlineStr">
        <is>
          <t>000757</t>
        </is>
      </c>
      <c r="D150" s="4" t="n">
        <v>45108</v>
      </c>
      <c r="E150" s="2" t="inlineStr">
        <is>
          <t>14:05</t>
        </is>
      </c>
      <c r="F150" s="5" t="n">
        <v>274.17</v>
      </c>
      <c r="G150" s="5" t="n"/>
      <c r="H150" s="5" t="n"/>
      <c r="I150" s="5" t="n"/>
      <c r="J150" s="5" t="n">
        <v>54.83</v>
      </c>
      <c r="K150" s="5" t="n"/>
      <c r="L150" s="5" t="n"/>
      <c r="M150" s="5" t="n"/>
      <c r="N150" s="5" t="n"/>
      <c r="O150" s="5" t="n">
        <v>329</v>
      </c>
      <c r="P150" s="5" t="n">
        <v>329</v>
      </c>
      <c r="Q150" s="5" t="n"/>
      <c r="R150" s="5" t="n"/>
    </row>
    <row r="151">
      <c r="A151" s="2" t="inlineStr">
        <is>
          <t>EJ010823.TXT</t>
        </is>
      </c>
      <c r="B151" s="3" t="inlineStr">
        <is>
          <t>001197</t>
        </is>
      </c>
      <c r="C151" s="3" t="inlineStr">
        <is>
          <t>000758</t>
        </is>
      </c>
      <c r="D151" s="4" t="n">
        <v>45108</v>
      </c>
      <c r="E151" s="2" t="inlineStr">
        <is>
          <t>15:09</t>
        </is>
      </c>
      <c r="F151" s="5" t="n">
        <v>548.33</v>
      </c>
      <c r="G151" s="5" t="n"/>
      <c r="H151" s="5" t="n"/>
      <c r="I151" s="5" t="n"/>
      <c r="J151" s="5" t="n">
        <v>109.67</v>
      </c>
      <c r="K151" s="5" t="n"/>
      <c r="L151" s="5" t="n"/>
      <c r="M151" s="5" t="n"/>
      <c r="N151" s="5" t="n"/>
      <c r="O151" s="5" t="n">
        <v>658</v>
      </c>
      <c r="P151" s="5" t="n">
        <v>658</v>
      </c>
      <c r="Q151" s="5" t="n"/>
      <c r="R151" s="5" t="n"/>
    </row>
    <row r="152">
      <c r="A152" s="2" t="inlineStr">
        <is>
          <t>EJ010823.TXT</t>
        </is>
      </c>
      <c r="B152" s="3" t="inlineStr">
        <is>
          <t>001198</t>
        </is>
      </c>
      <c r="C152" s="3" t="inlineStr">
        <is>
          <t>000759</t>
        </is>
      </c>
      <c r="D152" s="4" t="n">
        <v>45108</v>
      </c>
      <c r="E152" s="2" t="inlineStr">
        <is>
          <t>15:10</t>
        </is>
      </c>
      <c r="F152" s="5" t="n">
        <v>395</v>
      </c>
      <c r="G152" s="5" t="n"/>
      <c r="H152" s="5" t="n"/>
      <c r="I152" s="5" t="n"/>
      <c r="J152" s="5" t="n">
        <v>79</v>
      </c>
      <c r="K152" s="5" t="n"/>
      <c r="L152" s="5" t="n"/>
      <c r="M152" s="5" t="n"/>
      <c r="N152" s="5" t="n"/>
      <c r="O152" s="5" t="n">
        <v>474</v>
      </c>
      <c r="P152" s="5" t="n">
        <v>474</v>
      </c>
      <c r="Q152" s="5" t="n"/>
      <c r="R152" s="5" t="n"/>
    </row>
    <row r="153">
      <c r="A153" s="2" t="inlineStr">
        <is>
          <t>EJ010823.TXT</t>
        </is>
      </c>
      <c r="B153" s="3" t="inlineStr">
        <is>
          <t>001202</t>
        </is>
      </c>
      <c r="C153" s="3" t="inlineStr">
        <is>
          <t>000760</t>
        </is>
      </c>
      <c r="D153" s="4" t="n">
        <v>45110</v>
      </c>
      <c r="E153" s="2" t="inlineStr">
        <is>
          <t>15:57</t>
        </is>
      </c>
      <c r="F153" s="5" t="n">
        <v>1645</v>
      </c>
      <c r="G153" s="5" t="n"/>
      <c r="H153" s="5" t="n"/>
      <c r="I153" s="5" t="n"/>
      <c r="J153" s="5" t="n">
        <v>329</v>
      </c>
      <c r="K153" s="5" t="n"/>
      <c r="L153" s="5" t="n"/>
      <c r="M153" s="5" t="n"/>
      <c r="N153" s="5" t="n"/>
      <c r="O153" s="5" t="n">
        <v>1974</v>
      </c>
      <c r="P153" s="5" t="n">
        <v>1974</v>
      </c>
      <c r="Q153" s="5" t="n"/>
      <c r="R153" s="5" t="n"/>
    </row>
    <row r="154">
      <c r="A154" s="2" t="inlineStr">
        <is>
          <t>EJ010823.TXT</t>
        </is>
      </c>
      <c r="B154" s="3" t="inlineStr">
        <is>
          <t>001203</t>
        </is>
      </c>
      <c r="C154" s="3" t="inlineStr">
        <is>
          <t>000761</t>
        </is>
      </c>
      <c r="D154" s="4" t="n">
        <v>45111</v>
      </c>
      <c r="E154" s="2" t="inlineStr">
        <is>
          <t>12:07</t>
        </is>
      </c>
      <c r="F154" s="5" t="n">
        <v>548.33</v>
      </c>
      <c r="G154" s="5" t="n"/>
      <c r="H154" s="5" t="n"/>
      <c r="I154" s="5" t="n"/>
      <c r="J154" s="5" t="n">
        <v>109.67</v>
      </c>
      <c r="K154" s="5" t="n"/>
      <c r="L154" s="5" t="n"/>
      <c r="M154" s="5" t="n"/>
      <c r="N154" s="5" t="n"/>
      <c r="O154" s="5" t="n">
        <v>658</v>
      </c>
      <c r="P154" s="5" t="n">
        <v>658</v>
      </c>
      <c r="Q154" s="5" t="n"/>
      <c r="R154" s="5" t="n"/>
    </row>
    <row r="155">
      <c r="A155" s="2" t="inlineStr">
        <is>
          <t>EJ010823.TXT</t>
        </is>
      </c>
      <c r="B155" s="3" t="inlineStr">
        <is>
          <t>001204</t>
        </is>
      </c>
      <c r="C155" s="3" t="inlineStr">
        <is>
          <t>000762</t>
        </is>
      </c>
      <c r="D155" s="4" t="n">
        <v>45112</v>
      </c>
      <c r="E155" s="2" t="inlineStr">
        <is>
          <t>15:23</t>
        </is>
      </c>
      <c r="F155" s="5" t="n">
        <v>548.33</v>
      </c>
      <c r="G155" s="5" t="n"/>
      <c r="H155" s="5" t="n"/>
      <c r="I155" s="5" t="n"/>
      <c r="J155" s="5" t="n">
        <v>109.67</v>
      </c>
      <c r="K155" s="5" t="n"/>
      <c r="L155" s="5" t="n"/>
      <c r="M155" s="5" t="n"/>
      <c r="N155" s="5" t="n"/>
      <c r="O155" s="5" t="n">
        <v>658</v>
      </c>
      <c r="P155" s="5" t="n">
        <v>658</v>
      </c>
      <c r="Q155" s="5" t="n"/>
      <c r="R155" s="5" t="n"/>
    </row>
    <row r="156">
      <c r="A156" s="2" t="inlineStr">
        <is>
          <t>EJ010823.TXT</t>
        </is>
      </c>
      <c r="B156" s="3" t="inlineStr">
        <is>
          <t>001205</t>
        </is>
      </c>
      <c r="C156" s="3" t="inlineStr">
        <is>
          <t>000763</t>
        </is>
      </c>
      <c r="D156" s="4" t="n">
        <v>45112</v>
      </c>
      <c r="E156" s="2" t="inlineStr">
        <is>
          <t>16:19</t>
        </is>
      </c>
      <c r="F156" s="5" t="n">
        <v>124.17</v>
      </c>
      <c r="G156" s="5" t="n"/>
      <c r="H156" s="5" t="n"/>
      <c r="I156" s="5" t="n"/>
      <c r="J156" s="5" t="n">
        <v>24.83</v>
      </c>
      <c r="K156" s="5" t="n"/>
      <c r="L156" s="5" t="n"/>
      <c r="M156" s="5" t="n"/>
      <c r="N156" s="5" t="n"/>
      <c r="O156" s="5" t="n">
        <v>149</v>
      </c>
      <c r="P156" s="5" t="n">
        <v>149</v>
      </c>
      <c r="Q156" s="5" t="n"/>
      <c r="R156" s="5" t="n"/>
    </row>
    <row r="157">
      <c r="A157" s="2" t="inlineStr">
        <is>
          <t>EJ010823.TXT</t>
        </is>
      </c>
      <c r="B157" s="3" t="inlineStr">
        <is>
          <t>001206</t>
        </is>
      </c>
      <c r="C157" s="3" t="inlineStr">
        <is>
          <t>000764</t>
        </is>
      </c>
      <c r="D157" s="4" t="n">
        <v>45113</v>
      </c>
      <c r="E157" s="2" t="inlineStr">
        <is>
          <t>13:21</t>
        </is>
      </c>
      <c r="F157" s="5" t="n">
        <v>1123.33</v>
      </c>
      <c r="G157" s="5" t="n"/>
      <c r="H157" s="5" t="n"/>
      <c r="I157" s="5" t="n"/>
      <c r="J157" s="5" t="n">
        <v>224.67</v>
      </c>
      <c r="K157" s="5" t="n"/>
      <c r="L157" s="5" t="n"/>
      <c r="M157" s="5" t="n"/>
      <c r="N157" s="5" t="n"/>
      <c r="O157" s="5" t="n">
        <v>1348</v>
      </c>
      <c r="P157" s="5" t="n">
        <v>1348</v>
      </c>
      <c r="Q157" s="5" t="n"/>
      <c r="R157" s="5" t="n"/>
    </row>
    <row r="158">
      <c r="A158" s="2" t="inlineStr">
        <is>
          <t>EJ010823.TXT</t>
        </is>
      </c>
      <c r="B158" s="3" t="inlineStr">
        <is>
          <t>001207</t>
        </is>
      </c>
      <c r="C158" s="3" t="inlineStr">
        <is>
          <t>000765</t>
        </is>
      </c>
      <c r="D158" s="4" t="n">
        <v>45114</v>
      </c>
      <c r="E158" s="2" t="inlineStr">
        <is>
          <t>12:06</t>
        </is>
      </c>
      <c r="F158" s="5" t="n">
        <v>274.17</v>
      </c>
      <c r="G158" s="5" t="n"/>
      <c r="H158" s="5" t="n"/>
      <c r="I158" s="5" t="n"/>
      <c r="J158" s="5" t="n">
        <v>54.83</v>
      </c>
      <c r="K158" s="5" t="n"/>
      <c r="L158" s="5" t="n"/>
      <c r="M158" s="5" t="n"/>
      <c r="N158" s="5" t="n"/>
      <c r="O158" s="5" t="n">
        <v>329</v>
      </c>
      <c r="P158" s="5" t="n">
        <v>329</v>
      </c>
      <c r="Q158" s="5" t="n"/>
      <c r="R158" s="5" t="n"/>
    </row>
    <row r="159">
      <c r="A159" s="2" t="inlineStr">
        <is>
          <t>EJ010823.TXT</t>
        </is>
      </c>
      <c r="B159" s="3" t="inlineStr">
        <is>
          <t>001208</t>
        </is>
      </c>
      <c r="C159" s="3" t="inlineStr">
        <is>
          <t>000766</t>
        </is>
      </c>
      <c r="D159" s="4" t="n">
        <v>45114</v>
      </c>
      <c r="E159" s="2" t="inlineStr">
        <is>
          <t>15:20</t>
        </is>
      </c>
      <c r="F159" s="5" t="n">
        <v>199.17</v>
      </c>
      <c r="G159" s="5" t="n"/>
      <c r="H159" s="5" t="n"/>
      <c r="I159" s="5" t="n"/>
      <c r="J159" s="5" t="n">
        <v>39.83</v>
      </c>
      <c r="K159" s="5" t="n"/>
      <c r="L159" s="5" t="n"/>
      <c r="M159" s="5" t="n"/>
      <c r="N159" s="5" t="n"/>
      <c r="O159" s="5" t="n">
        <v>239</v>
      </c>
      <c r="P159" s="5" t="n">
        <v>239</v>
      </c>
      <c r="Q159" s="5" t="n"/>
      <c r="R159" s="5" t="n"/>
    </row>
    <row r="160">
      <c r="A160" s="2" t="inlineStr">
        <is>
          <t>EJ010823.TXT</t>
        </is>
      </c>
      <c r="B160" s="3" t="inlineStr">
        <is>
          <t>001209</t>
        </is>
      </c>
      <c r="C160" s="3" t="inlineStr">
        <is>
          <t>000767</t>
        </is>
      </c>
      <c r="D160" s="4" t="n">
        <v>45114</v>
      </c>
      <c r="E160" s="2" t="inlineStr">
        <is>
          <t>16:42</t>
        </is>
      </c>
      <c r="F160" s="5" t="n">
        <v>548.33</v>
      </c>
      <c r="G160" s="5" t="n"/>
      <c r="H160" s="5" t="n"/>
      <c r="I160" s="5" t="n"/>
      <c r="J160" s="5" t="n">
        <v>109.67</v>
      </c>
      <c r="K160" s="5" t="n"/>
      <c r="L160" s="5" t="n"/>
      <c r="M160" s="5" t="n"/>
      <c r="N160" s="5" t="n"/>
      <c r="O160" s="5" t="n">
        <v>658</v>
      </c>
      <c r="P160" s="5" t="n">
        <v>658</v>
      </c>
      <c r="Q160" s="5" t="n"/>
      <c r="R160" s="5" t="n"/>
    </row>
    <row r="161">
      <c r="A161" s="2" t="inlineStr">
        <is>
          <t>EJ010823.TXT</t>
        </is>
      </c>
      <c r="B161" s="3" t="inlineStr">
        <is>
          <t>001210</t>
        </is>
      </c>
      <c r="C161" s="3" t="inlineStr">
        <is>
          <t>000768</t>
        </is>
      </c>
      <c r="D161" s="4" t="n">
        <v>45114</v>
      </c>
      <c r="E161" s="2" t="inlineStr">
        <is>
          <t>16:57</t>
        </is>
      </c>
      <c r="F161" s="5" t="n">
        <v>365.83</v>
      </c>
      <c r="G161" s="5" t="n"/>
      <c r="H161" s="5" t="n"/>
      <c r="I161" s="5" t="n"/>
      <c r="J161" s="5" t="n">
        <v>73.17</v>
      </c>
      <c r="K161" s="5" t="n"/>
      <c r="L161" s="5" t="n"/>
      <c r="M161" s="5" t="n"/>
      <c r="N161" s="5" t="n"/>
      <c r="O161" s="5" t="n">
        <v>439</v>
      </c>
      <c r="P161" s="5" t="n">
        <v>439</v>
      </c>
      <c r="Q161" s="5" t="n"/>
      <c r="R161" s="5" t="n"/>
    </row>
    <row r="162">
      <c r="A162" s="2" t="inlineStr">
        <is>
          <t>EJ010823.TXT</t>
        </is>
      </c>
      <c r="B162" s="3" t="inlineStr">
        <is>
          <t>001211</t>
        </is>
      </c>
      <c r="C162" s="3" t="inlineStr">
        <is>
          <t>000769</t>
        </is>
      </c>
      <c r="D162" s="4" t="n">
        <v>45115</v>
      </c>
      <c r="E162" s="2" t="inlineStr">
        <is>
          <t>12:46</t>
        </is>
      </c>
      <c r="F162" s="5" t="n">
        <v>199.17</v>
      </c>
      <c r="G162" s="5" t="n"/>
      <c r="H162" s="5" t="n"/>
      <c r="I162" s="5" t="n"/>
      <c r="J162" s="5" t="n">
        <v>39.83</v>
      </c>
      <c r="K162" s="5" t="n"/>
      <c r="L162" s="5" t="n"/>
      <c r="M162" s="5" t="n"/>
      <c r="N162" s="5" t="n"/>
      <c r="O162" s="5" t="n">
        <v>239</v>
      </c>
      <c r="P162" s="5" t="n"/>
      <c r="Q162" s="5" t="n">
        <v>239</v>
      </c>
      <c r="R162" s="5" t="n"/>
    </row>
    <row r="163">
      <c r="A163" s="2" t="inlineStr">
        <is>
          <t>EJ010823.TXT</t>
        </is>
      </c>
      <c r="B163" s="3" t="inlineStr">
        <is>
          <t>001212</t>
        </is>
      </c>
      <c r="C163" s="3" t="inlineStr">
        <is>
          <t>000770</t>
        </is>
      </c>
      <c r="D163" s="4" t="n">
        <v>45115</v>
      </c>
      <c r="E163" s="2" t="inlineStr">
        <is>
          <t>15:26</t>
        </is>
      </c>
      <c r="F163" s="5" t="n">
        <v>199.17</v>
      </c>
      <c r="G163" s="5" t="n"/>
      <c r="H163" s="5" t="n"/>
      <c r="I163" s="5" t="n"/>
      <c r="J163" s="5" t="n">
        <v>39.83</v>
      </c>
      <c r="K163" s="5" t="n"/>
      <c r="L163" s="5" t="n"/>
      <c r="M163" s="5" t="n"/>
      <c r="N163" s="5" t="n"/>
      <c r="O163" s="5" t="n">
        <v>239</v>
      </c>
      <c r="P163" s="5" t="n">
        <v>239</v>
      </c>
      <c r="Q163" s="5" t="n"/>
      <c r="R163" s="5" t="n"/>
    </row>
    <row r="164">
      <c r="A164" s="2" t="inlineStr">
        <is>
          <t>EJ010823.TXT</t>
        </is>
      </c>
      <c r="B164" s="3" t="inlineStr">
        <is>
          <t>001213</t>
        </is>
      </c>
      <c r="C164" s="3" t="inlineStr">
        <is>
          <t>000771</t>
        </is>
      </c>
      <c r="D164" s="4" t="n">
        <v>45119</v>
      </c>
      <c r="E164" s="2" t="inlineStr">
        <is>
          <t>11:51</t>
        </is>
      </c>
      <c r="F164" s="5" t="n">
        <v>398.33</v>
      </c>
      <c r="G164" s="5" t="n"/>
      <c r="H164" s="5" t="n"/>
      <c r="I164" s="5" t="n"/>
      <c r="J164" s="5" t="n">
        <v>79.67</v>
      </c>
      <c r="K164" s="5" t="n"/>
      <c r="L164" s="5" t="n"/>
      <c r="M164" s="5" t="n"/>
      <c r="N164" s="5" t="n"/>
      <c r="O164" s="5" t="n">
        <v>478</v>
      </c>
      <c r="P164" s="5" t="n">
        <v>478</v>
      </c>
      <c r="Q164" s="5" t="n"/>
      <c r="R164" s="5" t="n"/>
    </row>
    <row r="165">
      <c r="A165" s="2" t="inlineStr">
        <is>
          <t>EJ010823.TXT</t>
        </is>
      </c>
      <c r="B165" s="3" t="inlineStr">
        <is>
          <t>001214</t>
        </is>
      </c>
      <c r="C165" s="3" t="inlineStr">
        <is>
          <t>000772</t>
        </is>
      </c>
      <c r="D165" s="4" t="n">
        <v>45119</v>
      </c>
      <c r="E165" s="2" t="inlineStr">
        <is>
          <t>13:37</t>
        </is>
      </c>
      <c r="F165" s="5" t="n">
        <v>274.17</v>
      </c>
      <c r="G165" s="5" t="n"/>
      <c r="H165" s="5" t="n"/>
      <c r="I165" s="5" t="n"/>
      <c r="J165" s="5" t="n">
        <v>54.83</v>
      </c>
      <c r="K165" s="5" t="n"/>
      <c r="L165" s="5" t="n"/>
      <c r="M165" s="5" t="n"/>
      <c r="N165" s="5" t="n"/>
      <c r="O165" s="5" t="n">
        <v>329</v>
      </c>
      <c r="P165" s="5" t="n">
        <v>329</v>
      </c>
      <c r="Q165" s="5" t="n"/>
      <c r="R165" s="5" t="n"/>
    </row>
    <row r="166">
      <c r="A166" s="2" t="inlineStr">
        <is>
          <t>EJ010823.TXT</t>
        </is>
      </c>
      <c r="B166" s="3" t="inlineStr">
        <is>
          <t>001215</t>
        </is>
      </c>
      <c r="C166" s="3" t="inlineStr">
        <is>
          <t>000773</t>
        </is>
      </c>
      <c r="D166" s="4" t="n">
        <v>45122</v>
      </c>
      <c r="E166" s="2" t="inlineStr">
        <is>
          <t>13:55</t>
        </is>
      </c>
      <c r="F166" s="5" t="n">
        <v>274.17</v>
      </c>
      <c r="G166" s="5" t="n"/>
      <c r="H166" s="5" t="n"/>
      <c r="I166" s="5" t="n"/>
      <c r="J166" s="5" t="n">
        <v>54.83</v>
      </c>
      <c r="K166" s="5" t="n"/>
      <c r="L166" s="5" t="n"/>
      <c r="M166" s="5" t="n"/>
      <c r="N166" s="5" t="n"/>
      <c r="O166" s="5" t="n">
        <v>329</v>
      </c>
      <c r="P166" s="5" t="n">
        <v>329</v>
      </c>
      <c r="Q166" s="5" t="n"/>
      <c r="R166" s="5" t="n"/>
    </row>
    <row r="167">
      <c r="A167" s="2" t="inlineStr">
        <is>
          <t>EJ010823.TXT</t>
        </is>
      </c>
      <c r="B167" s="3" t="inlineStr">
        <is>
          <t>001216</t>
        </is>
      </c>
      <c r="C167" s="3" t="inlineStr">
        <is>
          <t>000774</t>
        </is>
      </c>
      <c r="D167" s="4" t="n">
        <v>45122</v>
      </c>
      <c r="E167" s="2" t="inlineStr">
        <is>
          <t>14:25</t>
        </is>
      </c>
      <c r="F167" s="5" t="n">
        <v>395</v>
      </c>
      <c r="G167" s="5" t="n"/>
      <c r="H167" s="5" t="n"/>
      <c r="I167" s="5" t="n"/>
      <c r="J167" s="5" t="n">
        <v>79</v>
      </c>
      <c r="K167" s="5" t="n"/>
      <c r="L167" s="5" t="n"/>
      <c r="M167" s="5" t="n"/>
      <c r="N167" s="5" t="n"/>
      <c r="O167" s="5" t="n">
        <v>474</v>
      </c>
      <c r="P167" s="5" t="n">
        <v>474</v>
      </c>
      <c r="Q167" s="5" t="n"/>
      <c r="R167" s="5" t="n"/>
    </row>
    <row r="168">
      <c r="A168" s="2" t="inlineStr">
        <is>
          <t>EJ010823.TXT</t>
        </is>
      </c>
      <c r="B168" s="3" t="inlineStr">
        <is>
          <t>001217</t>
        </is>
      </c>
      <c r="C168" s="3" t="inlineStr">
        <is>
          <t>000775</t>
        </is>
      </c>
      <c r="D168" s="4" t="n">
        <v>45122</v>
      </c>
      <c r="E168" s="2" t="inlineStr">
        <is>
          <t>15:40</t>
        </is>
      </c>
      <c r="F168" s="5" t="n">
        <v>1733.33</v>
      </c>
      <c r="G168" s="5" t="n"/>
      <c r="H168" s="5" t="n"/>
      <c r="I168" s="5" t="n"/>
      <c r="J168" s="5" t="n">
        <v>346.67</v>
      </c>
      <c r="K168" s="5" t="n"/>
      <c r="L168" s="5" t="n"/>
      <c r="M168" s="5" t="n"/>
      <c r="N168" s="5" t="n"/>
      <c r="O168" s="5" t="n">
        <v>2080</v>
      </c>
      <c r="P168" s="5" t="n">
        <v>2080</v>
      </c>
      <c r="Q168" s="5" t="n"/>
      <c r="R168" s="5" t="n"/>
    </row>
    <row r="169">
      <c r="A169" s="2" t="inlineStr">
        <is>
          <t>EJ010823.TXT</t>
        </is>
      </c>
      <c r="B169" s="3" t="inlineStr">
        <is>
          <t>001218</t>
        </is>
      </c>
      <c r="C169" s="3" t="inlineStr">
        <is>
          <t>000776</t>
        </is>
      </c>
      <c r="D169" s="4" t="n">
        <v>45122</v>
      </c>
      <c r="E169" s="2" t="inlineStr">
        <is>
          <t>15:40</t>
        </is>
      </c>
      <c r="F169" s="5" t="n">
        <v>866.67</v>
      </c>
      <c r="G169" s="5" t="n"/>
      <c r="H169" s="5" t="n"/>
      <c r="I169" s="5" t="n"/>
      <c r="J169" s="5" t="n">
        <v>173.33</v>
      </c>
      <c r="K169" s="5" t="n"/>
      <c r="L169" s="5" t="n"/>
      <c r="M169" s="5" t="n"/>
      <c r="N169" s="5" t="n"/>
      <c r="O169" s="5" t="n">
        <v>1040</v>
      </c>
      <c r="P169" s="5" t="n">
        <v>1040</v>
      </c>
      <c r="Q169" s="5" t="n"/>
      <c r="R169" s="5" t="n"/>
    </row>
    <row r="170">
      <c r="A170" s="2" t="inlineStr">
        <is>
          <t>EJ010823.TXT</t>
        </is>
      </c>
      <c r="B170" s="3" t="inlineStr">
        <is>
          <t>001219</t>
        </is>
      </c>
      <c r="C170" s="3" t="inlineStr">
        <is>
          <t>000777</t>
        </is>
      </c>
      <c r="D170" s="4" t="n">
        <v>45122</v>
      </c>
      <c r="E170" s="2" t="inlineStr">
        <is>
          <t>16:46</t>
        </is>
      </c>
      <c r="F170" s="5" t="n">
        <v>1096.67</v>
      </c>
      <c r="G170" s="5" t="n"/>
      <c r="H170" s="5" t="n"/>
      <c r="I170" s="5" t="n"/>
      <c r="J170" s="5" t="n">
        <v>219.33</v>
      </c>
      <c r="K170" s="5" t="n"/>
      <c r="L170" s="5" t="n"/>
      <c r="M170" s="5" t="n"/>
      <c r="N170" s="5" t="n"/>
      <c r="O170" s="5" t="n">
        <v>1316</v>
      </c>
      <c r="P170" s="5" t="n">
        <v>1316</v>
      </c>
      <c r="Q170" s="5" t="n"/>
      <c r="R170" s="5" t="n"/>
    </row>
    <row r="171">
      <c r="A171" s="2" t="inlineStr">
        <is>
          <t>EJ010823.TXT</t>
        </is>
      </c>
      <c r="B171" s="3" t="inlineStr">
        <is>
          <t>001220</t>
        </is>
      </c>
      <c r="C171" s="3" t="inlineStr">
        <is>
          <t>000778</t>
        </is>
      </c>
      <c r="D171" s="4" t="n">
        <v>45126</v>
      </c>
      <c r="E171" s="2" t="inlineStr">
        <is>
          <t>16:31</t>
        </is>
      </c>
      <c r="F171" s="5" t="n">
        <v>199.17</v>
      </c>
      <c r="G171" s="5" t="n"/>
      <c r="H171" s="5" t="n"/>
      <c r="I171" s="5" t="n"/>
      <c r="J171" s="5" t="n">
        <v>39.83</v>
      </c>
      <c r="K171" s="5" t="n"/>
      <c r="L171" s="5" t="n"/>
      <c r="M171" s="5" t="n"/>
      <c r="N171" s="5" t="n"/>
      <c r="O171" s="5" t="n">
        <v>239</v>
      </c>
      <c r="P171" s="5" t="n"/>
      <c r="Q171" s="5" t="n">
        <v>239</v>
      </c>
      <c r="R171" s="5" t="n"/>
    </row>
    <row r="172">
      <c r="A172" s="2" t="inlineStr">
        <is>
          <t>EJ010823.TXT</t>
        </is>
      </c>
      <c r="B172" s="3" t="inlineStr">
        <is>
          <t>001222</t>
        </is>
      </c>
      <c r="C172" s="3" t="inlineStr">
        <is>
          <t>000779</t>
        </is>
      </c>
      <c r="D172" s="4" t="n">
        <v>45127</v>
      </c>
      <c r="E172" s="2" t="inlineStr">
        <is>
          <t>09:36</t>
        </is>
      </c>
      <c r="F172" s="5" t="n">
        <v>274.17</v>
      </c>
      <c r="G172" s="5" t="n"/>
      <c r="H172" s="5" t="n"/>
      <c r="I172" s="5" t="n"/>
      <c r="J172" s="5" t="n">
        <v>54.83</v>
      </c>
      <c r="K172" s="5" t="n"/>
      <c r="L172" s="5" t="n"/>
      <c r="M172" s="5" t="n"/>
      <c r="N172" s="5" t="n"/>
      <c r="O172" s="5" t="n">
        <v>329</v>
      </c>
      <c r="P172" s="5" t="n">
        <v>329</v>
      </c>
      <c r="Q172" s="5" t="n"/>
      <c r="R172" s="5" t="n"/>
    </row>
    <row r="173">
      <c r="A173" s="2" t="inlineStr">
        <is>
          <t>EJ010823.TXT</t>
        </is>
      </c>
      <c r="B173" s="3" t="inlineStr">
        <is>
          <t>001223</t>
        </is>
      </c>
      <c r="C173" s="3" t="inlineStr">
        <is>
          <t>000780</t>
        </is>
      </c>
      <c r="D173" s="4" t="n">
        <v>45128</v>
      </c>
      <c r="E173" s="2" t="inlineStr">
        <is>
          <t>16:41</t>
        </is>
      </c>
      <c r="F173" s="5" t="n">
        <v>2830</v>
      </c>
      <c r="G173" s="5" t="n"/>
      <c r="H173" s="5" t="n"/>
      <c r="I173" s="5" t="n"/>
      <c r="J173" s="5" t="n">
        <v>566</v>
      </c>
      <c r="K173" s="5" t="n"/>
      <c r="L173" s="5" t="n"/>
      <c r="M173" s="5" t="n"/>
      <c r="N173" s="5" t="n"/>
      <c r="O173" s="5" t="n">
        <v>3396</v>
      </c>
      <c r="P173" s="5" t="n">
        <v>3396</v>
      </c>
      <c r="Q173" s="5" t="n"/>
      <c r="R173" s="5" t="n"/>
    </row>
    <row r="174">
      <c r="A174" s="2" t="inlineStr">
        <is>
          <t>EJ010823.TXT</t>
        </is>
      </c>
      <c r="B174" s="3" t="inlineStr">
        <is>
          <t>001224</t>
        </is>
      </c>
      <c r="C174" s="3" t="inlineStr">
        <is>
          <t>000781</t>
        </is>
      </c>
      <c r="D174" s="4" t="n">
        <v>45128</v>
      </c>
      <c r="E174" s="2" t="inlineStr">
        <is>
          <t>16:45</t>
        </is>
      </c>
      <c r="F174" s="5" t="n">
        <v>274.17</v>
      </c>
      <c r="G174" s="5" t="n"/>
      <c r="H174" s="5" t="n"/>
      <c r="I174" s="5" t="n"/>
      <c r="J174" s="5" t="n">
        <v>54.83</v>
      </c>
      <c r="K174" s="5" t="n"/>
      <c r="L174" s="5" t="n"/>
      <c r="M174" s="5" t="n"/>
      <c r="N174" s="5" t="n"/>
      <c r="O174" s="5" t="n">
        <v>329</v>
      </c>
      <c r="P174" s="5" t="n">
        <v>329</v>
      </c>
      <c r="Q174" s="5" t="n"/>
      <c r="R174" s="5" t="n"/>
    </row>
    <row r="175">
      <c r="A175" s="2" t="inlineStr">
        <is>
          <t>EJ010823.TXT</t>
        </is>
      </c>
      <c r="B175" s="3" t="inlineStr">
        <is>
          <t>001225</t>
        </is>
      </c>
      <c r="C175" s="3" t="inlineStr">
        <is>
          <t>000782</t>
        </is>
      </c>
      <c r="D175" s="4" t="n">
        <v>45129</v>
      </c>
      <c r="E175" s="2" t="inlineStr">
        <is>
          <t>13:27</t>
        </is>
      </c>
      <c r="F175" s="5" t="n">
        <v>733.33</v>
      </c>
      <c r="G175" s="5" t="n"/>
      <c r="H175" s="5" t="n"/>
      <c r="I175" s="5" t="n"/>
      <c r="J175" s="5" t="n">
        <v>146.67</v>
      </c>
      <c r="K175" s="5" t="n"/>
      <c r="L175" s="5" t="n"/>
      <c r="M175" s="5" t="n"/>
      <c r="N175" s="5" t="n"/>
      <c r="O175" s="5" t="n">
        <v>880</v>
      </c>
      <c r="P175" s="5" t="n">
        <v>880</v>
      </c>
      <c r="Q175" s="5" t="n"/>
      <c r="R175" s="5" t="n"/>
    </row>
    <row r="176">
      <c r="A176" s="2" t="inlineStr">
        <is>
          <t>EJ010823.TXT</t>
        </is>
      </c>
      <c r="B176" s="3" t="inlineStr">
        <is>
          <t>001226</t>
        </is>
      </c>
      <c r="C176" s="3" t="inlineStr">
        <is>
          <t>000783</t>
        </is>
      </c>
      <c r="D176" s="4" t="n">
        <v>45129</v>
      </c>
      <c r="E176" s="2" t="inlineStr">
        <is>
          <t>14:42</t>
        </is>
      </c>
      <c r="F176" s="5" t="n">
        <v>548.33</v>
      </c>
      <c r="G176" s="5" t="n"/>
      <c r="H176" s="5" t="n"/>
      <c r="I176" s="5" t="n"/>
      <c r="J176" s="5" t="n">
        <v>109.67</v>
      </c>
      <c r="K176" s="5" t="n"/>
      <c r="L176" s="5" t="n"/>
      <c r="M176" s="5" t="n"/>
      <c r="N176" s="5" t="n"/>
      <c r="O176" s="5" t="n">
        <v>658</v>
      </c>
      <c r="P176" s="5" t="n">
        <v>658</v>
      </c>
      <c r="Q176" s="5" t="n"/>
      <c r="R176" s="5" t="n"/>
    </row>
    <row r="177">
      <c r="A177" s="2" t="inlineStr">
        <is>
          <t>EJ010823.TXT</t>
        </is>
      </c>
      <c r="B177" s="3" t="inlineStr">
        <is>
          <t>001228</t>
        </is>
      </c>
      <c r="C177" s="3" t="inlineStr">
        <is>
          <t>000784</t>
        </is>
      </c>
      <c r="D177" s="4" t="n">
        <v>45132</v>
      </c>
      <c r="E177" s="2" t="inlineStr">
        <is>
          <t>13:52</t>
        </is>
      </c>
      <c r="F177" s="5" t="n">
        <v>474.17</v>
      </c>
      <c r="G177" s="5" t="n"/>
      <c r="H177" s="5" t="n"/>
      <c r="I177" s="5" t="n"/>
      <c r="J177" s="5" t="n">
        <v>94.83</v>
      </c>
      <c r="K177" s="5" t="n"/>
      <c r="L177" s="5" t="n"/>
      <c r="M177" s="5" t="n"/>
      <c r="N177" s="5" t="n"/>
      <c r="O177" s="5" t="n">
        <v>569</v>
      </c>
      <c r="P177" s="5" t="n"/>
      <c r="Q177" s="5" t="n">
        <v>569</v>
      </c>
      <c r="R177" s="5" t="n"/>
    </row>
    <row r="178">
      <c r="A178" s="2" t="inlineStr">
        <is>
          <t>EJ010823.TXT</t>
        </is>
      </c>
      <c r="B178" s="3" t="inlineStr">
        <is>
          <t>001229</t>
        </is>
      </c>
      <c r="C178" s="3" t="inlineStr">
        <is>
          <t>000785</t>
        </is>
      </c>
      <c r="D178" s="4" t="n">
        <v>45132</v>
      </c>
      <c r="E178" s="2" t="inlineStr">
        <is>
          <t>14:04</t>
        </is>
      </c>
      <c r="F178" s="5" t="n">
        <v>274.17</v>
      </c>
      <c r="G178" s="5" t="n"/>
      <c r="H178" s="5" t="n"/>
      <c r="I178" s="5" t="n"/>
      <c r="J178" s="5" t="n">
        <v>54.83</v>
      </c>
      <c r="K178" s="5" t="n"/>
      <c r="L178" s="5" t="n"/>
      <c r="M178" s="5" t="n"/>
      <c r="N178" s="5" t="n"/>
      <c r="O178" s="5" t="n">
        <v>329</v>
      </c>
      <c r="P178" s="5" t="n">
        <v>329</v>
      </c>
      <c r="Q178" s="5" t="n"/>
      <c r="R178" s="5" t="n"/>
    </row>
    <row r="179">
      <c r="A179" s="2" t="inlineStr">
        <is>
          <t>EJ010823.TXT</t>
        </is>
      </c>
      <c r="B179" s="3" t="inlineStr">
        <is>
          <t>001230</t>
        </is>
      </c>
      <c r="C179" s="3" t="inlineStr">
        <is>
          <t>000786</t>
        </is>
      </c>
      <c r="D179" s="4" t="n">
        <v>45133</v>
      </c>
      <c r="E179" s="2" t="inlineStr">
        <is>
          <t>09:34</t>
        </is>
      </c>
      <c r="F179" s="5" t="n">
        <v>582.5</v>
      </c>
      <c r="G179" s="5" t="n"/>
      <c r="H179" s="5" t="n"/>
      <c r="I179" s="5" t="n"/>
      <c r="J179" s="5" t="n">
        <v>116.5</v>
      </c>
      <c r="K179" s="5" t="n"/>
      <c r="L179" s="5" t="n"/>
      <c r="M179" s="5" t="n"/>
      <c r="N179" s="5" t="n"/>
      <c r="O179" s="5" t="n">
        <v>699</v>
      </c>
      <c r="P179" s="5" t="n">
        <v>699</v>
      </c>
      <c r="Q179" s="5" t="n"/>
      <c r="R179" s="5" t="n"/>
    </row>
    <row r="180">
      <c r="A180" s="2" t="inlineStr">
        <is>
          <t>EJ010823.TXT</t>
        </is>
      </c>
      <c r="B180" s="3" t="inlineStr">
        <is>
          <t>001234</t>
        </is>
      </c>
      <c r="C180" s="3" t="inlineStr">
        <is>
          <t>000787</t>
        </is>
      </c>
      <c r="D180" s="4" t="n">
        <v>45133</v>
      </c>
      <c r="E180" s="2" t="inlineStr">
        <is>
          <t>13:22</t>
        </is>
      </c>
      <c r="F180" s="5" t="n">
        <v>548.33</v>
      </c>
      <c r="G180" s="5" t="n"/>
      <c r="H180" s="5" t="n"/>
      <c r="I180" s="5" t="n"/>
      <c r="J180" s="5" t="n">
        <v>109.67</v>
      </c>
      <c r="K180" s="5" t="n"/>
      <c r="L180" s="5" t="n"/>
      <c r="M180" s="5" t="n"/>
      <c r="N180" s="5" t="n"/>
      <c r="O180" s="5" t="n">
        <v>658</v>
      </c>
      <c r="P180" s="5" t="n"/>
      <c r="Q180" s="5" t="n">
        <v>658</v>
      </c>
      <c r="R180" s="5" t="n"/>
    </row>
    <row r="181">
      <c r="A181" s="2" t="inlineStr">
        <is>
          <t>EJ010823.TXT</t>
        </is>
      </c>
      <c r="B181" s="3" t="inlineStr">
        <is>
          <t>001235</t>
        </is>
      </c>
      <c r="C181" s="3" t="inlineStr">
        <is>
          <t>000788</t>
        </is>
      </c>
      <c r="D181" s="4" t="n">
        <v>45134</v>
      </c>
      <c r="E181" s="2" t="inlineStr">
        <is>
          <t>15:29</t>
        </is>
      </c>
      <c r="F181" s="5" t="n">
        <v>548.33</v>
      </c>
      <c r="G181" s="5" t="n"/>
      <c r="H181" s="5" t="n"/>
      <c r="I181" s="5" t="n"/>
      <c r="J181" s="5" t="n">
        <v>109.67</v>
      </c>
      <c r="K181" s="5" t="n"/>
      <c r="L181" s="5" t="n"/>
      <c r="M181" s="5" t="n"/>
      <c r="N181" s="5" t="n"/>
      <c r="O181" s="5" t="n">
        <v>658</v>
      </c>
      <c r="P181" s="5" t="n">
        <v>658</v>
      </c>
      <c r="Q181" s="5" t="n"/>
      <c r="R181" s="5" t="n"/>
    </row>
    <row r="182">
      <c r="A182" s="2" t="inlineStr">
        <is>
          <t>EJ010823.TXT</t>
        </is>
      </c>
      <c r="B182" s="3" t="inlineStr">
        <is>
          <t>001236</t>
        </is>
      </c>
      <c r="C182" s="3" t="inlineStr">
        <is>
          <t>000789</t>
        </is>
      </c>
      <c r="D182" s="4" t="n">
        <v>45134</v>
      </c>
      <c r="E182" s="2" t="inlineStr">
        <is>
          <t>15:33</t>
        </is>
      </c>
      <c r="F182" s="5" t="n">
        <v>548.33</v>
      </c>
      <c r="G182" s="5" t="n"/>
      <c r="H182" s="5" t="n"/>
      <c r="I182" s="5" t="n"/>
      <c r="J182" s="5" t="n">
        <v>109.67</v>
      </c>
      <c r="K182" s="5" t="n"/>
      <c r="L182" s="5" t="n"/>
      <c r="M182" s="5" t="n"/>
      <c r="N182" s="5" t="n"/>
      <c r="O182" s="5" t="n">
        <v>658</v>
      </c>
      <c r="P182" s="5" t="n">
        <v>658</v>
      </c>
      <c r="Q182" s="5" t="n"/>
      <c r="R182" s="5" t="n"/>
    </row>
    <row r="183">
      <c r="A183" s="2" t="inlineStr">
        <is>
          <t>EJ010823.TXT</t>
        </is>
      </c>
      <c r="B183" s="3" t="inlineStr">
        <is>
          <t>001237</t>
        </is>
      </c>
      <c r="C183" s="3" t="inlineStr">
        <is>
          <t>000790</t>
        </is>
      </c>
      <c r="D183" s="4" t="n">
        <v>45134</v>
      </c>
      <c r="E183" s="2" t="inlineStr">
        <is>
          <t>15:35</t>
        </is>
      </c>
      <c r="F183" s="5" t="n">
        <v>548.33</v>
      </c>
      <c r="G183" s="5" t="n"/>
      <c r="H183" s="5" t="n"/>
      <c r="I183" s="5" t="n"/>
      <c r="J183" s="5" t="n">
        <v>109.67</v>
      </c>
      <c r="K183" s="5" t="n"/>
      <c r="L183" s="5" t="n"/>
      <c r="M183" s="5" t="n"/>
      <c r="N183" s="5" t="n"/>
      <c r="O183" s="5" t="n">
        <v>658</v>
      </c>
      <c r="P183" s="5" t="n">
        <v>658</v>
      </c>
      <c r="Q183" s="5" t="n"/>
      <c r="R183" s="5" t="n"/>
    </row>
    <row r="184">
      <c r="A184" s="2" t="inlineStr">
        <is>
          <t>EJ010823.TXT</t>
        </is>
      </c>
      <c r="B184" s="3" t="inlineStr">
        <is>
          <t>001238</t>
        </is>
      </c>
      <c r="C184" s="3" t="inlineStr">
        <is>
          <t>000791</t>
        </is>
      </c>
      <c r="D184" s="4" t="n">
        <v>45134</v>
      </c>
      <c r="E184" s="2" t="inlineStr">
        <is>
          <t>15:37</t>
        </is>
      </c>
      <c r="F184" s="5" t="n">
        <v>548.33</v>
      </c>
      <c r="G184" s="5" t="n"/>
      <c r="H184" s="5" t="n"/>
      <c r="I184" s="5" t="n"/>
      <c r="J184" s="5" t="n">
        <v>109.67</v>
      </c>
      <c r="K184" s="5" t="n"/>
      <c r="L184" s="5" t="n"/>
      <c r="M184" s="5" t="n"/>
      <c r="N184" s="5" t="n"/>
      <c r="O184" s="5" t="n">
        <v>658</v>
      </c>
      <c r="P184" s="5" t="n">
        <v>658</v>
      </c>
      <c r="Q184" s="5" t="n"/>
      <c r="R184" s="5" t="n"/>
    </row>
    <row r="185">
      <c r="A185" s="2" t="inlineStr">
        <is>
          <t>EJ010823.TXT</t>
        </is>
      </c>
      <c r="B185" s="3" t="inlineStr">
        <is>
          <t>001239</t>
        </is>
      </c>
      <c r="C185" s="3" t="inlineStr">
        <is>
          <t>000792</t>
        </is>
      </c>
      <c r="D185" s="4" t="n">
        <v>45136</v>
      </c>
      <c r="E185" s="2" t="inlineStr">
        <is>
          <t>14:30</t>
        </is>
      </c>
      <c r="F185" s="5" t="n">
        <v>131.67</v>
      </c>
      <c r="G185" s="5" t="n"/>
      <c r="H185" s="5" t="n"/>
      <c r="I185" s="5" t="n"/>
      <c r="J185" s="5" t="n">
        <v>26.33</v>
      </c>
      <c r="K185" s="5" t="n"/>
      <c r="L185" s="5" t="n"/>
      <c r="M185" s="5" t="n"/>
      <c r="N185" s="5" t="n"/>
      <c r="O185" s="5" t="n">
        <v>158</v>
      </c>
      <c r="P185" s="5" t="n">
        <v>158</v>
      </c>
      <c r="Q185" s="5" t="n"/>
      <c r="R185" s="5" t="n"/>
    </row>
    <row r="186">
      <c r="A186" s="2" t="inlineStr">
        <is>
          <t>EJ010823.TXT</t>
        </is>
      </c>
      <c r="B186" s="3" t="inlineStr">
        <is>
          <t>001240</t>
        </is>
      </c>
      <c r="C186" s="3" t="inlineStr">
        <is>
          <t>000793</t>
        </is>
      </c>
      <c r="D186" s="4" t="n">
        <v>45136</v>
      </c>
      <c r="E186" s="2" t="inlineStr">
        <is>
          <t>15:41</t>
        </is>
      </c>
      <c r="F186" s="5" t="n">
        <v>548.33</v>
      </c>
      <c r="G186" s="5" t="n"/>
      <c r="H186" s="5" t="n"/>
      <c r="I186" s="5" t="n"/>
      <c r="J186" s="5" t="n">
        <v>109.67</v>
      </c>
      <c r="K186" s="5" t="n"/>
      <c r="L186" s="5" t="n"/>
      <c r="M186" s="5" t="n"/>
      <c r="N186" s="5" t="n"/>
      <c r="O186" s="5" t="n">
        <v>658</v>
      </c>
      <c r="P186" s="5" t="n">
        <v>658</v>
      </c>
      <c r="Q186" s="5" t="n"/>
      <c r="R186" s="5" t="n"/>
    </row>
    <row r="187">
      <c r="A187" s="2" t="inlineStr">
        <is>
          <t>EJ010823.TXT</t>
        </is>
      </c>
      <c r="B187" s="3" t="inlineStr">
        <is>
          <t>001246</t>
        </is>
      </c>
      <c r="C187" s="3" t="inlineStr">
        <is>
          <t>000794</t>
        </is>
      </c>
      <c r="D187" s="4" t="n">
        <v>45136</v>
      </c>
      <c r="E187" s="2" t="inlineStr">
        <is>
          <t>15:56</t>
        </is>
      </c>
      <c r="F187" s="5" t="n">
        <v>548.33</v>
      </c>
      <c r="G187" s="5" t="n"/>
      <c r="H187" s="5" t="n"/>
      <c r="I187" s="5" t="n"/>
      <c r="J187" s="5" t="n">
        <v>109.67</v>
      </c>
      <c r="K187" s="5" t="n"/>
      <c r="L187" s="5" t="n"/>
      <c r="M187" s="5" t="n"/>
      <c r="N187" s="5" t="n"/>
      <c r="O187" s="5" t="n">
        <v>658</v>
      </c>
      <c r="P187" s="5" t="n">
        <v>658</v>
      </c>
      <c r="Q187" s="5" t="n"/>
      <c r="R187" s="5" t="n"/>
    </row>
    <row r="188">
      <c r="A188" s="2" t="inlineStr">
        <is>
          <t>EJ010823.TXT</t>
        </is>
      </c>
      <c r="B188" s="3" t="inlineStr">
        <is>
          <t>001249</t>
        </is>
      </c>
      <c r="C188" s="3" t="inlineStr">
        <is>
          <t>000795</t>
        </is>
      </c>
      <c r="D188" s="4" t="n">
        <v>45138</v>
      </c>
      <c r="E188" s="2" t="inlineStr">
        <is>
          <t>12:34</t>
        </is>
      </c>
      <c r="F188" s="5" t="n">
        <v>822.5</v>
      </c>
      <c r="G188" s="5" t="n"/>
      <c r="H188" s="5" t="n"/>
      <c r="I188" s="5" t="n"/>
      <c r="J188" s="5" t="n">
        <v>164.5</v>
      </c>
      <c r="K188" s="5" t="n"/>
      <c r="L188" s="5" t="n"/>
      <c r="M188" s="5" t="n"/>
      <c r="N188" s="5" t="n"/>
      <c r="O188" s="5" t="n">
        <v>987</v>
      </c>
      <c r="P188" s="5" t="n">
        <v>987</v>
      </c>
      <c r="Q188" s="5" t="n"/>
      <c r="R188" s="5" t="n"/>
    </row>
    <row r="189">
      <c r="A189" s="2" t="inlineStr">
        <is>
          <t>EJ010923.TXT</t>
        </is>
      </c>
      <c r="B189" s="3" t="inlineStr">
        <is>
          <t>001260</t>
        </is>
      </c>
      <c r="C189" s="3" t="inlineStr">
        <is>
          <t>000796</t>
        </is>
      </c>
      <c r="D189" s="4" t="n">
        <v>45140</v>
      </c>
      <c r="E189" s="2" t="inlineStr">
        <is>
          <t>10:14</t>
        </is>
      </c>
      <c r="F189" s="5" t="n">
        <v>274.17</v>
      </c>
      <c r="G189" s="5" t="n"/>
      <c r="H189" s="5" t="n"/>
      <c r="I189" s="5" t="n"/>
      <c r="J189" s="5" t="n">
        <v>54.83</v>
      </c>
      <c r="K189" s="5" t="n"/>
      <c r="L189" s="5" t="n"/>
      <c r="M189" s="5" t="n"/>
      <c r="N189" s="5" t="n"/>
      <c r="O189" s="5" t="n">
        <v>329</v>
      </c>
      <c r="P189" s="5" t="n">
        <v>329</v>
      </c>
      <c r="Q189" s="5" t="n"/>
      <c r="R189" s="5" t="n"/>
    </row>
    <row r="190">
      <c r="A190" s="2" t="inlineStr">
        <is>
          <t>EJ010923.TXT</t>
        </is>
      </c>
      <c r="B190" s="3" t="inlineStr">
        <is>
          <t>001261</t>
        </is>
      </c>
      <c r="C190" s="3" t="inlineStr">
        <is>
          <t>000797</t>
        </is>
      </c>
      <c r="D190" s="4" t="n">
        <v>45142</v>
      </c>
      <c r="E190" s="2" t="inlineStr">
        <is>
          <t>14:28</t>
        </is>
      </c>
      <c r="F190" s="5" t="n">
        <v>1096.67</v>
      </c>
      <c r="G190" s="5" t="n"/>
      <c r="H190" s="5" t="n"/>
      <c r="I190" s="5" t="n"/>
      <c r="J190" s="5" t="n">
        <v>219.33</v>
      </c>
      <c r="K190" s="5" t="n"/>
      <c r="L190" s="5" t="n"/>
      <c r="M190" s="5" t="n"/>
      <c r="N190" s="5" t="n"/>
      <c r="O190" s="5" t="n">
        <v>1316</v>
      </c>
      <c r="P190" s="5" t="n">
        <v>1316</v>
      </c>
      <c r="Q190" s="5" t="n"/>
      <c r="R190" s="5" t="n"/>
    </row>
    <row r="191">
      <c r="A191" s="2" t="inlineStr">
        <is>
          <t>EJ010923.TXT</t>
        </is>
      </c>
      <c r="B191" s="3" t="inlineStr">
        <is>
          <t>001262</t>
        </is>
      </c>
      <c r="C191" s="3" t="inlineStr">
        <is>
          <t>000798</t>
        </is>
      </c>
      <c r="D191" s="4" t="n">
        <v>45143</v>
      </c>
      <c r="E191" s="2" t="inlineStr">
        <is>
          <t>14:05</t>
        </is>
      </c>
      <c r="F191" s="5" t="n">
        <v>548.33</v>
      </c>
      <c r="G191" s="5" t="n"/>
      <c r="H191" s="5" t="n"/>
      <c r="I191" s="5" t="n"/>
      <c r="J191" s="5" t="n">
        <v>109.67</v>
      </c>
      <c r="K191" s="5" t="n"/>
      <c r="L191" s="5" t="n"/>
      <c r="M191" s="5" t="n"/>
      <c r="N191" s="5" t="n"/>
      <c r="O191" s="5" t="n">
        <v>658</v>
      </c>
      <c r="P191" s="5" t="n">
        <v>658</v>
      </c>
      <c r="Q191" s="5" t="n"/>
      <c r="R191" s="5" t="n"/>
    </row>
    <row r="192">
      <c r="A192" s="2" t="inlineStr">
        <is>
          <t>EJ010923.TXT</t>
        </is>
      </c>
      <c r="B192" s="3" t="inlineStr">
        <is>
          <t>001263</t>
        </is>
      </c>
      <c r="C192" s="3" t="inlineStr">
        <is>
          <t>000799</t>
        </is>
      </c>
      <c r="D192" s="4" t="n">
        <v>45143</v>
      </c>
      <c r="E192" s="2" t="inlineStr">
        <is>
          <t>15:38</t>
        </is>
      </c>
      <c r="F192" s="5" t="n">
        <v>1096.67</v>
      </c>
      <c r="G192" s="5" t="n"/>
      <c r="H192" s="5" t="n"/>
      <c r="I192" s="5" t="n"/>
      <c r="J192" s="5" t="n">
        <v>219.33</v>
      </c>
      <c r="K192" s="5" t="n"/>
      <c r="L192" s="5" t="n"/>
      <c r="M192" s="5" t="n"/>
      <c r="N192" s="5" t="n"/>
      <c r="O192" s="5" t="n">
        <v>1316</v>
      </c>
      <c r="P192" s="5" t="n">
        <v>1316</v>
      </c>
      <c r="Q192" s="5" t="n"/>
      <c r="R192" s="5" t="n"/>
    </row>
    <row r="193">
      <c r="A193" s="2" t="inlineStr">
        <is>
          <t>EJ010923.TXT</t>
        </is>
      </c>
      <c r="B193" s="3" t="inlineStr">
        <is>
          <t>001264</t>
        </is>
      </c>
      <c r="C193" s="3" t="inlineStr">
        <is>
          <t>000800</t>
        </is>
      </c>
      <c r="D193" s="4" t="n">
        <v>45148</v>
      </c>
      <c r="E193" s="2" t="inlineStr">
        <is>
          <t>13:03</t>
        </is>
      </c>
      <c r="F193" s="5" t="n">
        <v>175</v>
      </c>
      <c r="G193" s="5" t="n"/>
      <c r="H193" s="5" t="n"/>
      <c r="I193" s="5" t="n"/>
      <c r="J193" s="5" t="n">
        <v>35</v>
      </c>
      <c r="K193" s="5" t="n"/>
      <c r="L193" s="5" t="n"/>
      <c r="M193" s="5" t="n"/>
      <c r="N193" s="5" t="n"/>
      <c r="O193" s="5" t="n">
        <v>210</v>
      </c>
      <c r="P193" s="5" t="n"/>
      <c r="Q193" s="5" t="n">
        <v>210</v>
      </c>
      <c r="R193" s="5" t="n"/>
    </row>
    <row r="194">
      <c r="A194" s="2" t="inlineStr">
        <is>
          <t>EJ010923.TXT</t>
        </is>
      </c>
      <c r="B194" s="3" t="inlineStr">
        <is>
          <t>001265</t>
        </is>
      </c>
      <c r="C194" s="3" t="inlineStr">
        <is>
          <t>000801</t>
        </is>
      </c>
      <c r="D194" s="4" t="n">
        <v>45150</v>
      </c>
      <c r="E194" s="2" t="inlineStr">
        <is>
          <t>13:23</t>
        </is>
      </c>
      <c r="F194" s="5" t="n">
        <v>548.33</v>
      </c>
      <c r="G194" s="5" t="n"/>
      <c r="H194" s="5" t="n"/>
      <c r="I194" s="5" t="n"/>
      <c r="J194" s="5" t="n">
        <v>109.67</v>
      </c>
      <c r="K194" s="5" t="n"/>
      <c r="L194" s="5" t="n"/>
      <c r="M194" s="5" t="n"/>
      <c r="N194" s="5" t="n"/>
      <c r="O194" s="5" t="n">
        <v>658</v>
      </c>
      <c r="P194" s="5" t="n">
        <v>658</v>
      </c>
      <c r="Q194" s="5" t="n"/>
      <c r="R194" s="5" t="n"/>
    </row>
    <row r="195">
      <c r="A195" s="2" t="inlineStr">
        <is>
          <t>EJ010923.TXT</t>
        </is>
      </c>
      <c r="B195" s="3" t="inlineStr">
        <is>
          <t>001266</t>
        </is>
      </c>
      <c r="C195" s="3" t="inlineStr">
        <is>
          <t>000802</t>
        </is>
      </c>
      <c r="D195" s="4" t="n">
        <v>45150</v>
      </c>
      <c r="E195" s="2" t="inlineStr">
        <is>
          <t>14:52</t>
        </is>
      </c>
      <c r="F195" s="5" t="n">
        <v>274.17</v>
      </c>
      <c r="G195" s="5" t="n"/>
      <c r="H195" s="5" t="n"/>
      <c r="I195" s="5" t="n"/>
      <c r="J195" s="5" t="n">
        <v>54.83</v>
      </c>
      <c r="K195" s="5" t="n"/>
      <c r="L195" s="5" t="n"/>
      <c r="M195" s="5" t="n"/>
      <c r="N195" s="5" t="n"/>
      <c r="O195" s="5" t="n">
        <v>329</v>
      </c>
      <c r="P195" s="5" t="n"/>
      <c r="Q195" s="5" t="n">
        <v>329</v>
      </c>
      <c r="R195" s="5" t="n"/>
    </row>
    <row r="196">
      <c r="A196" s="2" t="inlineStr">
        <is>
          <t>EJ010923.TXT</t>
        </is>
      </c>
      <c r="B196" s="3" t="inlineStr">
        <is>
          <t>001269</t>
        </is>
      </c>
      <c r="C196" s="3" t="inlineStr">
        <is>
          <t>000803</t>
        </is>
      </c>
      <c r="D196" s="4" t="n">
        <v>45152</v>
      </c>
      <c r="E196" s="2" t="inlineStr">
        <is>
          <t>15:02</t>
        </is>
      </c>
      <c r="F196" s="5" t="n">
        <v>1645</v>
      </c>
      <c r="G196" s="5" t="n"/>
      <c r="H196" s="5" t="n"/>
      <c r="I196" s="5" t="n"/>
      <c r="J196" s="5" t="n">
        <v>329</v>
      </c>
      <c r="K196" s="5" t="n"/>
      <c r="L196" s="5" t="n"/>
      <c r="M196" s="5" t="n"/>
      <c r="N196" s="5" t="n"/>
      <c r="O196" s="5" t="n">
        <v>1974</v>
      </c>
      <c r="P196" s="5" t="n"/>
      <c r="Q196" s="5" t="n">
        <v>1974</v>
      </c>
      <c r="R196" s="5" t="n"/>
    </row>
    <row r="197">
      <c r="A197" s="2" t="inlineStr">
        <is>
          <t>EJ010923.TXT</t>
        </is>
      </c>
      <c r="B197" s="3" t="inlineStr">
        <is>
          <t>001270</t>
        </is>
      </c>
      <c r="C197" s="3" t="inlineStr">
        <is>
          <t>000804</t>
        </is>
      </c>
      <c r="D197" s="4" t="n">
        <v>45154</v>
      </c>
      <c r="E197" s="2" t="inlineStr">
        <is>
          <t>13:36</t>
        </is>
      </c>
      <c r="F197" s="5" t="n">
        <v>274.17</v>
      </c>
      <c r="G197" s="5" t="n"/>
      <c r="H197" s="5" t="n"/>
      <c r="I197" s="5" t="n"/>
      <c r="J197" s="5" t="n">
        <v>54.83</v>
      </c>
      <c r="K197" s="5" t="n"/>
      <c r="L197" s="5" t="n"/>
      <c r="M197" s="5" t="n"/>
      <c r="N197" s="5" t="n"/>
      <c r="O197" s="5" t="n">
        <v>329</v>
      </c>
      <c r="P197" s="5" t="n">
        <v>329</v>
      </c>
      <c r="Q197" s="5" t="n"/>
      <c r="R197" s="5" t="n"/>
    </row>
    <row r="198">
      <c r="A198" s="2" t="inlineStr">
        <is>
          <t>EJ010923.TXT</t>
        </is>
      </c>
      <c r="B198" s="3" t="inlineStr">
        <is>
          <t>001271</t>
        </is>
      </c>
      <c r="C198" s="3" t="inlineStr">
        <is>
          <t>000805</t>
        </is>
      </c>
      <c r="D198" s="4" t="n">
        <v>45156</v>
      </c>
      <c r="E198" s="2" t="inlineStr">
        <is>
          <t>16:41</t>
        </is>
      </c>
      <c r="F198" s="5" t="n">
        <v>73.33</v>
      </c>
      <c r="G198" s="5" t="n"/>
      <c r="H198" s="5" t="n"/>
      <c r="I198" s="5" t="n"/>
      <c r="J198" s="5" t="n">
        <v>14.67</v>
      </c>
      <c r="K198" s="5" t="n"/>
      <c r="L198" s="5" t="n"/>
      <c r="M198" s="5" t="n"/>
      <c r="N198" s="5" t="n"/>
      <c r="O198" s="5" t="n">
        <v>88</v>
      </c>
      <c r="P198" s="5" t="n"/>
      <c r="Q198" s="5" t="n">
        <v>88</v>
      </c>
      <c r="R198" s="5" t="n"/>
    </row>
    <row r="199">
      <c r="A199" s="2" t="inlineStr">
        <is>
          <t>EJ010923.TXT</t>
        </is>
      </c>
      <c r="B199" s="3" t="inlineStr">
        <is>
          <t>001272</t>
        </is>
      </c>
      <c r="C199" s="3" t="inlineStr">
        <is>
          <t>000806</t>
        </is>
      </c>
      <c r="D199" s="4" t="n">
        <v>45157</v>
      </c>
      <c r="E199" s="2" t="inlineStr">
        <is>
          <t>13:14</t>
        </is>
      </c>
      <c r="F199" s="5" t="n">
        <v>568.33</v>
      </c>
      <c r="G199" s="5" t="n"/>
      <c r="H199" s="5" t="n"/>
      <c r="I199" s="5" t="n"/>
      <c r="J199" s="5" t="n">
        <v>113.67</v>
      </c>
      <c r="K199" s="5" t="n"/>
      <c r="L199" s="5" t="n"/>
      <c r="M199" s="5" t="n"/>
      <c r="N199" s="5" t="n"/>
      <c r="O199" s="5" t="n">
        <v>682</v>
      </c>
      <c r="P199" s="5" t="n">
        <v>682</v>
      </c>
      <c r="Q199" s="5" t="n"/>
      <c r="R199" s="5" t="n"/>
    </row>
    <row r="200">
      <c r="A200" s="2" t="inlineStr">
        <is>
          <t>EJ010923.TXT</t>
        </is>
      </c>
      <c r="B200" s="3" t="inlineStr">
        <is>
          <t>001273</t>
        </is>
      </c>
      <c r="C200" s="3" t="inlineStr">
        <is>
          <t>000807</t>
        </is>
      </c>
      <c r="D200" s="4" t="n">
        <v>45157</v>
      </c>
      <c r="E200" s="2" t="inlineStr">
        <is>
          <t>16:25</t>
        </is>
      </c>
      <c r="F200" s="5" t="n">
        <v>1096.67</v>
      </c>
      <c r="G200" s="5" t="n"/>
      <c r="H200" s="5" t="n"/>
      <c r="I200" s="5" t="n"/>
      <c r="J200" s="5" t="n">
        <v>219.33</v>
      </c>
      <c r="K200" s="5" t="n"/>
      <c r="L200" s="5" t="n"/>
      <c r="M200" s="5" t="n"/>
      <c r="N200" s="5" t="n"/>
      <c r="O200" s="5" t="n">
        <v>1316</v>
      </c>
      <c r="P200" s="5" t="n">
        <v>1016</v>
      </c>
      <c r="Q200" s="5" t="n">
        <v>300</v>
      </c>
      <c r="R200" s="5" t="n"/>
    </row>
    <row r="201">
      <c r="A201" s="2" t="inlineStr">
        <is>
          <t>EJ010923.TXT</t>
        </is>
      </c>
      <c r="B201" s="3" t="inlineStr">
        <is>
          <t>001274</t>
        </is>
      </c>
      <c r="C201" s="3" t="inlineStr">
        <is>
          <t>000808</t>
        </is>
      </c>
      <c r="D201" s="4" t="n">
        <v>45157</v>
      </c>
      <c r="E201" s="2" t="inlineStr">
        <is>
          <t>16:41</t>
        </is>
      </c>
      <c r="F201" s="5" t="n">
        <v>974.17</v>
      </c>
      <c r="G201" s="5" t="n"/>
      <c r="H201" s="5" t="n"/>
      <c r="I201" s="5" t="n"/>
      <c r="J201" s="5" t="n">
        <v>194.83</v>
      </c>
      <c r="K201" s="5" t="n"/>
      <c r="L201" s="5" t="n"/>
      <c r="M201" s="5" t="n"/>
      <c r="N201" s="5" t="n"/>
      <c r="O201" s="5" t="n">
        <v>1169</v>
      </c>
      <c r="P201" s="5" t="n">
        <v>1169</v>
      </c>
      <c r="Q201" s="5" t="n"/>
      <c r="R201" s="5" t="n"/>
    </row>
    <row r="202">
      <c r="A202" s="2" t="inlineStr">
        <is>
          <t>EJ010923.TXT</t>
        </is>
      </c>
      <c r="B202" s="3" t="inlineStr">
        <is>
          <t>001275</t>
        </is>
      </c>
      <c r="C202" s="3" t="inlineStr">
        <is>
          <t>000809</t>
        </is>
      </c>
      <c r="D202" s="4" t="n">
        <v>45163</v>
      </c>
      <c r="E202" s="2" t="inlineStr">
        <is>
          <t>11:21</t>
        </is>
      </c>
      <c r="F202" s="5" t="n">
        <v>66.33</v>
      </c>
      <c r="G202" s="5" t="n"/>
      <c r="H202" s="5" t="n"/>
      <c r="I202" s="5" t="n"/>
      <c r="J202" s="5" t="n">
        <v>13.27</v>
      </c>
      <c r="K202" s="5" t="n"/>
      <c r="L202" s="5" t="n"/>
      <c r="M202" s="5" t="n"/>
      <c r="N202" s="5" t="n"/>
      <c r="O202" s="5" t="n">
        <v>79.59999999999999</v>
      </c>
      <c r="P202" s="5" t="n"/>
      <c r="Q202" s="5" t="n">
        <v>79.59999999999999</v>
      </c>
      <c r="R202" s="5" t="n"/>
    </row>
    <row r="203">
      <c r="A203" s="2" t="inlineStr">
        <is>
          <t>EJ010923.TXT</t>
        </is>
      </c>
      <c r="B203" s="3" t="inlineStr">
        <is>
          <t>001276</t>
        </is>
      </c>
      <c r="C203" s="3" t="inlineStr">
        <is>
          <t>000810</t>
        </is>
      </c>
      <c r="D203" s="4" t="n">
        <v>45166</v>
      </c>
      <c r="E203" s="2" t="inlineStr">
        <is>
          <t>14:30</t>
        </is>
      </c>
      <c r="F203" s="5" t="n">
        <v>1919.17</v>
      </c>
      <c r="G203" s="5" t="n"/>
      <c r="H203" s="5" t="n"/>
      <c r="I203" s="5" t="n"/>
      <c r="J203" s="5" t="n">
        <v>383.83</v>
      </c>
      <c r="K203" s="5" t="n"/>
      <c r="L203" s="5" t="n"/>
      <c r="M203" s="5" t="n"/>
      <c r="N203" s="5" t="n"/>
      <c r="O203" s="5" t="n">
        <v>2303</v>
      </c>
      <c r="P203" s="5" t="n">
        <v>2303</v>
      </c>
      <c r="Q203" s="5" t="n"/>
      <c r="R203" s="5" t="n"/>
    </row>
    <row r="204">
      <c r="A204" s="2" t="inlineStr">
        <is>
          <t>EJ010923.TXT</t>
        </is>
      </c>
      <c r="B204" s="3" t="inlineStr">
        <is>
          <t>001277</t>
        </is>
      </c>
      <c r="C204" s="3" t="inlineStr">
        <is>
          <t>000811</t>
        </is>
      </c>
      <c r="D204" s="4" t="n">
        <v>45166</v>
      </c>
      <c r="E204" s="2" t="inlineStr">
        <is>
          <t>15:40</t>
        </is>
      </c>
      <c r="F204" s="5" t="n">
        <v>582.5</v>
      </c>
      <c r="G204" s="5" t="n"/>
      <c r="H204" s="5" t="n"/>
      <c r="I204" s="5" t="n"/>
      <c r="J204" s="5" t="n">
        <v>116.5</v>
      </c>
      <c r="K204" s="5" t="n"/>
      <c r="L204" s="5" t="n"/>
      <c r="M204" s="5" t="n"/>
      <c r="N204" s="5" t="n"/>
      <c r="O204" s="5" t="n">
        <v>699</v>
      </c>
      <c r="P204" s="5" t="n"/>
      <c r="Q204" s="5" t="n">
        <v>699</v>
      </c>
      <c r="R204" s="5" t="n"/>
    </row>
    <row r="205">
      <c r="A205" s="2" t="inlineStr">
        <is>
          <t>EJ010923.TXT</t>
        </is>
      </c>
      <c r="B205" s="3" t="inlineStr">
        <is>
          <t>001278</t>
        </is>
      </c>
      <c r="C205" s="3" t="inlineStr">
        <is>
          <t>000812</t>
        </is>
      </c>
      <c r="D205" s="4" t="n">
        <v>45167</v>
      </c>
      <c r="E205" s="2" t="inlineStr">
        <is>
          <t>08:52</t>
        </is>
      </c>
      <c r="F205" s="5" t="n">
        <v>199.17</v>
      </c>
      <c r="G205" s="5" t="n"/>
      <c r="H205" s="5" t="n"/>
      <c r="I205" s="5" t="n"/>
      <c r="J205" s="5" t="n">
        <v>39.83</v>
      </c>
      <c r="K205" s="5" t="n"/>
      <c r="L205" s="5" t="n"/>
      <c r="M205" s="5" t="n"/>
      <c r="N205" s="5" t="n"/>
      <c r="O205" s="5" t="n">
        <v>239</v>
      </c>
      <c r="P205" s="5" t="n"/>
      <c r="Q205" s="5" t="n">
        <v>239</v>
      </c>
      <c r="R205" s="5" t="n"/>
    </row>
    <row r="206">
      <c r="A206" s="2" t="inlineStr">
        <is>
          <t>EJ021023.TXT</t>
        </is>
      </c>
      <c r="B206" s="3" t="inlineStr">
        <is>
          <t>001283</t>
        </is>
      </c>
      <c r="C206" s="3" t="inlineStr">
        <is>
          <t>000813</t>
        </is>
      </c>
      <c r="D206" s="4" t="n">
        <v>45170</v>
      </c>
      <c r="E206" s="2" t="inlineStr">
        <is>
          <t>11:29</t>
        </is>
      </c>
      <c r="F206" s="5" t="n">
        <v>248.33</v>
      </c>
      <c r="G206" s="5" t="n"/>
      <c r="H206" s="5" t="n"/>
      <c r="I206" s="5" t="n"/>
      <c r="J206" s="5" t="n">
        <v>49.67</v>
      </c>
      <c r="K206" s="5" t="n"/>
      <c r="L206" s="5" t="n"/>
      <c r="M206" s="5" t="n"/>
      <c r="N206" s="5" t="n"/>
      <c r="O206" s="5" t="n">
        <v>298</v>
      </c>
      <c r="P206" s="5" t="n">
        <v>298</v>
      </c>
      <c r="Q206" s="5" t="n"/>
      <c r="R206" s="5" t="n"/>
    </row>
    <row r="207">
      <c r="A207" s="2" t="inlineStr">
        <is>
          <t>EJ021023.TXT</t>
        </is>
      </c>
      <c r="B207" s="3" t="inlineStr">
        <is>
          <t>001284</t>
        </is>
      </c>
      <c r="C207" s="3" t="inlineStr">
        <is>
          <t>000814</t>
        </is>
      </c>
      <c r="D207" s="4" t="n">
        <v>45170</v>
      </c>
      <c r="E207" s="2" t="inlineStr">
        <is>
          <t>14:53</t>
        </is>
      </c>
      <c r="F207" s="5" t="n">
        <v>274.17</v>
      </c>
      <c r="G207" s="5" t="n"/>
      <c r="H207" s="5" t="n"/>
      <c r="I207" s="5" t="n"/>
      <c r="J207" s="5" t="n">
        <v>54.83</v>
      </c>
      <c r="K207" s="5" t="n"/>
      <c r="L207" s="5" t="n"/>
      <c r="M207" s="5" t="n"/>
      <c r="N207" s="5" t="n"/>
      <c r="O207" s="5" t="n">
        <v>329</v>
      </c>
      <c r="P207" s="5" t="n">
        <v>329</v>
      </c>
      <c r="Q207" s="5" t="n"/>
      <c r="R207" s="5" t="n"/>
    </row>
    <row r="208">
      <c r="A208" s="2" t="inlineStr">
        <is>
          <t>EJ021023.TXT</t>
        </is>
      </c>
      <c r="B208" s="3" t="inlineStr">
        <is>
          <t>001285</t>
        </is>
      </c>
      <c r="C208" s="3" t="inlineStr">
        <is>
          <t>000815</t>
        </is>
      </c>
      <c r="D208" s="4" t="n">
        <v>45170</v>
      </c>
      <c r="E208" s="2" t="inlineStr">
        <is>
          <t>14:56</t>
        </is>
      </c>
      <c r="F208" s="5" t="n">
        <v>73.33</v>
      </c>
      <c r="G208" s="5" t="n"/>
      <c r="H208" s="5" t="n"/>
      <c r="I208" s="5" t="n"/>
      <c r="J208" s="5" t="n">
        <v>14.67</v>
      </c>
      <c r="K208" s="5" t="n"/>
      <c r="L208" s="5" t="n"/>
      <c r="M208" s="5" t="n"/>
      <c r="N208" s="5" t="n"/>
      <c r="O208" s="5" t="n">
        <v>88</v>
      </c>
      <c r="P208" s="5" t="n">
        <v>88</v>
      </c>
      <c r="Q208" s="5" t="n"/>
      <c r="R208" s="5" t="n"/>
    </row>
    <row r="209">
      <c r="A209" s="2" t="inlineStr">
        <is>
          <t>EJ021023.TXT</t>
        </is>
      </c>
      <c r="B209" s="3" t="inlineStr">
        <is>
          <t>001287</t>
        </is>
      </c>
      <c r="C209" s="3" t="inlineStr">
        <is>
          <t>000816</t>
        </is>
      </c>
      <c r="D209" s="4" t="n">
        <v>45170</v>
      </c>
      <c r="E209" s="2" t="inlineStr">
        <is>
          <t>15:39</t>
        </is>
      </c>
      <c r="F209" s="5" t="n">
        <v>274.17</v>
      </c>
      <c r="G209" s="5" t="n"/>
      <c r="H209" s="5" t="n"/>
      <c r="I209" s="5" t="n"/>
      <c r="J209" s="5" t="n">
        <v>54.83</v>
      </c>
      <c r="K209" s="5" t="n"/>
      <c r="L209" s="5" t="n"/>
      <c r="M209" s="5" t="n"/>
      <c r="N209" s="5" t="n"/>
      <c r="O209" s="5" t="n">
        <v>329</v>
      </c>
      <c r="P209" s="5" t="n">
        <v>329</v>
      </c>
      <c r="Q209" s="5" t="n"/>
      <c r="R209" s="5" t="n"/>
    </row>
    <row r="210">
      <c r="A210" s="2" t="inlineStr">
        <is>
          <t>EJ021023.TXT</t>
        </is>
      </c>
      <c r="B210" s="3" t="inlineStr">
        <is>
          <t>001288</t>
        </is>
      </c>
      <c r="C210" s="3" t="inlineStr">
        <is>
          <t>000817</t>
        </is>
      </c>
      <c r="D210" s="4" t="n">
        <v>45170</v>
      </c>
      <c r="E210" s="2" t="inlineStr">
        <is>
          <t>15:39</t>
        </is>
      </c>
      <c r="F210" s="5" t="n">
        <v>572.5</v>
      </c>
      <c r="G210" s="5" t="n"/>
      <c r="H210" s="5" t="n"/>
      <c r="I210" s="5" t="n"/>
      <c r="J210" s="5" t="n">
        <v>114.5</v>
      </c>
      <c r="K210" s="5" t="n"/>
      <c r="L210" s="5" t="n"/>
      <c r="M210" s="5" t="n"/>
      <c r="N210" s="5" t="n"/>
      <c r="O210" s="5" t="n">
        <v>687</v>
      </c>
      <c r="P210" s="5" t="n">
        <v>687</v>
      </c>
      <c r="Q210" s="5" t="n"/>
      <c r="R210" s="5" t="n"/>
    </row>
    <row r="211">
      <c r="A211" s="2" t="inlineStr">
        <is>
          <t>EJ021023.TXT</t>
        </is>
      </c>
      <c r="B211" s="3" t="inlineStr">
        <is>
          <t>001289</t>
        </is>
      </c>
      <c r="C211" s="3" t="inlineStr">
        <is>
          <t>000818</t>
        </is>
      </c>
      <c r="D211" s="4" t="n">
        <v>45170</v>
      </c>
      <c r="E211" s="2" t="inlineStr">
        <is>
          <t>16:38</t>
        </is>
      </c>
      <c r="F211" s="5" t="n">
        <v>274.17</v>
      </c>
      <c r="G211" s="5" t="n"/>
      <c r="H211" s="5" t="n"/>
      <c r="I211" s="5" t="n"/>
      <c r="J211" s="5" t="n">
        <v>54.83</v>
      </c>
      <c r="K211" s="5" t="n"/>
      <c r="L211" s="5" t="n"/>
      <c r="M211" s="5" t="n"/>
      <c r="N211" s="5" t="n"/>
      <c r="O211" s="5" t="n">
        <v>329</v>
      </c>
      <c r="P211" s="5" t="n">
        <v>329</v>
      </c>
      <c r="Q211" s="5" t="n"/>
      <c r="R211" s="5" t="n"/>
    </row>
    <row r="212">
      <c r="A212" s="2" t="inlineStr">
        <is>
          <t>EJ021023.TXT</t>
        </is>
      </c>
      <c r="B212" s="3" t="inlineStr">
        <is>
          <t>001293</t>
        </is>
      </c>
      <c r="C212" s="3" t="inlineStr">
        <is>
          <t>000819</t>
        </is>
      </c>
      <c r="D212" s="4" t="n">
        <v>45173</v>
      </c>
      <c r="E212" s="2" t="inlineStr">
        <is>
          <t>14:23</t>
        </is>
      </c>
      <c r="F212" s="5" t="n">
        <v>548.33</v>
      </c>
      <c r="G212" s="5" t="n"/>
      <c r="H212" s="5" t="n"/>
      <c r="I212" s="5" t="n"/>
      <c r="J212" s="5" t="n">
        <v>109.67</v>
      </c>
      <c r="K212" s="5" t="n"/>
      <c r="L212" s="5" t="n"/>
      <c r="M212" s="5" t="n"/>
      <c r="N212" s="5" t="n"/>
      <c r="O212" s="5" t="n">
        <v>658</v>
      </c>
      <c r="P212" s="5" t="n">
        <v>658</v>
      </c>
      <c r="Q212" s="5" t="n"/>
      <c r="R212" s="5" t="n"/>
    </row>
    <row r="213">
      <c r="A213" s="2" t="inlineStr">
        <is>
          <t>EJ021023.TXT</t>
        </is>
      </c>
      <c r="B213" s="3" t="inlineStr">
        <is>
          <t>001296</t>
        </is>
      </c>
      <c r="C213" s="3" t="inlineStr">
        <is>
          <t>000820</t>
        </is>
      </c>
      <c r="D213" s="4" t="n">
        <v>45175</v>
      </c>
      <c r="E213" s="2" t="inlineStr">
        <is>
          <t>09:30</t>
        </is>
      </c>
      <c r="F213" s="5" t="n">
        <v>3200</v>
      </c>
      <c r="G213" s="5" t="n"/>
      <c r="H213" s="5" t="n"/>
      <c r="I213" s="5" t="n"/>
      <c r="J213" s="5" t="n">
        <v>640</v>
      </c>
      <c r="K213" s="5" t="n"/>
      <c r="L213" s="5" t="n"/>
      <c r="M213" s="5" t="n"/>
      <c r="N213" s="5" t="n"/>
      <c r="O213" s="5" t="n">
        <v>3840</v>
      </c>
      <c r="P213" s="5" t="n">
        <v>3840</v>
      </c>
      <c r="Q213" s="5" t="n"/>
      <c r="R213" s="5" t="n"/>
    </row>
    <row r="214">
      <c r="A214" s="2" t="inlineStr">
        <is>
          <t>EJ021023.TXT</t>
        </is>
      </c>
      <c r="B214" s="3" t="inlineStr">
        <is>
          <t>001297</t>
        </is>
      </c>
      <c r="C214" s="3" t="inlineStr">
        <is>
          <t>000821</t>
        </is>
      </c>
      <c r="D214" s="4" t="n">
        <v>45175</v>
      </c>
      <c r="E214" s="2" t="inlineStr">
        <is>
          <t>10:10</t>
        </is>
      </c>
      <c r="F214" s="5" t="n">
        <v>82.5</v>
      </c>
      <c r="G214" s="5" t="n"/>
      <c r="H214" s="5" t="n"/>
      <c r="I214" s="5" t="n"/>
      <c r="J214" s="5" t="n">
        <v>16.5</v>
      </c>
      <c r="K214" s="5" t="n"/>
      <c r="L214" s="5" t="n"/>
      <c r="M214" s="5" t="n"/>
      <c r="N214" s="5" t="n"/>
      <c r="O214" s="5" t="n">
        <v>99</v>
      </c>
      <c r="P214" s="5" t="n">
        <v>99</v>
      </c>
      <c r="Q214" s="5" t="n"/>
      <c r="R214" s="5" t="n"/>
    </row>
    <row r="215">
      <c r="A215" s="2" t="inlineStr">
        <is>
          <t>EJ021023.TXT</t>
        </is>
      </c>
      <c r="B215" s="3" t="inlineStr">
        <is>
          <t>001300</t>
        </is>
      </c>
      <c r="C215" s="3" t="inlineStr">
        <is>
          <t>000822</t>
        </is>
      </c>
      <c r="D215" s="4" t="n">
        <v>45176</v>
      </c>
      <c r="E215" s="2" t="inlineStr">
        <is>
          <t>15:54</t>
        </is>
      </c>
      <c r="F215" s="5" t="n">
        <v>124.17</v>
      </c>
      <c r="G215" s="5" t="n"/>
      <c r="H215" s="5" t="n"/>
      <c r="I215" s="5" t="n"/>
      <c r="J215" s="5" t="n">
        <v>24.83</v>
      </c>
      <c r="K215" s="5" t="n"/>
      <c r="L215" s="5" t="n"/>
      <c r="M215" s="5" t="n"/>
      <c r="N215" s="5" t="n"/>
      <c r="O215" s="5" t="n">
        <v>149</v>
      </c>
      <c r="P215" s="5" t="n">
        <v>149</v>
      </c>
      <c r="Q215" s="5" t="n"/>
      <c r="R215" s="5" t="n"/>
    </row>
    <row r="216">
      <c r="A216" s="2" t="inlineStr">
        <is>
          <t>EJ021023.TXT</t>
        </is>
      </c>
      <c r="B216" s="3" t="inlineStr">
        <is>
          <t>001301</t>
        </is>
      </c>
      <c r="C216" s="3" t="inlineStr">
        <is>
          <t>000823</t>
        </is>
      </c>
      <c r="D216" s="4" t="n">
        <v>45176</v>
      </c>
      <c r="E216" s="2" t="inlineStr">
        <is>
          <t>16:30</t>
        </is>
      </c>
      <c r="F216" s="5" t="n">
        <v>274.17</v>
      </c>
      <c r="G216" s="5" t="n"/>
      <c r="H216" s="5" t="n"/>
      <c r="I216" s="5" t="n"/>
      <c r="J216" s="5" t="n">
        <v>54.83</v>
      </c>
      <c r="K216" s="5" t="n"/>
      <c r="L216" s="5" t="n"/>
      <c r="M216" s="5" t="n"/>
      <c r="N216" s="5" t="n"/>
      <c r="O216" s="5" t="n">
        <v>329</v>
      </c>
      <c r="P216" s="5" t="n">
        <v>329</v>
      </c>
      <c r="Q216" s="5" t="n"/>
      <c r="R216" s="5" t="n"/>
    </row>
    <row r="217">
      <c r="A217" s="2" t="inlineStr">
        <is>
          <t>EJ021023.TXT</t>
        </is>
      </c>
      <c r="B217" s="3" t="inlineStr">
        <is>
          <t>001302</t>
        </is>
      </c>
      <c r="C217" s="3" t="inlineStr">
        <is>
          <t>000824</t>
        </is>
      </c>
      <c r="D217" s="4" t="n">
        <v>45178</v>
      </c>
      <c r="E217" s="2" t="inlineStr">
        <is>
          <t>15:52</t>
        </is>
      </c>
      <c r="F217" s="5" t="n">
        <v>65.83</v>
      </c>
      <c r="G217" s="5" t="n"/>
      <c r="H217" s="5" t="n"/>
      <c r="I217" s="5" t="n"/>
      <c r="J217" s="5" t="n">
        <v>13.17</v>
      </c>
      <c r="K217" s="5" t="n"/>
      <c r="L217" s="5" t="n"/>
      <c r="M217" s="5" t="n"/>
      <c r="N217" s="5" t="n"/>
      <c r="O217" s="5" t="n">
        <v>79</v>
      </c>
      <c r="P217" s="5" t="n">
        <v>79</v>
      </c>
      <c r="Q217" s="5" t="n"/>
      <c r="R217" s="5" t="n"/>
    </row>
    <row r="218">
      <c r="A218" s="2" t="inlineStr">
        <is>
          <t>EJ021023.TXT</t>
        </is>
      </c>
      <c r="B218" s="3" t="inlineStr">
        <is>
          <t>001304</t>
        </is>
      </c>
      <c r="C218" s="3" t="inlineStr">
        <is>
          <t>000825</t>
        </is>
      </c>
      <c r="D218" s="4" t="n">
        <v>45183</v>
      </c>
      <c r="E218" s="2" t="inlineStr">
        <is>
          <t>10:05</t>
        </is>
      </c>
      <c r="F218" s="5" t="n">
        <v>1096.67</v>
      </c>
      <c r="G218" s="5" t="n"/>
      <c r="H218" s="5" t="n"/>
      <c r="I218" s="5" t="n"/>
      <c r="J218" s="5" t="n">
        <v>219.33</v>
      </c>
      <c r="K218" s="5" t="n"/>
      <c r="L218" s="5" t="n"/>
      <c r="M218" s="5" t="n"/>
      <c r="N218" s="5" t="n"/>
      <c r="O218" s="5" t="n">
        <v>1316</v>
      </c>
      <c r="P218" s="5" t="n">
        <v>1316</v>
      </c>
      <c r="Q218" s="5" t="n"/>
      <c r="R218" s="5" t="n"/>
    </row>
    <row r="219">
      <c r="A219" s="2" t="inlineStr">
        <is>
          <t>EJ021023.TXT</t>
        </is>
      </c>
      <c r="B219" s="3" t="inlineStr">
        <is>
          <t>001306</t>
        </is>
      </c>
      <c r="C219" s="3" t="inlineStr">
        <is>
          <t>000826</t>
        </is>
      </c>
      <c r="D219" s="4" t="n">
        <v>45183</v>
      </c>
      <c r="E219" s="2" t="inlineStr">
        <is>
          <t>13:01</t>
        </is>
      </c>
      <c r="F219" s="5" t="n">
        <v>548.33</v>
      </c>
      <c r="G219" s="5" t="n"/>
      <c r="H219" s="5" t="n"/>
      <c r="I219" s="5" t="n"/>
      <c r="J219" s="5" t="n">
        <v>109.67</v>
      </c>
      <c r="K219" s="5" t="n"/>
      <c r="L219" s="5" t="n"/>
      <c r="M219" s="5" t="n"/>
      <c r="N219" s="5" t="n"/>
      <c r="O219" s="5" t="n">
        <v>658</v>
      </c>
      <c r="P219" s="5" t="n">
        <v>658</v>
      </c>
      <c r="Q219" s="5" t="n"/>
      <c r="R219" s="5" t="n"/>
    </row>
    <row r="220">
      <c r="A220" s="2" t="inlineStr">
        <is>
          <t>EJ021023.TXT</t>
        </is>
      </c>
      <c r="B220" s="3" t="inlineStr">
        <is>
          <t>001307</t>
        </is>
      </c>
      <c r="C220" s="3" t="inlineStr">
        <is>
          <t>000827</t>
        </is>
      </c>
      <c r="D220" s="4" t="n">
        <v>45183</v>
      </c>
      <c r="E220" s="2" t="inlineStr">
        <is>
          <t>13:02</t>
        </is>
      </c>
      <c r="F220" s="5" t="n">
        <v>1165</v>
      </c>
      <c r="G220" s="5" t="n"/>
      <c r="H220" s="5" t="n"/>
      <c r="I220" s="5" t="n"/>
      <c r="J220" s="5" t="n">
        <v>233</v>
      </c>
      <c r="K220" s="5" t="n"/>
      <c r="L220" s="5" t="n"/>
      <c r="M220" s="5" t="n"/>
      <c r="N220" s="5" t="n"/>
      <c r="O220" s="5" t="n">
        <v>1398</v>
      </c>
      <c r="P220" s="5" t="n">
        <v>1398</v>
      </c>
      <c r="Q220" s="5" t="n"/>
      <c r="R220" s="5" t="n"/>
    </row>
    <row r="221">
      <c r="A221" s="2" t="inlineStr">
        <is>
          <t>EJ021023.TXT</t>
        </is>
      </c>
      <c r="B221" s="3" t="inlineStr">
        <is>
          <t>001308</t>
        </is>
      </c>
      <c r="C221" s="3" t="inlineStr">
        <is>
          <t>000828</t>
        </is>
      </c>
      <c r="D221" s="4" t="n">
        <v>45183</v>
      </c>
      <c r="E221" s="2" t="inlineStr">
        <is>
          <t>14:25</t>
        </is>
      </c>
      <c r="F221" s="5" t="n">
        <v>274.17</v>
      </c>
      <c r="G221" s="5" t="n"/>
      <c r="H221" s="5" t="n"/>
      <c r="I221" s="5" t="n"/>
      <c r="J221" s="5" t="n">
        <v>54.83</v>
      </c>
      <c r="K221" s="5" t="n"/>
      <c r="L221" s="5" t="n"/>
      <c r="M221" s="5" t="n"/>
      <c r="N221" s="5" t="n"/>
      <c r="O221" s="5" t="n">
        <v>329</v>
      </c>
      <c r="P221" s="5" t="n"/>
      <c r="Q221" s="5" t="n">
        <v>329</v>
      </c>
      <c r="R221" s="5" t="n"/>
    </row>
    <row r="222">
      <c r="A222" s="2" t="inlineStr">
        <is>
          <t>EJ021023.TXT</t>
        </is>
      </c>
      <c r="B222" s="3" t="inlineStr">
        <is>
          <t>001310</t>
        </is>
      </c>
      <c r="C222" s="3" t="inlineStr">
        <is>
          <t>000829</t>
        </is>
      </c>
      <c r="D222" s="4" t="n">
        <v>45189</v>
      </c>
      <c r="E222" s="2" t="inlineStr">
        <is>
          <t>09:37</t>
        </is>
      </c>
      <c r="F222" s="5" t="n">
        <v>147.5</v>
      </c>
      <c r="G222" s="5" t="n"/>
      <c r="H222" s="5" t="n"/>
      <c r="I222" s="5" t="n"/>
      <c r="J222" s="5" t="n">
        <v>29.5</v>
      </c>
      <c r="K222" s="5" t="n"/>
      <c r="L222" s="5" t="n"/>
      <c r="M222" s="5" t="n"/>
      <c r="N222" s="5" t="n"/>
      <c r="O222" s="5" t="n">
        <v>177</v>
      </c>
      <c r="P222" s="5" t="n">
        <v>177</v>
      </c>
      <c r="Q222" s="5" t="n"/>
      <c r="R222" s="5" t="n"/>
    </row>
    <row r="223">
      <c r="A223" s="2" t="inlineStr">
        <is>
          <t>EJ021023.TXT</t>
        </is>
      </c>
      <c r="B223" s="3" t="inlineStr">
        <is>
          <t>001311</t>
        </is>
      </c>
      <c r="C223" s="3" t="inlineStr">
        <is>
          <t>000830</t>
        </is>
      </c>
      <c r="D223" s="4" t="n">
        <v>45189</v>
      </c>
      <c r="E223" s="2" t="inlineStr">
        <is>
          <t>12:01</t>
        </is>
      </c>
      <c r="F223" s="5" t="n">
        <v>548.33</v>
      </c>
      <c r="G223" s="5" t="n"/>
      <c r="H223" s="5" t="n"/>
      <c r="I223" s="5" t="n"/>
      <c r="J223" s="5" t="n">
        <v>109.67</v>
      </c>
      <c r="K223" s="5" t="n"/>
      <c r="L223" s="5" t="n"/>
      <c r="M223" s="5" t="n"/>
      <c r="N223" s="5" t="n"/>
      <c r="O223" s="5" t="n">
        <v>658</v>
      </c>
      <c r="P223" s="5" t="n">
        <v>658</v>
      </c>
      <c r="Q223" s="5" t="n"/>
      <c r="R223" s="5" t="n"/>
    </row>
    <row r="224">
      <c r="A224" s="2" t="inlineStr">
        <is>
          <t>EJ021023.TXT</t>
        </is>
      </c>
      <c r="B224" s="3" t="inlineStr">
        <is>
          <t>001312</t>
        </is>
      </c>
      <c r="C224" s="3" t="inlineStr">
        <is>
          <t>000831</t>
        </is>
      </c>
      <c r="D224" s="4" t="n">
        <v>45189</v>
      </c>
      <c r="E224" s="2" t="inlineStr">
        <is>
          <t>16:07</t>
        </is>
      </c>
      <c r="F224" s="5" t="n">
        <v>548.33</v>
      </c>
      <c r="G224" s="5" t="n"/>
      <c r="H224" s="5" t="n"/>
      <c r="I224" s="5" t="n"/>
      <c r="J224" s="5" t="n">
        <v>109.67</v>
      </c>
      <c r="K224" s="5" t="n"/>
      <c r="L224" s="5" t="n"/>
      <c r="M224" s="5" t="n"/>
      <c r="N224" s="5" t="n"/>
      <c r="O224" s="5" t="n">
        <v>658</v>
      </c>
      <c r="P224" s="5" t="n">
        <v>658</v>
      </c>
      <c r="Q224" s="5" t="n"/>
      <c r="R224" s="5" t="n"/>
    </row>
    <row r="225">
      <c r="A225" s="2" t="inlineStr">
        <is>
          <t>EJ021023.TXT</t>
        </is>
      </c>
      <c r="B225" s="3" t="inlineStr">
        <is>
          <t>001316</t>
        </is>
      </c>
      <c r="C225" s="3" t="inlineStr">
        <is>
          <t>000832</t>
        </is>
      </c>
      <c r="D225" s="4" t="n">
        <v>45191</v>
      </c>
      <c r="E225" s="2" t="inlineStr">
        <is>
          <t>16:08</t>
        </is>
      </c>
      <c r="F225" s="5" t="n">
        <v>548.33</v>
      </c>
      <c r="G225" s="5" t="n"/>
      <c r="H225" s="5" t="n"/>
      <c r="I225" s="5" t="n"/>
      <c r="J225" s="5" t="n">
        <v>109.67</v>
      </c>
      <c r="K225" s="5" t="n"/>
      <c r="L225" s="5" t="n"/>
      <c r="M225" s="5" t="n"/>
      <c r="N225" s="5" t="n"/>
      <c r="O225" s="5" t="n">
        <v>658</v>
      </c>
      <c r="P225" s="5" t="n">
        <v>658</v>
      </c>
      <c r="Q225" s="5" t="n"/>
      <c r="R225" s="5" t="n"/>
    </row>
    <row r="226">
      <c r="A226" s="2" t="inlineStr">
        <is>
          <t>EJ021023.TXT</t>
        </is>
      </c>
      <c r="B226" s="3" t="inlineStr">
        <is>
          <t>001319</t>
        </is>
      </c>
      <c r="C226" s="3" t="inlineStr">
        <is>
          <t>000833</t>
        </is>
      </c>
      <c r="D226" s="4" t="n">
        <v>45192</v>
      </c>
      <c r="E226" s="2" t="inlineStr">
        <is>
          <t>14:10</t>
        </is>
      </c>
      <c r="F226" s="5" t="n">
        <v>849.17</v>
      </c>
      <c r="G226" s="5" t="n"/>
      <c r="H226" s="5" t="n"/>
      <c r="I226" s="5" t="n"/>
      <c r="J226" s="5" t="n">
        <v>169.83</v>
      </c>
      <c r="K226" s="5" t="n"/>
      <c r="L226" s="5" t="n"/>
      <c r="M226" s="5" t="n"/>
      <c r="N226" s="5" t="n"/>
      <c r="O226" s="5" t="n">
        <v>1019</v>
      </c>
      <c r="P226" s="5" t="n">
        <v>1019</v>
      </c>
      <c r="Q226" s="5" t="n"/>
      <c r="R226" s="5" t="n"/>
    </row>
    <row r="227">
      <c r="A227" s="2" t="inlineStr">
        <is>
          <t>EJ021023.TXT</t>
        </is>
      </c>
      <c r="B227" s="3" t="inlineStr">
        <is>
          <t>001320</t>
        </is>
      </c>
      <c r="C227" s="3" t="inlineStr">
        <is>
          <t>000834</t>
        </is>
      </c>
      <c r="D227" s="4" t="n">
        <v>45192</v>
      </c>
      <c r="E227" s="2" t="inlineStr">
        <is>
          <t>14:11</t>
        </is>
      </c>
      <c r="F227" s="5" t="n">
        <v>2014.17</v>
      </c>
      <c r="G227" s="5" t="n"/>
      <c r="H227" s="5" t="n"/>
      <c r="I227" s="5" t="n"/>
      <c r="J227" s="5" t="n">
        <v>402.83</v>
      </c>
      <c r="K227" s="5" t="n"/>
      <c r="L227" s="5" t="n"/>
      <c r="M227" s="5" t="n"/>
      <c r="N227" s="5" t="n"/>
      <c r="O227" s="5" t="n">
        <v>2417</v>
      </c>
      <c r="P227" s="5" t="n">
        <v>2417</v>
      </c>
      <c r="Q227" s="5" t="n"/>
      <c r="R227" s="5" t="n"/>
    </row>
    <row r="228">
      <c r="A228" s="2" t="inlineStr">
        <is>
          <t>EJ021023.TXT</t>
        </is>
      </c>
      <c r="B228" s="3" t="inlineStr">
        <is>
          <t>001322</t>
        </is>
      </c>
      <c r="C228" s="3" t="inlineStr">
        <is>
          <t>000835</t>
        </is>
      </c>
      <c r="D228" s="4" t="n">
        <v>45192</v>
      </c>
      <c r="E228" s="2" t="inlineStr">
        <is>
          <t>16:41</t>
        </is>
      </c>
      <c r="F228" s="5" t="n">
        <v>597.5</v>
      </c>
      <c r="G228" s="5" t="n"/>
      <c r="H228" s="5" t="n"/>
      <c r="I228" s="5" t="n"/>
      <c r="J228" s="5" t="n">
        <v>119.5</v>
      </c>
      <c r="K228" s="5" t="n"/>
      <c r="L228" s="5" t="n"/>
      <c r="M228" s="5" t="n"/>
      <c r="N228" s="5" t="n"/>
      <c r="O228" s="5" t="n">
        <v>717</v>
      </c>
      <c r="P228" s="5" t="n">
        <v>717</v>
      </c>
      <c r="Q228" s="5" t="n"/>
      <c r="R228" s="5" t="n"/>
    </row>
    <row r="229">
      <c r="A229" s="2" t="inlineStr">
        <is>
          <t>EJ021023.TXT</t>
        </is>
      </c>
      <c r="B229" s="3" t="inlineStr">
        <is>
          <t>001323</t>
        </is>
      </c>
      <c r="C229" s="3" t="inlineStr">
        <is>
          <t>000836</t>
        </is>
      </c>
      <c r="D229" s="4" t="n">
        <v>45194</v>
      </c>
      <c r="E229" s="2" t="inlineStr">
        <is>
          <t>16:38</t>
        </is>
      </c>
      <c r="F229" s="5" t="n">
        <v>65.83</v>
      </c>
      <c r="G229" s="5" t="n"/>
      <c r="H229" s="5" t="n"/>
      <c r="I229" s="5" t="n"/>
      <c r="J229" s="5" t="n">
        <v>13.17</v>
      </c>
      <c r="K229" s="5" t="n"/>
      <c r="L229" s="5" t="n"/>
      <c r="M229" s="5" t="n"/>
      <c r="N229" s="5" t="n"/>
      <c r="O229" s="5" t="n">
        <v>79</v>
      </c>
      <c r="P229" s="5" t="n">
        <v>79</v>
      </c>
      <c r="Q229" s="5" t="n"/>
      <c r="R229" s="5" t="n"/>
    </row>
    <row r="230">
      <c r="A230" s="2" t="inlineStr">
        <is>
          <t>EJ021023.TXT</t>
        </is>
      </c>
      <c r="B230" s="3" t="inlineStr">
        <is>
          <t>001324</t>
        </is>
      </c>
      <c r="C230" s="3" t="inlineStr">
        <is>
          <t>000837</t>
        </is>
      </c>
      <c r="D230" s="4" t="n">
        <v>45195</v>
      </c>
      <c r="E230" s="2" t="inlineStr">
        <is>
          <t>15:20</t>
        </is>
      </c>
      <c r="F230" s="5" t="n">
        <v>548.33</v>
      </c>
      <c r="G230" s="5" t="n"/>
      <c r="H230" s="5" t="n"/>
      <c r="I230" s="5" t="n"/>
      <c r="J230" s="5" t="n">
        <v>109.67</v>
      </c>
      <c r="K230" s="5" t="n"/>
      <c r="L230" s="5" t="n"/>
      <c r="M230" s="5" t="n"/>
      <c r="N230" s="5" t="n"/>
      <c r="O230" s="5" t="n">
        <v>658</v>
      </c>
      <c r="P230" s="5" t="n">
        <v>658</v>
      </c>
      <c r="Q230" s="5" t="n"/>
      <c r="R230" s="5" t="n"/>
    </row>
    <row r="231">
      <c r="A231" s="2" t="inlineStr">
        <is>
          <t>EJ021023.TXT</t>
        </is>
      </c>
      <c r="B231" s="3" t="inlineStr">
        <is>
          <t>001326</t>
        </is>
      </c>
      <c r="C231" s="3" t="inlineStr">
        <is>
          <t>000838</t>
        </is>
      </c>
      <c r="D231" s="4" t="n">
        <v>45198</v>
      </c>
      <c r="E231" s="2" t="inlineStr">
        <is>
          <t>15:31</t>
        </is>
      </c>
      <c r="F231" s="5" t="n">
        <v>380.67</v>
      </c>
      <c r="G231" s="5" t="n"/>
      <c r="H231" s="5" t="n"/>
      <c r="I231" s="5" t="n"/>
      <c r="J231" s="5" t="n">
        <v>76.13</v>
      </c>
      <c r="K231" s="5" t="n"/>
      <c r="L231" s="5" t="n"/>
      <c r="M231" s="5" t="n"/>
      <c r="N231" s="5" t="n"/>
      <c r="O231" s="5" t="n">
        <v>456.8</v>
      </c>
      <c r="P231" s="5" t="n"/>
      <c r="Q231" s="5" t="n">
        <v>456.8</v>
      </c>
      <c r="R231" s="5" t="n"/>
    </row>
    <row r="232">
      <c r="A232" s="2" t="inlineStr">
        <is>
          <t>EJ021023.TXT</t>
        </is>
      </c>
      <c r="B232" s="3" t="inlineStr">
        <is>
          <t>001327</t>
        </is>
      </c>
      <c r="C232" s="3" t="inlineStr">
        <is>
          <t>000839</t>
        </is>
      </c>
      <c r="D232" s="4" t="n">
        <v>45198</v>
      </c>
      <c r="E232" s="2" t="inlineStr">
        <is>
          <t>16:46</t>
        </is>
      </c>
      <c r="F232" s="5" t="n">
        <v>33.17</v>
      </c>
      <c r="G232" s="5" t="n"/>
      <c r="H232" s="5" t="n"/>
      <c r="I232" s="5" t="n"/>
      <c r="J232" s="5" t="n">
        <v>6.63</v>
      </c>
      <c r="K232" s="5" t="n"/>
      <c r="L232" s="5" t="n"/>
      <c r="M232" s="5" t="n"/>
      <c r="N232" s="5" t="n"/>
      <c r="O232" s="5" t="n">
        <v>39.8</v>
      </c>
      <c r="P232" s="5" t="n">
        <v>39.8</v>
      </c>
      <c r="Q232" s="5" t="n"/>
      <c r="R232" s="5" t="n"/>
    </row>
    <row r="233">
      <c r="A233" s="2" t="inlineStr">
        <is>
          <t>EJ021023.TXT</t>
        </is>
      </c>
      <c r="B233" s="3" t="inlineStr">
        <is>
          <t>001328</t>
        </is>
      </c>
      <c r="C233" s="3" t="inlineStr">
        <is>
          <t>000840</t>
        </is>
      </c>
      <c r="D233" s="4" t="n">
        <v>45199</v>
      </c>
      <c r="E233" s="2" t="inlineStr">
        <is>
          <t>13:47</t>
        </is>
      </c>
      <c r="F233" s="5" t="n">
        <v>548.33</v>
      </c>
      <c r="G233" s="5" t="n"/>
      <c r="H233" s="5" t="n"/>
      <c r="I233" s="5" t="n"/>
      <c r="J233" s="5" t="n">
        <v>109.67</v>
      </c>
      <c r="K233" s="5" t="n"/>
      <c r="L233" s="5" t="n"/>
      <c r="M233" s="5" t="n"/>
      <c r="N233" s="5" t="n"/>
      <c r="O233" s="5" t="n">
        <v>658</v>
      </c>
      <c r="P233" s="5" t="n">
        <v>658</v>
      </c>
      <c r="Q233" s="5" t="n"/>
      <c r="R233" s="5" t="n"/>
    </row>
    <row r="234">
      <c r="A234" s="2" t="inlineStr">
        <is>
          <t>EJ021023.TXT</t>
        </is>
      </c>
      <c r="B234" s="3" t="inlineStr">
        <is>
          <t>001329</t>
        </is>
      </c>
      <c r="C234" s="3" t="inlineStr">
        <is>
          <t>000841</t>
        </is>
      </c>
      <c r="D234" s="4" t="n">
        <v>45199</v>
      </c>
      <c r="E234" s="2" t="inlineStr">
        <is>
          <t>13:47</t>
        </is>
      </c>
      <c r="F234" s="5" t="n">
        <v>274.17</v>
      </c>
      <c r="G234" s="5" t="n"/>
      <c r="H234" s="5" t="n"/>
      <c r="I234" s="5" t="n"/>
      <c r="J234" s="5" t="n">
        <v>54.83</v>
      </c>
      <c r="K234" s="5" t="n"/>
      <c r="L234" s="5" t="n"/>
      <c r="M234" s="5" t="n"/>
      <c r="N234" s="5" t="n"/>
      <c r="O234" s="5" t="n">
        <v>329</v>
      </c>
      <c r="P234" s="5" t="n">
        <v>329</v>
      </c>
      <c r="Q234" s="5" t="n"/>
      <c r="R234" s="5" t="n"/>
    </row>
    <row r="235">
      <c r="A235" s="2" t="inlineStr">
        <is>
          <t>EJ021023.TXT</t>
        </is>
      </c>
      <c r="B235" s="3" t="inlineStr">
        <is>
          <t>001330</t>
        </is>
      </c>
      <c r="C235" s="3" t="inlineStr">
        <is>
          <t>000842</t>
        </is>
      </c>
      <c r="D235" s="4" t="n">
        <v>45199</v>
      </c>
      <c r="E235" s="2" t="inlineStr">
        <is>
          <t>16:09</t>
        </is>
      </c>
      <c r="F235" s="5" t="n">
        <v>274.17</v>
      </c>
      <c r="G235" s="5" t="n"/>
      <c r="H235" s="5" t="n"/>
      <c r="I235" s="5" t="n"/>
      <c r="J235" s="5" t="n">
        <v>54.83</v>
      </c>
      <c r="K235" s="5" t="n"/>
      <c r="L235" s="5" t="n"/>
      <c r="M235" s="5" t="n"/>
      <c r="N235" s="5" t="n"/>
      <c r="O235" s="5" t="n">
        <v>329</v>
      </c>
      <c r="P235" s="5" t="n">
        <v>329</v>
      </c>
      <c r="Q235" s="5" t="n"/>
      <c r="R235" s="5" t="n"/>
    </row>
    <row r="236">
      <c r="A236" s="2" t="inlineStr">
        <is>
          <t>EJ021023.TXT</t>
        </is>
      </c>
      <c r="B236" s="3" t="inlineStr">
        <is>
          <t>001331</t>
        </is>
      </c>
      <c r="C236" s="3" t="inlineStr">
        <is>
          <t>000843</t>
        </is>
      </c>
      <c r="D236" s="4" t="n">
        <v>45201</v>
      </c>
      <c r="E236" s="2" t="inlineStr">
        <is>
          <t>09:01</t>
        </is>
      </c>
      <c r="F236" s="5" t="n">
        <v>329.17</v>
      </c>
      <c r="G236" s="5" t="n"/>
      <c r="H236" s="5" t="n"/>
      <c r="I236" s="5" t="n"/>
      <c r="J236" s="5" t="n">
        <v>65.83</v>
      </c>
      <c r="K236" s="5" t="n"/>
      <c r="L236" s="5" t="n"/>
      <c r="M236" s="5" t="n"/>
      <c r="N236" s="5" t="n"/>
      <c r="O236" s="5" t="n">
        <v>395</v>
      </c>
      <c r="P236" s="5" t="n">
        <v>395</v>
      </c>
      <c r="Q236" s="5" t="n"/>
      <c r="R236" s="5" t="n"/>
    </row>
    <row r="237">
      <c r="A237" s="2" t="inlineStr">
        <is>
          <t>EJ021123.TXT</t>
        </is>
      </c>
      <c r="B237" s="3" t="inlineStr">
        <is>
          <t>001340</t>
        </is>
      </c>
      <c r="C237" s="3" t="inlineStr">
        <is>
          <t>000844</t>
        </is>
      </c>
      <c r="D237" s="4" t="n">
        <v>45202</v>
      </c>
      <c r="E237" s="2" t="inlineStr">
        <is>
          <t>12:25</t>
        </is>
      </c>
      <c r="F237" s="5" t="n">
        <v>548.33</v>
      </c>
      <c r="G237" s="5" t="n"/>
      <c r="H237" s="5" t="n"/>
      <c r="I237" s="5" t="n"/>
      <c r="J237" s="5" t="n">
        <v>109.67</v>
      </c>
      <c r="K237" s="5" t="n"/>
      <c r="L237" s="5" t="n"/>
      <c r="M237" s="5" t="n"/>
      <c r="N237" s="5" t="n"/>
      <c r="O237" s="5" t="n">
        <v>658</v>
      </c>
      <c r="P237" s="5" t="n">
        <v>658</v>
      </c>
      <c r="Q237" s="5" t="n"/>
      <c r="R237" s="5" t="n"/>
    </row>
    <row r="238">
      <c r="A238" s="2" t="inlineStr">
        <is>
          <t>EJ021123.TXT</t>
        </is>
      </c>
      <c r="B238" s="3" t="inlineStr">
        <is>
          <t>001342</t>
        </is>
      </c>
      <c r="C238" s="3" t="inlineStr">
        <is>
          <t>000845</t>
        </is>
      </c>
      <c r="D238" s="4" t="n">
        <v>45202</v>
      </c>
      <c r="E238" s="2" t="inlineStr">
        <is>
          <t>14:17</t>
        </is>
      </c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>
        <v>0</v>
      </c>
      <c r="P238" s="5" t="n"/>
      <c r="Q238" s="5" t="n">
        <v>0</v>
      </c>
      <c r="R238" s="5" t="n"/>
    </row>
    <row r="239">
      <c r="A239" s="2" t="inlineStr">
        <is>
          <t>EJ021123.TXT</t>
        </is>
      </c>
      <c r="B239" s="3" t="inlineStr">
        <is>
          <t>001343</t>
        </is>
      </c>
      <c r="C239" s="3" t="inlineStr">
        <is>
          <t>000846</t>
        </is>
      </c>
      <c r="D239" s="4" t="n">
        <v>45202</v>
      </c>
      <c r="E239" s="2" t="inlineStr">
        <is>
          <t>14:53</t>
        </is>
      </c>
      <c r="F239" s="5" t="n">
        <v>548.33</v>
      </c>
      <c r="G239" s="5" t="n"/>
      <c r="H239" s="5" t="n"/>
      <c r="I239" s="5" t="n"/>
      <c r="J239" s="5" t="n">
        <v>109.67</v>
      </c>
      <c r="K239" s="5" t="n"/>
      <c r="L239" s="5" t="n"/>
      <c r="M239" s="5" t="n"/>
      <c r="N239" s="5" t="n"/>
      <c r="O239" s="5" t="n">
        <v>658</v>
      </c>
      <c r="P239" s="5" t="n">
        <v>658</v>
      </c>
      <c r="Q239" s="5" t="n"/>
      <c r="R239" s="5" t="n"/>
    </row>
    <row r="240">
      <c r="A240" s="2" t="inlineStr">
        <is>
          <t>EJ021123.TXT</t>
        </is>
      </c>
      <c r="B240" s="3" t="inlineStr">
        <is>
          <t>001344</t>
        </is>
      </c>
      <c r="C240" s="3" t="inlineStr">
        <is>
          <t>000847</t>
        </is>
      </c>
      <c r="D240" s="4" t="n">
        <v>45202</v>
      </c>
      <c r="E240" s="2" t="inlineStr">
        <is>
          <t>15:05</t>
        </is>
      </c>
      <c r="F240" s="5" t="n">
        <v>548.33</v>
      </c>
      <c r="G240" s="5" t="n"/>
      <c r="H240" s="5" t="n"/>
      <c r="I240" s="5" t="n"/>
      <c r="J240" s="5" t="n">
        <v>109.67</v>
      </c>
      <c r="K240" s="5" t="n"/>
      <c r="L240" s="5" t="n"/>
      <c r="M240" s="5" t="n"/>
      <c r="N240" s="5" t="n"/>
      <c r="O240" s="5" t="n">
        <v>658</v>
      </c>
      <c r="P240" s="5" t="n">
        <v>658</v>
      </c>
      <c r="Q240" s="5" t="n"/>
      <c r="R240" s="5" t="n"/>
    </row>
    <row r="241">
      <c r="A241" s="2" t="inlineStr">
        <is>
          <t>EJ021123.TXT</t>
        </is>
      </c>
      <c r="B241" s="3" t="inlineStr">
        <is>
          <t>001345</t>
        </is>
      </c>
      <c r="C241" s="3" t="inlineStr">
        <is>
          <t>000848</t>
        </is>
      </c>
      <c r="D241" s="4" t="n">
        <v>45203</v>
      </c>
      <c r="E241" s="2" t="inlineStr">
        <is>
          <t>13:44</t>
        </is>
      </c>
      <c r="F241" s="5" t="n">
        <v>274.17</v>
      </c>
      <c r="G241" s="5" t="n"/>
      <c r="H241" s="5" t="n"/>
      <c r="I241" s="5" t="n"/>
      <c r="J241" s="5" t="n">
        <v>54.83</v>
      </c>
      <c r="K241" s="5" t="n"/>
      <c r="L241" s="5" t="n"/>
      <c r="M241" s="5" t="n"/>
      <c r="N241" s="5" t="n"/>
      <c r="O241" s="5" t="n">
        <v>329</v>
      </c>
      <c r="P241" s="5" t="n"/>
      <c r="Q241" s="5" t="n">
        <v>329</v>
      </c>
      <c r="R241" s="5" t="n"/>
    </row>
    <row r="242">
      <c r="A242" s="2" t="inlineStr">
        <is>
          <t>EJ021123.TXT</t>
        </is>
      </c>
      <c r="B242" s="3" t="inlineStr">
        <is>
          <t>001346</t>
        </is>
      </c>
      <c r="C242" s="3" t="inlineStr">
        <is>
          <t>000849</t>
        </is>
      </c>
      <c r="D242" s="4" t="n">
        <v>45204</v>
      </c>
      <c r="E242" s="2" t="inlineStr">
        <is>
          <t>12:26</t>
        </is>
      </c>
      <c r="F242" s="5" t="n">
        <v>274.17</v>
      </c>
      <c r="G242" s="5" t="n"/>
      <c r="H242" s="5" t="n"/>
      <c r="I242" s="5" t="n"/>
      <c r="J242" s="5" t="n">
        <v>54.83</v>
      </c>
      <c r="K242" s="5" t="n"/>
      <c r="L242" s="5" t="n"/>
      <c r="M242" s="5" t="n"/>
      <c r="N242" s="5" t="n"/>
      <c r="O242" s="5" t="n">
        <v>329</v>
      </c>
      <c r="P242" s="5" t="n"/>
      <c r="Q242" s="5" t="n">
        <v>329</v>
      </c>
      <c r="R242" s="5" t="n"/>
    </row>
    <row r="243">
      <c r="A243" s="2" t="inlineStr">
        <is>
          <t>EJ021123.TXT</t>
        </is>
      </c>
      <c r="B243" s="3" t="inlineStr">
        <is>
          <t>001347</t>
        </is>
      </c>
      <c r="C243" s="3" t="inlineStr">
        <is>
          <t>000850</t>
        </is>
      </c>
      <c r="D243" s="4" t="n">
        <v>45204</v>
      </c>
      <c r="E243" s="2" t="inlineStr">
        <is>
          <t>13:53</t>
        </is>
      </c>
      <c r="F243" s="5" t="n">
        <v>548.33</v>
      </c>
      <c r="G243" s="5" t="n"/>
      <c r="H243" s="5" t="n"/>
      <c r="I243" s="5" t="n"/>
      <c r="J243" s="5" t="n">
        <v>109.67</v>
      </c>
      <c r="K243" s="5" t="n"/>
      <c r="L243" s="5" t="n"/>
      <c r="M243" s="5" t="n"/>
      <c r="N243" s="5" t="n"/>
      <c r="O243" s="5" t="n">
        <v>658</v>
      </c>
      <c r="P243" s="5" t="n">
        <v>658</v>
      </c>
      <c r="Q243" s="5" t="n"/>
      <c r="R243" s="5" t="n"/>
    </row>
    <row r="244">
      <c r="A244" s="2" t="inlineStr">
        <is>
          <t>EJ021123.TXT</t>
        </is>
      </c>
      <c r="B244" s="3" t="inlineStr">
        <is>
          <t>001348</t>
        </is>
      </c>
      <c r="C244" s="3" t="inlineStr">
        <is>
          <t>000851</t>
        </is>
      </c>
      <c r="D244" s="4" t="n">
        <v>45205</v>
      </c>
      <c r="E244" s="2" t="inlineStr">
        <is>
          <t>12:13</t>
        </is>
      </c>
      <c r="F244" s="5" t="n">
        <v>274.17</v>
      </c>
      <c r="G244" s="5" t="n"/>
      <c r="H244" s="5" t="n"/>
      <c r="I244" s="5" t="n"/>
      <c r="J244" s="5" t="n">
        <v>54.83</v>
      </c>
      <c r="K244" s="5" t="n"/>
      <c r="L244" s="5" t="n"/>
      <c r="M244" s="5" t="n"/>
      <c r="N244" s="5" t="n"/>
      <c r="O244" s="5" t="n">
        <v>329</v>
      </c>
      <c r="P244" s="5" t="n">
        <v>329</v>
      </c>
      <c r="Q244" s="5" t="n"/>
      <c r="R244" s="5" t="n"/>
    </row>
    <row r="245">
      <c r="A245" s="2" t="inlineStr">
        <is>
          <t>EJ021123.TXT</t>
        </is>
      </c>
      <c r="B245" s="3" t="inlineStr">
        <is>
          <t>001349</t>
        </is>
      </c>
      <c r="C245" s="3" t="inlineStr">
        <is>
          <t>000852</t>
        </is>
      </c>
      <c r="D245" s="4" t="n">
        <v>45205</v>
      </c>
      <c r="E245" s="2" t="inlineStr">
        <is>
          <t>14:10</t>
        </is>
      </c>
      <c r="F245" s="5" t="n">
        <v>866.67</v>
      </c>
      <c r="G245" s="5" t="n"/>
      <c r="H245" s="5" t="n"/>
      <c r="I245" s="5" t="n"/>
      <c r="J245" s="5" t="n">
        <v>173.33</v>
      </c>
      <c r="K245" s="5" t="n"/>
      <c r="L245" s="5" t="n"/>
      <c r="M245" s="5" t="n"/>
      <c r="N245" s="5" t="n"/>
      <c r="O245" s="5" t="n">
        <v>1040</v>
      </c>
      <c r="P245" s="5" t="n">
        <v>1040</v>
      </c>
      <c r="Q245" s="5" t="n"/>
      <c r="R245" s="5" t="n"/>
    </row>
    <row r="246">
      <c r="A246" s="2" t="inlineStr">
        <is>
          <t>EJ021123.TXT</t>
        </is>
      </c>
      <c r="B246" s="3" t="inlineStr">
        <is>
          <t>001350</t>
        </is>
      </c>
      <c r="C246" s="3" t="inlineStr">
        <is>
          <t>000853</t>
        </is>
      </c>
      <c r="D246" s="4" t="n">
        <v>45205</v>
      </c>
      <c r="E246" s="2" t="inlineStr">
        <is>
          <t>15:09</t>
        </is>
      </c>
      <c r="F246" s="5" t="n">
        <v>1165</v>
      </c>
      <c r="G246" s="5" t="n"/>
      <c r="H246" s="5" t="n"/>
      <c r="I246" s="5" t="n"/>
      <c r="J246" s="5" t="n">
        <v>233</v>
      </c>
      <c r="K246" s="5" t="n"/>
      <c r="L246" s="5" t="n"/>
      <c r="M246" s="5" t="n"/>
      <c r="N246" s="5" t="n"/>
      <c r="O246" s="5" t="n">
        <v>1398</v>
      </c>
      <c r="P246" s="5" t="n">
        <v>1398</v>
      </c>
      <c r="Q246" s="5" t="n"/>
      <c r="R246" s="5" t="n"/>
    </row>
    <row r="247">
      <c r="A247" s="2" t="inlineStr">
        <is>
          <t>EJ021123.TXT</t>
        </is>
      </c>
      <c r="B247" s="3" t="inlineStr">
        <is>
          <t>001351</t>
        </is>
      </c>
      <c r="C247" s="3" t="inlineStr">
        <is>
          <t>000854</t>
        </is>
      </c>
      <c r="D247" s="4" t="n">
        <v>45208</v>
      </c>
      <c r="E247" s="2" t="inlineStr">
        <is>
          <t>12:41</t>
        </is>
      </c>
      <c r="F247" s="5" t="n">
        <v>1096.67</v>
      </c>
      <c r="G247" s="5" t="n"/>
      <c r="H247" s="5" t="n"/>
      <c r="I247" s="5" t="n"/>
      <c r="J247" s="5" t="n">
        <v>219.33</v>
      </c>
      <c r="K247" s="5" t="n"/>
      <c r="L247" s="5" t="n"/>
      <c r="M247" s="5" t="n"/>
      <c r="N247" s="5" t="n"/>
      <c r="O247" s="5" t="n">
        <v>1316</v>
      </c>
      <c r="P247" s="5" t="n">
        <v>1316</v>
      </c>
      <c r="Q247" s="5" t="n"/>
      <c r="R247" s="5" t="n"/>
    </row>
    <row r="248">
      <c r="A248" s="2" t="inlineStr">
        <is>
          <t>EJ021123.TXT</t>
        </is>
      </c>
      <c r="B248" s="3" t="inlineStr">
        <is>
          <t>001352</t>
        </is>
      </c>
      <c r="C248" s="3" t="inlineStr">
        <is>
          <t>000855</t>
        </is>
      </c>
      <c r="D248" s="4" t="n">
        <v>45208</v>
      </c>
      <c r="E248" s="2" t="inlineStr">
        <is>
          <t>14:55</t>
        </is>
      </c>
      <c r="F248" s="5" t="n">
        <v>548.33</v>
      </c>
      <c r="G248" s="5" t="n"/>
      <c r="H248" s="5" t="n"/>
      <c r="I248" s="5" t="n"/>
      <c r="J248" s="5" t="n">
        <v>109.67</v>
      </c>
      <c r="K248" s="5" t="n"/>
      <c r="L248" s="5" t="n"/>
      <c r="M248" s="5" t="n"/>
      <c r="N248" s="5" t="n"/>
      <c r="O248" s="5" t="n">
        <v>658</v>
      </c>
      <c r="P248" s="5" t="n">
        <v>658</v>
      </c>
      <c r="Q248" s="5" t="n"/>
      <c r="R248" s="5" t="n"/>
    </row>
    <row r="249">
      <c r="A249" s="2" t="inlineStr">
        <is>
          <t>EJ021123.TXT</t>
        </is>
      </c>
      <c r="B249" s="3" t="inlineStr">
        <is>
          <t>001355</t>
        </is>
      </c>
      <c r="C249" s="3" t="inlineStr">
        <is>
          <t>000856</t>
        </is>
      </c>
      <c r="D249" s="4" t="n">
        <v>45211</v>
      </c>
      <c r="E249" s="2" t="inlineStr">
        <is>
          <t>15:56</t>
        </is>
      </c>
      <c r="F249" s="5" t="n">
        <v>522.5</v>
      </c>
      <c r="G249" s="5" t="n"/>
      <c r="H249" s="5" t="n"/>
      <c r="I249" s="5" t="n"/>
      <c r="J249" s="5" t="n">
        <v>104.5</v>
      </c>
      <c r="K249" s="5" t="n"/>
      <c r="L249" s="5" t="n"/>
      <c r="M249" s="5" t="n"/>
      <c r="N249" s="5" t="n"/>
      <c r="O249" s="5" t="n">
        <v>627</v>
      </c>
      <c r="P249" s="5" t="n">
        <v>627</v>
      </c>
      <c r="Q249" s="5" t="n"/>
      <c r="R249" s="5" t="n"/>
    </row>
    <row r="250">
      <c r="A250" s="2" t="inlineStr">
        <is>
          <t>EJ021123.TXT</t>
        </is>
      </c>
      <c r="B250" s="3" t="inlineStr">
        <is>
          <t>001356</t>
        </is>
      </c>
      <c r="C250" s="3" t="inlineStr">
        <is>
          <t>000857</t>
        </is>
      </c>
      <c r="D250" s="4" t="n">
        <v>45212</v>
      </c>
      <c r="E250" s="2" t="inlineStr">
        <is>
          <t>12:23</t>
        </is>
      </c>
      <c r="F250" s="5" t="n">
        <v>274.17</v>
      </c>
      <c r="G250" s="5" t="n"/>
      <c r="H250" s="5" t="n"/>
      <c r="I250" s="5" t="n"/>
      <c r="J250" s="5" t="n">
        <v>54.83</v>
      </c>
      <c r="K250" s="5" t="n"/>
      <c r="L250" s="5" t="n"/>
      <c r="M250" s="5" t="n"/>
      <c r="N250" s="5" t="n"/>
      <c r="O250" s="5" t="n">
        <v>329</v>
      </c>
      <c r="P250" s="5" t="n">
        <v>329</v>
      </c>
      <c r="Q250" s="5" t="n"/>
      <c r="R250" s="5" t="n"/>
    </row>
    <row r="251">
      <c r="A251" s="2" t="inlineStr">
        <is>
          <t>EJ021123.TXT</t>
        </is>
      </c>
      <c r="B251" s="3" t="inlineStr">
        <is>
          <t>001357</t>
        </is>
      </c>
      <c r="C251" s="3" t="inlineStr">
        <is>
          <t>000858</t>
        </is>
      </c>
      <c r="D251" s="4" t="n">
        <v>45213</v>
      </c>
      <c r="E251" s="2" t="inlineStr">
        <is>
          <t>14:43</t>
        </is>
      </c>
      <c r="F251" s="5" t="n">
        <v>548.33</v>
      </c>
      <c r="G251" s="5" t="n"/>
      <c r="H251" s="5" t="n"/>
      <c r="I251" s="5" t="n"/>
      <c r="J251" s="5" t="n">
        <v>109.67</v>
      </c>
      <c r="K251" s="5" t="n"/>
      <c r="L251" s="5" t="n"/>
      <c r="M251" s="5" t="n"/>
      <c r="N251" s="5" t="n"/>
      <c r="O251" s="5" t="n">
        <v>658</v>
      </c>
      <c r="P251" s="5" t="n">
        <v>658</v>
      </c>
      <c r="Q251" s="5" t="n"/>
      <c r="R251" s="5" t="n"/>
    </row>
    <row r="252">
      <c r="A252" s="2" t="inlineStr">
        <is>
          <t>EJ021123.TXT</t>
        </is>
      </c>
      <c r="B252" s="3" t="inlineStr">
        <is>
          <t>001358</t>
        </is>
      </c>
      <c r="C252" s="3" t="inlineStr">
        <is>
          <t>000859</t>
        </is>
      </c>
      <c r="D252" s="4" t="n">
        <v>45215</v>
      </c>
      <c r="E252" s="2" t="inlineStr">
        <is>
          <t>16:08</t>
        </is>
      </c>
      <c r="F252" s="5" t="n">
        <v>548.33</v>
      </c>
      <c r="G252" s="5" t="n"/>
      <c r="H252" s="5" t="n"/>
      <c r="I252" s="5" t="n"/>
      <c r="J252" s="5" t="n">
        <v>109.67</v>
      </c>
      <c r="K252" s="5" t="n"/>
      <c r="L252" s="5" t="n"/>
      <c r="M252" s="5" t="n"/>
      <c r="N252" s="5" t="n"/>
      <c r="O252" s="5" t="n">
        <v>658</v>
      </c>
      <c r="P252" s="5" t="n">
        <v>658</v>
      </c>
      <c r="Q252" s="5" t="n"/>
      <c r="R252" s="5" t="n"/>
    </row>
    <row r="253">
      <c r="A253" s="2" t="inlineStr">
        <is>
          <t>EJ021123.TXT</t>
        </is>
      </c>
      <c r="B253" s="3" t="inlineStr">
        <is>
          <t>001359</t>
        </is>
      </c>
      <c r="C253" s="3" t="inlineStr">
        <is>
          <t>000860</t>
        </is>
      </c>
      <c r="D253" s="4" t="n">
        <v>45216</v>
      </c>
      <c r="E253" s="2" t="inlineStr">
        <is>
          <t>11:15</t>
        </is>
      </c>
      <c r="F253" s="5" t="n">
        <v>3241.67</v>
      </c>
      <c r="G253" s="5" t="n"/>
      <c r="H253" s="5" t="n"/>
      <c r="I253" s="5" t="n"/>
      <c r="J253" s="5" t="n">
        <v>648.33</v>
      </c>
      <c r="K253" s="5" t="n"/>
      <c r="L253" s="5" t="n"/>
      <c r="M253" s="5" t="n"/>
      <c r="N253" s="5" t="n"/>
      <c r="O253" s="5" t="n">
        <v>3890</v>
      </c>
      <c r="P253" s="5" t="n">
        <v>3890</v>
      </c>
      <c r="Q253" s="5" t="n"/>
      <c r="R253" s="5" t="n"/>
    </row>
    <row r="254">
      <c r="A254" s="2" t="inlineStr">
        <is>
          <t>EJ021123.TXT</t>
        </is>
      </c>
      <c r="B254" s="3" t="inlineStr">
        <is>
          <t>001360</t>
        </is>
      </c>
      <c r="C254" s="3" t="inlineStr">
        <is>
          <t>000861</t>
        </is>
      </c>
      <c r="D254" s="4" t="n">
        <v>45217</v>
      </c>
      <c r="E254" s="2" t="inlineStr">
        <is>
          <t>16:43</t>
        </is>
      </c>
      <c r="F254" s="5" t="n">
        <v>266.67</v>
      </c>
      <c r="G254" s="5" t="n"/>
      <c r="H254" s="5" t="n"/>
      <c r="I254" s="5" t="n"/>
      <c r="J254" s="5" t="n">
        <v>53.33</v>
      </c>
      <c r="K254" s="5" t="n"/>
      <c r="L254" s="5" t="n"/>
      <c r="M254" s="5" t="n"/>
      <c r="N254" s="5" t="n"/>
      <c r="O254" s="5" t="n">
        <v>320</v>
      </c>
      <c r="P254" s="5" t="n"/>
      <c r="Q254" s="5" t="n">
        <v>320</v>
      </c>
      <c r="R254" s="5" t="n"/>
    </row>
    <row r="255">
      <c r="A255" s="2" t="inlineStr">
        <is>
          <t>EJ021123.TXT</t>
        </is>
      </c>
      <c r="B255" s="3" t="inlineStr">
        <is>
          <t>001361</t>
        </is>
      </c>
      <c r="C255" s="3" t="inlineStr">
        <is>
          <t>000862</t>
        </is>
      </c>
      <c r="D255" s="4" t="n">
        <v>45218</v>
      </c>
      <c r="E255" s="2" t="inlineStr">
        <is>
          <t>12:41</t>
        </is>
      </c>
      <c r="F255" s="5" t="n">
        <v>225</v>
      </c>
      <c r="G255" s="5" t="n"/>
      <c r="H255" s="5" t="n"/>
      <c r="I255" s="5" t="n"/>
      <c r="J255" s="5" t="n">
        <v>45</v>
      </c>
      <c r="K255" s="5" t="n"/>
      <c r="L255" s="5" t="n"/>
      <c r="M255" s="5" t="n"/>
      <c r="N255" s="5" t="n"/>
      <c r="O255" s="5" t="n">
        <v>270</v>
      </c>
      <c r="P255" s="5" t="n"/>
      <c r="Q255" s="5" t="n">
        <v>270</v>
      </c>
      <c r="R255" s="5" t="n"/>
    </row>
    <row r="256">
      <c r="A256" s="2" t="inlineStr">
        <is>
          <t>EJ021123.TXT</t>
        </is>
      </c>
      <c r="B256" s="3" t="inlineStr">
        <is>
          <t>001362</t>
        </is>
      </c>
      <c r="C256" s="3" t="inlineStr">
        <is>
          <t>000863</t>
        </is>
      </c>
      <c r="D256" s="4" t="n">
        <v>45218</v>
      </c>
      <c r="E256" s="2" t="inlineStr">
        <is>
          <t>16:53</t>
        </is>
      </c>
      <c r="F256" s="5" t="n">
        <v>274.17</v>
      </c>
      <c r="G256" s="5" t="n"/>
      <c r="H256" s="5" t="n"/>
      <c r="I256" s="5" t="n"/>
      <c r="J256" s="5" t="n">
        <v>54.83</v>
      </c>
      <c r="K256" s="5" t="n"/>
      <c r="L256" s="5" t="n"/>
      <c r="M256" s="5" t="n"/>
      <c r="N256" s="5" t="n"/>
      <c r="O256" s="5" t="n">
        <v>329</v>
      </c>
      <c r="P256" s="5" t="n">
        <v>329</v>
      </c>
      <c r="Q256" s="5" t="n"/>
      <c r="R256" s="5" t="n"/>
    </row>
    <row r="257">
      <c r="A257" s="2" t="inlineStr">
        <is>
          <t>EJ021123.TXT</t>
        </is>
      </c>
      <c r="B257" s="3" t="inlineStr">
        <is>
          <t>001363</t>
        </is>
      </c>
      <c r="C257" s="3" t="inlineStr">
        <is>
          <t>000864</t>
        </is>
      </c>
      <c r="D257" s="4" t="n">
        <v>45220</v>
      </c>
      <c r="E257" s="2" t="inlineStr">
        <is>
          <t>13:40</t>
        </is>
      </c>
      <c r="F257" s="5" t="n">
        <v>672.5</v>
      </c>
      <c r="G257" s="5" t="n"/>
      <c r="H257" s="5" t="n"/>
      <c r="I257" s="5" t="n"/>
      <c r="J257" s="5" t="n">
        <v>134.5</v>
      </c>
      <c r="K257" s="5" t="n"/>
      <c r="L257" s="5" t="n"/>
      <c r="M257" s="5" t="n"/>
      <c r="N257" s="5" t="n"/>
      <c r="O257" s="5" t="n">
        <v>807</v>
      </c>
      <c r="P257" s="5" t="n"/>
      <c r="Q257" s="5" t="n">
        <v>807</v>
      </c>
      <c r="R257" s="5" t="n"/>
    </row>
    <row r="258">
      <c r="A258" s="2" t="inlineStr">
        <is>
          <t>EJ021123.TXT</t>
        </is>
      </c>
      <c r="B258" s="3" t="inlineStr">
        <is>
          <t>001366</t>
        </is>
      </c>
      <c r="C258" s="3" t="inlineStr">
        <is>
          <t>000865</t>
        </is>
      </c>
      <c r="D258" s="4" t="n">
        <v>45222</v>
      </c>
      <c r="E258" s="2" t="inlineStr">
        <is>
          <t>12:31</t>
        </is>
      </c>
      <c r="F258" s="5" t="n">
        <v>274.17</v>
      </c>
      <c r="G258" s="5" t="n"/>
      <c r="H258" s="5" t="n"/>
      <c r="I258" s="5" t="n"/>
      <c r="J258" s="5" t="n">
        <v>54.83</v>
      </c>
      <c r="K258" s="5" t="n"/>
      <c r="L258" s="5" t="n"/>
      <c r="M258" s="5" t="n"/>
      <c r="N258" s="5" t="n"/>
      <c r="O258" s="5" t="n">
        <v>329</v>
      </c>
      <c r="P258" s="5" t="n"/>
      <c r="Q258" s="5" t="n">
        <v>329</v>
      </c>
      <c r="R258" s="5" t="n"/>
    </row>
    <row r="259">
      <c r="A259" s="2" t="inlineStr">
        <is>
          <t>EJ021123.TXT</t>
        </is>
      </c>
      <c r="B259" s="3" t="inlineStr">
        <is>
          <t>001369</t>
        </is>
      </c>
      <c r="C259" s="3" t="inlineStr">
        <is>
          <t>000866</t>
        </is>
      </c>
      <c r="D259" s="4" t="n">
        <v>45223</v>
      </c>
      <c r="E259" s="2" t="inlineStr">
        <is>
          <t>12:41</t>
        </is>
      </c>
      <c r="F259" s="5" t="n">
        <v>465</v>
      </c>
      <c r="G259" s="5" t="n"/>
      <c r="H259" s="5" t="n"/>
      <c r="I259" s="5" t="n"/>
      <c r="J259" s="5" t="n">
        <v>93</v>
      </c>
      <c r="K259" s="5" t="n"/>
      <c r="L259" s="5" t="n"/>
      <c r="M259" s="5" t="n"/>
      <c r="N259" s="5" t="n"/>
      <c r="O259" s="5" t="n">
        <v>558</v>
      </c>
      <c r="P259" s="5" t="n"/>
      <c r="Q259" s="5" t="n">
        <v>558</v>
      </c>
      <c r="R259" s="5" t="n"/>
    </row>
    <row r="260">
      <c r="A260" s="2" t="inlineStr">
        <is>
          <t>EJ021123.TXT</t>
        </is>
      </c>
      <c r="B260" s="3" t="inlineStr">
        <is>
          <t>001370</t>
        </is>
      </c>
      <c r="C260" s="3" t="inlineStr">
        <is>
          <t>000867</t>
        </is>
      </c>
      <c r="D260" s="4" t="n">
        <v>45224</v>
      </c>
      <c r="E260" s="2" t="inlineStr">
        <is>
          <t>14:51</t>
        </is>
      </c>
      <c r="F260" s="5" t="n">
        <v>2766.67</v>
      </c>
      <c r="G260" s="5" t="n"/>
      <c r="H260" s="5" t="n"/>
      <c r="I260" s="5" t="n"/>
      <c r="J260" s="5" t="n">
        <v>553.33</v>
      </c>
      <c r="K260" s="5" t="n"/>
      <c r="L260" s="5" t="n"/>
      <c r="M260" s="5" t="n"/>
      <c r="N260" s="5" t="n"/>
      <c r="O260" s="5" t="n">
        <v>3320</v>
      </c>
      <c r="P260" s="5" t="n">
        <v>3320</v>
      </c>
      <c r="Q260" s="5" t="n"/>
      <c r="R260" s="5" t="n"/>
    </row>
    <row r="261">
      <c r="A261" s="2" t="inlineStr">
        <is>
          <t>EJ021123.TXT</t>
        </is>
      </c>
      <c r="B261" s="3" t="inlineStr">
        <is>
          <t>001371</t>
        </is>
      </c>
      <c r="C261" s="3" t="inlineStr">
        <is>
          <t>000868</t>
        </is>
      </c>
      <c r="D261" s="4" t="n">
        <v>45224</v>
      </c>
      <c r="E261" s="2" t="inlineStr">
        <is>
          <t>16:43</t>
        </is>
      </c>
      <c r="F261" s="5" t="n">
        <v>548.33</v>
      </c>
      <c r="G261" s="5" t="n"/>
      <c r="H261" s="5" t="n"/>
      <c r="I261" s="5" t="n"/>
      <c r="J261" s="5" t="n">
        <v>109.67</v>
      </c>
      <c r="K261" s="5" t="n"/>
      <c r="L261" s="5" t="n"/>
      <c r="M261" s="5" t="n"/>
      <c r="N261" s="5" t="n"/>
      <c r="O261" s="5" t="n">
        <v>658</v>
      </c>
      <c r="P261" s="5" t="n">
        <v>658</v>
      </c>
      <c r="Q261" s="5" t="n"/>
      <c r="R261" s="5" t="n"/>
    </row>
    <row r="262">
      <c r="A262" s="2" t="inlineStr">
        <is>
          <t>EJ021123.TXT</t>
        </is>
      </c>
      <c r="B262" s="3" t="inlineStr">
        <is>
          <t>001375</t>
        </is>
      </c>
      <c r="C262" s="3" t="inlineStr">
        <is>
          <t>000869</t>
        </is>
      </c>
      <c r="D262" s="4" t="n">
        <v>45225</v>
      </c>
      <c r="E262" s="2" t="inlineStr">
        <is>
          <t>13:00</t>
        </is>
      </c>
      <c r="F262" s="5" t="n">
        <v>533.33</v>
      </c>
      <c r="G262" s="5" t="n"/>
      <c r="H262" s="5" t="n"/>
      <c r="I262" s="5" t="n"/>
      <c r="J262" s="5" t="n">
        <v>106.67</v>
      </c>
      <c r="K262" s="5" t="n"/>
      <c r="L262" s="5" t="n"/>
      <c r="M262" s="5" t="n"/>
      <c r="N262" s="5" t="n"/>
      <c r="O262" s="5" t="n">
        <v>640</v>
      </c>
      <c r="P262" s="5" t="n">
        <v>640</v>
      </c>
      <c r="Q262" s="5" t="n"/>
      <c r="R262" s="5" t="n"/>
    </row>
    <row r="263">
      <c r="A263" s="2" t="inlineStr">
        <is>
          <t>EJ021123.TXT</t>
        </is>
      </c>
      <c r="B263" s="3" t="inlineStr">
        <is>
          <t>001376</t>
        </is>
      </c>
      <c r="C263" s="3" t="inlineStr">
        <is>
          <t>000870</t>
        </is>
      </c>
      <c r="D263" s="4" t="n">
        <v>45225</v>
      </c>
      <c r="E263" s="2" t="inlineStr">
        <is>
          <t>15:20</t>
        </is>
      </c>
      <c r="F263" s="5" t="n">
        <v>548.33</v>
      </c>
      <c r="G263" s="5" t="n"/>
      <c r="H263" s="5" t="n"/>
      <c r="I263" s="5" t="n"/>
      <c r="J263" s="5" t="n">
        <v>109.67</v>
      </c>
      <c r="K263" s="5" t="n"/>
      <c r="L263" s="5" t="n"/>
      <c r="M263" s="5" t="n"/>
      <c r="N263" s="5" t="n"/>
      <c r="O263" s="5" t="n">
        <v>658</v>
      </c>
      <c r="P263" s="5" t="n">
        <v>658</v>
      </c>
      <c r="Q263" s="5" t="n"/>
      <c r="R263" s="5" t="n"/>
    </row>
    <row r="264">
      <c r="A264" s="2" t="inlineStr">
        <is>
          <t>EJ021123.TXT</t>
        </is>
      </c>
      <c r="B264" s="3" t="inlineStr">
        <is>
          <t>001377</t>
        </is>
      </c>
      <c r="C264" s="3" t="inlineStr">
        <is>
          <t>000871</t>
        </is>
      </c>
      <c r="D264" s="4" t="n">
        <v>45227</v>
      </c>
      <c r="E264" s="2" t="inlineStr">
        <is>
          <t>15:47</t>
        </is>
      </c>
      <c r="F264" s="5" t="n">
        <v>199.17</v>
      </c>
      <c r="G264" s="5" t="n"/>
      <c r="H264" s="5" t="n"/>
      <c r="I264" s="5" t="n"/>
      <c r="J264" s="5" t="n">
        <v>39.83</v>
      </c>
      <c r="K264" s="5" t="n"/>
      <c r="L264" s="5" t="n"/>
      <c r="M264" s="5" t="n"/>
      <c r="N264" s="5" t="n"/>
      <c r="O264" s="5" t="n">
        <v>239</v>
      </c>
      <c r="P264" s="5" t="n">
        <v>239</v>
      </c>
      <c r="Q264" s="5" t="n"/>
      <c r="R264" s="5" t="n"/>
    </row>
    <row r="265">
      <c r="A265" s="2" t="inlineStr">
        <is>
          <t>EJ061223.TXT</t>
        </is>
      </c>
      <c r="B265" s="3" t="inlineStr">
        <is>
          <t>001383</t>
        </is>
      </c>
      <c r="C265" s="3" t="inlineStr">
        <is>
          <t>000872</t>
        </is>
      </c>
      <c r="D265" s="4" t="n">
        <v>45232</v>
      </c>
      <c r="E265" s="2" t="inlineStr">
        <is>
          <t>16:46</t>
        </is>
      </c>
      <c r="F265" s="5" t="n">
        <v>533.33</v>
      </c>
      <c r="G265" s="5" t="n"/>
      <c r="H265" s="5" t="n"/>
      <c r="I265" s="5" t="n"/>
      <c r="J265" s="5" t="n">
        <v>106.67</v>
      </c>
      <c r="K265" s="5" t="n"/>
      <c r="L265" s="5" t="n"/>
      <c r="M265" s="5" t="n"/>
      <c r="N265" s="5" t="n"/>
      <c r="O265" s="5" t="n">
        <v>640</v>
      </c>
      <c r="P265" s="5" t="n">
        <v>640</v>
      </c>
      <c r="Q265" s="5" t="n"/>
      <c r="R265" s="5" t="n"/>
    </row>
    <row r="266">
      <c r="A266" s="2" t="inlineStr">
        <is>
          <t>EJ061223.TXT</t>
        </is>
      </c>
      <c r="B266" s="3" t="inlineStr">
        <is>
          <t>001384</t>
        </is>
      </c>
      <c r="C266" s="3" t="inlineStr">
        <is>
          <t>000873</t>
        </is>
      </c>
      <c r="D266" s="4" t="n">
        <v>45236</v>
      </c>
      <c r="E266" s="2" t="inlineStr">
        <is>
          <t>13:11</t>
        </is>
      </c>
      <c r="F266" s="5" t="n">
        <v>658.33</v>
      </c>
      <c r="G266" s="5" t="n"/>
      <c r="H266" s="5" t="n"/>
      <c r="I266" s="5" t="n"/>
      <c r="J266" s="5" t="n">
        <v>131.67</v>
      </c>
      <c r="K266" s="5" t="n"/>
      <c r="L266" s="5" t="n"/>
      <c r="M266" s="5" t="n"/>
      <c r="N266" s="5" t="n"/>
      <c r="O266" s="5" t="n">
        <v>790</v>
      </c>
      <c r="P266" s="5" t="n">
        <v>790</v>
      </c>
      <c r="Q266" s="5" t="n"/>
      <c r="R266" s="5" t="n"/>
    </row>
    <row r="267">
      <c r="A267" s="2" t="inlineStr">
        <is>
          <t>EJ061223.TXT</t>
        </is>
      </c>
      <c r="B267" s="3" t="inlineStr">
        <is>
          <t>001385</t>
        </is>
      </c>
      <c r="C267" s="3" t="inlineStr">
        <is>
          <t>000874</t>
        </is>
      </c>
      <c r="D267" s="4" t="n">
        <v>45236</v>
      </c>
      <c r="E267" s="2" t="inlineStr">
        <is>
          <t>13:29</t>
        </is>
      </c>
      <c r="F267" s="5" t="n">
        <v>54.17</v>
      </c>
      <c r="G267" s="5" t="n"/>
      <c r="H267" s="5" t="n"/>
      <c r="I267" s="5" t="n"/>
      <c r="J267" s="5" t="n">
        <v>10.83</v>
      </c>
      <c r="K267" s="5" t="n"/>
      <c r="L267" s="5" t="n"/>
      <c r="M267" s="5" t="n"/>
      <c r="N267" s="5" t="n"/>
      <c r="O267" s="5" t="n">
        <v>65</v>
      </c>
      <c r="P267" s="5" t="n">
        <v>65</v>
      </c>
      <c r="Q267" s="5" t="n"/>
      <c r="R267" s="5" t="n"/>
    </row>
    <row r="268">
      <c r="A268" s="2" t="inlineStr">
        <is>
          <t>EJ061223.TXT</t>
        </is>
      </c>
      <c r="B268" s="3" t="inlineStr">
        <is>
          <t>001386</t>
        </is>
      </c>
      <c r="C268" s="3" t="inlineStr">
        <is>
          <t>000875</t>
        </is>
      </c>
      <c r="D268" s="4" t="n">
        <v>45237</v>
      </c>
      <c r="E268" s="2" t="inlineStr">
        <is>
          <t>11:11</t>
        </is>
      </c>
      <c r="F268" s="5" t="n">
        <v>548.33</v>
      </c>
      <c r="G268" s="5" t="n"/>
      <c r="H268" s="5" t="n"/>
      <c r="I268" s="5" t="n"/>
      <c r="J268" s="5" t="n">
        <v>109.67</v>
      </c>
      <c r="K268" s="5" t="n"/>
      <c r="L268" s="5" t="n"/>
      <c r="M268" s="5" t="n"/>
      <c r="N268" s="5" t="n"/>
      <c r="O268" s="5" t="n">
        <v>658</v>
      </c>
      <c r="P268" s="5" t="n">
        <v>128</v>
      </c>
      <c r="Q268" s="5" t="n">
        <v>530</v>
      </c>
      <c r="R268" s="5" t="n"/>
    </row>
    <row r="269">
      <c r="A269" s="2" t="inlineStr">
        <is>
          <t>EJ061223.TXT</t>
        </is>
      </c>
      <c r="B269" s="3" t="inlineStr">
        <is>
          <t>001387</t>
        </is>
      </c>
      <c r="C269" s="3" t="inlineStr">
        <is>
          <t>000876</t>
        </is>
      </c>
      <c r="D269" s="4" t="n">
        <v>45237</v>
      </c>
      <c r="E269" s="2" t="inlineStr">
        <is>
          <t>11:56</t>
        </is>
      </c>
      <c r="F269" s="5" t="n">
        <v>165</v>
      </c>
      <c r="G269" s="5" t="n"/>
      <c r="H269" s="5" t="n"/>
      <c r="I269" s="5" t="n"/>
      <c r="J269" s="5" t="n">
        <v>33</v>
      </c>
      <c r="K269" s="5" t="n"/>
      <c r="L269" s="5" t="n"/>
      <c r="M269" s="5" t="n"/>
      <c r="N269" s="5" t="n"/>
      <c r="O269" s="5" t="n">
        <v>198</v>
      </c>
      <c r="P269" s="5" t="n"/>
      <c r="Q269" s="5" t="n">
        <v>198</v>
      </c>
      <c r="R269" s="5" t="n"/>
    </row>
    <row r="270">
      <c r="A270" s="2" t="inlineStr">
        <is>
          <t>EJ061223.TXT</t>
        </is>
      </c>
      <c r="B270" s="3" t="inlineStr">
        <is>
          <t>001393</t>
        </is>
      </c>
      <c r="C270" s="3" t="inlineStr">
        <is>
          <t>000877</t>
        </is>
      </c>
      <c r="D270" s="4" t="n">
        <v>45240</v>
      </c>
      <c r="E270" s="2" t="inlineStr">
        <is>
          <t>15:31</t>
        </is>
      </c>
      <c r="F270" s="5" t="n">
        <v>688.29</v>
      </c>
      <c r="G270" s="5" t="n"/>
      <c r="H270" s="5" t="n"/>
      <c r="I270" s="5" t="n"/>
      <c r="J270" s="5" t="n">
        <v>137.66</v>
      </c>
      <c r="K270" s="5" t="n"/>
      <c r="L270" s="5" t="n"/>
      <c r="M270" s="5" t="n"/>
      <c r="N270" s="5" t="n"/>
      <c r="O270" s="5" t="n">
        <v>825.95</v>
      </c>
      <c r="P270" s="5" t="n"/>
      <c r="Q270" s="5" t="n">
        <v>825.95</v>
      </c>
      <c r="R270" s="5" t="n"/>
    </row>
    <row r="271">
      <c r="A271" s="2" t="inlineStr">
        <is>
          <t>EJ061223.TXT</t>
        </is>
      </c>
      <c r="B271" s="3" t="inlineStr">
        <is>
          <t>001394</t>
        </is>
      </c>
      <c r="C271" s="3" t="inlineStr">
        <is>
          <t>000878</t>
        </is>
      </c>
      <c r="D271" s="4" t="n">
        <v>45240</v>
      </c>
      <c r="E271" s="2" t="inlineStr">
        <is>
          <t>15:31</t>
        </is>
      </c>
      <c r="F271" s="5" t="n">
        <v>1179.17</v>
      </c>
      <c r="G271" s="5" t="n"/>
      <c r="H271" s="5" t="n"/>
      <c r="I271" s="5" t="n"/>
      <c r="J271" s="5" t="n">
        <v>235.83</v>
      </c>
      <c r="K271" s="5" t="n"/>
      <c r="L271" s="5" t="n"/>
      <c r="M271" s="5" t="n"/>
      <c r="N271" s="5" t="n"/>
      <c r="O271" s="5" t="n">
        <v>1415</v>
      </c>
      <c r="P271" s="5" t="n"/>
      <c r="Q271" s="5" t="n">
        <v>1415</v>
      </c>
      <c r="R271" s="5" t="n"/>
    </row>
    <row r="272">
      <c r="A272" s="2" t="inlineStr">
        <is>
          <t>EJ061223.TXT</t>
        </is>
      </c>
      <c r="B272" s="3" t="inlineStr">
        <is>
          <t>001395</t>
        </is>
      </c>
      <c r="C272" s="3" t="inlineStr">
        <is>
          <t>000879</t>
        </is>
      </c>
      <c r="D272" s="4" t="n">
        <v>45240</v>
      </c>
      <c r="E272" s="2" t="inlineStr">
        <is>
          <t>15:32</t>
        </is>
      </c>
      <c r="F272" s="5" t="n">
        <v>1179.17</v>
      </c>
      <c r="G272" s="5" t="n"/>
      <c r="H272" s="5" t="n"/>
      <c r="I272" s="5" t="n"/>
      <c r="J272" s="5" t="n">
        <v>235.83</v>
      </c>
      <c r="K272" s="5" t="n"/>
      <c r="L272" s="5" t="n"/>
      <c r="M272" s="5" t="n"/>
      <c r="N272" s="5" t="n"/>
      <c r="O272" s="5" t="n">
        <v>1415</v>
      </c>
      <c r="P272" s="5" t="n"/>
      <c r="Q272" s="5" t="n">
        <v>1415</v>
      </c>
      <c r="R272" s="5" t="n"/>
    </row>
    <row r="273">
      <c r="A273" s="2" t="inlineStr">
        <is>
          <t>EJ061223.TXT</t>
        </is>
      </c>
      <c r="B273" s="3" t="inlineStr">
        <is>
          <t>001396</t>
        </is>
      </c>
      <c r="C273" s="3" t="inlineStr">
        <is>
          <t>000880</t>
        </is>
      </c>
      <c r="D273" s="4" t="n">
        <v>45240</v>
      </c>
      <c r="E273" s="2" t="inlineStr">
        <is>
          <t>15:32</t>
        </is>
      </c>
      <c r="F273" s="5" t="n">
        <v>1179.17</v>
      </c>
      <c r="G273" s="5" t="n"/>
      <c r="H273" s="5" t="n"/>
      <c r="I273" s="5" t="n"/>
      <c r="J273" s="5" t="n">
        <v>235.83</v>
      </c>
      <c r="K273" s="5" t="n"/>
      <c r="L273" s="5" t="n"/>
      <c r="M273" s="5" t="n"/>
      <c r="N273" s="5" t="n"/>
      <c r="O273" s="5" t="n">
        <v>1415</v>
      </c>
      <c r="P273" s="5" t="n"/>
      <c r="Q273" s="5" t="n">
        <v>1415</v>
      </c>
      <c r="R273" s="5" t="n"/>
    </row>
    <row r="274">
      <c r="A274" s="2" t="inlineStr">
        <is>
          <t>EJ061223.TXT</t>
        </is>
      </c>
      <c r="B274" s="3" t="inlineStr">
        <is>
          <t>001397</t>
        </is>
      </c>
      <c r="C274" s="3" t="inlineStr">
        <is>
          <t>000881</t>
        </is>
      </c>
      <c r="D274" s="4" t="n">
        <v>45240</v>
      </c>
      <c r="E274" s="2" t="inlineStr">
        <is>
          <t>15:33</t>
        </is>
      </c>
      <c r="F274" s="5" t="n">
        <v>657.5</v>
      </c>
      <c r="G274" s="5" t="n"/>
      <c r="H274" s="5" t="n"/>
      <c r="I274" s="5" t="n"/>
      <c r="J274" s="5" t="n">
        <v>131.5</v>
      </c>
      <c r="K274" s="5" t="n"/>
      <c r="L274" s="5" t="n"/>
      <c r="M274" s="5" t="n"/>
      <c r="N274" s="5" t="n"/>
      <c r="O274" s="5" t="n">
        <v>789</v>
      </c>
      <c r="P274" s="5" t="n"/>
      <c r="Q274" s="5" t="n">
        <v>789</v>
      </c>
      <c r="R274" s="5" t="n"/>
    </row>
    <row r="275">
      <c r="A275" s="2" t="inlineStr">
        <is>
          <t>EJ061223.TXT</t>
        </is>
      </c>
      <c r="B275" s="3" t="inlineStr">
        <is>
          <t>001398</t>
        </is>
      </c>
      <c r="C275" s="3" t="inlineStr">
        <is>
          <t>000882</t>
        </is>
      </c>
      <c r="D275" s="4" t="n">
        <v>45240</v>
      </c>
      <c r="E275" s="2" t="inlineStr">
        <is>
          <t>15:33</t>
        </is>
      </c>
      <c r="F275" s="5" t="n">
        <v>521.67</v>
      </c>
      <c r="G275" s="5" t="n"/>
      <c r="H275" s="5" t="n"/>
      <c r="I275" s="5" t="n"/>
      <c r="J275" s="5" t="n">
        <v>104.33</v>
      </c>
      <c r="K275" s="5" t="n"/>
      <c r="L275" s="5" t="n"/>
      <c r="M275" s="5" t="n"/>
      <c r="N275" s="5" t="n"/>
      <c r="O275" s="5" t="n">
        <v>626</v>
      </c>
      <c r="P275" s="5" t="n"/>
      <c r="Q275" s="5" t="n">
        <v>626</v>
      </c>
      <c r="R275" s="5" t="n"/>
    </row>
    <row r="276">
      <c r="A276" s="2" t="inlineStr">
        <is>
          <t>EJ061223.TXT</t>
        </is>
      </c>
      <c r="B276" s="3" t="inlineStr">
        <is>
          <t>001399</t>
        </is>
      </c>
      <c r="C276" s="3" t="inlineStr">
        <is>
          <t>000883</t>
        </is>
      </c>
      <c r="D276" s="4" t="n">
        <v>45240</v>
      </c>
      <c r="E276" s="2" t="inlineStr">
        <is>
          <t>15:33</t>
        </is>
      </c>
      <c r="F276" s="5" t="n">
        <v>690.83</v>
      </c>
      <c r="G276" s="5" t="n"/>
      <c r="H276" s="5" t="n"/>
      <c r="I276" s="5" t="n"/>
      <c r="J276" s="5" t="n">
        <v>138.17</v>
      </c>
      <c r="K276" s="5" t="n"/>
      <c r="L276" s="5" t="n"/>
      <c r="M276" s="5" t="n"/>
      <c r="N276" s="5" t="n"/>
      <c r="O276" s="5" t="n">
        <v>829</v>
      </c>
      <c r="P276" s="5" t="n"/>
      <c r="Q276" s="5" t="n">
        <v>829</v>
      </c>
      <c r="R276" s="5" t="n"/>
    </row>
    <row r="277">
      <c r="A277" s="2" t="inlineStr">
        <is>
          <t>EJ061223.TXT</t>
        </is>
      </c>
      <c r="B277" s="3" t="inlineStr">
        <is>
          <t>001400</t>
        </is>
      </c>
      <c r="C277" s="3" t="inlineStr">
        <is>
          <t>000884</t>
        </is>
      </c>
      <c r="D277" s="4" t="n">
        <v>45240</v>
      </c>
      <c r="E277" s="2" t="inlineStr">
        <is>
          <t>15:33</t>
        </is>
      </c>
      <c r="F277" s="5" t="n">
        <v>488.33</v>
      </c>
      <c r="G277" s="5" t="n"/>
      <c r="H277" s="5" t="n"/>
      <c r="I277" s="5" t="n"/>
      <c r="J277" s="5" t="n">
        <v>97.67</v>
      </c>
      <c r="K277" s="5" t="n"/>
      <c r="L277" s="5" t="n"/>
      <c r="M277" s="5" t="n"/>
      <c r="N277" s="5" t="n"/>
      <c r="O277" s="5" t="n">
        <v>586</v>
      </c>
      <c r="P277" s="5" t="n"/>
      <c r="Q277" s="5" t="n">
        <v>586</v>
      </c>
      <c r="R277" s="5" t="n"/>
    </row>
    <row r="278">
      <c r="A278" s="2" t="inlineStr">
        <is>
          <t>EJ061223.TXT</t>
        </is>
      </c>
      <c r="B278" s="3" t="inlineStr">
        <is>
          <t>001402</t>
        </is>
      </c>
      <c r="C278" s="3" t="inlineStr">
        <is>
          <t>000885</t>
        </is>
      </c>
      <c r="D278" s="4" t="n">
        <v>45243</v>
      </c>
      <c r="E278" s="2" t="inlineStr">
        <is>
          <t>11:59</t>
        </is>
      </c>
      <c r="F278" s="5" t="n">
        <v>548.33</v>
      </c>
      <c r="G278" s="5" t="n"/>
      <c r="H278" s="5" t="n"/>
      <c r="I278" s="5" t="n"/>
      <c r="J278" s="5" t="n">
        <v>109.67</v>
      </c>
      <c r="K278" s="5" t="n"/>
      <c r="L278" s="5" t="n"/>
      <c r="M278" s="5" t="n"/>
      <c r="N278" s="5" t="n"/>
      <c r="O278" s="5" t="n">
        <v>658</v>
      </c>
      <c r="P278" s="5" t="n"/>
      <c r="Q278" s="5" t="n">
        <v>658</v>
      </c>
      <c r="R278" s="5" t="n"/>
    </row>
    <row r="279">
      <c r="A279" s="2" t="inlineStr">
        <is>
          <t>EJ061223.TXT</t>
        </is>
      </c>
      <c r="B279" s="3" t="inlineStr">
        <is>
          <t>001403</t>
        </is>
      </c>
      <c r="C279" s="3" t="inlineStr">
        <is>
          <t>000886</t>
        </is>
      </c>
      <c r="D279" s="4" t="n">
        <v>45244</v>
      </c>
      <c r="E279" s="2" t="inlineStr">
        <is>
          <t>11:32</t>
        </is>
      </c>
      <c r="F279" s="5" t="n">
        <v>566.67</v>
      </c>
      <c r="G279" s="5" t="n"/>
      <c r="H279" s="5" t="n"/>
      <c r="I279" s="5" t="n"/>
      <c r="J279" s="5" t="n">
        <v>113.33</v>
      </c>
      <c r="K279" s="5" t="n"/>
      <c r="L279" s="5" t="n"/>
      <c r="M279" s="5" t="n"/>
      <c r="N279" s="5" t="n"/>
      <c r="O279" s="5" t="n">
        <v>680</v>
      </c>
      <c r="P279" s="5" t="n"/>
      <c r="Q279" s="5" t="n">
        <v>680</v>
      </c>
      <c r="R279" s="5" t="n"/>
    </row>
    <row r="280">
      <c r="A280" s="2" t="inlineStr">
        <is>
          <t>EJ061223.TXT</t>
        </is>
      </c>
      <c r="B280" s="3" t="inlineStr">
        <is>
          <t>001404</t>
        </is>
      </c>
      <c r="C280" s="3" t="inlineStr">
        <is>
          <t>000887</t>
        </is>
      </c>
      <c r="D280" s="4" t="n">
        <v>45246</v>
      </c>
      <c r="E280" s="2" t="inlineStr">
        <is>
          <t>16:39</t>
        </is>
      </c>
      <c r="F280" s="5" t="n">
        <v>548.33</v>
      </c>
      <c r="G280" s="5" t="n"/>
      <c r="H280" s="5" t="n"/>
      <c r="I280" s="5" t="n"/>
      <c r="J280" s="5" t="n">
        <v>109.67</v>
      </c>
      <c r="K280" s="5" t="n"/>
      <c r="L280" s="5" t="n"/>
      <c r="M280" s="5" t="n"/>
      <c r="N280" s="5" t="n"/>
      <c r="O280" s="5" t="n">
        <v>658</v>
      </c>
      <c r="P280" s="5" t="n"/>
      <c r="Q280" s="5" t="n">
        <v>658</v>
      </c>
      <c r="R280" s="5" t="n"/>
    </row>
    <row r="281">
      <c r="A281" s="2" t="inlineStr">
        <is>
          <t>EJ061223.TXT</t>
        </is>
      </c>
      <c r="B281" s="3" t="inlineStr">
        <is>
          <t>001405</t>
        </is>
      </c>
      <c r="C281" s="3" t="inlineStr">
        <is>
          <t>000888</t>
        </is>
      </c>
      <c r="D281" s="4" t="n">
        <v>45246</v>
      </c>
      <c r="E281" s="2" t="inlineStr">
        <is>
          <t>16:39</t>
        </is>
      </c>
      <c r="F281" s="5" t="n">
        <v>285</v>
      </c>
      <c r="G281" s="5" t="n"/>
      <c r="H281" s="5" t="n"/>
      <c r="I281" s="5" t="n"/>
      <c r="J281" s="5" t="n">
        <v>57</v>
      </c>
      <c r="K281" s="5" t="n"/>
      <c r="L281" s="5" t="n"/>
      <c r="M281" s="5" t="n"/>
      <c r="N281" s="5" t="n"/>
      <c r="O281" s="5" t="n">
        <v>342</v>
      </c>
      <c r="P281" s="5" t="n"/>
      <c r="Q281" s="5" t="n">
        <v>342</v>
      </c>
      <c r="R281" s="5" t="n"/>
    </row>
    <row r="282">
      <c r="A282" s="2" t="inlineStr">
        <is>
          <t>EJ061223.TXT</t>
        </is>
      </c>
      <c r="B282" s="3" t="inlineStr">
        <is>
          <t>001406</t>
        </is>
      </c>
      <c r="C282" s="3" t="inlineStr">
        <is>
          <t>000889</t>
        </is>
      </c>
      <c r="D282" s="4" t="n">
        <v>45246</v>
      </c>
      <c r="E282" s="2" t="inlineStr">
        <is>
          <t>16:40</t>
        </is>
      </c>
      <c r="F282" s="5" t="n">
        <v>811.67</v>
      </c>
      <c r="G282" s="5" t="n"/>
      <c r="H282" s="5" t="n"/>
      <c r="I282" s="5" t="n"/>
      <c r="J282" s="5" t="n">
        <v>162.33</v>
      </c>
      <c r="K282" s="5" t="n"/>
      <c r="L282" s="5" t="n"/>
      <c r="M282" s="5" t="n"/>
      <c r="N282" s="5" t="n"/>
      <c r="O282" s="5" t="n">
        <v>974</v>
      </c>
      <c r="P282" s="5" t="n">
        <v>974</v>
      </c>
      <c r="Q282" s="5" t="n"/>
      <c r="R282" s="5" t="n"/>
    </row>
    <row r="283">
      <c r="A283" s="2" t="inlineStr">
        <is>
          <t>EJ061223.TXT</t>
        </is>
      </c>
      <c r="B283" s="3" t="inlineStr">
        <is>
          <t>001407</t>
        </is>
      </c>
      <c r="C283" s="3" t="inlineStr">
        <is>
          <t>000890</t>
        </is>
      </c>
      <c r="D283" s="4" t="n">
        <v>45247</v>
      </c>
      <c r="E283" s="2" t="inlineStr">
        <is>
          <t>10:45</t>
        </is>
      </c>
      <c r="F283" s="5" t="n">
        <v>136.67</v>
      </c>
      <c r="G283" s="5" t="n"/>
      <c r="H283" s="5" t="n"/>
      <c r="I283" s="5" t="n"/>
      <c r="J283" s="5" t="n">
        <v>27.33</v>
      </c>
      <c r="K283" s="5" t="n"/>
      <c r="L283" s="5" t="n"/>
      <c r="M283" s="5" t="n"/>
      <c r="N283" s="5" t="n"/>
      <c r="O283" s="5" t="n">
        <v>164</v>
      </c>
      <c r="P283" s="5" t="n">
        <v>164</v>
      </c>
      <c r="Q283" s="5" t="n"/>
      <c r="R283" s="5" t="n"/>
    </row>
    <row r="284">
      <c r="A284" s="2" t="inlineStr">
        <is>
          <t>EJ061223.TXT</t>
        </is>
      </c>
      <c r="B284" s="3" t="inlineStr">
        <is>
          <t>001408</t>
        </is>
      </c>
      <c r="C284" s="3" t="inlineStr">
        <is>
          <t>000891</t>
        </is>
      </c>
      <c r="D284" s="4" t="n">
        <v>45251</v>
      </c>
      <c r="E284" s="2" t="inlineStr">
        <is>
          <t>14:34</t>
        </is>
      </c>
      <c r="F284" s="5" t="n">
        <v>440</v>
      </c>
      <c r="G284" s="5" t="n"/>
      <c r="H284" s="5" t="n"/>
      <c r="I284" s="5" t="n"/>
      <c r="J284" s="5" t="n">
        <v>88</v>
      </c>
      <c r="K284" s="5" t="n"/>
      <c r="L284" s="5" t="n"/>
      <c r="M284" s="5" t="n"/>
      <c r="N284" s="5" t="n"/>
      <c r="O284" s="5" t="n">
        <v>528</v>
      </c>
      <c r="P284" s="5" t="n">
        <v>528</v>
      </c>
      <c r="Q284" s="5" t="n"/>
      <c r="R284" s="5" t="n"/>
    </row>
    <row r="285">
      <c r="A285" s="2" t="inlineStr">
        <is>
          <t>EJ061223.TXT</t>
        </is>
      </c>
      <c r="B285" s="3" t="inlineStr">
        <is>
          <t>001409</t>
        </is>
      </c>
      <c r="C285" s="3" t="inlineStr">
        <is>
          <t>000892</t>
        </is>
      </c>
      <c r="D285" s="4" t="n">
        <v>45253</v>
      </c>
      <c r="E285" s="2" t="inlineStr">
        <is>
          <t>15:35</t>
        </is>
      </c>
      <c r="F285" s="5" t="n">
        <v>1645</v>
      </c>
      <c r="G285" s="5" t="n"/>
      <c r="H285" s="5" t="n"/>
      <c r="I285" s="5" t="n"/>
      <c r="J285" s="5" t="n">
        <v>329</v>
      </c>
      <c r="K285" s="5" t="n"/>
      <c r="L285" s="5" t="n"/>
      <c r="M285" s="5" t="n"/>
      <c r="N285" s="5" t="n"/>
      <c r="O285" s="5" t="n">
        <v>1974</v>
      </c>
      <c r="P285" s="5" t="n">
        <v>1974</v>
      </c>
      <c r="Q285" s="5" t="n"/>
      <c r="R285" s="5" t="n"/>
    </row>
    <row r="286">
      <c r="A286" s="2" t="inlineStr">
        <is>
          <t>EJ061223.TXT</t>
        </is>
      </c>
      <c r="B286" s="3" t="inlineStr">
        <is>
          <t>001410</t>
        </is>
      </c>
      <c r="C286" s="3" t="inlineStr">
        <is>
          <t>000893</t>
        </is>
      </c>
      <c r="D286" s="4" t="n">
        <v>45257</v>
      </c>
      <c r="E286" s="2" t="inlineStr">
        <is>
          <t>12:36</t>
        </is>
      </c>
      <c r="F286" s="5" t="n">
        <v>548.33</v>
      </c>
      <c r="G286" s="5" t="n"/>
      <c r="H286" s="5" t="n"/>
      <c r="I286" s="5" t="n"/>
      <c r="J286" s="5" t="n">
        <v>109.67</v>
      </c>
      <c r="K286" s="5" t="n"/>
      <c r="L286" s="5" t="n"/>
      <c r="M286" s="5" t="n"/>
      <c r="N286" s="5" t="n"/>
      <c r="O286" s="5" t="n">
        <v>658</v>
      </c>
      <c r="P286" s="5" t="n">
        <v>658</v>
      </c>
      <c r="Q286" s="5" t="n"/>
      <c r="R286" s="5" t="n"/>
    </row>
    <row r="287">
      <c r="A287" s="2" t="inlineStr">
        <is>
          <t>EJ061223.TXT</t>
        </is>
      </c>
      <c r="B287" s="3" t="inlineStr">
        <is>
          <t>001411</t>
        </is>
      </c>
      <c r="C287" s="3" t="inlineStr">
        <is>
          <t>000894</t>
        </is>
      </c>
      <c r="D287" s="4" t="n">
        <v>45257</v>
      </c>
      <c r="E287" s="2" t="inlineStr">
        <is>
          <t>14:15</t>
        </is>
      </c>
      <c r="F287" s="5" t="n">
        <v>516.67</v>
      </c>
      <c r="G287" s="5" t="n"/>
      <c r="H287" s="5" t="n"/>
      <c r="I287" s="5" t="n"/>
      <c r="J287" s="5" t="n">
        <v>103.33</v>
      </c>
      <c r="K287" s="5" t="n"/>
      <c r="L287" s="5" t="n"/>
      <c r="M287" s="5" t="n"/>
      <c r="N287" s="5" t="n"/>
      <c r="O287" s="5" t="n">
        <v>620</v>
      </c>
      <c r="P287" s="5" t="n"/>
      <c r="Q287" s="5" t="n">
        <v>620</v>
      </c>
      <c r="R287" s="5" t="n"/>
    </row>
    <row r="288">
      <c r="A288" s="2" t="inlineStr">
        <is>
          <t>EJ061223.TXT</t>
        </is>
      </c>
      <c r="B288" s="3" t="inlineStr">
        <is>
          <t>001412</t>
        </is>
      </c>
      <c r="C288" s="3" t="inlineStr">
        <is>
          <t>000895</t>
        </is>
      </c>
      <c r="D288" s="4" t="n">
        <v>45257</v>
      </c>
      <c r="E288" s="2" t="inlineStr">
        <is>
          <t>14:20</t>
        </is>
      </c>
      <c r="F288" s="5" t="n">
        <v>516.67</v>
      </c>
      <c r="G288" s="5" t="n"/>
      <c r="H288" s="5" t="n"/>
      <c r="I288" s="5" t="n"/>
      <c r="J288" s="5" t="n">
        <v>103.33</v>
      </c>
      <c r="K288" s="5" t="n"/>
      <c r="L288" s="5" t="n"/>
      <c r="M288" s="5" t="n"/>
      <c r="N288" s="5" t="n"/>
      <c r="O288" s="5" t="n">
        <v>620</v>
      </c>
      <c r="P288" s="5" t="n"/>
      <c r="Q288" s="5" t="n">
        <v>620</v>
      </c>
      <c r="R288" s="5" t="n"/>
    </row>
    <row r="289">
      <c r="A289" s="2" t="inlineStr">
        <is>
          <t>EJ061223.TXT</t>
        </is>
      </c>
      <c r="B289" s="3" t="inlineStr">
        <is>
          <t>001413</t>
        </is>
      </c>
      <c r="C289" s="3" t="inlineStr">
        <is>
          <t>000896</t>
        </is>
      </c>
      <c r="D289" s="4" t="n">
        <v>45258</v>
      </c>
      <c r="E289" s="2" t="inlineStr">
        <is>
          <t>11:32</t>
        </is>
      </c>
      <c r="F289" s="5" t="n">
        <v>822.5</v>
      </c>
      <c r="G289" s="5" t="n"/>
      <c r="H289" s="5" t="n"/>
      <c r="I289" s="5" t="n"/>
      <c r="J289" s="5" t="n">
        <v>164.5</v>
      </c>
      <c r="K289" s="5" t="n"/>
      <c r="L289" s="5" t="n"/>
      <c r="M289" s="5" t="n"/>
      <c r="N289" s="5" t="n"/>
      <c r="O289" s="5" t="n">
        <v>987</v>
      </c>
      <c r="P289" s="5" t="n">
        <v>987</v>
      </c>
      <c r="Q289" s="5" t="n"/>
      <c r="R289" s="5" t="n"/>
    </row>
    <row r="290">
      <c r="A290" s="2" t="inlineStr">
        <is>
          <t>EJ061223.TXT</t>
        </is>
      </c>
      <c r="B290" s="3" t="inlineStr">
        <is>
          <t>001414</t>
        </is>
      </c>
      <c r="C290" s="3" t="inlineStr">
        <is>
          <t>000897</t>
        </is>
      </c>
      <c r="D290" s="4" t="n">
        <v>45258</v>
      </c>
      <c r="E290" s="2" t="inlineStr">
        <is>
          <t>13:38</t>
        </is>
      </c>
      <c r="F290" s="5" t="n">
        <v>548.33</v>
      </c>
      <c r="G290" s="5" t="n"/>
      <c r="H290" s="5" t="n"/>
      <c r="I290" s="5" t="n"/>
      <c r="J290" s="5" t="n">
        <v>109.67</v>
      </c>
      <c r="K290" s="5" t="n"/>
      <c r="L290" s="5" t="n"/>
      <c r="M290" s="5" t="n"/>
      <c r="N290" s="5" t="n"/>
      <c r="O290" s="5" t="n">
        <v>658</v>
      </c>
      <c r="P290" s="5" t="n">
        <v>658</v>
      </c>
      <c r="Q290" s="5" t="n"/>
      <c r="R290" s="5" t="n"/>
    </row>
    <row r="291">
      <c r="A291" s="2" t="inlineStr">
        <is>
          <t>EJ061223.TXT</t>
        </is>
      </c>
      <c r="B291" s="3" t="inlineStr">
        <is>
          <t>001415</t>
        </is>
      </c>
      <c r="C291" s="3" t="inlineStr">
        <is>
          <t>000898</t>
        </is>
      </c>
      <c r="D291" s="4" t="n">
        <v>45259</v>
      </c>
      <c r="E291" s="2" t="inlineStr">
        <is>
          <t>10:27</t>
        </is>
      </c>
      <c r="F291" s="5" t="n">
        <v>548.33</v>
      </c>
      <c r="G291" s="5" t="n"/>
      <c r="H291" s="5" t="n"/>
      <c r="I291" s="5" t="n"/>
      <c r="J291" s="5" t="n">
        <v>109.67</v>
      </c>
      <c r="K291" s="5" t="n"/>
      <c r="L291" s="5" t="n"/>
      <c r="M291" s="5" t="n"/>
      <c r="N291" s="5" t="n"/>
      <c r="O291" s="5" t="n">
        <v>658</v>
      </c>
      <c r="P291" s="5" t="n">
        <v>658</v>
      </c>
      <c r="Q291" s="5" t="n"/>
      <c r="R291" s="5" t="n"/>
    </row>
    <row r="292">
      <c r="A292" s="2" t="inlineStr">
        <is>
          <t>EJ061223.TXT</t>
        </is>
      </c>
      <c r="B292" s="3" t="inlineStr">
        <is>
          <t>001416</t>
        </is>
      </c>
      <c r="C292" s="3" t="inlineStr">
        <is>
          <t>000899</t>
        </is>
      </c>
      <c r="D292" s="4" t="n">
        <v>45260</v>
      </c>
      <c r="E292" s="2" t="inlineStr">
        <is>
          <t>15:53</t>
        </is>
      </c>
      <c r="F292" s="5" t="n">
        <v>739.17</v>
      </c>
      <c r="G292" s="5" t="n"/>
      <c r="H292" s="5" t="n"/>
      <c r="I292" s="5" t="n"/>
      <c r="J292" s="5" t="n">
        <v>147.83</v>
      </c>
      <c r="K292" s="5" t="n"/>
      <c r="L292" s="5" t="n"/>
      <c r="M292" s="5" t="n"/>
      <c r="N292" s="5" t="n"/>
      <c r="O292" s="5" t="n">
        <v>887</v>
      </c>
      <c r="P292" s="5" t="n">
        <v>887</v>
      </c>
      <c r="Q292" s="5" t="n"/>
      <c r="R292" s="5" t="n"/>
    </row>
    <row r="293">
      <c r="A293" s="2" t="inlineStr">
        <is>
          <t>EJ061223.TXT</t>
        </is>
      </c>
      <c r="B293" s="3" t="inlineStr">
        <is>
          <t>001417</t>
        </is>
      </c>
      <c r="C293" s="3" t="inlineStr">
        <is>
          <t>000900</t>
        </is>
      </c>
      <c r="D293" s="4" t="n">
        <v>45261</v>
      </c>
      <c r="E293" s="2" t="inlineStr">
        <is>
          <t>12:25</t>
        </is>
      </c>
      <c r="F293" s="5" t="n">
        <v>531.67</v>
      </c>
      <c r="G293" s="5" t="n"/>
      <c r="H293" s="5" t="n"/>
      <c r="I293" s="5" t="n"/>
      <c r="J293" s="5" t="n">
        <v>106.33</v>
      </c>
      <c r="K293" s="5" t="n"/>
      <c r="L293" s="5" t="n"/>
      <c r="M293" s="5" t="n"/>
      <c r="N293" s="5" t="n"/>
      <c r="O293" s="5" t="n">
        <v>638</v>
      </c>
      <c r="P293" s="5" t="n"/>
      <c r="Q293" s="5" t="n">
        <v>638</v>
      </c>
      <c r="R293" s="5" t="n"/>
    </row>
    <row r="294">
      <c r="A294" s="2" t="inlineStr">
        <is>
          <t>EJ061223.TXT</t>
        </is>
      </c>
      <c r="B294" s="3" t="inlineStr">
        <is>
          <t>001418</t>
        </is>
      </c>
      <c r="C294" s="3" t="inlineStr">
        <is>
          <t>000901</t>
        </is>
      </c>
      <c r="D294" s="4" t="n">
        <v>45261</v>
      </c>
      <c r="E294" s="2" t="inlineStr">
        <is>
          <t>15:48</t>
        </is>
      </c>
      <c r="F294" s="5" t="n">
        <v>1096.67</v>
      </c>
      <c r="G294" s="5" t="n"/>
      <c r="H294" s="5" t="n"/>
      <c r="I294" s="5" t="n"/>
      <c r="J294" s="5" t="n">
        <v>219.33</v>
      </c>
      <c r="K294" s="5" t="n"/>
      <c r="L294" s="5" t="n"/>
      <c r="M294" s="5" t="n"/>
      <c r="N294" s="5" t="n"/>
      <c r="O294" s="5" t="n">
        <v>1316</v>
      </c>
      <c r="P294" s="5" t="n">
        <v>1316</v>
      </c>
      <c r="Q294" s="5" t="n"/>
      <c r="R294" s="5" t="n"/>
    </row>
    <row r="295">
      <c r="A295" s="2" t="inlineStr">
        <is>
          <t>EJ061223.TXT</t>
        </is>
      </c>
      <c r="B295" s="3" t="inlineStr">
        <is>
          <t>001419</t>
        </is>
      </c>
      <c r="C295" s="3" t="inlineStr">
        <is>
          <t>000902</t>
        </is>
      </c>
      <c r="D295" s="4" t="n">
        <v>45262</v>
      </c>
      <c r="E295" s="2" t="inlineStr">
        <is>
          <t>16:22</t>
        </is>
      </c>
      <c r="F295" s="5" t="n">
        <v>190.83</v>
      </c>
      <c r="G295" s="5" t="n"/>
      <c r="H295" s="5" t="n"/>
      <c r="I295" s="5" t="n"/>
      <c r="J295" s="5" t="n">
        <v>38.17</v>
      </c>
      <c r="K295" s="5" t="n"/>
      <c r="L295" s="5" t="n"/>
      <c r="M295" s="5" t="n"/>
      <c r="N295" s="5" t="n"/>
      <c r="O295" s="5" t="n">
        <v>229</v>
      </c>
      <c r="P295" s="5" t="n">
        <v>229</v>
      </c>
      <c r="Q295" s="5" t="n"/>
      <c r="R295" s="5" t="n"/>
    </row>
    <row r="296">
      <c r="A296" s="2" t="inlineStr">
        <is>
          <t>EJ061223.TXT</t>
        </is>
      </c>
      <c r="B296" s="3" t="inlineStr">
        <is>
          <t>001420</t>
        </is>
      </c>
      <c r="C296" s="3" t="inlineStr">
        <is>
          <t>000903</t>
        </is>
      </c>
      <c r="D296" s="4" t="n">
        <v>45266</v>
      </c>
      <c r="E296" s="2" t="inlineStr">
        <is>
          <t>14:10</t>
        </is>
      </c>
      <c r="F296" s="5" t="n">
        <v>1595</v>
      </c>
      <c r="G296" s="5" t="n"/>
      <c r="H296" s="5" t="n"/>
      <c r="I296" s="5" t="n"/>
      <c r="J296" s="5" t="n">
        <v>319</v>
      </c>
      <c r="K296" s="5" t="n"/>
      <c r="L296" s="5" t="n"/>
      <c r="M296" s="5" t="n"/>
      <c r="N296" s="5" t="n"/>
      <c r="O296" s="5" t="n">
        <v>1914</v>
      </c>
      <c r="P296" s="5" t="n">
        <v>1914</v>
      </c>
      <c r="Q296" s="5" t="n"/>
      <c r="R296" s="5" t="n"/>
    </row>
    <row r="297">
      <c r="A297" s="2" t="inlineStr">
        <is>
          <t>EJ050124.TXT</t>
        </is>
      </c>
      <c r="B297" s="3" t="inlineStr">
        <is>
          <t>001428</t>
        </is>
      </c>
      <c r="C297" s="3" t="inlineStr">
        <is>
          <t>000904</t>
        </is>
      </c>
      <c r="D297" s="4" t="n">
        <v>45268</v>
      </c>
      <c r="E297" s="2" t="inlineStr">
        <is>
          <t>14:17</t>
        </is>
      </c>
      <c r="F297" s="5" t="n">
        <v>-465</v>
      </c>
      <c r="G297" s="5" t="n"/>
      <c r="H297" s="5" t="n"/>
      <c r="I297" s="5" t="n"/>
      <c r="J297" s="5" t="n">
        <v>-93</v>
      </c>
      <c r="K297" s="5" t="n"/>
      <c r="L297" s="5" t="n"/>
      <c r="M297" s="5" t="n"/>
      <c r="N297" s="5" t="n"/>
      <c r="O297" s="5" t="n">
        <v>-558</v>
      </c>
      <c r="P297" s="5" t="n">
        <v>-558</v>
      </c>
      <c r="Q297" s="5" t="n"/>
      <c r="R297" s="5" t="n"/>
    </row>
    <row r="298">
      <c r="A298" s="2" t="inlineStr">
        <is>
          <t>EJ050124.TXT</t>
        </is>
      </c>
      <c r="B298" s="3" t="inlineStr">
        <is>
          <t>001429</t>
        </is>
      </c>
      <c r="C298" s="3" t="inlineStr">
        <is>
          <t>000905</t>
        </is>
      </c>
      <c r="D298" s="4" t="n">
        <v>45269</v>
      </c>
      <c r="E298" s="2" t="inlineStr">
        <is>
          <t>16:52</t>
        </is>
      </c>
      <c r="F298" s="5" t="n">
        <v>-597.5</v>
      </c>
      <c r="G298" s="5" t="n"/>
      <c r="H298" s="5" t="n"/>
      <c r="I298" s="5" t="n"/>
      <c r="J298" s="5" t="n">
        <v>-119.5</v>
      </c>
      <c r="K298" s="5" t="n"/>
      <c r="L298" s="5" t="n"/>
      <c r="M298" s="5" t="n"/>
      <c r="N298" s="5" t="n"/>
      <c r="O298" s="5" t="n">
        <v>-717</v>
      </c>
      <c r="P298" s="5" t="n">
        <v>-717</v>
      </c>
      <c r="Q298" s="5" t="n"/>
      <c r="R298" s="5" t="n"/>
    </row>
    <row r="299">
      <c r="A299" s="2" t="inlineStr">
        <is>
          <t>EJ050124.TXT</t>
        </is>
      </c>
      <c r="B299" s="3" t="inlineStr">
        <is>
          <t>001430</t>
        </is>
      </c>
      <c r="C299" s="3" t="inlineStr">
        <is>
          <t>000906</t>
        </is>
      </c>
      <c r="D299" s="4" t="n">
        <v>45271</v>
      </c>
      <c r="E299" s="2" t="inlineStr">
        <is>
          <t>15:32</t>
        </is>
      </c>
      <c r="F299" s="5" t="n">
        <v>-1096.67</v>
      </c>
      <c r="G299" s="5" t="n"/>
      <c r="H299" s="5" t="n"/>
      <c r="I299" s="5" t="n"/>
      <c r="J299" s="5" t="n">
        <v>-219.33</v>
      </c>
      <c r="K299" s="5" t="n"/>
      <c r="L299" s="5" t="n"/>
      <c r="M299" s="5" t="n"/>
      <c r="N299" s="5" t="n"/>
      <c r="O299" s="5" t="n">
        <v>-1316</v>
      </c>
      <c r="P299" s="5" t="n">
        <v>-1316</v>
      </c>
      <c r="Q299" s="5" t="n"/>
      <c r="R299" s="5" t="n"/>
    </row>
    <row r="300">
      <c r="A300" s="2" t="inlineStr">
        <is>
          <t>EJ050124.TXT</t>
        </is>
      </c>
      <c r="B300" s="3" t="inlineStr">
        <is>
          <t>001431</t>
        </is>
      </c>
      <c r="C300" s="3" t="inlineStr">
        <is>
          <t>000907</t>
        </is>
      </c>
      <c r="D300" s="4" t="n">
        <v>45272</v>
      </c>
      <c r="E300" s="2" t="inlineStr">
        <is>
          <t>17:06</t>
        </is>
      </c>
      <c r="F300" s="5" t="n">
        <v>-274.17</v>
      </c>
      <c r="G300" s="5" t="n"/>
      <c r="H300" s="5" t="n"/>
      <c r="I300" s="5" t="n"/>
      <c r="J300" s="5" t="n">
        <v>-54.83</v>
      </c>
      <c r="K300" s="5" t="n"/>
      <c r="L300" s="5" t="n"/>
      <c r="M300" s="5" t="n"/>
      <c r="N300" s="5" t="n"/>
      <c r="O300" s="5" t="n">
        <v>-329</v>
      </c>
      <c r="P300" s="5" t="n"/>
      <c r="Q300" s="5" t="n">
        <v>-329</v>
      </c>
      <c r="R300" s="5" t="n"/>
    </row>
    <row r="301">
      <c r="A301" s="2" t="inlineStr">
        <is>
          <t>EJ050124.TXT</t>
        </is>
      </c>
      <c r="B301" s="3" t="inlineStr">
        <is>
          <t>001432</t>
        </is>
      </c>
      <c r="C301" s="3" t="inlineStr">
        <is>
          <t>000908</t>
        </is>
      </c>
      <c r="D301" s="4" t="n">
        <v>45274</v>
      </c>
      <c r="E301" s="2" t="inlineStr">
        <is>
          <t>14:45</t>
        </is>
      </c>
      <c r="F301" s="5" t="n">
        <v>-797.5</v>
      </c>
      <c r="G301" s="5" t="n"/>
      <c r="H301" s="5" t="n"/>
      <c r="I301" s="5" t="n"/>
      <c r="J301" s="5" t="n">
        <v>-159.5</v>
      </c>
      <c r="K301" s="5" t="n"/>
      <c r="L301" s="5" t="n"/>
      <c r="M301" s="5" t="n"/>
      <c r="N301" s="5" t="n"/>
      <c r="O301" s="5" t="n">
        <v>-957</v>
      </c>
      <c r="P301" s="5" t="n"/>
      <c r="Q301" s="5" t="n">
        <v>-957</v>
      </c>
      <c r="R301" s="5" t="n"/>
    </row>
    <row r="302">
      <c r="A302" s="2" t="inlineStr">
        <is>
          <t>EJ050124.TXT</t>
        </is>
      </c>
      <c r="B302" s="3" t="inlineStr">
        <is>
          <t>001433</t>
        </is>
      </c>
      <c r="C302" s="3" t="inlineStr">
        <is>
          <t>000909</t>
        </is>
      </c>
      <c r="D302" s="4" t="n">
        <v>45274</v>
      </c>
      <c r="E302" s="2" t="inlineStr">
        <is>
          <t>16:07</t>
        </is>
      </c>
      <c r="F302" s="5" t="n">
        <v>-124.17</v>
      </c>
      <c r="G302" s="5" t="n"/>
      <c r="H302" s="5" t="n"/>
      <c r="I302" s="5" t="n"/>
      <c r="J302" s="5" t="n">
        <v>-24.83</v>
      </c>
      <c r="K302" s="5" t="n"/>
      <c r="L302" s="5" t="n"/>
      <c r="M302" s="5" t="n"/>
      <c r="N302" s="5" t="n"/>
      <c r="O302" s="5" t="n">
        <v>-149</v>
      </c>
      <c r="P302" s="5" t="n"/>
      <c r="Q302" s="5" t="n">
        <v>-149</v>
      </c>
      <c r="R302" s="5" t="n"/>
    </row>
    <row r="303">
      <c r="A303" s="2" t="inlineStr">
        <is>
          <t>EJ050124.TXT</t>
        </is>
      </c>
      <c r="B303" s="3" t="inlineStr">
        <is>
          <t>001434</t>
        </is>
      </c>
      <c r="C303" s="3" t="inlineStr">
        <is>
          <t>000910</t>
        </is>
      </c>
      <c r="D303" s="4" t="n">
        <v>45275</v>
      </c>
      <c r="E303" s="2" t="inlineStr">
        <is>
          <t>11:02</t>
        </is>
      </c>
      <c r="F303" s="5" t="n">
        <v>-797.5</v>
      </c>
      <c r="G303" s="5" t="n"/>
      <c r="H303" s="5" t="n"/>
      <c r="I303" s="5" t="n"/>
      <c r="J303" s="5" t="n">
        <v>-159.5</v>
      </c>
      <c r="K303" s="5" t="n"/>
      <c r="L303" s="5" t="n"/>
      <c r="M303" s="5" t="n"/>
      <c r="N303" s="5" t="n"/>
      <c r="O303" s="5" t="n">
        <v>-957</v>
      </c>
      <c r="P303" s="5" t="n">
        <v>-957</v>
      </c>
      <c r="Q303" s="5" t="n"/>
      <c r="R303" s="5" t="n"/>
    </row>
    <row r="304">
      <c r="A304" s="2" t="inlineStr">
        <is>
          <t>EJ050124.TXT</t>
        </is>
      </c>
      <c r="B304" s="3" t="inlineStr">
        <is>
          <t>001435</t>
        </is>
      </c>
      <c r="C304" s="3" t="inlineStr">
        <is>
          <t>000911</t>
        </is>
      </c>
      <c r="D304" s="4" t="n">
        <v>45275</v>
      </c>
      <c r="E304" s="2" t="inlineStr">
        <is>
          <t>17:21</t>
        </is>
      </c>
      <c r="F304" s="5" t="n">
        <v>-548.33</v>
      </c>
      <c r="G304" s="5" t="n"/>
      <c r="H304" s="5" t="n"/>
      <c r="I304" s="5" t="n"/>
      <c r="J304" s="5" t="n">
        <v>-109.67</v>
      </c>
      <c r="K304" s="5" t="n"/>
      <c r="L304" s="5" t="n"/>
      <c r="M304" s="5" t="n"/>
      <c r="N304" s="5" t="n"/>
      <c r="O304" s="5" t="n">
        <v>-658</v>
      </c>
      <c r="P304" s="5" t="n">
        <v>-658</v>
      </c>
      <c r="Q304" s="5" t="n"/>
      <c r="R304" s="5" t="n"/>
    </row>
    <row r="305">
      <c r="A305" s="2" t="inlineStr">
        <is>
          <t>EJ050124.TXT</t>
        </is>
      </c>
      <c r="B305" s="3" t="inlineStr">
        <is>
          <t>001436</t>
        </is>
      </c>
      <c r="C305" s="3" t="inlineStr">
        <is>
          <t>000912</t>
        </is>
      </c>
      <c r="D305" s="4" t="n">
        <v>45276</v>
      </c>
      <c r="E305" s="2" t="inlineStr">
        <is>
          <t>15:24</t>
        </is>
      </c>
      <c r="F305" s="5" t="n">
        <v>-548.33</v>
      </c>
      <c r="G305" s="5" t="n"/>
      <c r="H305" s="5" t="n"/>
      <c r="I305" s="5" t="n"/>
      <c r="J305" s="5" t="n">
        <v>-109.67</v>
      </c>
      <c r="K305" s="5" t="n"/>
      <c r="L305" s="5" t="n"/>
      <c r="M305" s="5" t="n"/>
      <c r="N305" s="5" t="n"/>
      <c r="O305" s="5" t="n">
        <v>-658</v>
      </c>
      <c r="P305" s="5" t="n"/>
      <c r="Q305" s="5" t="n">
        <v>-658</v>
      </c>
      <c r="R305" s="5" t="n"/>
    </row>
    <row r="306">
      <c r="A306" s="2" t="inlineStr">
        <is>
          <t>EJ050124.TXT</t>
        </is>
      </c>
      <c r="B306" s="3" t="inlineStr">
        <is>
          <t>001437</t>
        </is>
      </c>
      <c r="C306" s="3" t="inlineStr">
        <is>
          <t>000913</t>
        </is>
      </c>
      <c r="D306" s="4" t="n">
        <v>45276</v>
      </c>
      <c r="E306" s="2" t="inlineStr">
        <is>
          <t>17:07</t>
        </is>
      </c>
      <c r="F306" s="5" t="n">
        <v>-82.5</v>
      </c>
      <c r="G306" s="5" t="n"/>
      <c r="H306" s="5" t="n"/>
      <c r="I306" s="5" t="n"/>
      <c r="J306" s="5" t="n">
        <v>-16.5</v>
      </c>
      <c r="K306" s="5" t="n"/>
      <c r="L306" s="5" t="n"/>
      <c r="M306" s="5" t="n"/>
      <c r="N306" s="5" t="n"/>
      <c r="O306" s="5" t="n">
        <v>-99</v>
      </c>
      <c r="P306" s="5" t="n">
        <v>-99</v>
      </c>
      <c r="Q306" s="5" t="n"/>
      <c r="R306" s="5" t="n"/>
    </row>
    <row r="307">
      <c r="A307" s="2" t="inlineStr">
        <is>
          <t>EJ050124.TXT</t>
        </is>
      </c>
      <c r="B307" s="3" t="inlineStr">
        <is>
          <t>001438</t>
        </is>
      </c>
      <c r="C307" s="3" t="inlineStr">
        <is>
          <t>000914</t>
        </is>
      </c>
      <c r="D307" s="4" t="n">
        <v>45278</v>
      </c>
      <c r="E307" s="2" t="inlineStr">
        <is>
          <t>11:34</t>
        </is>
      </c>
      <c r="F307" s="5" t="n">
        <v>-274.17</v>
      </c>
      <c r="G307" s="5" t="n"/>
      <c r="H307" s="5" t="n"/>
      <c r="I307" s="5" t="n"/>
      <c r="J307" s="5" t="n">
        <v>-54.83</v>
      </c>
      <c r="K307" s="5" t="n"/>
      <c r="L307" s="5" t="n"/>
      <c r="M307" s="5" t="n"/>
      <c r="N307" s="5" t="n"/>
      <c r="O307" s="5" t="n">
        <v>-329</v>
      </c>
      <c r="P307" s="5" t="n">
        <v>-329</v>
      </c>
      <c r="Q307" s="5" t="n"/>
      <c r="R307" s="5" t="n"/>
    </row>
    <row r="308">
      <c r="A308" s="2" t="inlineStr">
        <is>
          <t>EJ050124.TXT</t>
        </is>
      </c>
      <c r="B308" s="3" t="inlineStr">
        <is>
          <t>001439</t>
        </is>
      </c>
      <c r="C308" s="3" t="inlineStr">
        <is>
          <t>000915</t>
        </is>
      </c>
      <c r="D308" s="4" t="n">
        <v>45278</v>
      </c>
      <c r="E308" s="2" t="inlineStr">
        <is>
          <t>11:36</t>
        </is>
      </c>
      <c r="F308" s="5" t="n">
        <v>-274.17</v>
      </c>
      <c r="G308" s="5" t="n"/>
      <c r="H308" s="5" t="n"/>
      <c r="I308" s="5" t="n"/>
      <c r="J308" s="5" t="n">
        <v>-54.83</v>
      </c>
      <c r="K308" s="5" t="n"/>
      <c r="L308" s="5" t="n"/>
      <c r="M308" s="5" t="n"/>
      <c r="N308" s="5" t="n"/>
      <c r="O308" s="5" t="n">
        <v>-329</v>
      </c>
      <c r="P308" s="5" t="n">
        <v>-329</v>
      </c>
      <c r="Q308" s="5" t="n"/>
      <c r="R308" s="5" t="n"/>
    </row>
    <row r="309">
      <c r="A309" s="2" t="inlineStr">
        <is>
          <t>EJ050124.TXT</t>
        </is>
      </c>
      <c r="B309" s="3" t="inlineStr">
        <is>
          <t>001440</t>
        </is>
      </c>
      <c r="C309" s="3" t="inlineStr">
        <is>
          <t>000916</t>
        </is>
      </c>
      <c r="D309" s="4" t="n">
        <v>45279</v>
      </c>
      <c r="E309" s="2" t="inlineStr">
        <is>
          <t>16:04</t>
        </is>
      </c>
      <c r="F309" s="5" t="n">
        <v>-37.5</v>
      </c>
      <c r="G309" s="5" t="n"/>
      <c r="H309" s="5" t="n"/>
      <c r="I309" s="5" t="n"/>
      <c r="J309" s="5" t="n">
        <v>-7.5</v>
      </c>
      <c r="K309" s="5" t="n"/>
      <c r="L309" s="5" t="n"/>
      <c r="M309" s="5" t="n"/>
      <c r="N309" s="5" t="n"/>
      <c r="O309" s="5" t="n">
        <v>-45</v>
      </c>
      <c r="P309" s="5" t="n">
        <v>-45</v>
      </c>
      <c r="Q309" s="5" t="n"/>
      <c r="R309" s="5" t="n"/>
    </row>
    <row r="310">
      <c r="A310" s="2" t="inlineStr">
        <is>
          <t>EJ050124.TXT</t>
        </is>
      </c>
      <c r="B310" s="3" t="inlineStr">
        <is>
          <t>001441</t>
        </is>
      </c>
      <c r="C310" s="3" t="inlineStr">
        <is>
          <t>000917</t>
        </is>
      </c>
      <c r="D310" s="4" t="n">
        <v>45280</v>
      </c>
      <c r="E310" s="2" t="inlineStr">
        <is>
          <t>12:42</t>
        </is>
      </c>
      <c r="F310" s="5" t="n">
        <v>-274.17</v>
      </c>
      <c r="G310" s="5" t="n"/>
      <c r="H310" s="5" t="n"/>
      <c r="I310" s="5" t="n"/>
      <c r="J310" s="5" t="n">
        <v>-54.83</v>
      </c>
      <c r="K310" s="5" t="n"/>
      <c r="L310" s="5" t="n"/>
      <c r="M310" s="5" t="n"/>
      <c r="N310" s="5" t="n"/>
      <c r="O310" s="5" t="n">
        <v>-329</v>
      </c>
      <c r="P310" s="5" t="n">
        <v>-329</v>
      </c>
      <c r="Q310" s="5" t="n"/>
      <c r="R310" s="5" t="n"/>
    </row>
    <row r="311">
      <c r="A311" s="2" t="inlineStr">
        <is>
          <t>EJ050124.TXT</t>
        </is>
      </c>
      <c r="B311" s="3" t="inlineStr">
        <is>
          <t>001442</t>
        </is>
      </c>
      <c r="C311" s="3" t="inlineStr">
        <is>
          <t>000918</t>
        </is>
      </c>
      <c r="D311" s="4" t="n">
        <v>45280</v>
      </c>
      <c r="E311" s="2" t="inlineStr">
        <is>
          <t>12:50</t>
        </is>
      </c>
      <c r="F311" s="5" t="n">
        <v>-350</v>
      </c>
      <c r="G311" s="5" t="n"/>
      <c r="H311" s="5" t="n"/>
      <c r="I311" s="5" t="n"/>
      <c r="J311" s="5" t="n">
        <v>-70</v>
      </c>
      <c r="K311" s="5" t="n"/>
      <c r="L311" s="5" t="n"/>
      <c r="M311" s="5" t="n"/>
      <c r="N311" s="5" t="n"/>
      <c r="O311" s="5" t="n">
        <v>-420</v>
      </c>
      <c r="P311" s="5" t="n">
        <v>-420</v>
      </c>
      <c r="Q311" s="5" t="n"/>
      <c r="R311" s="5" t="n"/>
    </row>
    <row r="312">
      <c r="A312" s="2" t="inlineStr">
        <is>
          <t>EJ050124.TXT</t>
        </is>
      </c>
      <c r="B312" s="3" t="inlineStr">
        <is>
          <t>001443</t>
        </is>
      </c>
      <c r="C312" s="3" t="inlineStr">
        <is>
          <t>000919</t>
        </is>
      </c>
      <c r="D312" s="4" t="n">
        <v>45280</v>
      </c>
      <c r="E312" s="2" t="inlineStr">
        <is>
          <t>14:22</t>
        </is>
      </c>
      <c r="F312" s="5" t="n">
        <v>-54.17</v>
      </c>
      <c r="G312" s="5" t="n"/>
      <c r="H312" s="5" t="n"/>
      <c r="I312" s="5" t="n"/>
      <c r="J312" s="5" t="n">
        <v>-10.83</v>
      </c>
      <c r="K312" s="5" t="n"/>
      <c r="L312" s="5" t="n"/>
      <c r="M312" s="5" t="n"/>
      <c r="N312" s="5" t="n"/>
      <c r="O312" s="5" t="n">
        <v>-65</v>
      </c>
      <c r="P312" s="5" t="n">
        <v>-65</v>
      </c>
      <c r="Q312" s="5" t="n"/>
      <c r="R312" s="5" t="n"/>
    </row>
    <row r="313">
      <c r="A313" s="2" t="inlineStr">
        <is>
          <t>EJ050124.TXT</t>
        </is>
      </c>
      <c r="B313" s="3" t="inlineStr">
        <is>
          <t>001444</t>
        </is>
      </c>
      <c r="C313" s="3" t="inlineStr">
        <is>
          <t>000920</t>
        </is>
      </c>
      <c r="D313" s="4" t="n">
        <v>45280</v>
      </c>
      <c r="E313" s="2" t="inlineStr">
        <is>
          <t>16:51</t>
        </is>
      </c>
      <c r="F313" s="5" t="n">
        <v>-274.17</v>
      </c>
      <c r="G313" s="5" t="n"/>
      <c r="H313" s="5" t="n"/>
      <c r="I313" s="5" t="n"/>
      <c r="J313" s="5" t="n">
        <v>-54.83</v>
      </c>
      <c r="K313" s="5" t="n"/>
      <c r="L313" s="5" t="n"/>
      <c r="M313" s="5" t="n"/>
      <c r="N313" s="5" t="n"/>
      <c r="O313" s="5" t="n">
        <v>-329</v>
      </c>
      <c r="P313" s="5" t="n"/>
      <c r="Q313" s="5" t="n">
        <v>-329</v>
      </c>
      <c r="R313" s="5" t="n"/>
    </row>
    <row r="314">
      <c r="A314" s="2" t="inlineStr">
        <is>
          <t>EJ050124.TXT</t>
        </is>
      </c>
      <c r="B314" s="3" t="inlineStr">
        <is>
          <t>001445</t>
        </is>
      </c>
      <c r="C314" s="3" t="inlineStr">
        <is>
          <t>000921</t>
        </is>
      </c>
      <c r="D314" s="4" t="n">
        <v>45281</v>
      </c>
      <c r="E314" s="2" t="inlineStr">
        <is>
          <t>14:26</t>
        </is>
      </c>
      <c r="F314" s="5" t="n">
        <v>-548.33</v>
      </c>
      <c r="G314" s="5" t="n"/>
      <c r="H314" s="5" t="n"/>
      <c r="I314" s="5" t="n"/>
      <c r="J314" s="5" t="n">
        <v>-109.67</v>
      </c>
      <c r="K314" s="5" t="n"/>
      <c r="L314" s="5" t="n"/>
      <c r="M314" s="5" t="n"/>
      <c r="N314" s="5" t="n"/>
      <c r="O314" s="5" t="n">
        <v>-658</v>
      </c>
      <c r="P314" s="5" t="n"/>
      <c r="Q314" s="5" t="n">
        <v>-658</v>
      </c>
      <c r="R314" s="5" t="n"/>
    </row>
    <row r="315">
      <c r="A315" s="2" t="inlineStr">
        <is>
          <t>EJ050124.TXT</t>
        </is>
      </c>
      <c r="B315" s="3" t="inlineStr">
        <is>
          <t>001446</t>
        </is>
      </c>
      <c r="C315" s="3" t="inlineStr">
        <is>
          <t>000922</t>
        </is>
      </c>
      <c r="D315" s="4" t="n">
        <v>45281</v>
      </c>
      <c r="E315" s="2" t="inlineStr">
        <is>
          <t>14:27</t>
        </is>
      </c>
      <c r="F315" s="5" t="n">
        <v>-548.33</v>
      </c>
      <c r="G315" s="5" t="n"/>
      <c r="H315" s="5" t="n"/>
      <c r="I315" s="5" t="n"/>
      <c r="J315" s="5" t="n">
        <v>-109.67</v>
      </c>
      <c r="K315" s="5" t="n"/>
      <c r="L315" s="5" t="n"/>
      <c r="M315" s="5" t="n"/>
      <c r="N315" s="5" t="n"/>
      <c r="O315" s="5" t="n">
        <v>-658</v>
      </c>
      <c r="P315" s="5" t="n"/>
      <c r="Q315" s="5" t="n">
        <v>-658</v>
      </c>
      <c r="R315" s="5" t="n"/>
    </row>
    <row r="316">
      <c r="A316" s="2" t="inlineStr">
        <is>
          <t>EJ050124.TXT</t>
        </is>
      </c>
      <c r="B316" s="3" t="inlineStr">
        <is>
          <t>001447</t>
        </is>
      </c>
      <c r="C316" s="3" t="inlineStr">
        <is>
          <t>000923</t>
        </is>
      </c>
      <c r="D316" s="4" t="n">
        <v>45282</v>
      </c>
      <c r="E316" s="2" t="inlineStr">
        <is>
          <t>11:26</t>
        </is>
      </c>
      <c r="F316" s="5" t="n">
        <v>-548.33</v>
      </c>
      <c r="G316" s="5" t="n"/>
      <c r="H316" s="5" t="n"/>
      <c r="I316" s="5" t="n"/>
      <c r="J316" s="5" t="n">
        <v>-109.67</v>
      </c>
      <c r="K316" s="5" t="n"/>
      <c r="L316" s="5" t="n"/>
      <c r="M316" s="5" t="n"/>
      <c r="N316" s="5" t="n"/>
      <c r="O316" s="5" t="n">
        <v>-658</v>
      </c>
      <c r="P316" s="5" t="n"/>
      <c r="Q316" s="5" t="n">
        <v>-658</v>
      </c>
      <c r="R316" s="5" t="n"/>
    </row>
    <row r="317">
      <c r="A317" s="2" t="inlineStr">
        <is>
          <t>EJ050124.TXT</t>
        </is>
      </c>
      <c r="B317" s="3" t="inlineStr">
        <is>
          <t>001448</t>
        </is>
      </c>
      <c r="C317" s="3" t="inlineStr">
        <is>
          <t>000924</t>
        </is>
      </c>
      <c r="D317" s="4" t="n">
        <v>45282</v>
      </c>
      <c r="E317" s="2" t="inlineStr">
        <is>
          <t>15:41</t>
        </is>
      </c>
      <c r="F317" s="5" t="n">
        <v>-1645</v>
      </c>
      <c r="G317" s="5" t="n"/>
      <c r="H317" s="5" t="n"/>
      <c r="I317" s="5" t="n"/>
      <c r="J317" s="5" t="n">
        <v>-329</v>
      </c>
      <c r="K317" s="5" t="n"/>
      <c r="L317" s="5" t="n"/>
      <c r="M317" s="5" t="n"/>
      <c r="N317" s="5" t="n"/>
      <c r="O317" s="5" t="n">
        <v>-1974</v>
      </c>
      <c r="P317" s="5" t="n">
        <v>-1974</v>
      </c>
      <c r="Q317" s="5" t="n"/>
      <c r="R317" s="5" t="n"/>
    </row>
    <row r="318">
      <c r="A318" s="2" t="inlineStr">
        <is>
          <t>EJ050124.TXT</t>
        </is>
      </c>
      <c r="B318" s="3" t="inlineStr">
        <is>
          <t>001449</t>
        </is>
      </c>
      <c r="C318" s="3" t="inlineStr">
        <is>
          <t>000925</t>
        </is>
      </c>
      <c r="D318" s="4" t="n">
        <v>45282</v>
      </c>
      <c r="E318" s="2" t="inlineStr">
        <is>
          <t>15:57</t>
        </is>
      </c>
      <c r="F318" s="5" t="n">
        <v>-274.17</v>
      </c>
      <c r="G318" s="5" t="n"/>
      <c r="H318" s="5" t="n"/>
      <c r="I318" s="5" t="n"/>
      <c r="J318" s="5" t="n">
        <v>-54.83</v>
      </c>
      <c r="K318" s="5" t="n"/>
      <c r="L318" s="5" t="n"/>
      <c r="M318" s="5" t="n"/>
      <c r="N318" s="5" t="n"/>
      <c r="O318" s="5" t="n">
        <v>-329</v>
      </c>
      <c r="P318" s="5" t="n">
        <v>-329</v>
      </c>
      <c r="Q318" s="5" t="n"/>
      <c r="R318" s="5" t="n"/>
    </row>
    <row r="319">
      <c r="A319" s="2" t="inlineStr">
        <is>
          <t>EJ050124.TXT</t>
        </is>
      </c>
      <c r="B319" s="3" t="inlineStr">
        <is>
          <t>001450</t>
        </is>
      </c>
      <c r="C319" s="3" t="inlineStr">
        <is>
          <t>000926</t>
        </is>
      </c>
      <c r="D319" s="4" t="n">
        <v>45282</v>
      </c>
      <c r="E319" s="2" t="inlineStr">
        <is>
          <t>16:42</t>
        </is>
      </c>
      <c r="F319" s="5" t="n">
        <v>-37.5</v>
      </c>
      <c r="G319" s="5" t="n"/>
      <c r="H319" s="5" t="n"/>
      <c r="I319" s="5" t="n"/>
      <c r="J319" s="5" t="n">
        <v>-7.5</v>
      </c>
      <c r="K319" s="5" t="n"/>
      <c r="L319" s="5" t="n"/>
      <c r="M319" s="5" t="n"/>
      <c r="N319" s="5" t="n"/>
      <c r="O319" s="5" t="n">
        <v>-45</v>
      </c>
      <c r="P319" s="5" t="n"/>
      <c r="Q319" s="5" t="n">
        <v>-45</v>
      </c>
      <c r="R319" s="5" t="n"/>
    </row>
    <row r="320">
      <c r="A320" s="2" t="inlineStr">
        <is>
          <t>EJ050124.TXT</t>
        </is>
      </c>
      <c r="B320" s="3" t="inlineStr">
        <is>
          <t>001451</t>
        </is>
      </c>
      <c r="C320" s="3" t="inlineStr">
        <is>
          <t>000927</t>
        </is>
      </c>
      <c r="D320" s="4" t="n">
        <v>45286</v>
      </c>
      <c r="E320" s="2" t="inlineStr">
        <is>
          <t>15:13</t>
        </is>
      </c>
      <c r="F320" s="5" t="n">
        <v>-822.5</v>
      </c>
      <c r="G320" s="5" t="n"/>
      <c r="H320" s="5" t="n"/>
      <c r="I320" s="5" t="n"/>
      <c r="J320" s="5" t="n">
        <v>-164.5</v>
      </c>
      <c r="K320" s="5" t="n"/>
      <c r="L320" s="5" t="n"/>
      <c r="M320" s="5" t="n"/>
      <c r="N320" s="5" t="n"/>
      <c r="O320" s="5" t="n">
        <v>-987</v>
      </c>
      <c r="P320" s="5" t="n"/>
      <c r="Q320" s="5" t="n">
        <v>-987</v>
      </c>
      <c r="R320" s="5" t="n"/>
    </row>
    <row r="321">
      <c r="A321" s="2" t="inlineStr">
        <is>
          <t>EJ050124.TXT</t>
        </is>
      </c>
      <c r="B321" s="3" t="inlineStr">
        <is>
          <t>001452</t>
        </is>
      </c>
      <c r="C321" s="3" t="inlineStr">
        <is>
          <t>000928</t>
        </is>
      </c>
      <c r="D321" s="4" t="n">
        <v>45286</v>
      </c>
      <c r="E321" s="2" t="inlineStr">
        <is>
          <t>15:13</t>
        </is>
      </c>
      <c r="F321" s="5" t="n">
        <v>-274.17</v>
      </c>
      <c r="G321" s="5" t="n"/>
      <c r="H321" s="5" t="n"/>
      <c r="I321" s="5" t="n"/>
      <c r="J321" s="5" t="n">
        <v>-54.83</v>
      </c>
      <c r="K321" s="5" t="n"/>
      <c r="L321" s="5" t="n"/>
      <c r="M321" s="5" t="n"/>
      <c r="N321" s="5" t="n"/>
      <c r="O321" s="5" t="n">
        <v>-329</v>
      </c>
      <c r="P321" s="5" t="n"/>
      <c r="Q321" s="5" t="n">
        <v>-329</v>
      </c>
      <c r="R321" s="5" t="n"/>
    </row>
    <row r="322">
      <c r="A322" s="2" t="inlineStr">
        <is>
          <t>EJ050124.TXT</t>
        </is>
      </c>
      <c r="B322" s="3" t="inlineStr">
        <is>
          <t>001453</t>
        </is>
      </c>
      <c r="C322" s="3" t="inlineStr">
        <is>
          <t>000929</t>
        </is>
      </c>
      <c r="D322" s="4" t="n">
        <v>45286</v>
      </c>
      <c r="E322" s="2" t="inlineStr">
        <is>
          <t>15:16</t>
        </is>
      </c>
      <c r="F322" s="5" t="n">
        <v>-248.33</v>
      </c>
      <c r="G322" s="5" t="n"/>
      <c r="H322" s="5" t="n"/>
      <c r="I322" s="5" t="n"/>
      <c r="J322" s="5" t="n">
        <v>-49.67</v>
      </c>
      <c r="K322" s="5" t="n"/>
      <c r="L322" s="5" t="n"/>
      <c r="M322" s="5" t="n"/>
      <c r="N322" s="5" t="n"/>
      <c r="O322" s="5" t="n">
        <v>-298</v>
      </c>
      <c r="P322" s="5" t="n"/>
      <c r="Q322" s="5" t="n">
        <v>-298</v>
      </c>
      <c r="R322" s="5" t="n"/>
    </row>
    <row r="323">
      <c r="A323" s="2" t="inlineStr">
        <is>
          <t>EJ050124.TXT</t>
        </is>
      </c>
      <c r="B323" s="3" t="inlineStr">
        <is>
          <t>001454</t>
        </is>
      </c>
      <c r="C323" s="3" t="inlineStr">
        <is>
          <t>000930</t>
        </is>
      </c>
      <c r="D323" s="4" t="n">
        <v>45287</v>
      </c>
      <c r="E323" s="2" t="inlineStr">
        <is>
          <t>15:07</t>
        </is>
      </c>
      <c r="F323" s="5" t="n">
        <v>-548.33</v>
      </c>
      <c r="G323" s="5" t="n"/>
      <c r="H323" s="5" t="n"/>
      <c r="I323" s="5" t="n"/>
      <c r="J323" s="5" t="n">
        <v>-109.67</v>
      </c>
      <c r="K323" s="5" t="n"/>
      <c r="L323" s="5" t="n"/>
      <c r="M323" s="5" t="n"/>
      <c r="N323" s="5" t="n"/>
      <c r="O323" s="5" t="n">
        <v>-658</v>
      </c>
      <c r="P323" s="5" t="n"/>
      <c r="Q323" s="5" t="n">
        <v>-658</v>
      </c>
      <c r="R323" s="5" t="n"/>
    </row>
    <row r="324">
      <c r="A324" s="2" t="inlineStr">
        <is>
          <t>EJ050124.TXT</t>
        </is>
      </c>
      <c r="B324" s="3" t="inlineStr">
        <is>
          <t>001456</t>
        </is>
      </c>
      <c r="C324" s="3" t="inlineStr">
        <is>
          <t>000931</t>
        </is>
      </c>
      <c r="D324" s="4" t="n">
        <v>45289</v>
      </c>
      <c r="E324" s="2" t="inlineStr">
        <is>
          <t>10:55</t>
        </is>
      </c>
      <c r="F324" s="5" t="n">
        <v>-548.33</v>
      </c>
      <c r="G324" s="5" t="n"/>
      <c r="H324" s="5" t="n"/>
      <c r="I324" s="5" t="n"/>
      <c r="J324" s="5" t="n">
        <v>-109.67</v>
      </c>
      <c r="K324" s="5" t="n"/>
      <c r="L324" s="5" t="n"/>
      <c r="M324" s="5" t="n"/>
      <c r="N324" s="5" t="n"/>
      <c r="O324" s="5" t="n">
        <v>-658</v>
      </c>
      <c r="P324" s="5" t="n"/>
      <c r="Q324" s="5" t="n">
        <v>-658</v>
      </c>
      <c r="R324" s="5" t="n"/>
    </row>
    <row r="325">
      <c r="A325" s="2" t="inlineStr">
        <is>
          <t>EJ050124.TXT</t>
        </is>
      </c>
      <c r="B325" s="3" t="inlineStr">
        <is>
          <t>001457</t>
        </is>
      </c>
      <c r="C325" s="3" t="inlineStr">
        <is>
          <t>000932</t>
        </is>
      </c>
      <c r="D325" s="4" t="n">
        <v>45289</v>
      </c>
      <c r="E325" s="2" t="inlineStr">
        <is>
          <t>13:19</t>
        </is>
      </c>
      <c r="F325" s="5" t="n">
        <v>-548.33</v>
      </c>
      <c r="G325" s="5" t="n"/>
      <c r="H325" s="5" t="n"/>
      <c r="I325" s="5" t="n"/>
      <c r="J325" s="5" t="n">
        <v>-109.67</v>
      </c>
      <c r="K325" s="5" t="n"/>
      <c r="L325" s="5" t="n"/>
      <c r="M325" s="5" t="n"/>
      <c r="N325" s="5" t="n"/>
      <c r="O325" s="5" t="n">
        <v>-658</v>
      </c>
      <c r="P325" s="5" t="n"/>
      <c r="Q325" s="5" t="n">
        <v>-658</v>
      </c>
      <c r="R325" s="5" t="n"/>
    </row>
    <row r="326">
      <c r="A326" s="2" t="inlineStr">
        <is>
          <t>EJ050124.TXT</t>
        </is>
      </c>
      <c r="B326" s="3" t="inlineStr">
        <is>
          <t>001458</t>
        </is>
      </c>
      <c r="C326" s="3" t="inlineStr">
        <is>
          <t>000933</t>
        </is>
      </c>
      <c r="D326" s="4" t="n">
        <v>45289</v>
      </c>
      <c r="E326" s="2" t="inlineStr">
        <is>
          <t>13:31</t>
        </is>
      </c>
      <c r="F326" s="5" t="n">
        <v>-566.67</v>
      </c>
      <c r="G326" s="5" t="n"/>
      <c r="H326" s="5" t="n"/>
      <c r="I326" s="5" t="n"/>
      <c r="J326" s="5" t="n">
        <v>-113.33</v>
      </c>
      <c r="K326" s="5" t="n"/>
      <c r="L326" s="5" t="n"/>
      <c r="M326" s="5" t="n"/>
      <c r="N326" s="5" t="n"/>
      <c r="O326" s="5" t="n">
        <v>-680</v>
      </c>
      <c r="P326" s="5" t="n"/>
      <c r="Q326" s="5" t="n">
        <v>-680</v>
      </c>
      <c r="R326" s="5" t="n"/>
    </row>
    <row r="327">
      <c r="A327" s="2" t="inlineStr">
        <is>
          <t>EJ050124.TXT</t>
        </is>
      </c>
      <c r="B327" s="3" t="inlineStr">
        <is>
          <t>001459</t>
        </is>
      </c>
      <c r="C327" s="3" t="inlineStr">
        <is>
          <t>000934</t>
        </is>
      </c>
      <c r="D327" s="4" t="n">
        <v>45290</v>
      </c>
      <c r="E327" s="2" t="inlineStr">
        <is>
          <t>14:35</t>
        </is>
      </c>
      <c r="F327" s="5" t="n">
        <v>-199.17</v>
      </c>
      <c r="G327" s="5" t="n"/>
      <c r="H327" s="5" t="n"/>
      <c r="I327" s="5" t="n"/>
      <c r="J327" s="5" t="n">
        <v>-39.83</v>
      </c>
      <c r="K327" s="5" t="n"/>
      <c r="L327" s="5" t="n"/>
      <c r="M327" s="5" t="n"/>
      <c r="N327" s="5" t="n"/>
      <c r="O327" s="5" t="n">
        <v>-239</v>
      </c>
      <c r="P327" s="5" t="n"/>
      <c r="Q327" s="5" t="n">
        <v>-239</v>
      </c>
      <c r="R327" s="5" t="n"/>
    </row>
    <row r="328">
      <c r="A328" s="2" t="inlineStr">
        <is>
          <t>EJ050124.TXT</t>
        </is>
      </c>
      <c r="B328" s="3" t="inlineStr">
        <is>
          <t>001460</t>
        </is>
      </c>
      <c r="C328" s="3" t="inlineStr">
        <is>
          <t>000935</t>
        </is>
      </c>
      <c r="D328" s="4" t="n">
        <v>45290</v>
      </c>
      <c r="E328" s="2" t="inlineStr">
        <is>
          <t>15:43</t>
        </is>
      </c>
      <c r="F328" s="5" t="n">
        <v>-548.33</v>
      </c>
      <c r="G328" s="5" t="n"/>
      <c r="H328" s="5" t="n"/>
      <c r="I328" s="5" t="n"/>
      <c r="J328" s="5" t="n">
        <v>-109.67</v>
      </c>
      <c r="K328" s="5" t="n"/>
      <c r="L328" s="5" t="n"/>
      <c r="M328" s="5" t="n"/>
      <c r="N328" s="5" t="n"/>
      <c r="O328" s="5" t="n">
        <v>-658</v>
      </c>
      <c r="P328" s="5" t="n"/>
      <c r="Q328" s="5" t="n">
        <v>-658</v>
      </c>
      <c r="R328" s="5" t="n"/>
    </row>
    <row r="329">
      <c r="A329" s="2" t="inlineStr">
        <is>
          <t>EJ050124.TXT</t>
        </is>
      </c>
      <c r="B329" s="3" t="inlineStr">
        <is>
          <t>001461</t>
        </is>
      </c>
      <c r="C329" s="3" t="inlineStr">
        <is>
          <t>000936</t>
        </is>
      </c>
      <c r="D329" s="4" t="n">
        <v>45290</v>
      </c>
      <c r="E329" s="2" t="inlineStr">
        <is>
          <t>17:01</t>
        </is>
      </c>
      <c r="F329" s="5" t="n">
        <v>-797.5</v>
      </c>
      <c r="G329" s="5" t="n"/>
      <c r="H329" s="5" t="n"/>
      <c r="I329" s="5" t="n"/>
      <c r="J329" s="5" t="n">
        <v>-159.5</v>
      </c>
      <c r="K329" s="5" t="n"/>
      <c r="L329" s="5" t="n"/>
      <c r="M329" s="5" t="n"/>
      <c r="N329" s="5" t="n"/>
      <c r="O329" s="5" t="n">
        <v>-957</v>
      </c>
      <c r="P329" s="5" t="n"/>
      <c r="Q329" s="5" t="n">
        <v>-957</v>
      </c>
      <c r="R329" s="5" t="n"/>
    </row>
    <row r="330">
      <c r="A330" s="2" t="inlineStr">
        <is>
          <t>EJ050124.TXT</t>
        </is>
      </c>
      <c r="B330" s="3" t="inlineStr">
        <is>
          <t>001462</t>
        </is>
      </c>
      <c r="C330" s="3" t="inlineStr">
        <is>
          <t>000937</t>
        </is>
      </c>
      <c r="D330" s="4" t="n">
        <v>45290</v>
      </c>
      <c r="E330" s="2" t="inlineStr">
        <is>
          <t>17:02</t>
        </is>
      </c>
      <c r="F330" s="5" t="n">
        <v>-797.5</v>
      </c>
      <c r="G330" s="5" t="n"/>
      <c r="H330" s="5" t="n"/>
      <c r="I330" s="5" t="n"/>
      <c r="J330" s="5" t="n">
        <v>-159.5</v>
      </c>
      <c r="K330" s="5" t="n"/>
      <c r="L330" s="5" t="n"/>
      <c r="M330" s="5" t="n"/>
      <c r="N330" s="5" t="n"/>
      <c r="O330" s="5" t="n">
        <v>-957</v>
      </c>
      <c r="P330" s="5" t="n"/>
      <c r="Q330" s="5" t="n">
        <v>-957</v>
      </c>
      <c r="R330" s="5" t="n"/>
    </row>
    <row r="331">
      <c r="A331" s="2" t="inlineStr">
        <is>
          <t>EJ050124.TXT</t>
        </is>
      </c>
      <c r="B331" s="3" t="inlineStr">
        <is>
          <t>001465</t>
        </is>
      </c>
      <c r="C331" s="3" t="inlineStr">
        <is>
          <t>000938</t>
        </is>
      </c>
      <c r="D331" s="4" t="n">
        <v>45295</v>
      </c>
      <c r="E331" s="2" t="inlineStr">
        <is>
          <t>17:15</t>
        </is>
      </c>
      <c r="F331" s="5" t="n">
        <v>-146.67</v>
      </c>
      <c r="G331" s="5" t="n"/>
      <c r="H331" s="5" t="n"/>
      <c r="I331" s="5" t="n"/>
      <c r="J331" s="5" t="n">
        <v>-29.33</v>
      </c>
      <c r="K331" s="5" t="n"/>
      <c r="L331" s="5" t="n"/>
      <c r="M331" s="5" t="n"/>
      <c r="N331" s="5" t="n"/>
      <c r="O331" s="5" t="n">
        <v>-176</v>
      </c>
      <c r="P331" s="5" t="n">
        <v>-176</v>
      </c>
      <c r="Q331" s="5" t="n"/>
      <c r="R331" s="5" t="n"/>
    </row>
    <row r="332">
      <c r="A332" s="2" t="inlineStr">
        <is>
          <t>EJ010224.TXT</t>
        </is>
      </c>
      <c r="B332" s="3" t="inlineStr">
        <is>
          <t>001473</t>
        </is>
      </c>
      <c r="C332" s="3" t="inlineStr">
        <is>
          <t>000939</t>
        </is>
      </c>
      <c r="D332" s="4" t="n">
        <v>45297</v>
      </c>
      <c r="E332" s="2" t="inlineStr">
        <is>
          <t>14:08</t>
        </is>
      </c>
      <c r="F332" s="5" t="n">
        <v>274.17</v>
      </c>
      <c r="G332" s="5" t="n"/>
      <c r="H332" s="5" t="n"/>
      <c r="I332" s="5" t="n"/>
      <c r="J332" s="5" t="n">
        <v>54.83</v>
      </c>
      <c r="K332" s="5" t="n"/>
      <c r="L332" s="5" t="n"/>
      <c r="M332" s="5" t="n"/>
      <c r="N332" s="5" t="n"/>
      <c r="O332" s="5" t="n">
        <v>329</v>
      </c>
      <c r="P332" s="5" t="n"/>
      <c r="Q332" s="5" t="n">
        <v>329</v>
      </c>
      <c r="R332" s="5" t="n"/>
    </row>
    <row r="333">
      <c r="A333" s="2" t="inlineStr">
        <is>
          <t>EJ010224.TXT</t>
        </is>
      </c>
      <c r="B333" s="3" t="inlineStr">
        <is>
          <t>001475</t>
        </is>
      </c>
      <c r="C333" s="3" t="inlineStr">
        <is>
          <t>000940</t>
        </is>
      </c>
      <c r="D333" s="4" t="n">
        <v>45300</v>
      </c>
      <c r="E333" s="2" t="inlineStr">
        <is>
          <t>11:25</t>
        </is>
      </c>
      <c r="F333" s="5" t="n">
        <v>124.17</v>
      </c>
      <c r="G333" s="5" t="n"/>
      <c r="H333" s="5" t="n"/>
      <c r="I333" s="5" t="n"/>
      <c r="J333" s="5" t="n">
        <v>24.83</v>
      </c>
      <c r="K333" s="5" t="n"/>
      <c r="L333" s="5" t="n"/>
      <c r="M333" s="5" t="n"/>
      <c r="N333" s="5" t="n"/>
      <c r="O333" s="5" t="n">
        <v>149</v>
      </c>
      <c r="P333" s="5" t="n">
        <v>149</v>
      </c>
      <c r="Q333" s="5" t="n"/>
      <c r="R333" s="5" t="n"/>
    </row>
    <row r="334">
      <c r="A334" s="2" t="inlineStr">
        <is>
          <t>EJ010224.TXT</t>
        </is>
      </c>
      <c r="B334" s="3" t="inlineStr">
        <is>
          <t>001476</t>
        </is>
      </c>
      <c r="C334" s="3" t="inlineStr">
        <is>
          <t>000941</t>
        </is>
      </c>
      <c r="D334" s="4" t="n">
        <v>45300</v>
      </c>
      <c r="E334" s="2" t="inlineStr">
        <is>
          <t>12:16</t>
        </is>
      </c>
      <c r="F334" s="5" t="n">
        <v>548.33</v>
      </c>
      <c r="G334" s="5" t="n"/>
      <c r="H334" s="5" t="n"/>
      <c r="I334" s="5" t="n"/>
      <c r="J334" s="5" t="n">
        <v>109.67</v>
      </c>
      <c r="K334" s="5" t="n"/>
      <c r="L334" s="5" t="n"/>
      <c r="M334" s="5" t="n"/>
      <c r="N334" s="5" t="n"/>
      <c r="O334" s="5" t="n">
        <v>658</v>
      </c>
      <c r="P334" s="5" t="n">
        <v>658</v>
      </c>
      <c r="Q334" s="5" t="n"/>
      <c r="R334" s="5" t="n"/>
    </row>
    <row r="335">
      <c r="A335" s="2" t="inlineStr">
        <is>
          <t>EJ010224.TXT</t>
        </is>
      </c>
      <c r="B335" s="3" t="inlineStr">
        <is>
          <t>001477</t>
        </is>
      </c>
      <c r="C335" s="3" t="inlineStr">
        <is>
          <t>000942</t>
        </is>
      </c>
      <c r="D335" s="4" t="n">
        <v>45302</v>
      </c>
      <c r="E335" s="2" t="inlineStr">
        <is>
          <t>13:05</t>
        </is>
      </c>
      <c r="F335" s="5" t="n">
        <v>1913.33</v>
      </c>
      <c r="G335" s="5" t="n"/>
      <c r="H335" s="5" t="n"/>
      <c r="I335" s="5" t="n"/>
      <c r="J335" s="5" t="n">
        <v>382.67</v>
      </c>
      <c r="K335" s="5" t="n"/>
      <c r="L335" s="5" t="n"/>
      <c r="M335" s="5" t="n"/>
      <c r="N335" s="5" t="n"/>
      <c r="O335" s="5" t="n">
        <v>2296</v>
      </c>
      <c r="P335" s="5" t="n">
        <v>2296</v>
      </c>
      <c r="Q335" s="5" t="n"/>
      <c r="R335" s="5" t="n"/>
    </row>
    <row r="336">
      <c r="A336" s="2" t="inlineStr">
        <is>
          <t>EJ010224.TXT</t>
        </is>
      </c>
      <c r="B336" s="3" t="inlineStr">
        <is>
          <t>001478</t>
        </is>
      </c>
      <c r="C336" s="3" t="inlineStr">
        <is>
          <t>000943</t>
        </is>
      </c>
      <c r="D336" s="4" t="n">
        <v>45302</v>
      </c>
      <c r="E336" s="2" t="inlineStr">
        <is>
          <t>13:46</t>
        </is>
      </c>
      <c r="F336" s="5" t="n">
        <v>1296.67</v>
      </c>
      <c r="G336" s="5" t="n"/>
      <c r="H336" s="5" t="n"/>
      <c r="I336" s="5" t="n"/>
      <c r="J336" s="5" t="n">
        <v>259.33</v>
      </c>
      <c r="K336" s="5" t="n"/>
      <c r="L336" s="5" t="n"/>
      <c r="M336" s="5" t="n"/>
      <c r="N336" s="5" t="n"/>
      <c r="O336" s="5" t="n">
        <v>1556</v>
      </c>
      <c r="P336" s="5" t="n">
        <v>1556</v>
      </c>
      <c r="Q336" s="5" t="n"/>
      <c r="R336" s="5" t="n"/>
    </row>
    <row r="337">
      <c r="A337" s="2" t="inlineStr">
        <is>
          <t>EJ010224.TXT</t>
        </is>
      </c>
      <c r="B337" s="3" t="inlineStr">
        <is>
          <t>001479</t>
        </is>
      </c>
      <c r="C337" s="3" t="inlineStr">
        <is>
          <t>000944</t>
        </is>
      </c>
      <c r="D337" s="4" t="n">
        <v>45302</v>
      </c>
      <c r="E337" s="2" t="inlineStr">
        <is>
          <t>15:37</t>
        </is>
      </c>
      <c r="F337" s="5" t="n">
        <v>29.08</v>
      </c>
      <c r="G337" s="5" t="n"/>
      <c r="H337" s="5" t="n"/>
      <c r="I337" s="5" t="n"/>
      <c r="J337" s="5" t="n">
        <v>5.82</v>
      </c>
      <c r="K337" s="5" t="n"/>
      <c r="L337" s="5" t="n"/>
      <c r="M337" s="5" t="n"/>
      <c r="N337" s="5" t="n"/>
      <c r="O337" s="5" t="n">
        <v>34.9</v>
      </c>
      <c r="P337" s="5" t="n">
        <v>34.9</v>
      </c>
      <c r="Q337" s="5" t="n"/>
      <c r="R337" s="5" t="n"/>
    </row>
    <row r="338">
      <c r="A338" s="2" t="inlineStr">
        <is>
          <t>EJ010224.TXT</t>
        </is>
      </c>
      <c r="B338" s="3" t="inlineStr">
        <is>
          <t>001480</t>
        </is>
      </c>
      <c r="C338" s="3" t="inlineStr">
        <is>
          <t>000945</t>
        </is>
      </c>
      <c r="D338" s="4" t="n">
        <v>45303</v>
      </c>
      <c r="E338" s="2" t="inlineStr">
        <is>
          <t>16:31</t>
        </is>
      </c>
      <c r="F338" s="5" t="n">
        <v>90.83</v>
      </c>
      <c r="G338" s="5" t="n"/>
      <c r="H338" s="5" t="n"/>
      <c r="I338" s="5" t="n"/>
      <c r="J338" s="5" t="n">
        <v>18.17</v>
      </c>
      <c r="K338" s="5" t="n"/>
      <c r="L338" s="5" t="n"/>
      <c r="M338" s="5" t="n"/>
      <c r="N338" s="5" t="n"/>
      <c r="O338" s="5" t="n">
        <v>109</v>
      </c>
      <c r="P338" s="5" t="n"/>
      <c r="Q338" s="5" t="n">
        <v>109</v>
      </c>
      <c r="R338" s="5" t="n"/>
    </row>
    <row r="339">
      <c r="A339" s="2" t="inlineStr">
        <is>
          <t>EJ010224.TXT</t>
        </is>
      </c>
      <c r="B339" s="3" t="inlineStr">
        <is>
          <t>001481</t>
        </is>
      </c>
      <c r="C339" s="3" t="inlineStr">
        <is>
          <t>000946</t>
        </is>
      </c>
      <c r="D339" s="4" t="n">
        <v>45303</v>
      </c>
      <c r="E339" s="2" t="inlineStr">
        <is>
          <t>17:05</t>
        </is>
      </c>
      <c r="F339" s="5" t="n">
        <v>548.33</v>
      </c>
      <c r="G339" s="5" t="n"/>
      <c r="H339" s="5" t="n"/>
      <c r="I339" s="5" t="n"/>
      <c r="J339" s="5" t="n">
        <v>109.67</v>
      </c>
      <c r="K339" s="5" t="n"/>
      <c r="L339" s="5" t="n"/>
      <c r="M339" s="5" t="n"/>
      <c r="N339" s="5" t="n"/>
      <c r="O339" s="5" t="n">
        <v>658</v>
      </c>
      <c r="P339" s="5" t="n">
        <v>658</v>
      </c>
      <c r="Q339" s="5" t="n"/>
      <c r="R339" s="5" t="n"/>
    </row>
    <row r="340">
      <c r="A340" s="2" t="inlineStr">
        <is>
          <t>EJ010224.TXT</t>
        </is>
      </c>
      <c r="B340" s="3" t="inlineStr">
        <is>
          <t>001482</t>
        </is>
      </c>
      <c r="C340" s="3" t="inlineStr">
        <is>
          <t>000947</t>
        </is>
      </c>
      <c r="D340" s="4" t="n">
        <v>45303</v>
      </c>
      <c r="E340" s="2" t="inlineStr">
        <is>
          <t>17:14</t>
        </is>
      </c>
      <c r="F340" s="5" t="n">
        <v>548.33</v>
      </c>
      <c r="G340" s="5" t="n"/>
      <c r="H340" s="5" t="n"/>
      <c r="I340" s="5" t="n"/>
      <c r="J340" s="5" t="n">
        <v>109.67</v>
      </c>
      <c r="K340" s="5" t="n"/>
      <c r="L340" s="5" t="n"/>
      <c r="M340" s="5" t="n"/>
      <c r="N340" s="5" t="n"/>
      <c r="O340" s="5" t="n">
        <v>658</v>
      </c>
      <c r="P340" s="5" t="n">
        <v>658</v>
      </c>
      <c r="Q340" s="5" t="n"/>
      <c r="R340" s="5" t="n"/>
    </row>
    <row r="341">
      <c r="A341" s="2" t="inlineStr">
        <is>
          <t>EJ010224.TXT</t>
        </is>
      </c>
      <c r="B341" s="3" t="inlineStr">
        <is>
          <t>001484</t>
        </is>
      </c>
      <c r="C341" s="3" t="inlineStr">
        <is>
          <t>000948</t>
        </is>
      </c>
      <c r="D341" s="4" t="n">
        <v>45309</v>
      </c>
      <c r="E341" s="2" t="inlineStr">
        <is>
          <t>14:04</t>
        </is>
      </c>
      <c r="F341" s="5" t="n">
        <v>1732.5</v>
      </c>
      <c r="G341" s="5" t="n"/>
      <c r="H341" s="5" t="n"/>
      <c r="I341" s="5" t="n"/>
      <c r="J341" s="5" t="n">
        <v>346.5</v>
      </c>
      <c r="K341" s="5" t="n"/>
      <c r="L341" s="5" t="n"/>
      <c r="M341" s="5" t="n"/>
      <c r="N341" s="5" t="n"/>
      <c r="O341" s="5" t="n">
        <v>2079</v>
      </c>
      <c r="P341" s="5" t="n">
        <v>2079</v>
      </c>
      <c r="Q341" s="5" t="n"/>
      <c r="R341" s="5" t="n"/>
    </row>
    <row r="342">
      <c r="A342" s="2" t="inlineStr">
        <is>
          <t>EJ010224.TXT</t>
        </is>
      </c>
      <c r="B342" s="3" t="inlineStr">
        <is>
          <t>001485</t>
        </is>
      </c>
      <c r="C342" s="3" t="inlineStr">
        <is>
          <t>000949</t>
        </is>
      </c>
      <c r="D342" s="4" t="n">
        <v>45310</v>
      </c>
      <c r="E342" s="2" t="inlineStr">
        <is>
          <t>12:41</t>
        </is>
      </c>
      <c r="F342" s="5" t="n">
        <v>3200</v>
      </c>
      <c r="G342" s="5" t="n"/>
      <c r="H342" s="5" t="n"/>
      <c r="I342" s="5" t="n"/>
      <c r="J342" s="5" t="n">
        <v>640</v>
      </c>
      <c r="K342" s="5" t="n"/>
      <c r="L342" s="5" t="n"/>
      <c r="M342" s="5" t="n"/>
      <c r="N342" s="5" t="n"/>
      <c r="O342" s="5" t="n">
        <v>3840</v>
      </c>
      <c r="P342" s="5" t="n">
        <v>3840</v>
      </c>
      <c r="Q342" s="5" t="n"/>
      <c r="R342" s="5" t="n"/>
    </row>
    <row r="343">
      <c r="A343" s="2" t="inlineStr">
        <is>
          <t>EJ010224.TXT</t>
        </is>
      </c>
      <c r="B343" s="3" t="inlineStr">
        <is>
          <t>001486</t>
        </is>
      </c>
      <c r="C343" s="3" t="inlineStr">
        <is>
          <t>000950</t>
        </is>
      </c>
      <c r="D343" s="4" t="n">
        <v>45310</v>
      </c>
      <c r="E343" s="2" t="inlineStr">
        <is>
          <t>12:41</t>
        </is>
      </c>
      <c r="F343" s="5" t="n">
        <v>1066.67</v>
      </c>
      <c r="G343" s="5" t="n"/>
      <c r="H343" s="5" t="n"/>
      <c r="I343" s="5" t="n"/>
      <c r="J343" s="5" t="n">
        <v>213.33</v>
      </c>
      <c r="K343" s="5" t="n"/>
      <c r="L343" s="5" t="n"/>
      <c r="M343" s="5" t="n"/>
      <c r="N343" s="5" t="n"/>
      <c r="O343" s="5" t="n">
        <v>1280</v>
      </c>
      <c r="P343" s="5" t="n">
        <v>1280</v>
      </c>
      <c r="Q343" s="5" t="n"/>
      <c r="R343" s="5" t="n"/>
    </row>
    <row r="344">
      <c r="A344" s="2" t="inlineStr">
        <is>
          <t>EJ010224.TXT</t>
        </is>
      </c>
      <c r="B344" s="3" t="inlineStr">
        <is>
          <t>001487</t>
        </is>
      </c>
      <c r="C344" s="3" t="inlineStr">
        <is>
          <t>000951</t>
        </is>
      </c>
      <c r="D344" s="4" t="n">
        <v>45310</v>
      </c>
      <c r="E344" s="2" t="inlineStr">
        <is>
          <t>13:59</t>
        </is>
      </c>
      <c r="F344" s="5" t="n">
        <v>57.5</v>
      </c>
      <c r="G344" s="5" t="n"/>
      <c r="H344" s="5" t="n"/>
      <c r="I344" s="5" t="n"/>
      <c r="J344" s="5" t="n">
        <v>11.5</v>
      </c>
      <c r="K344" s="5" t="n"/>
      <c r="L344" s="5" t="n"/>
      <c r="M344" s="5" t="n"/>
      <c r="N344" s="5" t="n"/>
      <c r="O344" s="5" t="n">
        <v>69</v>
      </c>
      <c r="P344" s="5" t="n">
        <v>69</v>
      </c>
      <c r="Q344" s="5" t="n"/>
      <c r="R344" s="5" t="n"/>
    </row>
    <row r="345">
      <c r="A345" s="2" t="inlineStr">
        <is>
          <t>EJ010224.TXT</t>
        </is>
      </c>
      <c r="B345" s="3" t="inlineStr">
        <is>
          <t>001488</t>
        </is>
      </c>
      <c r="C345" s="3" t="inlineStr">
        <is>
          <t>000952</t>
        </is>
      </c>
      <c r="D345" s="4" t="n">
        <v>45311</v>
      </c>
      <c r="E345" s="2" t="inlineStr">
        <is>
          <t>14:59</t>
        </is>
      </c>
      <c r="F345" s="5" t="n">
        <v>548.33</v>
      </c>
      <c r="G345" s="5" t="n"/>
      <c r="H345" s="5" t="n"/>
      <c r="I345" s="5" t="n"/>
      <c r="J345" s="5" t="n">
        <v>109.67</v>
      </c>
      <c r="K345" s="5" t="n"/>
      <c r="L345" s="5" t="n"/>
      <c r="M345" s="5" t="n"/>
      <c r="N345" s="5" t="n"/>
      <c r="O345" s="5" t="n">
        <v>658</v>
      </c>
      <c r="P345" s="5" t="n">
        <v>658</v>
      </c>
      <c r="Q345" s="5" t="n"/>
      <c r="R345" s="5" t="n"/>
    </row>
    <row r="346">
      <c r="A346" s="2" t="inlineStr">
        <is>
          <t>EJ010224.TXT</t>
        </is>
      </c>
      <c r="B346" s="3" t="inlineStr">
        <is>
          <t>001489</t>
        </is>
      </c>
      <c r="C346" s="3" t="inlineStr">
        <is>
          <t>000953</t>
        </is>
      </c>
      <c r="D346" s="4" t="n">
        <v>45311</v>
      </c>
      <c r="E346" s="2" t="inlineStr">
        <is>
          <t>15:19</t>
        </is>
      </c>
      <c r="F346" s="5" t="n">
        <v>82.5</v>
      </c>
      <c r="G346" s="5" t="n"/>
      <c r="H346" s="5" t="n"/>
      <c r="I346" s="5" t="n"/>
      <c r="J346" s="5" t="n">
        <v>16.5</v>
      </c>
      <c r="K346" s="5" t="n"/>
      <c r="L346" s="5" t="n"/>
      <c r="M346" s="5" t="n"/>
      <c r="N346" s="5" t="n"/>
      <c r="O346" s="5" t="n">
        <v>99</v>
      </c>
      <c r="P346" s="5" t="n">
        <v>99</v>
      </c>
      <c r="Q346" s="5" t="n"/>
      <c r="R346" s="5" t="n"/>
    </row>
    <row r="347">
      <c r="A347" s="2" t="inlineStr">
        <is>
          <t>EJ010224.TXT</t>
        </is>
      </c>
      <c r="B347" s="3" t="inlineStr">
        <is>
          <t>001490</t>
        </is>
      </c>
      <c r="C347" s="3" t="inlineStr">
        <is>
          <t>000954</t>
        </is>
      </c>
      <c r="D347" s="4" t="n">
        <v>45311</v>
      </c>
      <c r="E347" s="2" t="inlineStr">
        <is>
          <t>17:16</t>
        </is>
      </c>
      <c r="F347" s="5" t="n">
        <v>274.17</v>
      </c>
      <c r="G347" s="5" t="n"/>
      <c r="H347" s="5" t="n"/>
      <c r="I347" s="5" t="n"/>
      <c r="J347" s="5" t="n">
        <v>54.83</v>
      </c>
      <c r="K347" s="5" t="n"/>
      <c r="L347" s="5" t="n"/>
      <c r="M347" s="5" t="n"/>
      <c r="N347" s="5" t="n"/>
      <c r="O347" s="5" t="n">
        <v>329</v>
      </c>
      <c r="P347" s="5" t="n">
        <v>329</v>
      </c>
      <c r="Q347" s="5" t="n"/>
      <c r="R347" s="5" t="n"/>
    </row>
    <row r="348">
      <c r="A348" s="2" t="inlineStr">
        <is>
          <t>EJ010224.TXT</t>
        </is>
      </c>
      <c r="B348" s="3" t="inlineStr">
        <is>
          <t>001491</t>
        </is>
      </c>
      <c r="C348" s="3" t="inlineStr">
        <is>
          <t>000955</t>
        </is>
      </c>
      <c r="D348" s="4" t="n">
        <v>45314</v>
      </c>
      <c r="E348" s="2" t="inlineStr">
        <is>
          <t>14:49</t>
        </is>
      </c>
      <c r="F348" s="5" t="n">
        <v>124.17</v>
      </c>
      <c r="G348" s="5" t="n"/>
      <c r="H348" s="5" t="n"/>
      <c r="I348" s="5" t="n"/>
      <c r="J348" s="5" t="n">
        <v>24.83</v>
      </c>
      <c r="K348" s="5" t="n"/>
      <c r="L348" s="5" t="n"/>
      <c r="M348" s="5" t="n"/>
      <c r="N348" s="5" t="n"/>
      <c r="O348" s="5" t="n">
        <v>149</v>
      </c>
      <c r="P348" s="5" t="n">
        <v>94</v>
      </c>
      <c r="Q348" s="5" t="n">
        <v>55</v>
      </c>
      <c r="R348" s="5" t="n"/>
    </row>
    <row r="349">
      <c r="A349" s="2" t="inlineStr">
        <is>
          <t>EJ010224.TXT</t>
        </is>
      </c>
      <c r="B349" s="3" t="inlineStr">
        <is>
          <t>001492</t>
        </is>
      </c>
      <c r="C349" s="3" t="inlineStr">
        <is>
          <t>000956</t>
        </is>
      </c>
      <c r="D349" s="4" t="n">
        <v>45317</v>
      </c>
      <c r="E349" s="2" t="inlineStr">
        <is>
          <t>16:10</t>
        </is>
      </c>
      <c r="F349" s="5" t="n">
        <v>822.5</v>
      </c>
      <c r="G349" s="5" t="n"/>
      <c r="H349" s="5" t="n"/>
      <c r="I349" s="5" t="n"/>
      <c r="J349" s="5" t="n">
        <v>164.5</v>
      </c>
      <c r="K349" s="5" t="n"/>
      <c r="L349" s="5" t="n"/>
      <c r="M349" s="5" t="n"/>
      <c r="N349" s="5" t="n"/>
      <c r="O349" s="5" t="n">
        <v>987</v>
      </c>
      <c r="P349" s="5" t="n">
        <v>987</v>
      </c>
      <c r="Q349" s="5" t="n"/>
      <c r="R349" s="5" t="n"/>
    </row>
    <row r="350">
      <c r="A350" s="2" t="inlineStr">
        <is>
          <t>EJ010224.TXT</t>
        </is>
      </c>
      <c r="B350" s="3" t="inlineStr">
        <is>
          <t>001493</t>
        </is>
      </c>
      <c r="C350" s="3" t="inlineStr">
        <is>
          <t>000957</t>
        </is>
      </c>
      <c r="D350" s="4" t="n">
        <v>45318</v>
      </c>
      <c r="E350" s="2" t="inlineStr">
        <is>
          <t>14:32</t>
        </is>
      </c>
      <c r="F350" s="5" t="n">
        <v>1096.67</v>
      </c>
      <c r="G350" s="5" t="n"/>
      <c r="H350" s="5" t="n"/>
      <c r="I350" s="5" t="n"/>
      <c r="J350" s="5" t="n">
        <v>219.33</v>
      </c>
      <c r="K350" s="5" t="n"/>
      <c r="L350" s="5" t="n"/>
      <c r="M350" s="5" t="n"/>
      <c r="N350" s="5" t="n"/>
      <c r="O350" s="5" t="n">
        <v>1316</v>
      </c>
      <c r="P350" s="5" t="n">
        <v>1316</v>
      </c>
      <c r="Q350" s="5" t="n"/>
      <c r="R350" s="5" t="n"/>
    </row>
    <row r="351">
      <c r="A351" s="2" t="inlineStr">
        <is>
          <t>EJ010224.TXT</t>
        </is>
      </c>
      <c r="B351" s="3" t="inlineStr">
        <is>
          <t>001494</t>
        </is>
      </c>
      <c r="C351" s="3" t="inlineStr">
        <is>
          <t>000958</t>
        </is>
      </c>
      <c r="D351" s="4" t="n">
        <v>45318</v>
      </c>
      <c r="E351" s="2" t="inlineStr">
        <is>
          <t>16:20</t>
        </is>
      </c>
      <c r="F351" s="5" t="n">
        <v>274.17</v>
      </c>
      <c r="G351" s="5" t="n"/>
      <c r="H351" s="5" t="n"/>
      <c r="I351" s="5" t="n"/>
      <c r="J351" s="5" t="n">
        <v>54.83</v>
      </c>
      <c r="K351" s="5" t="n"/>
      <c r="L351" s="5" t="n"/>
      <c r="M351" s="5" t="n"/>
      <c r="N351" s="5" t="n"/>
      <c r="O351" s="5" t="n">
        <v>329</v>
      </c>
      <c r="P351" s="5" t="n">
        <v>329</v>
      </c>
      <c r="Q351" s="5" t="n"/>
      <c r="R351" s="5" t="n"/>
    </row>
    <row r="352">
      <c r="A352" s="2" t="inlineStr">
        <is>
          <t>EJ010224.TXT</t>
        </is>
      </c>
      <c r="B352" s="3" t="inlineStr">
        <is>
          <t>001495</t>
        </is>
      </c>
      <c r="C352" s="3" t="inlineStr">
        <is>
          <t>000959</t>
        </is>
      </c>
      <c r="D352" s="4" t="n">
        <v>45318</v>
      </c>
      <c r="E352" s="2" t="inlineStr">
        <is>
          <t>16:59</t>
        </is>
      </c>
      <c r="F352" s="5" t="n">
        <v>548.33</v>
      </c>
      <c r="G352" s="5" t="n"/>
      <c r="H352" s="5" t="n"/>
      <c r="I352" s="5" t="n"/>
      <c r="J352" s="5" t="n">
        <v>109.67</v>
      </c>
      <c r="K352" s="5" t="n"/>
      <c r="L352" s="5" t="n"/>
      <c r="M352" s="5" t="n"/>
      <c r="N352" s="5" t="n"/>
      <c r="O352" s="5" t="n">
        <v>658</v>
      </c>
      <c r="P352" s="5" t="n">
        <v>658</v>
      </c>
      <c r="Q352" s="5" t="n"/>
      <c r="R352" s="5" t="n"/>
    </row>
    <row r="353">
      <c r="A353" s="2" t="inlineStr">
        <is>
          <t>EJ010224.TXT</t>
        </is>
      </c>
      <c r="B353" s="3" t="inlineStr">
        <is>
          <t>001496</t>
        </is>
      </c>
      <c r="C353" s="3" t="inlineStr">
        <is>
          <t>000960</t>
        </is>
      </c>
      <c r="D353" s="4" t="n">
        <v>45318</v>
      </c>
      <c r="E353" s="2" t="inlineStr">
        <is>
          <t>17:17</t>
        </is>
      </c>
      <c r="F353" s="5" t="n">
        <v>603.33</v>
      </c>
      <c r="G353" s="5" t="n"/>
      <c r="H353" s="5" t="n"/>
      <c r="I353" s="5" t="n"/>
      <c r="J353" s="5" t="n">
        <v>120.67</v>
      </c>
      <c r="K353" s="5" t="n"/>
      <c r="L353" s="5" t="n"/>
      <c r="M353" s="5" t="n"/>
      <c r="N353" s="5" t="n"/>
      <c r="O353" s="5" t="n">
        <v>724</v>
      </c>
      <c r="P353" s="5" t="n">
        <v>724</v>
      </c>
      <c r="Q353" s="5" t="n"/>
      <c r="R353" s="5" t="n"/>
    </row>
    <row r="354">
      <c r="A354" s="2" t="inlineStr">
        <is>
          <t>EJ010224.TXT</t>
        </is>
      </c>
      <c r="B354" s="3" t="inlineStr">
        <is>
          <t>001497</t>
        </is>
      </c>
      <c r="C354" s="3" t="inlineStr">
        <is>
          <t>000961</t>
        </is>
      </c>
      <c r="D354" s="4" t="n">
        <v>45318</v>
      </c>
      <c r="E354" s="2" t="inlineStr">
        <is>
          <t>17:23</t>
        </is>
      </c>
      <c r="F354" s="5" t="n">
        <v>91.5</v>
      </c>
      <c r="G354" s="5" t="n"/>
      <c r="H354" s="5" t="n"/>
      <c r="I354" s="5" t="n"/>
      <c r="J354" s="5" t="n">
        <v>18.3</v>
      </c>
      <c r="K354" s="5" t="n"/>
      <c r="L354" s="5" t="n"/>
      <c r="M354" s="5" t="n"/>
      <c r="N354" s="5" t="n"/>
      <c r="O354" s="5" t="n">
        <v>109.8</v>
      </c>
      <c r="P354" s="5" t="n">
        <v>109.8</v>
      </c>
      <c r="Q354" s="5" t="n"/>
      <c r="R354" s="5" t="n"/>
    </row>
    <row r="355">
      <c r="A355" s="2" t="inlineStr">
        <is>
          <t>EJ010224.TXT</t>
        </is>
      </c>
      <c r="B355" s="3" t="inlineStr">
        <is>
          <t>001498</t>
        </is>
      </c>
      <c r="C355" s="3" t="inlineStr">
        <is>
          <t>000962</t>
        </is>
      </c>
      <c r="D355" s="4" t="n">
        <v>45320</v>
      </c>
      <c r="E355" s="2" t="inlineStr">
        <is>
          <t>14:52</t>
        </is>
      </c>
      <c r="F355" s="5" t="n">
        <v>73.33</v>
      </c>
      <c r="G355" s="5" t="n"/>
      <c r="H355" s="5" t="n"/>
      <c r="I355" s="5" t="n"/>
      <c r="J355" s="5" t="n">
        <v>14.67</v>
      </c>
      <c r="K355" s="5" t="n"/>
      <c r="L355" s="5" t="n"/>
      <c r="M355" s="5" t="n"/>
      <c r="N355" s="5" t="n"/>
      <c r="O355" s="5" t="n">
        <v>88</v>
      </c>
      <c r="P355" s="5" t="n">
        <v>88</v>
      </c>
      <c r="Q355" s="5" t="n"/>
      <c r="R355" s="5" t="n"/>
    </row>
    <row r="356">
      <c r="A356" s="2" t="inlineStr">
        <is>
          <t>EJ010224.TXT</t>
        </is>
      </c>
      <c r="B356" s="3" t="inlineStr">
        <is>
          <t>001499</t>
        </is>
      </c>
      <c r="C356" s="3" t="inlineStr">
        <is>
          <t>000963</t>
        </is>
      </c>
      <c r="D356" s="4" t="n">
        <v>45321</v>
      </c>
      <c r="E356" s="2" t="inlineStr">
        <is>
          <t>15:29</t>
        </is>
      </c>
      <c r="F356" s="5" t="n">
        <v>548.33</v>
      </c>
      <c r="G356" s="5" t="n"/>
      <c r="H356" s="5" t="n"/>
      <c r="I356" s="5" t="n"/>
      <c r="J356" s="5" t="n">
        <v>109.67</v>
      </c>
      <c r="K356" s="5" t="n"/>
      <c r="L356" s="5" t="n"/>
      <c r="M356" s="5" t="n"/>
      <c r="N356" s="5" t="n"/>
      <c r="O356" s="5" t="n">
        <v>658</v>
      </c>
      <c r="P356" s="5" t="n">
        <v>658</v>
      </c>
      <c r="Q356" s="5" t="n"/>
      <c r="R356" s="5" t="n"/>
    </row>
    <row r="357">
      <c r="A357" s="2" t="inlineStr">
        <is>
          <t>EJ010224.TXT</t>
        </is>
      </c>
      <c r="B357" s="3" t="inlineStr">
        <is>
          <t>001500</t>
        </is>
      </c>
      <c r="C357" s="3" t="inlineStr">
        <is>
          <t>000964</t>
        </is>
      </c>
      <c r="D357" s="4" t="n">
        <v>45321</v>
      </c>
      <c r="E357" s="2" t="inlineStr">
        <is>
          <t>17:41</t>
        </is>
      </c>
      <c r="F357" s="5" t="n">
        <v>548.33</v>
      </c>
      <c r="G357" s="5" t="n"/>
      <c r="H357" s="5" t="n"/>
      <c r="I357" s="5" t="n"/>
      <c r="J357" s="5" t="n">
        <v>109.67</v>
      </c>
      <c r="K357" s="5" t="n"/>
      <c r="L357" s="5" t="n"/>
      <c r="M357" s="5" t="n"/>
      <c r="N357" s="5" t="n"/>
      <c r="O357" s="5" t="n">
        <v>658</v>
      </c>
      <c r="P357" s="5" t="n">
        <v>658</v>
      </c>
      <c r="Q357" s="5" t="n"/>
      <c r="R357" s="5" t="n"/>
    </row>
    <row r="358">
      <c r="A358" s="2" t="inlineStr">
        <is>
          <t>EJ010224.TXT</t>
        </is>
      </c>
      <c r="B358" s="3" t="inlineStr">
        <is>
          <t>001503</t>
        </is>
      </c>
      <c r="C358" s="3" t="inlineStr">
        <is>
          <t>000965</t>
        </is>
      </c>
      <c r="D358" s="4" t="n">
        <v>45322</v>
      </c>
      <c r="E358" s="2" t="inlineStr">
        <is>
          <t>11:00</t>
        </is>
      </c>
      <c r="F358" s="5" t="n">
        <v>175</v>
      </c>
      <c r="G358" s="5" t="n"/>
      <c r="H358" s="5" t="n"/>
      <c r="I358" s="5" t="n"/>
      <c r="J358" s="5" t="n">
        <v>35</v>
      </c>
      <c r="K358" s="5" t="n"/>
      <c r="L358" s="5" t="n"/>
      <c r="M358" s="5" t="n"/>
      <c r="N358" s="5" t="n"/>
      <c r="O358" s="5" t="n">
        <v>210</v>
      </c>
      <c r="P358" s="5" t="n"/>
      <c r="Q358" s="5" t="n">
        <v>210</v>
      </c>
      <c r="R358" s="5" t="n"/>
    </row>
    <row r="359">
      <c r="A359" s="2" t="inlineStr">
        <is>
          <t>EJ010324.TXT</t>
        </is>
      </c>
      <c r="B359" s="3" t="inlineStr">
        <is>
          <t>001509</t>
        </is>
      </c>
      <c r="C359" s="3" t="inlineStr">
        <is>
          <t>000966</t>
        </is>
      </c>
      <c r="D359" s="4" t="n">
        <v>45323</v>
      </c>
      <c r="E359" s="2" t="inlineStr">
        <is>
          <t>11:10</t>
        </is>
      </c>
      <c r="F359" s="5" t="n">
        <v>1645</v>
      </c>
      <c r="G359" s="5" t="n"/>
      <c r="H359" s="5" t="n"/>
      <c r="I359" s="5" t="n"/>
      <c r="J359" s="5" t="n">
        <v>329</v>
      </c>
      <c r="K359" s="5" t="n"/>
      <c r="L359" s="5" t="n"/>
      <c r="M359" s="5" t="n"/>
      <c r="N359" s="5" t="n"/>
      <c r="O359" s="5" t="n">
        <v>1974</v>
      </c>
      <c r="P359" s="5" t="n">
        <v>1974</v>
      </c>
      <c r="Q359" s="5" t="n"/>
      <c r="R359" s="5" t="n"/>
    </row>
    <row r="360">
      <c r="A360" s="2" t="inlineStr">
        <is>
          <t>EJ010324.TXT</t>
        </is>
      </c>
      <c r="B360" s="3" t="inlineStr">
        <is>
          <t>001510</t>
        </is>
      </c>
      <c r="C360" s="3" t="inlineStr">
        <is>
          <t>000967</t>
        </is>
      </c>
      <c r="D360" s="4" t="n">
        <v>45323</v>
      </c>
      <c r="E360" s="2" t="inlineStr">
        <is>
          <t>14:37</t>
        </is>
      </c>
      <c r="F360" s="5" t="n">
        <v>199.17</v>
      </c>
      <c r="G360" s="5" t="n"/>
      <c r="H360" s="5" t="n"/>
      <c r="I360" s="5" t="n"/>
      <c r="J360" s="5" t="n">
        <v>39.83</v>
      </c>
      <c r="K360" s="5" t="n"/>
      <c r="L360" s="5" t="n"/>
      <c r="M360" s="5" t="n"/>
      <c r="N360" s="5" t="n"/>
      <c r="O360" s="5" t="n">
        <v>239</v>
      </c>
      <c r="P360" s="5" t="n"/>
      <c r="Q360" s="5" t="n">
        <v>239</v>
      </c>
      <c r="R360" s="5" t="n"/>
    </row>
    <row r="361">
      <c r="A361" s="2" t="inlineStr">
        <is>
          <t>EJ010324.TXT</t>
        </is>
      </c>
      <c r="B361" s="3" t="inlineStr">
        <is>
          <t>001511</t>
        </is>
      </c>
      <c r="C361" s="3" t="inlineStr">
        <is>
          <t>000968</t>
        </is>
      </c>
      <c r="D361" s="4" t="n">
        <v>45323</v>
      </c>
      <c r="E361" s="2" t="inlineStr">
        <is>
          <t>16:17</t>
        </is>
      </c>
      <c r="F361" s="5" t="n">
        <v>531.67</v>
      </c>
      <c r="G361" s="5" t="n"/>
      <c r="H361" s="5" t="n"/>
      <c r="I361" s="5" t="n"/>
      <c r="J361" s="5" t="n">
        <v>106.33</v>
      </c>
      <c r="K361" s="5" t="n"/>
      <c r="L361" s="5" t="n"/>
      <c r="M361" s="5" t="n"/>
      <c r="N361" s="5" t="n"/>
      <c r="O361" s="5" t="n">
        <v>638</v>
      </c>
      <c r="P361" s="5" t="n">
        <v>638</v>
      </c>
      <c r="Q361" s="5" t="n"/>
      <c r="R361" s="5" t="n"/>
    </row>
    <row r="362">
      <c r="A362" s="2" t="inlineStr">
        <is>
          <t>EJ010324.TXT</t>
        </is>
      </c>
      <c r="B362" s="3" t="inlineStr">
        <is>
          <t>001515</t>
        </is>
      </c>
      <c r="C362" s="3" t="inlineStr">
        <is>
          <t>000969</t>
        </is>
      </c>
      <c r="D362" s="4" t="n">
        <v>45324</v>
      </c>
      <c r="E362" s="2" t="inlineStr">
        <is>
          <t>16:46</t>
        </is>
      </c>
      <c r="F362" s="5" t="n">
        <v>190.83</v>
      </c>
      <c r="G362" s="5" t="n"/>
      <c r="H362" s="5" t="n"/>
      <c r="I362" s="5" t="n"/>
      <c r="J362" s="5" t="n">
        <v>38.17</v>
      </c>
      <c r="K362" s="5" t="n"/>
      <c r="L362" s="5" t="n"/>
      <c r="M362" s="5" t="n"/>
      <c r="N362" s="5" t="n"/>
      <c r="O362" s="5" t="n">
        <v>229</v>
      </c>
      <c r="P362" s="5" t="n">
        <v>229</v>
      </c>
      <c r="Q362" s="5" t="n"/>
      <c r="R362" s="5" t="n"/>
    </row>
    <row r="363">
      <c r="A363" s="2" t="inlineStr">
        <is>
          <t>EJ010324.TXT</t>
        </is>
      </c>
      <c r="B363" s="3" t="inlineStr">
        <is>
          <t>001516</t>
        </is>
      </c>
      <c r="C363" s="3" t="inlineStr">
        <is>
          <t>000970</t>
        </is>
      </c>
      <c r="D363" s="4" t="n">
        <v>45325</v>
      </c>
      <c r="E363" s="2" t="inlineStr">
        <is>
          <t>15:24</t>
        </is>
      </c>
      <c r="F363" s="5" t="n">
        <v>274.17</v>
      </c>
      <c r="G363" s="5" t="n"/>
      <c r="H363" s="5" t="n"/>
      <c r="I363" s="5" t="n"/>
      <c r="J363" s="5" t="n">
        <v>54.83</v>
      </c>
      <c r="K363" s="5" t="n"/>
      <c r="L363" s="5" t="n"/>
      <c r="M363" s="5" t="n"/>
      <c r="N363" s="5" t="n"/>
      <c r="O363" s="5" t="n">
        <v>329</v>
      </c>
      <c r="P363" s="5" t="n">
        <v>329</v>
      </c>
      <c r="Q363" s="5" t="n"/>
      <c r="R363" s="5" t="n"/>
    </row>
    <row r="364">
      <c r="A364" s="2" t="inlineStr">
        <is>
          <t>EJ010324.TXT</t>
        </is>
      </c>
      <c r="B364" s="3" t="inlineStr">
        <is>
          <t>001517</t>
        </is>
      </c>
      <c r="C364" s="3" t="inlineStr">
        <is>
          <t>000971</t>
        </is>
      </c>
      <c r="D364" s="4" t="n">
        <v>45325</v>
      </c>
      <c r="E364" s="2" t="inlineStr">
        <is>
          <t>17:34</t>
        </is>
      </c>
      <c r="F364" s="5" t="n">
        <v>329.17</v>
      </c>
      <c r="G364" s="5" t="n"/>
      <c r="H364" s="5" t="n"/>
      <c r="I364" s="5" t="n"/>
      <c r="J364" s="5" t="n">
        <v>65.83</v>
      </c>
      <c r="K364" s="5" t="n"/>
      <c r="L364" s="5" t="n"/>
      <c r="M364" s="5" t="n"/>
      <c r="N364" s="5" t="n"/>
      <c r="O364" s="5" t="n">
        <v>395</v>
      </c>
      <c r="P364" s="5" t="n"/>
      <c r="Q364" s="5" t="n">
        <v>395</v>
      </c>
      <c r="R364" s="5" t="n"/>
    </row>
    <row r="365">
      <c r="A365" s="2" t="inlineStr">
        <is>
          <t>EJ010324.TXT</t>
        </is>
      </c>
      <c r="B365" s="3" t="inlineStr">
        <is>
          <t>001518</t>
        </is>
      </c>
      <c r="C365" s="3" t="inlineStr">
        <is>
          <t>000972</t>
        </is>
      </c>
      <c r="D365" s="4" t="n">
        <v>45327</v>
      </c>
      <c r="E365" s="2" t="inlineStr">
        <is>
          <t>12:32</t>
        </is>
      </c>
      <c r="F365" s="5" t="n">
        <v>199.17</v>
      </c>
      <c r="G365" s="5" t="n"/>
      <c r="H365" s="5" t="n"/>
      <c r="I365" s="5" t="n"/>
      <c r="J365" s="5" t="n">
        <v>39.83</v>
      </c>
      <c r="K365" s="5" t="n"/>
      <c r="L365" s="5" t="n"/>
      <c r="M365" s="5" t="n"/>
      <c r="N365" s="5" t="n"/>
      <c r="O365" s="5" t="n">
        <v>239</v>
      </c>
      <c r="P365" s="5" t="n">
        <v>239</v>
      </c>
      <c r="Q365" s="5" t="n"/>
      <c r="R365" s="5" t="n"/>
    </row>
    <row r="366">
      <c r="A366" s="2" t="inlineStr">
        <is>
          <t>EJ010324.TXT</t>
        </is>
      </c>
      <c r="B366" s="3" t="inlineStr">
        <is>
          <t>001520</t>
        </is>
      </c>
      <c r="C366" s="3" t="inlineStr">
        <is>
          <t>000973</t>
        </is>
      </c>
      <c r="D366" s="4" t="n">
        <v>45327</v>
      </c>
      <c r="E366" s="2" t="inlineStr">
        <is>
          <t>12:40</t>
        </is>
      </c>
      <c r="F366" s="5" t="n">
        <v>199.17</v>
      </c>
      <c r="G366" s="5" t="n"/>
      <c r="H366" s="5" t="n"/>
      <c r="I366" s="5" t="n"/>
      <c r="J366" s="5" t="n">
        <v>39.83</v>
      </c>
      <c r="K366" s="5" t="n"/>
      <c r="L366" s="5" t="n"/>
      <c r="M366" s="5" t="n"/>
      <c r="N366" s="5" t="n"/>
      <c r="O366" s="5" t="n">
        <v>239</v>
      </c>
      <c r="P366" s="5" t="n">
        <v>239</v>
      </c>
      <c r="Q366" s="5" t="n"/>
      <c r="R366" s="5" t="n"/>
    </row>
    <row r="367">
      <c r="A367" s="2" t="inlineStr">
        <is>
          <t>EJ010324.TXT</t>
        </is>
      </c>
      <c r="B367" s="3" t="inlineStr">
        <is>
          <t>001523</t>
        </is>
      </c>
      <c r="C367" s="3" t="inlineStr">
        <is>
          <t>000974</t>
        </is>
      </c>
      <c r="D367" s="4" t="n">
        <v>45328</v>
      </c>
      <c r="E367" s="2" t="inlineStr">
        <is>
          <t>12:54</t>
        </is>
      </c>
      <c r="F367" s="5" t="n">
        <v>274.17</v>
      </c>
      <c r="G367" s="5" t="n"/>
      <c r="H367" s="5" t="n"/>
      <c r="I367" s="5" t="n"/>
      <c r="J367" s="5" t="n">
        <v>54.83</v>
      </c>
      <c r="K367" s="5" t="n"/>
      <c r="L367" s="5" t="n"/>
      <c r="M367" s="5" t="n"/>
      <c r="N367" s="5" t="n"/>
      <c r="O367" s="5" t="n">
        <v>329</v>
      </c>
      <c r="P367" s="5" t="n">
        <v>329</v>
      </c>
      <c r="Q367" s="5" t="n"/>
      <c r="R367" s="5" t="n"/>
    </row>
    <row r="368">
      <c r="A368" s="2" t="inlineStr">
        <is>
          <t>EJ010324.TXT</t>
        </is>
      </c>
      <c r="B368" s="3" t="inlineStr">
        <is>
          <t>001524</t>
        </is>
      </c>
      <c r="C368" s="3" t="inlineStr">
        <is>
          <t>000975</t>
        </is>
      </c>
      <c r="D368" s="4" t="n">
        <v>45328</v>
      </c>
      <c r="E368" s="2" t="inlineStr">
        <is>
          <t>13:36</t>
        </is>
      </c>
      <c r="F368" s="5" t="n">
        <v>190.83</v>
      </c>
      <c r="G368" s="5" t="n"/>
      <c r="H368" s="5" t="n"/>
      <c r="I368" s="5" t="n"/>
      <c r="J368" s="5" t="n">
        <v>38.17</v>
      </c>
      <c r="K368" s="5" t="n"/>
      <c r="L368" s="5" t="n"/>
      <c r="M368" s="5" t="n"/>
      <c r="N368" s="5" t="n"/>
      <c r="O368" s="5" t="n">
        <v>229</v>
      </c>
      <c r="P368" s="5" t="n">
        <v>229</v>
      </c>
      <c r="Q368" s="5" t="n"/>
      <c r="R368" s="5" t="n"/>
    </row>
    <row r="369">
      <c r="A369" s="2" t="inlineStr">
        <is>
          <t>EJ010324.TXT</t>
        </is>
      </c>
      <c r="B369" s="3" t="inlineStr">
        <is>
          <t>001525</t>
        </is>
      </c>
      <c r="C369" s="3" t="inlineStr">
        <is>
          <t>000976</t>
        </is>
      </c>
      <c r="D369" s="4" t="n">
        <v>45328</v>
      </c>
      <c r="E369" s="2" t="inlineStr">
        <is>
          <t>16:24</t>
        </is>
      </c>
      <c r="F369" s="5" t="n">
        <v>1645</v>
      </c>
      <c r="G369" s="5" t="n"/>
      <c r="H369" s="5" t="n"/>
      <c r="I369" s="5" t="n"/>
      <c r="J369" s="5" t="n">
        <v>329</v>
      </c>
      <c r="K369" s="5" t="n"/>
      <c r="L369" s="5" t="n"/>
      <c r="M369" s="5" t="n"/>
      <c r="N369" s="5" t="n"/>
      <c r="O369" s="5" t="n">
        <v>1974</v>
      </c>
      <c r="P369" s="5" t="n">
        <v>1974</v>
      </c>
      <c r="Q369" s="5" t="n"/>
      <c r="R369" s="5" t="n"/>
    </row>
    <row r="370">
      <c r="A370" s="2" t="inlineStr">
        <is>
          <t>EJ010324.TXT</t>
        </is>
      </c>
      <c r="B370" s="3" t="inlineStr">
        <is>
          <t>001526</t>
        </is>
      </c>
      <c r="C370" s="3" t="inlineStr">
        <is>
          <t>000977</t>
        </is>
      </c>
      <c r="D370" s="4" t="n">
        <v>45328</v>
      </c>
      <c r="E370" s="2" t="inlineStr">
        <is>
          <t>16:55</t>
        </is>
      </c>
      <c r="F370" s="5" t="n">
        <v>274.17</v>
      </c>
      <c r="G370" s="5" t="n"/>
      <c r="H370" s="5" t="n"/>
      <c r="I370" s="5" t="n"/>
      <c r="J370" s="5" t="n">
        <v>54.83</v>
      </c>
      <c r="K370" s="5" t="n"/>
      <c r="L370" s="5" t="n"/>
      <c r="M370" s="5" t="n"/>
      <c r="N370" s="5" t="n"/>
      <c r="O370" s="5" t="n">
        <v>329</v>
      </c>
      <c r="P370" s="5" t="n">
        <v>329</v>
      </c>
      <c r="Q370" s="5" t="n"/>
      <c r="R370" s="5" t="n"/>
    </row>
    <row r="371">
      <c r="A371" s="2" t="inlineStr">
        <is>
          <t>EJ010324.TXT</t>
        </is>
      </c>
      <c r="B371" s="3" t="inlineStr">
        <is>
          <t>001527</t>
        </is>
      </c>
      <c r="C371" s="3" t="inlineStr">
        <is>
          <t>000978</t>
        </is>
      </c>
      <c r="D371" s="4" t="n">
        <v>45329</v>
      </c>
      <c r="E371" s="2" t="inlineStr">
        <is>
          <t>10:37</t>
        </is>
      </c>
      <c r="F371" s="5" t="n">
        <v>190.83</v>
      </c>
      <c r="G371" s="5" t="n"/>
      <c r="H371" s="5" t="n"/>
      <c r="I371" s="5" t="n"/>
      <c r="J371" s="5" t="n">
        <v>38.17</v>
      </c>
      <c r="K371" s="5" t="n"/>
      <c r="L371" s="5" t="n"/>
      <c r="M371" s="5" t="n"/>
      <c r="N371" s="5" t="n"/>
      <c r="O371" s="5" t="n">
        <v>229</v>
      </c>
      <c r="P371" s="5" t="n"/>
      <c r="Q371" s="5" t="n">
        <v>229</v>
      </c>
      <c r="R371" s="5" t="n"/>
    </row>
    <row r="372">
      <c r="A372" s="2" t="inlineStr">
        <is>
          <t>EJ010324.TXT</t>
        </is>
      </c>
      <c r="B372" s="3" t="inlineStr">
        <is>
          <t>001528</t>
        </is>
      </c>
      <c r="C372" s="3" t="inlineStr">
        <is>
          <t>000979</t>
        </is>
      </c>
      <c r="D372" s="4" t="n">
        <v>45329</v>
      </c>
      <c r="E372" s="2" t="inlineStr">
        <is>
          <t>12:29</t>
        </is>
      </c>
      <c r="F372" s="5" t="n">
        <v>548.33</v>
      </c>
      <c r="G372" s="5" t="n"/>
      <c r="H372" s="5" t="n"/>
      <c r="I372" s="5" t="n"/>
      <c r="J372" s="5" t="n">
        <v>109.67</v>
      </c>
      <c r="K372" s="5" t="n"/>
      <c r="L372" s="5" t="n"/>
      <c r="M372" s="5" t="n"/>
      <c r="N372" s="5" t="n"/>
      <c r="O372" s="5" t="n">
        <v>658</v>
      </c>
      <c r="P372" s="5" t="n">
        <v>658</v>
      </c>
      <c r="Q372" s="5" t="n"/>
      <c r="R372" s="5" t="n"/>
    </row>
    <row r="373">
      <c r="A373" s="2" t="inlineStr">
        <is>
          <t>EJ010324.TXT</t>
        </is>
      </c>
      <c r="B373" s="3" t="inlineStr">
        <is>
          <t>001529</t>
        </is>
      </c>
      <c r="C373" s="3" t="inlineStr">
        <is>
          <t>000980</t>
        </is>
      </c>
      <c r="D373" s="4" t="n">
        <v>45329</v>
      </c>
      <c r="E373" s="2" t="inlineStr">
        <is>
          <t>15:20</t>
        </is>
      </c>
      <c r="F373" s="5" t="n">
        <v>548.33</v>
      </c>
      <c r="G373" s="5" t="n"/>
      <c r="H373" s="5" t="n"/>
      <c r="I373" s="5" t="n"/>
      <c r="J373" s="5" t="n">
        <v>109.67</v>
      </c>
      <c r="K373" s="5" t="n"/>
      <c r="L373" s="5" t="n"/>
      <c r="M373" s="5" t="n"/>
      <c r="N373" s="5" t="n"/>
      <c r="O373" s="5" t="n">
        <v>658</v>
      </c>
      <c r="P373" s="5" t="n"/>
      <c r="Q373" s="5" t="n">
        <v>658</v>
      </c>
      <c r="R373" s="5" t="n"/>
    </row>
    <row r="374">
      <c r="A374" s="2" t="inlineStr">
        <is>
          <t>EJ010324.TXT</t>
        </is>
      </c>
      <c r="B374" s="3" t="inlineStr">
        <is>
          <t>001530</t>
        </is>
      </c>
      <c r="C374" s="3" t="inlineStr">
        <is>
          <t>000981</t>
        </is>
      </c>
      <c r="D374" s="4" t="n">
        <v>45329</v>
      </c>
      <c r="E374" s="2" t="inlineStr">
        <is>
          <t>15:56</t>
        </is>
      </c>
      <c r="F374" s="5" t="n">
        <v>3505.83</v>
      </c>
      <c r="G374" s="5" t="n"/>
      <c r="H374" s="5" t="n"/>
      <c r="I374" s="5" t="n"/>
      <c r="J374" s="5" t="n">
        <v>701.17</v>
      </c>
      <c r="K374" s="5" t="n"/>
      <c r="L374" s="5" t="n"/>
      <c r="M374" s="5" t="n"/>
      <c r="N374" s="5" t="n"/>
      <c r="O374" s="5" t="n">
        <v>4207</v>
      </c>
      <c r="P374" s="5" t="n">
        <v>4207</v>
      </c>
      <c r="Q374" s="5" t="n"/>
      <c r="R374" s="5" t="n"/>
    </row>
    <row r="375">
      <c r="A375" s="2" t="inlineStr">
        <is>
          <t>EJ010324.TXT</t>
        </is>
      </c>
      <c r="B375" s="3" t="inlineStr">
        <is>
          <t>001532</t>
        </is>
      </c>
      <c r="C375" s="3" t="inlineStr">
        <is>
          <t>000982</t>
        </is>
      </c>
      <c r="D375" s="4" t="n">
        <v>45330</v>
      </c>
      <c r="E375" s="2" t="inlineStr">
        <is>
          <t>15:29</t>
        </is>
      </c>
      <c r="F375" s="5" t="n">
        <v>87.25</v>
      </c>
      <c r="G375" s="5" t="n"/>
      <c r="H375" s="5" t="n"/>
      <c r="I375" s="5" t="n"/>
      <c r="J375" s="5" t="n">
        <v>17.45</v>
      </c>
      <c r="K375" s="5" t="n"/>
      <c r="L375" s="5" t="n"/>
      <c r="M375" s="5" t="n"/>
      <c r="N375" s="5" t="n"/>
      <c r="O375" s="5" t="n">
        <v>104.7</v>
      </c>
      <c r="P375" s="5" t="n">
        <v>104.7</v>
      </c>
      <c r="Q375" s="5" t="n"/>
      <c r="R375" s="5" t="n"/>
    </row>
    <row r="376">
      <c r="A376" s="2" t="inlineStr">
        <is>
          <t>EJ010324.TXT</t>
        </is>
      </c>
      <c r="B376" s="3" t="inlineStr">
        <is>
          <t>001533</t>
        </is>
      </c>
      <c r="C376" s="3" t="inlineStr">
        <is>
          <t>000983</t>
        </is>
      </c>
      <c r="D376" s="4" t="n">
        <v>45330</v>
      </c>
      <c r="E376" s="2" t="inlineStr">
        <is>
          <t>15:31</t>
        </is>
      </c>
      <c r="F376" s="5" t="n">
        <v>124.17</v>
      </c>
      <c r="G376" s="5" t="n"/>
      <c r="H376" s="5" t="n"/>
      <c r="I376" s="5" t="n"/>
      <c r="J376" s="5" t="n">
        <v>24.83</v>
      </c>
      <c r="K376" s="5" t="n"/>
      <c r="L376" s="5" t="n"/>
      <c r="M376" s="5" t="n"/>
      <c r="N376" s="5" t="n"/>
      <c r="O376" s="5" t="n">
        <v>149</v>
      </c>
      <c r="P376" s="5" t="n">
        <v>149</v>
      </c>
      <c r="Q376" s="5" t="n"/>
      <c r="R376" s="5" t="n"/>
    </row>
    <row r="377">
      <c r="A377" s="2" t="inlineStr">
        <is>
          <t>EJ010324.TXT</t>
        </is>
      </c>
      <c r="B377" s="3" t="inlineStr">
        <is>
          <t>001534</t>
        </is>
      </c>
      <c r="C377" s="3" t="inlineStr">
        <is>
          <t>000984</t>
        </is>
      </c>
      <c r="D377" s="4" t="n">
        <v>45331</v>
      </c>
      <c r="E377" s="2" t="inlineStr">
        <is>
          <t>10:18</t>
        </is>
      </c>
      <c r="F377" s="5" t="n">
        <v>663.33</v>
      </c>
      <c r="G377" s="5" t="n"/>
      <c r="H377" s="5" t="n"/>
      <c r="I377" s="5" t="n"/>
      <c r="J377" s="5" t="n">
        <v>132.67</v>
      </c>
      <c r="K377" s="5" t="n"/>
      <c r="L377" s="5" t="n"/>
      <c r="M377" s="5" t="n"/>
      <c r="N377" s="5" t="n"/>
      <c r="O377" s="5" t="n">
        <v>796</v>
      </c>
      <c r="P377" s="5" t="n">
        <v>796</v>
      </c>
      <c r="Q377" s="5" t="n"/>
      <c r="R377" s="5" t="n"/>
    </row>
    <row r="378">
      <c r="A378" s="2" t="inlineStr">
        <is>
          <t>EJ010324.TXT</t>
        </is>
      </c>
      <c r="B378" s="3" t="inlineStr">
        <is>
          <t>001536</t>
        </is>
      </c>
      <c r="C378" s="3" t="inlineStr">
        <is>
          <t>000985</t>
        </is>
      </c>
      <c r="D378" s="4" t="n">
        <v>45331</v>
      </c>
      <c r="E378" s="2" t="inlineStr">
        <is>
          <t>12:54</t>
        </is>
      </c>
      <c r="F378" s="5" t="n">
        <v>124.17</v>
      </c>
      <c r="G378" s="5" t="n"/>
      <c r="H378" s="5" t="n"/>
      <c r="I378" s="5" t="n"/>
      <c r="J378" s="5" t="n">
        <v>24.83</v>
      </c>
      <c r="K378" s="5" t="n"/>
      <c r="L378" s="5" t="n"/>
      <c r="M378" s="5" t="n"/>
      <c r="N378" s="5" t="n"/>
      <c r="O378" s="5" t="n">
        <v>149</v>
      </c>
      <c r="P378" s="5" t="n">
        <v>149</v>
      </c>
      <c r="Q378" s="5" t="n"/>
      <c r="R378" s="5" t="n"/>
    </row>
    <row r="379">
      <c r="A379" s="2" t="inlineStr">
        <is>
          <t>EJ010324.TXT</t>
        </is>
      </c>
      <c r="B379" s="3" t="inlineStr">
        <is>
          <t>001538</t>
        </is>
      </c>
      <c r="C379" s="3" t="inlineStr">
        <is>
          <t>000986</t>
        </is>
      </c>
      <c r="D379" s="4" t="n">
        <v>45331</v>
      </c>
      <c r="E379" s="2" t="inlineStr">
        <is>
          <t>14:12</t>
        </is>
      </c>
      <c r="F379" s="5" t="n">
        <v>274.17</v>
      </c>
      <c r="G379" s="5" t="n"/>
      <c r="H379" s="5" t="n"/>
      <c r="I379" s="5" t="n"/>
      <c r="J379" s="5" t="n">
        <v>54.83</v>
      </c>
      <c r="K379" s="5" t="n"/>
      <c r="L379" s="5" t="n"/>
      <c r="M379" s="5" t="n"/>
      <c r="N379" s="5" t="n"/>
      <c r="O379" s="5" t="n">
        <v>329</v>
      </c>
      <c r="P379" s="5" t="n"/>
      <c r="Q379" s="5" t="n">
        <v>329</v>
      </c>
      <c r="R379" s="5" t="n"/>
    </row>
    <row r="380">
      <c r="A380" s="2" t="inlineStr">
        <is>
          <t>EJ010324.TXT</t>
        </is>
      </c>
      <c r="B380" s="3" t="inlineStr">
        <is>
          <t>001539</t>
        </is>
      </c>
      <c r="C380" s="3" t="inlineStr">
        <is>
          <t>000987</t>
        </is>
      </c>
      <c r="D380" s="4" t="n">
        <v>45331</v>
      </c>
      <c r="E380" s="2" t="inlineStr">
        <is>
          <t>15:14</t>
        </is>
      </c>
      <c r="F380" s="5" t="n">
        <v>398.33</v>
      </c>
      <c r="G380" s="5" t="n"/>
      <c r="H380" s="5" t="n"/>
      <c r="I380" s="5" t="n"/>
      <c r="J380" s="5" t="n">
        <v>79.67</v>
      </c>
      <c r="K380" s="5" t="n"/>
      <c r="L380" s="5" t="n"/>
      <c r="M380" s="5" t="n"/>
      <c r="N380" s="5" t="n"/>
      <c r="O380" s="5" t="n">
        <v>478</v>
      </c>
      <c r="P380" s="5" t="n">
        <v>478</v>
      </c>
      <c r="Q380" s="5" t="n"/>
      <c r="R380" s="5" t="n"/>
    </row>
    <row r="381">
      <c r="A381" s="2" t="inlineStr">
        <is>
          <t>EJ010324.TXT</t>
        </is>
      </c>
      <c r="B381" s="3" t="inlineStr">
        <is>
          <t>001540</t>
        </is>
      </c>
      <c r="C381" s="3" t="inlineStr">
        <is>
          <t>000988</t>
        </is>
      </c>
      <c r="D381" s="4" t="n">
        <v>45331</v>
      </c>
      <c r="E381" s="2" t="inlineStr">
        <is>
          <t>16:52</t>
        </is>
      </c>
      <c r="F381" s="5" t="n">
        <v>548.33</v>
      </c>
      <c r="G381" s="5" t="n"/>
      <c r="H381" s="5" t="n"/>
      <c r="I381" s="5" t="n"/>
      <c r="J381" s="5" t="n">
        <v>109.67</v>
      </c>
      <c r="K381" s="5" t="n"/>
      <c r="L381" s="5" t="n"/>
      <c r="M381" s="5" t="n"/>
      <c r="N381" s="5" t="n"/>
      <c r="O381" s="5" t="n">
        <v>658</v>
      </c>
      <c r="P381" s="5" t="n"/>
      <c r="Q381" s="5" t="n">
        <v>658</v>
      </c>
      <c r="R381" s="5" t="n"/>
    </row>
    <row r="382">
      <c r="A382" s="2" t="inlineStr">
        <is>
          <t>EJ010324.TXT</t>
        </is>
      </c>
      <c r="B382" s="3" t="inlineStr">
        <is>
          <t>001541</t>
        </is>
      </c>
      <c r="C382" s="3" t="inlineStr">
        <is>
          <t>000989</t>
        </is>
      </c>
      <c r="D382" s="4" t="n">
        <v>45331</v>
      </c>
      <c r="E382" s="2" t="inlineStr">
        <is>
          <t>17:11</t>
        </is>
      </c>
      <c r="F382" s="5" t="n">
        <v>350</v>
      </c>
      <c r="G382" s="5" t="n"/>
      <c r="H382" s="5" t="n"/>
      <c r="I382" s="5" t="n"/>
      <c r="J382" s="5" t="n">
        <v>70</v>
      </c>
      <c r="K382" s="5" t="n"/>
      <c r="L382" s="5" t="n"/>
      <c r="M382" s="5" t="n"/>
      <c r="N382" s="5" t="n"/>
      <c r="O382" s="5" t="n">
        <v>420</v>
      </c>
      <c r="P382" s="5" t="n">
        <v>420</v>
      </c>
      <c r="Q382" s="5" t="n"/>
      <c r="R382" s="5" t="n"/>
    </row>
    <row r="383">
      <c r="A383" s="2" t="inlineStr">
        <is>
          <t>EJ010324.TXT</t>
        </is>
      </c>
      <c r="B383" s="3" t="inlineStr">
        <is>
          <t>001542</t>
        </is>
      </c>
      <c r="C383" s="3" t="inlineStr">
        <is>
          <t>000990</t>
        </is>
      </c>
      <c r="D383" s="4" t="n">
        <v>45334</v>
      </c>
      <c r="E383" s="2" t="inlineStr">
        <is>
          <t>10:09</t>
        </is>
      </c>
      <c r="F383" s="5" t="n">
        <v>274.17</v>
      </c>
      <c r="G383" s="5" t="n"/>
      <c r="H383" s="5" t="n"/>
      <c r="I383" s="5" t="n"/>
      <c r="J383" s="5" t="n">
        <v>54.83</v>
      </c>
      <c r="K383" s="5" t="n"/>
      <c r="L383" s="5" t="n"/>
      <c r="M383" s="5" t="n"/>
      <c r="N383" s="5" t="n"/>
      <c r="O383" s="5" t="n">
        <v>329</v>
      </c>
      <c r="P383" s="5" t="n">
        <v>329</v>
      </c>
      <c r="Q383" s="5" t="n"/>
      <c r="R383" s="5" t="n"/>
    </row>
    <row r="384">
      <c r="A384" s="2" t="inlineStr">
        <is>
          <t>EJ010324.TXT</t>
        </is>
      </c>
      <c r="B384" s="3" t="inlineStr">
        <is>
          <t>001543</t>
        </is>
      </c>
      <c r="C384" s="3" t="inlineStr">
        <is>
          <t>000991</t>
        </is>
      </c>
      <c r="D384" s="4" t="n">
        <v>45336</v>
      </c>
      <c r="E384" s="2" t="inlineStr">
        <is>
          <t>14:51</t>
        </is>
      </c>
      <c r="F384" s="5" t="n">
        <v>274.17</v>
      </c>
      <c r="G384" s="5" t="n"/>
      <c r="H384" s="5" t="n"/>
      <c r="I384" s="5" t="n"/>
      <c r="J384" s="5" t="n">
        <v>54.83</v>
      </c>
      <c r="K384" s="5" t="n"/>
      <c r="L384" s="5" t="n"/>
      <c r="M384" s="5" t="n"/>
      <c r="N384" s="5" t="n"/>
      <c r="O384" s="5" t="n">
        <v>329</v>
      </c>
      <c r="P384" s="5" t="n">
        <v>329</v>
      </c>
      <c r="Q384" s="5" t="n"/>
      <c r="R384" s="5" t="n"/>
    </row>
    <row r="385">
      <c r="A385" s="2" t="inlineStr">
        <is>
          <t>EJ010324.TXT</t>
        </is>
      </c>
      <c r="B385" s="3" t="inlineStr">
        <is>
          <t>001544</t>
        </is>
      </c>
      <c r="C385" s="3" t="inlineStr">
        <is>
          <t>000992</t>
        </is>
      </c>
      <c r="D385" s="4" t="n">
        <v>45337</v>
      </c>
      <c r="E385" s="2" t="inlineStr">
        <is>
          <t>15:34</t>
        </is>
      </c>
      <c r="F385" s="5" t="n">
        <v>548.33</v>
      </c>
      <c r="G385" s="5" t="n"/>
      <c r="H385" s="5" t="n"/>
      <c r="I385" s="5" t="n"/>
      <c r="J385" s="5" t="n">
        <v>109.67</v>
      </c>
      <c r="K385" s="5" t="n"/>
      <c r="L385" s="5" t="n"/>
      <c r="M385" s="5" t="n"/>
      <c r="N385" s="5" t="n"/>
      <c r="O385" s="5" t="n">
        <v>658</v>
      </c>
      <c r="P385" s="5" t="n">
        <v>658</v>
      </c>
      <c r="Q385" s="5" t="n"/>
      <c r="R385" s="5" t="n"/>
    </row>
    <row r="386">
      <c r="A386" s="2" t="inlineStr">
        <is>
          <t>EJ010324.TXT</t>
        </is>
      </c>
      <c r="B386" s="3" t="inlineStr">
        <is>
          <t>001545</t>
        </is>
      </c>
      <c r="C386" s="3" t="inlineStr">
        <is>
          <t>000993</t>
        </is>
      </c>
      <c r="D386" s="4" t="n">
        <v>45337</v>
      </c>
      <c r="E386" s="2" t="inlineStr">
        <is>
          <t>16:06</t>
        </is>
      </c>
      <c r="F386" s="5" t="n">
        <v>548.33</v>
      </c>
      <c r="G386" s="5" t="n"/>
      <c r="H386" s="5" t="n"/>
      <c r="I386" s="5" t="n"/>
      <c r="J386" s="5" t="n">
        <v>109.67</v>
      </c>
      <c r="K386" s="5" t="n"/>
      <c r="L386" s="5" t="n"/>
      <c r="M386" s="5" t="n"/>
      <c r="N386" s="5" t="n"/>
      <c r="O386" s="5" t="n">
        <v>658</v>
      </c>
      <c r="P386" s="5" t="n">
        <v>658</v>
      </c>
      <c r="Q386" s="5" t="n"/>
      <c r="R386" s="5" t="n"/>
    </row>
    <row r="387">
      <c r="A387" s="2" t="inlineStr">
        <is>
          <t>EJ010324.TXT</t>
        </is>
      </c>
      <c r="B387" s="3" t="inlineStr">
        <is>
          <t>001546</t>
        </is>
      </c>
      <c r="C387" s="3" t="inlineStr">
        <is>
          <t>000994</t>
        </is>
      </c>
      <c r="D387" s="4" t="n">
        <v>45337</v>
      </c>
      <c r="E387" s="2" t="inlineStr">
        <is>
          <t>16:18</t>
        </is>
      </c>
      <c r="F387" s="5" t="n">
        <v>548.33</v>
      </c>
      <c r="G387" s="5" t="n"/>
      <c r="H387" s="5" t="n"/>
      <c r="I387" s="5" t="n"/>
      <c r="J387" s="5" t="n">
        <v>109.67</v>
      </c>
      <c r="K387" s="5" t="n"/>
      <c r="L387" s="5" t="n"/>
      <c r="M387" s="5" t="n"/>
      <c r="N387" s="5" t="n"/>
      <c r="O387" s="5" t="n">
        <v>658</v>
      </c>
      <c r="P387" s="5" t="n">
        <v>440</v>
      </c>
      <c r="Q387" s="5" t="n">
        <v>218</v>
      </c>
      <c r="R387" s="5" t="n"/>
    </row>
    <row r="388">
      <c r="A388" s="2" t="inlineStr">
        <is>
          <t>EJ010324.TXT</t>
        </is>
      </c>
      <c r="B388" s="3" t="inlineStr">
        <is>
          <t>001548</t>
        </is>
      </c>
      <c r="C388" s="3" t="inlineStr">
        <is>
          <t>000995</t>
        </is>
      </c>
      <c r="D388" s="4" t="n">
        <v>45338</v>
      </c>
      <c r="E388" s="2" t="inlineStr">
        <is>
          <t>14:44</t>
        </is>
      </c>
      <c r="F388" s="5" t="n">
        <v>3290</v>
      </c>
      <c r="G388" s="5" t="n"/>
      <c r="H388" s="5" t="n"/>
      <c r="I388" s="5" t="n"/>
      <c r="J388" s="5" t="n">
        <v>658</v>
      </c>
      <c r="K388" s="5" t="n"/>
      <c r="L388" s="5" t="n"/>
      <c r="M388" s="5" t="n"/>
      <c r="N388" s="5" t="n"/>
      <c r="O388" s="5" t="n">
        <v>3948</v>
      </c>
      <c r="P388" s="5" t="n">
        <v>3948</v>
      </c>
      <c r="Q388" s="5" t="n"/>
      <c r="R388" s="5" t="n"/>
    </row>
    <row r="389">
      <c r="A389" s="2" t="inlineStr">
        <is>
          <t>EJ010324.TXT</t>
        </is>
      </c>
      <c r="B389" s="3" t="inlineStr">
        <is>
          <t>001549</t>
        </is>
      </c>
      <c r="C389" s="3" t="inlineStr">
        <is>
          <t>000996</t>
        </is>
      </c>
      <c r="D389" s="4" t="n">
        <v>45338</v>
      </c>
      <c r="E389" s="2" t="inlineStr">
        <is>
          <t>15:35</t>
        </is>
      </c>
      <c r="F389" s="5" t="n">
        <v>136.5</v>
      </c>
      <c r="G389" s="5" t="n"/>
      <c r="H389" s="5" t="n"/>
      <c r="I389" s="5" t="n"/>
      <c r="J389" s="5" t="n">
        <v>27.3</v>
      </c>
      <c r="K389" s="5" t="n"/>
      <c r="L389" s="5" t="n"/>
      <c r="M389" s="5" t="n"/>
      <c r="N389" s="5" t="n"/>
      <c r="O389" s="5" t="n">
        <v>163.8</v>
      </c>
      <c r="P389" s="5" t="n"/>
      <c r="Q389" s="5" t="n">
        <v>163.8</v>
      </c>
      <c r="R389" s="5" t="n"/>
    </row>
    <row r="390">
      <c r="A390" s="2" t="inlineStr">
        <is>
          <t>EJ010324.TXT</t>
        </is>
      </c>
      <c r="B390" s="3" t="inlineStr">
        <is>
          <t>001550</t>
        </is>
      </c>
      <c r="C390" s="3" t="inlineStr">
        <is>
          <t>000997</t>
        </is>
      </c>
      <c r="D390" s="4" t="n">
        <v>45339</v>
      </c>
      <c r="E390" s="2" t="inlineStr">
        <is>
          <t>14:59</t>
        </is>
      </c>
      <c r="F390" s="5" t="n">
        <v>658.33</v>
      </c>
      <c r="G390" s="5" t="n"/>
      <c r="H390" s="5" t="n"/>
      <c r="I390" s="5" t="n"/>
      <c r="J390" s="5" t="n">
        <v>131.67</v>
      </c>
      <c r="K390" s="5" t="n"/>
      <c r="L390" s="5" t="n"/>
      <c r="M390" s="5" t="n"/>
      <c r="N390" s="5" t="n"/>
      <c r="O390" s="5" t="n">
        <v>790</v>
      </c>
      <c r="P390" s="5" t="n">
        <v>790</v>
      </c>
      <c r="Q390" s="5" t="n"/>
      <c r="R390" s="5" t="n"/>
    </row>
    <row r="391">
      <c r="A391" s="2" t="inlineStr">
        <is>
          <t>EJ010324.TXT</t>
        </is>
      </c>
      <c r="B391" s="3" t="inlineStr">
        <is>
          <t>001551</t>
        </is>
      </c>
      <c r="C391" s="3" t="inlineStr">
        <is>
          <t>000998</t>
        </is>
      </c>
      <c r="D391" s="4" t="n">
        <v>45341</v>
      </c>
      <c r="E391" s="2" t="inlineStr">
        <is>
          <t>16:17</t>
        </is>
      </c>
      <c r="F391" s="5" t="n">
        <v>2193.33</v>
      </c>
      <c r="G391" s="5" t="n"/>
      <c r="H391" s="5" t="n"/>
      <c r="I391" s="5" t="n"/>
      <c r="J391" s="5" t="n">
        <v>438.67</v>
      </c>
      <c r="K391" s="5" t="n"/>
      <c r="L391" s="5" t="n"/>
      <c r="M391" s="5" t="n"/>
      <c r="N391" s="5" t="n"/>
      <c r="O391" s="5" t="n">
        <v>2632</v>
      </c>
      <c r="P391" s="5" t="n">
        <v>2632</v>
      </c>
      <c r="Q391" s="5" t="n"/>
      <c r="R391" s="5" t="n"/>
    </row>
    <row r="392">
      <c r="A392" s="2" t="inlineStr">
        <is>
          <t>EJ010324.TXT</t>
        </is>
      </c>
      <c r="B392" s="3" t="inlineStr">
        <is>
          <t>001552</t>
        </is>
      </c>
      <c r="C392" s="3" t="inlineStr">
        <is>
          <t>000999</t>
        </is>
      </c>
      <c r="D392" s="4" t="n">
        <v>45342</v>
      </c>
      <c r="E392" s="2" t="inlineStr">
        <is>
          <t>16:08</t>
        </is>
      </c>
      <c r="F392" s="5" t="n">
        <v>1096.67</v>
      </c>
      <c r="G392" s="5" t="n"/>
      <c r="H392" s="5" t="n"/>
      <c r="I392" s="5" t="n"/>
      <c r="J392" s="5" t="n">
        <v>219.33</v>
      </c>
      <c r="K392" s="5" t="n"/>
      <c r="L392" s="5" t="n"/>
      <c r="M392" s="5" t="n"/>
      <c r="N392" s="5" t="n"/>
      <c r="O392" s="5" t="n">
        <v>1316</v>
      </c>
      <c r="P392" s="5" t="n">
        <v>1316</v>
      </c>
      <c r="Q392" s="5" t="n"/>
      <c r="R392" s="5" t="n"/>
    </row>
    <row r="393">
      <c r="A393" s="2" t="inlineStr">
        <is>
          <t>EJ010324.TXT</t>
        </is>
      </c>
      <c r="B393" s="3" t="inlineStr">
        <is>
          <t>001553</t>
        </is>
      </c>
      <c r="C393" s="3" t="inlineStr">
        <is>
          <t>001000</t>
        </is>
      </c>
      <c r="D393" s="4" t="n">
        <v>45343</v>
      </c>
      <c r="E393" s="2" t="inlineStr">
        <is>
          <t>11:06</t>
        </is>
      </c>
      <c r="F393" s="5" t="n">
        <v>199.17</v>
      </c>
      <c r="G393" s="5" t="n"/>
      <c r="H393" s="5" t="n"/>
      <c r="I393" s="5" t="n"/>
      <c r="J393" s="5" t="n">
        <v>39.83</v>
      </c>
      <c r="K393" s="5" t="n"/>
      <c r="L393" s="5" t="n"/>
      <c r="M393" s="5" t="n"/>
      <c r="N393" s="5" t="n"/>
      <c r="O393" s="5" t="n">
        <v>239</v>
      </c>
      <c r="P393" s="5" t="n"/>
      <c r="Q393" s="5" t="n">
        <v>239</v>
      </c>
      <c r="R393" s="5" t="n"/>
    </row>
    <row r="394">
      <c r="A394" s="2" t="inlineStr">
        <is>
          <t>EJ010324.TXT</t>
        </is>
      </c>
      <c r="B394" s="3" t="inlineStr">
        <is>
          <t>001555</t>
        </is>
      </c>
      <c r="C394" s="3" t="inlineStr">
        <is>
          <t>001001</t>
        </is>
      </c>
      <c r="D394" s="4" t="n">
        <v>45343</v>
      </c>
      <c r="E394" s="2" t="inlineStr">
        <is>
          <t>11:52</t>
        </is>
      </c>
      <c r="F394" s="5" t="n">
        <v>212.5</v>
      </c>
      <c r="G394" s="5" t="n"/>
      <c r="H394" s="5" t="n"/>
      <c r="I394" s="5" t="n"/>
      <c r="J394" s="5" t="n">
        <v>42.5</v>
      </c>
      <c r="K394" s="5" t="n"/>
      <c r="L394" s="5" t="n"/>
      <c r="M394" s="5" t="n"/>
      <c r="N394" s="5" t="n"/>
      <c r="O394" s="5" t="n">
        <v>255</v>
      </c>
      <c r="P394" s="5" t="n">
        <v>255</v>
      </c>
      <c r="Q394" s="5" t="n"/>
      <c r="R394" s="5" t="n"/>
    </row>
    <row r="395">
      <c r="A395" s="2" t="inlineStr">
        <is>
          <t>EJ010324.TXT</t>
        </is>
      </c>
      <c r="B395" s="3" t="inlineStr">
        <is>
          <t>001556</t>
        </is>
      </c>
      <c r="C395" s="3" t="inlineStr">
        <is>
          <t>001002</t>
        </is>
      </c>
      <c r="D395" s="4" t="n">
        <v>45344</v>
      </c>
      <c r="E395" s="2" t="inlineStr">
        <is>
          <t>17:50</t>
        </is>
      </c>
      <c r="F395" s="5" t="n">
        <v>473.33</v>
      </c>
      <c r="G395" s="5" t="n"/>
      <c r="H395" s="5" t="n"/>
      <c r="I395" s="5" t="n"/>
      <c r="J395" s="5" t="n">
        <v>94.67</v>
      </c>
      <c r="K395" s="5" t="n"/>
      <c r="L395" s="5" t="n"/>
      <c r="M395" s="5" t="n"/>
      <c r="N395" s="5" t="n"/>
      <c r="O395" s="5" t="n">
        <v>568</v>
      </c>
      <c r="P395" s="5" t="n">
        <v>568</v>
      </c>
      <c r="Q395" s="5" t="n"/>
      <c r="R395" s="5" t="n"/>
    </row>
    <row r="396">
      <c r="A396" s="2" t="inlineStr">
        <is>
          <t>EJ010324.TXT</t>
        </is>
      </c>
      <c r="B396" s="3" t="inlineStr">
        <is>
          <t>001560</t>
        </is>
      </c>
      <c r="C396" s="3" t="inlineStr">
        <is>
          <t>001003</t>
        </is>
      </c>
      <c r="D396" s="4" t="n">
        <v>45350</v>
      </c>
      <c r="E396" s="2" t="inlineStr">
        <is>
          <t>13:03</t>
        </is>
      </c>
      <c r="F396" s="5" t="n">
        <v>548.33</v>
      </c>
      <c r="G396" s="5" t="n"/>
      <c r="H396" s="5" t="n"/>
      <c r="I396" s="5" t="n"/>
      <c r="J396" s="5" t="n">
        <v>109.67</v>
      </c>
      <c r="K396" s="5" t="n"/>
      <c r="L396" s="5" t="n"/>
      <c r="M396" s="5" t="n"/>
      <c r="N396" s="5" t="n"/>
      <c r="O396" s="5" t="n">
        <v>658</v>
      </c>
      <c r="P396" s="5" t="n"/>
      <c r="Q396" s="5" t="n">
        <v>658</v>
      </c>
      <c r="R396" s="5" t="n"/>
    </row>
    <row r="397">
      <c r="A397" s="2" t="inlineStr">
        <is>
          <t>EJ010324.TXT</t>
        </is>
      </c>
      <c r="B397" s="3" t="inlineStr">
        <is>
          <t>001561</t>
        </is>
      </c>
      <c r="C397" s="3" t="inlineStr">
        <is>
          <t>001004</t>
        </is>
      </c>
      <c r="D397" s="4" t="n">
        <v>45350</v>
      </c>
      <c r="E397" s="2" t="inlineStr">
        <is>
          <t>14:31</t>
        </is>
      </c>
      <c r="F397" s="5" t="n">
        <v>546.67</v>
      </c>
      <c r="G397" s="5" t="n"/>
      <c r="H397" s="5" t="n"/>
      <c r="I397" s="5" t="n"/>
      <c r="J397" s="5" t="n">
        <v>109.33</v>
      </c>
      <c r="K397" s="5" t="n"/>
      <c r="L397" s="5" t="n"/>
      <c r="M397" s="5" t="n"/>
      <c r="N397" s="5" t="n"/>
      <c r="O397" s="5" t="n">
        <v>656</v>
      </c>
      <c r="P397" s="5" t="n">
        <v>656</v>
      </c>
      <c r="Q397" s="5" t="n"/>
      <c r="R397" s="5" t="n"/>
    </row>
    <row r="398">
      <c r="A398" s="2" t="inlineStr">
        <is>
          <t>EJ010324.TXT</t>
        </is>
      </c>
      <c r="B398" s="3" t="inlineStr">
        <is>
          <t>001562</t>
        </is>
      </c>
      <c r="C398" s="3" t="inlineStr">
        <is>
          <t>001005</t>
        </is>
      </c>
      <c r="D398" s="4" t="n">
        <v>45351</v>
      </c>
      <c r="E398" s="2" t="inlineStr">
        <is>
          <t>17:01</t>
        </is>
      </c>
      <c r="F398" s="5" t="n">
        <v>548.33</v>
      </c>
      <c r="G398" s="5" t="n"/>
      <c r="H398" s="5" t="n"/>
      <c r="I398" s="5" t="n"/>
      <c r="J398" s="5" t="n">
        <v>109.67</v>
      </c>
      <c r="K398" s="5" t="n"/>
      <c r="L398" s="5" t="n"/>
      <c r="M398" s="5" t="n"/>
      <c r="N398" s="5" t="n"/>
      <c r="O398" s="5" t="n">
        <v>658</v>
      </c>
      <c r="P398" s="5" t="n">
        <v>658</v>
      </c>
      <c r="Q398" s="5" t="n"/>
      <c r="R398" s="5" t="n"/>
    </row>
    <row r="399">
      <c r="A399" s="2" t="inlineStr">
        <is>
          <t>EJ020424.TXT</t>
        </is>
      </c>
      <c r="B399" s="3" t="inlineStr">
        <is>
          <t>001568</t>
        </is>
      </c>
      <c r="C399" s="3" t="inlineStr">
        <is>
          <t>001006</t>
        </is>
      </c>
      <c r="D399" s="4" t="n">
        <v>45352</v>
      </c>
      <c r="E399" s="2" t="inlineStr">
        <is>
          <t>15:01</t>
        </is>
      </c>
      <c r="F399" s="5" t="n">
        <v>548.33</v>
      </c>
      <c r="G399" s="5" t="n"/>
      <c r="H399" s="5" t="n"/>
      <c r="I399" s="5" t="n"/>
      <c r="J399" s="5" t="n">
        <v>109.67</v>
      </c>
      <c r="K399" s="5" t="n"/>
      <c r="L399" s="5" t="n"/>
      <c r="M399" s="5" t="n"/>
      <c r="N399" s="5" t="n"/>
      <c r="O399" s="5" t="n">
        <v>658</v>
      </c>
      <c r="P399" s="5" t="n">
        <v>658</v>
      </c>
      <c r="Q399" s="5" t="n"/>
      <c r="R399" s="5" t="n"/>
    </row>
    <row r="400">
      <c r="A400" s="2" t="inlineStr">
        <is>
          <t>EJ020424.TXT</t>
        </is>
      </c>
      <c r="B400" s="3" t="inlineStr">
        <is>
          <t>001569</t>
        </is>
      </c>
      <c r="C400" s="3" t="inlineStr">
        <is>
          <t>001007</t>
        </is>
      </c>
      <c r="D400" s="4" t="n">
        <v>45352</v>
      </c>
      <c r="E400" s="2" t="inlineStr">
        <is>
          <t>15:20</t>
        </is>
      </c>
      <c r="F400" s="5" t="n">
        <v>822.5</v>
      </c>
      <c r="G400" s="5" t="n"/>
      <c r="H400" s="5" t="n"/>
      <c r="I400" s="5" t="n"/>
      <c r="J400" s="5" t="n">
        <v>164.5</v>
      </c>
      <c r="K400" s="5" t="n"/>
      <c r="L400" s="5" t="n"/>
      <c r="M400" s="5" t="n"/>
      <c r="N400" s="5" t="n"/>
      <c r="O400" s="5" t="n">
        <v>987</v>
      </c>
      <c r="P400" s="5" t="n"/>
      <c r="Q400" s="5" t="n">
        <v>987</v>
      </c>
      <c r="R400" s="5" t="n"/>
    </row>
    <row r="401">
      <c r="A401" s="2" t="inlineStr">
        <is>
          <t>EJ020424.TXT</t>
        </is>
      </c>
      <c r="B401" s="3" t="inlineStr">
        <is>
          <t>001572</t>
        </is>
      </c>
      <c r="C401" s="3" t="inlineStr">
        <is>
          <t>001008</t>
        </is>
      </c>
      <c r="D401" s="4" t="n">
        <v>45356</v>
      </c>
      <c r="E401" s="2" t="inlineStr">
        <is>
          <t>12:27</t>
        </is>
      </c>
      <c r="F401" s="5" t="n">
        <v>822.5</v>
      </c>
      <c r="G401" s="5" t="n"/>
      <c r="H401" s="5" t="n"/>
      <c r="I401" s="5" t="n"/>
      <c r="J401" s="5" t="n">
        <v>164.5</v>
      </c>
      <c r="K401" s="5" t="n"/>
      <c r="L401" s="5" t="n"/>
      <c r="M401" s="5" t="n"/>
      <c r="N401" s="5" t="n"/>
      <c r="O401" s="5" t="n">
        <v>987</v>
      </c>
      <c r="P401" s="5" t="n"/>
      <c r="Q401" s="5" t="n">
        <v>987</v>
      </c>
      <c r="R401" s="5" t="n"/>
    </row>
    <row r="402">
      <c r="A402" s="2" t="inlineStr">
        <is>
          <t>EJ020424.TXT</t>
        </is>
      </c>
      <c r="B402" s="3" t="inlineStr">
        <is>
          <t>001573</t>
        </is>
      </c>
      <c r="C402" s="3" t="inlineStr">
        <is>
          <t>001009</t>
        </is>
      </c>
      <c r="D402" s="4" t="n">
        <v>45356</v>
      </c>
      <c r="E402" s="2" t="inlineStr">
        <is>
          <t>12:27</t>
        </is>
      </c>
      <c r="F402" s="5" t="n">
        <v>822.5</v>
      </c>
      <c r="G402" s="5" t="n"/>
      <c r="H402" s="5" t="n"/>
      <c r="I402" s="5" t="n"/>
      <c r="J402" s="5" t="n">
        <v>164.5</v>
      </c>
      <c r="K402" s="5" t="n"/>
      <c r="L402" s="5" t="n"/>
      <c r="M402" s="5" t="n"/>
      <c r="N402" s="5" t="n"/>
      <c r="O402" s="5" t="n">
        <v>987</v>
      </c>
      <c r="P402" s="5" t="n"/>
      <c r="Q402" s="5" t="n">
        <v>987</v>
      </c>
      <c r="R402" s="5" t="n"/>
    </row>
    <row r="403">
      <c r="A403" s="2" t="inlineStr">
        <is>
          <t>EJ020424.TXT</t>
        </is>
      </c>
      <c r="B403" s="3" t="inlineStr">
        <is>
          <t>001575</t>
        </is>
      </c>
      <c r="C403" s="3" t="inlineStr">
        <is>
          <t>001010</t>
        </is>
      </c>
      <c r="D403" s="4" t="n">
        <v>45357</v>
      </c>
      <c r="E403" s="2" t="inlineStr">
        <is>
          <t>17:55</t>
        </is>
      </c>
      <c r="F403" s="5" t="n">
        <v>1096.67</v>
      </c>
      <c r="G403" s="5" t="n"/>
      <c r="H403" s="5" t="n"/>
      <c r="I403" s="5" t="n"/>
      <c r="J403" s="5" t="n">
        <v>219.33</v>
      </c>
      <c r="K403" s="5" t="n"/>
      <c r="L403" s="5" t="n"/>
      <c r="M403" s="5" t="n"/>
      <c r="N403" s="5" t="n"/>
      <c r="O403" s="5" t="n">
        <v>1316</v>
      </c>
      <c r="P403" s="5" t="n">
        <v>1316</v>
      </c>
      <c r="Q403" s="5" t="n"/>
      <c r="R403" s="5" t="n"/>
    </row>
    <row r="404">
      <c r="A404" s="2" t="inlineStr">
        <is>
          <t>EJ020424.TXT</t>
        </is>
      </c>
      <c r="B404" s="3" t="inlineStr">
        <is>
          <t>001576</t>
        </is>
      </c>
      <c r="C404" s="3" t="inlineStr">
        <is>
          <t>001011</t>
        </is>
      </c>
      <c r="D404" s="4" t="n">
        <v>45358</v>
      </c>
      <c r="E404" s="2" t="inlineStr">
        <is>
          <t>16:26</t>
        </is>
      </c>
      <c r="F404" s="5" t="n">
        <v>398.33</v>
      </c>
      <c r="G404" s="5" t="n"/>
      <c r="H404" s="5" t="n"/>
      <c r="I404" s="5" t="n"/>
      <c r="J404" s="5" t="n">
        <v>79.67</v>
      </c>
      <c r="K404" s="5" t="n"/>
      <c r="L404" s="5" t="n"/>
      <c r="M404" s="5" t="n"/>
      <c r="N404" s="5" t="n"/>
      <c r="O404" s="5" t="n">
        <v>478</v>
      </c>
      <c r="P404" s="5" t="n">
        <v>478</v>
      </c>
      <c r="Q404" s="5" t="n"/>
      <c r="R404" s="5" t="n"/>
    </row>
    <row r="405">
      <c r="A405" s="2" t="inlineStr">
        <is>
          <t>EJ020424.TXT</t>
        </is>
      </c>
      <c r="B405" s="3" t="inlineStr">
        <is>
          <t>001577</t>
        </is>
      </c>
      <c r="C405" s="3" t="inlineStr">
        <is>
          <t>001012</t>
        </is>
      </c>
      <c r="D405" s="4" t="n">
        <v>45359</v>
      </c>
      <c r="E405" s="2" t="inlineStr">
        <is>
          <t>14:28</t>
        </is>
      </c>
      <c r="F405" s="5" t="n">
        <v>548.33</v>
      </c>
      <c r="G405" s="5" t="n"/>
      <c r="H405" s="5" t="n"/>
      <c r="I405" s="5" t="n"/>
      <c r="J405" s="5" t="n">
        <v>109.67</v>
      </c>
      <c r="K405" s="5" t="n"/>
      <c r="L405" s="5" t="n"/>
      <c r="M405" s="5" t="n"/>
      <c r="N405" s="5" t="n"/>
      <c r="O405" s="5" t="n">
        <v>658</v>
      </c>
      <c r="P405" s="5" t="n"/>
      <c r="Q405" s="5" t="n">
        <v>658</v>
      </c>
      <c r="R405" s="5" t="n"/>
    </row>
    <row r="406">
      <c r="A406" s="2" t="inlineStr">
        <is>
          <t>EJ020424.TXT</t>
        </is>
      </c>
      <c r="B406" s="3" t="inlineStr">
        <is>
          <t>001578</t>
        </is>
      </c>
      <c r="C406" s="3" t="inlineStr">
        <is>
          <t>001013</t>
        </is>
      </c>
      <c r="D406" s="4" t="n">
        <v>45359</v>
      </c>
      <c r="E406" s="2" t="inlineStr">
        <is>
          <t>16:46</t>
        </is>
      </c>
      <c r="F406" s="5" t="n">
        <v>1096.67</v>
      </c>
      <c r="G406" s="5" t="n"/>
      <c r="H406" s="5" t="n"/>
      <c r="I406" s="5" t="n"/>
      <c r="J406" s="5" t="n">
        <v>219.33</v>
      </c>
      <c r="K406" s="5" t="n"/>
      <c r="L406" s="5" t="n"/>
      <c r="M406" s="5" t="n"/>
      <c r="N406" s="5" t="n"/>
      <c r="O406" s="5" t="n">
        <v>1316</v>
      </c>
      <c r="P406" s="5" t="n">
        <v>1316</v>
      </c>
      <c r="Q406" s="5" t="n"/>
      <c r="R406" s="5" t="n"/>
    </row>
    <row r="407">
      <c r="A407" s="2" t="inlineStr">
        <is>
          <t>EJ020424.TXT</t>
        </is>
      </c>
      <c r="B407" s="3" t="inlineStr">
        <is>
          <t>001579</t>
        </is>
      </c>
      <c r="C407" s="3" t="inlineStr">
        <is>
          <t>001014</t>
        </is>
      </c>
      <c r="D407" s="4" t="n">
        <v>45360</v>
      </c>
      <c r="E407" s="2" t="inlineStr">
        <is>
          <t>15:02</t>
        </is>
      </c>
      <c r="F407" s="5" t="n">
        <v>922.5</v>
      </c>
      <c r="G407" s="5" t="n"/>
      <c r="H407" s="5" t="n"/>
      <c r="I407" s="5" t="n"/>
      <c r="J407" s="5" t="n">
        <v>184.5</v>
      </c>
      <c r="K407" s="5" t="n"/>
      <c r="L407" s="5" t="n"/>
      <c r="M407" s="5" t="n"/>
      <c r="N407" s="5" t="n"/>
      <c r="O407" s="5" t="n">
        <v>1107</v>
      </c>
      <c r="P407" s="5" t="n">
        <v>1107</v>
      </c>
      <c r="Q407" s="5" t="n"/>
      <c r="R407" s="5" t="n"/>
    </row>
    <row r="408">
      <c r="A408" s="2" t="inlineStr">
        <is>
          <t>EJ020424.TXT</t>
        </is>
      </c>
      <c r="B408" s="3" t="inlineStr">
        <is>
          <t>001580</t>
        </is>
      </c>
      <c r="C408" s="3" t="inlineStr">
        <is>
          <t>001015</t>
        </is>
      </c>
      <c r="D408" s="4" t="n">
        <v>45363</v>
      </c>
      <c r="E408" s="2" t="inlineStr">
        <is>
          <t>15:55</t>
        </is>
      </c>
      <c r="F408" s="5" t="n">
        <v>545</v>
      </c>
      <c r="G408" s="5" t="n"/>
      <c r="H408" s="5" t="n"/>
      <c r="I408" s="5" t="n"/>
      <c r="J408" s="5" t="n">
        <v>109</v>
      </c>
      <c r="K408" s="5" t="n"/>
      <c r="L408" s="5" t="n"/>
      <c r="M408" s="5" t="n"/>
      <c r="N408" s="5" t="n"/>
      <c r="O408" s="5" t="n">
        <v>654</v>
      </c>
      <c r="P408" s="5" t="n">
        <v>654</v>
      </c>
      <c r="Q408" s="5" t="n"/>
      <c r="R408" s="5" t="n"/>
    </row>
    <row r="409">
      <c r="A409" s="2" t="inlineStr">
        <is>
          <t>EJ020424.TXT</t>
        </is>
      </c>
      <c r="B409" s="3" t="inlineStr">
        <is>
          <t>001581</t>
        </is>
      </c>
      <c r="C409" s="3" t="inlineStr">
        <is>
          <t>001016</t>
        </is>
      </c>
      <c r="D409" s="4" t="n">
        <v>45364</v>
      </c>
      <c r="E409" s="2" t="inlineStr">
        <is>
          <t>15:54</t>
        </is>
      </c>
      <c r="F409" s="5" t="n">
        <v>548.33</v>
      </c>
      <c r="G409" s="5" t="n"/>
      <c r="H409" s="5" t="n"/>
      <c r="I409" s="5" t="n"/>
      <c r="J409" s="5" t="n">
        <v>109.67</v>
      </c>
      <c r="K409" s="5" t="n"/>
      <c r="L409" s="5" t="n"/>
      <c r="M409" s="5" t="n"/>
      <c r="N409" s="5" t="n"/>
      <c r="O409" s="5" t="n">
        <v>658</v>
      </c>
      <c r="P409" s="5" t="n"/>
      <c r="Q409" s="5" t="n">
        <v>658</v>
      </c>
      <c r="R409" s="5" t="n"/>
    </row>
    <row r="410">
      <c r="A410" s="2" t="inlineStr">
        <is>
          <t>EJ020424.TXT</t>
        </is>
      </c>
      <c r="B410" s="3" t="inlineStr">
        <is>
          <t>001582</t>
        </is>
      </c>
      <c r="C410" s="3" t="inlineStr">
        <is>
          <t>001017</t>
        </is>
      </c>
      <c r="D410" s="4" t="n">
        <v>45364</v>
      </c>
      <c r="E410" s="2" t="inlineStr">
        <is>
          <t>16:28</t>
        </is>
      </c>
      <c r="F410" s="5" t="n">
        <v>45.75</v>
      </c>
      <c r="G410" s="5" t="n"/>
      <c r="H410" s="5" t="n"/>
      <c r="I410" s="5" t="n"/>
      <c r="J410" s="5" t="n">
        <v>9.15</v>
      </c>
      <c r="K410" s="5" t="n"/>
      <c r="L410" s="5" t="n"/>
      <c r="M410" s="5" t="n"/>
      <c r="N410" s="5" t="n"/>
      <c r="O410" s="5" t="n">
        <v>54.9</v>
      </c>
      <c r="P410" s="5" t="n">
        <v>54.9</v>
      </c>
      <c r="Q410" s="5" t="n"/>
      <c r="R410" s="5" t="n"/>
    </row>
    <row r="411">
      <c r="A411" s="2" t="inlineStr">
        <is>
          <t>EJ020424.TXT</t>
        </is>
      </c>
      <c r="B411" s="3" t="inlineStr">
        <is>
          <t>001583</t>
        </is>
      </c>
      <c r="C411" s="3" t="inlineStr">
        <is>
          <t>001018</t>
        </is>
      </c>
      <c r="D411" s="4" t="n">
        <v>45365</v>
      </c>
      <c r="E411" s="2" t="inlineStr">
        <is>
          <t>12:24</t>
        </is>
      </c>
      <c r="F411" s="5" t="n">
        <v>274.17</v>
      </c>
      <c r="G411" s="5" t="n"/>
      <c r="H411" s="5" t="n"/>
      <c r="I411" s="5" t="n"/>
      <c r="J411" s="5" t="n">
        <v>54.83</v>
      </c>
      <c r="K411" s="5" t="n"/>
      <c r="L411" s="5" t="n"/>
      <c r="M411" s="5" t="n"/>
      <c r="N411" s="5" t="n"/>
      <c r="O411" s="5" t="n">
        <v>329</v>
      </c>
      <c r="P411" s="5" t="n">
        <v>329</v>
      </c>
      <c r="Q411" s="5" t="n"/>
      <c r="R411" s="5" t="n"/>
    </row>
    <row r="412">
      <c r="A412" s="2" t="inlineStr">
        <is>
          <t>EJ020424.TXT</t>
        </is>
      </c>
      <c r="B412" s="3" t="inlineStr">
        <is>
          <t>001584</t>
        </is>
      </c>
      <c r="C412" s="3" t="inlineStr">
        <is>
          <t>001019</t>
        </is>
      </c>
      <c r="D412" s="4" t="n">
        <v>45365</v>
      </c>
      <c r="E412" s="2" t="inlineStr">
        <is>
          <t>14:15</t>
        </is>
      </c>
      <c r="F412" s="5" t="n">
        <v>822.5</v>
      </c>
      <c r="G412" s="5" t="n"/>
      <c r="H412" s="5" t="n"/>
      <c r="I412" s="5" t="n"/>
      <c r="J412" s="5" t="n">
        <v>164.5</v>
      </c>
      <c r="K412" s="5" t="n"/>
      <c r="L412" s="5" t="n"/>
      <c r="M412" s="5" t="n"/>
      <c r="N412" s="5" t="n"/>
      <c r="O412" s="5" t="n">
        <v>987</v>
      </c>
      <c r="P412" s="5" t="n"/>
      <c r="Q412" s="5" t="n">
        <v>987</v>
      </c>
      <c r="R412" s="5" t="n"/>
    </row>
    <row r="413">
      <c r="A413" s="2" t="inlineStr">
        <is>
          <t>EJ020424.TXT</t>
        </is>
      </c>
      <c r="B413" s="3" t="inlineStr">
        <is>
          <t>001585</t>
        </is>
      </c>
      <c r="C413" s="3" t="inlineStr">
        <is>
          <t>001020</t>
        </is>
      </c>
      <c r="D413" s="4" t="n">
        <v>45367</v>
      </c>
      <c r="E413" s="2" t="inlineStr">
        <is>
          <t>15:56</t>
        </is>
      </c>
      <c r="F413" s="5" t="n">
        <v>274.17</v>
      </c>
      <c r="G413" s="5" t="n"/>
      <c r="H413" s="5" t="n"/>
      <c r="I413" s="5" t="n"/>
      <c r="J413" s="5" t="n">
        <v>54.83</v>
      </c>
      <c r="K413" s="5" t="n"/>
      <c r="L413" s="5" t="n"/>
      <c r="M413" s="5" t="n"/>
      <c r="N413" s="5" t="n"/>
      <c r="O413" s="5" t="n">
        <v>329</v>
      </c>
      <c r="P413" s="5" t="n">
        <v>329</v>
      </c>
      <c r="Q413" s="5" t="n"/>
      <c r="R413" s="5" t="n"/>
    </row>
    <row r="414">
      <c r="A414" s="2" t="inlineStr">
        <is>
          <t>EJ020424.TXT</t>
        </is>
      </c>
      <c r="B414" s="3" t="inlineStr">
        <is>
          <t>001586</t>
        </is>
      </c>
      <c r="C414" s="3" t="inlineStr">
        <is>
          <t>001021</t>
        </is>
      </c>
      <c r="D414" s="4" t="n">
        <v>45367</v>
      </c>
      <c r="E414" s="2" t="inlineStr">
        <is>
          <t>16:11</t>
        </is>
      </c>
      <c r="F414" s="5" t="n">
        <v>190.83</v>
      </c>
      <c r="G414" s="5" t="n"/>
      <c r="H414" s="5" t="n"/>
      <c r="I414" s="5" t="n"/>
      <c r="J414" s="5" t="n">
        <v>38.17</v>
      </c>
      <c r="K414" s="5" t="n"/>
      <c r="L414" s="5" t="n"/>
      <c r="M414" s="5" t="n"/>
      <c r="N414" s="5" t="n"/>
      <c r="O414" s="5" t="n">
        <v>229</v>
      </c>
      <c r="P414" s="5" t="n">
        <v>229</v>
      </c>
      <c r="Q414" s="5" t="n"/>
      <c r="R414" s="5" t="n"/>
    </row>
    <row r="415">
      <c r="A415" s="2" t="inlineStr">
        <is>
          <t>EJ020424.TXT</t>
        </is>
      </c>
      <c r="B415" s="3" t="inlineStr">
        <is>
          <t>001587</t>
        </is>
      </c>
      <c r="C415" s="3" t="inlineStr">
        <is>
          <t>001022</t>
        </is>
      </c>
      <c r="D415" s="4" t="n">
        <v>45367</v>
      </c>
      <c r="E415" s="2" t="inlineStr">
        <is>
          <t>16:30</t>
        </is>
      </c>
      <c r="F415" s="5" t="n">
        <v>274.17</v>
      </c>
      <c r="G415" s="5" t="n"/>
      <c r="H415" s="5" t="n"/>
      <c r="I415" s="5" t="n"/>
      <c r="J415" s="5" t="n">
        <v>54.83</v>
      </c>
      <c r="K415" s="5" t="n"/>
      <c r="L415" s="5" t="n"/>
      <c r="M415" s="5" t="n"/>
      <c r="N415" s="5" t="n"/>
      <c r="O415" s="5" t="n">
        <v>329</v>
      </c>
      <c r="P415" s="5" t="n"/>
      <c r="Q415" s="5" t="n">
        <v>329</v>
      </c>
      <c r="R415" s="5" t="n"/>
    </row>
    <row r="416">
      <c r="A416" s="2" t="inlineStr">
        <is>
          <t>EJ020424.TXT</t>
        </is>
      </c>
      <c r="B416" s="3" t="inlineStr">
        <is>
          <t>001588</t>
        </is>
      </c>
      <c r="C416" s="3" t="inlineStr">
        <is>
          <t>001023</t>
        </is>
      </c>
      <c r="D416" s="4" t="n">
        <v>45367</v>
      </c>
      <c r="E416" s="2" t="inlineStr">
        <is>
          <t>17:38</t>
        </is>
      </c>
      <c r="F416" s="5" t="n">
        <v>566.67</v>
      </c>
      <c r="G416" s="5" t="n"/>
      <c r="H416" s="5" t="n"/>
      <c r="I416" s="5" t="n"/>
      <c r="J416" s="5" t="n">
        <v>113.33</v>
      </c>
      <c r="K416" s="5" t="n"/>
      <c r="L416" s="5" t="n"/>
      <c r="M416" s="5" t="n"/>
      <c r="N416" s="5" t="n"/>
      <c r="O416" s="5" t="n">
        <v>680</v>
      </c>
      <c r="P416" s="5" t="n"/>
      <c r="Q416" s="5" t="n">
        <v>680</v>
      </c>
      <c r="R416" s="5" t="n"/>
    </row>
    <row r="417">
      <c r="A417" s="2" t="inlineStr">
        <is>
          <t>EJ020424.TXT</t>
        </is>
      </c>
      <c r="B417" s="3" t="inlineStr">
        <is>
          <t>001589</t>
        </is>
      </c>
      <c r="C417" s="3" t="inlineStr">
        <is>
          <t>001024</t>
        </is>
      </c>
      <c r="D417" s="4" t="n">
        <v>45370</v>
      </c>
      <c r="E417" s="2" t="inlineStr">
        <is>
          <t>15:31</t>
        </is>
      </c>
      <c r="F417" s="5" t="n">
        <v>244.92</v>
      </c>
      <c r="G417" s="5" t="n"/>
      <c r="H417" s="5" t="n"/>
      <c r="I417" s="5" t="n"/>
      <c r="J417" s="5" t="n">
        <v>48.98</v>
      </c>
      <c r="K417" s="5" t="n"/>
      <c r="L417" s="5" t="n"/>
      <c r="M417" s="5" t="n"/>
      <c r="N417" s="5" t="n"/>
      <c r="O417" s="5" t="n">
        <v>293.9</v>
      </c>
      <c r="P417" s="5" t="n"/>
      <c r="Q417" s="5" t="n">
        <v>293.9</v>
      </c>
      <c r="R417" s="5" t="n"/>
    </row>
    <row r="418">
      <c r="A418" s="2" t="inlineStr">
        <is>
          <t>EJ020424.TXT</t>
        </is>
      </c>
      <c r="B418" s="3" t="inlineStr">
        <is>
          <t>001590</t>
        </is>
      </c>
      <c r="C418" s="3" t="inlineStr">
        <is>
          <t>001025</t>
        </is>
      </c>
      <c r="D418" s="4" t="n">
        <v>45371</v>
      </c>
      <c r="E418" s="2" t="inlineStr">
        <is>
          <t>14:37</t>
        </is>
      </c>
      <c r="F418" s="5" t="n">
        <v>267.5</v>
      </c>
      <c r="G418" s="5" t="n"/>
      <c r="H418" s="5" t="n"/>
      <c r="I418" s="5" t="n"/>
      <c r="J418" s="5" t="n">
        <v>53.5</v>
      </c>
      <c r="K418" s="5" t="n"/>
      <c r="L418" s="5" t="n"/>
      <c r="M418" s="5" t="n"/>
      <c r="N418" s="5" t="n"/>
      <c r="O418" s="5" t="n">
        <v>321</v>
      </c>
      <c r="P418" s="5" t="n">
        <v>321</v>
      </c>
      <c r="Q418" s="5" t="n"/>
      <c r="R418" s="5" t="n"/>
    </row>
    <row r="419">
      <c r="A419" s="2" t="inlineStr">
        <is>
          <t>EJ020424.TXT</t>
        </is>
      </c>
      <c r="B419" s="3" t="inlineStr">
        <is>
          <t>001591</t>
        </is>
      </c>
      <c r="C419" s="3" t="inlineStr">
        <is>
          <t>001026</t>
        </is>
      </c>
      <c r="D419" s="4" t="n">
        <v>45371</v>
      </c>
      <c r="E419" s="2" t="inlineStr">
        <is>
          <t>14:37</t>
        </is>
      </c>
      <c r="F419" s="5" t="n">
        <v>272.5</v>
      </c>
      <c r="G419" s="5" t="n"/>
      <c r="H419" s="5" t="n"/>
      <c r="I419" s="5" t="n"/>
      <c r="J419" s="5" t="n">
        <v>54.5</v>
      </c>
      <c r="K419" s="5" t="n"/>
      <c r="L419" s="5" t="n"/>
      <c r="M419" s="5" t="n"/>
      <c r="N419" s="5" t="n"/>
      <c r="O419" s="5" t="n">
        <v>327</v>
      </c>
      <c r="P419" s="5" t="n">
        <v>327</v>
      </c>
      <c r="Q419" s="5" t="n"/>
      <c r="R419" s="5" t="n"/>
    </row>
    <row r="420">
      <c r="A420" s="2" t="inlineStr">
        <is>
          <t>EJ020424.TXT</t>
        </is>
      </c>
      <c r="B420" s="3" t="inlineStr">
        <is>
          <t>001592</t>
        </is>
      </c>
      <c r="C420" s="3" t="inlineStr">
        <is>
          <t>001027</t>
        </is>
      </c>
      <c r="D420" s="4" t="n">
        <v>45372</v>
      </c>
      <c r="E420" s="2" t="inlineStr">
        <is>
          <t>16:18</t>
        </is>
      </c>
      <c r="F420" s="5" t="n">
        <v>82.5</v>
      </c>
      <c r="G420" s="5" t="n"/>
      <c r="H420" s="5" t="n"/>
      <c r="I420" s="5" t="n"/>
      <c r="J420" s="5" t="n">
        <v>16.5</v>
      </c>
      <c r="K420" s="5" t="n"/>
      <c r="L420" s="5" t="n"/>
      <c r="M420" s="5" t="n"/>
      <c r="N420" s="5" t="n"/>
      <c r="O420" s="5" t="n">
        <v>99</v>
      </c>
      <c r="P420" s="5" t="n">
        <v>99</v>
      </c>
      <c r="Q420" s="5" t="n"/>
      <c r="R420" s="5" t="n"/>
    </row>
    <row r="421">
      <c r="A421" s="2" t="inlineStr">
        <is>
          <t>EJ020424.TXT</t>
        </is>
      </c>
      <c r="B421" s="3" t="inlineStr">
        <is>
          <t>001593</t>
        </is>
      </c>
      <c r="C421" s="3" t="inlineStr">
        <is>
          <t>001028</t>
        </is>
      </c>
      <c r="D421" s="4" t="n">
        <v>45373</v>
      </c>
      <c r="E421" s="2" t="inlineStr">
        <is>
          <t>17:20</t>
        </is>
      </c>
      <c r="F421" s="5" t="n">
        <v>33.25</v>
      </c>
      <c r="G421" s="5" t="n"/>
      <c r="H421" s="5" t="n"/>
      <c r="I421" s="5" t="n"/>
      <c r="J421" s="5" t="n">
        <v>6.65</v>
      </c>
      <c r="K421" s="5" t="n"/>
      <c r="L421" s="5" t="n"/>
      <c r="M421" s="5" t="n"/>
      <c r="N421" s="5" t="n"/>
      <c r="O421" s="5" t="n">
        <v>39.9</v>
      </c>
      <c r="P421" s="5" t="n">
        <v>39.9</v>
      </c>
      <c r="Q421" s="5" t="n"/>
      <c r="R421" s="5" t="n"/>
    </row>
    <row r="422">
      <c r="A422" s="2" t="inlineStr">
        <is>
          <t>EJ020424.TXT</t>
        </is>
      </c>
      <c r="B422" s="3" t="inlineStr">
        <is>
          <t>001594</t>
        </is>
      </c>
      <c r="C422" s="3" t="inlineStr">
        <is>
          <t>001029</t>
        </is>
      </c>
      <c r="D422" s="4" t="n">
        <v>45374</v>
      </c>
      <c r="E422" s="2" t="inlineStr">
        <is>
          <t>15:17</t>
        </is>
      </c>
      <c r="F422" s="5" t="n">
        <v>822.5</v>
      </c>
      <c r="G422" s="5" t="n"/>
      <c r="H422" s="5" t="n"/>
      <c r="I422" s="5" t="n"/>
      <c r="J422" s="5" t="n">
        <v>164.5</v>
      </c>
      <c r="K422" s="5" t="n"/>
      <c r="L422" s="5" t="n"/>
      <c r="M422" s="5" t="n"/>
      <c r="N422" s="5" t="n"/>
      <c r="O422" s="5" t="n">
        <v>987</v>
      </c>
      <c r="P422" s="5" t="n"/>
      <c r="Q422" s="5" t="n">
        <v>987</v>
      </c>
      <c r="R422" s="5" t="n"/>
    </row>
    <row r="423">
      <c r="A423" s="2" t="inlineStr">
        <is>
          <t>EJ020424.TXT</t>
        </is>
      </c>
      <c r="B423" s="3" t="inlineStr">
        <is>
          <t>001595</t>
        </is>
      </c>
      <c r="C423" s="3" t="inlineStr">
        <is>
          <t>001030</t>
        </is>
      </c>
      <c r="D423" s="4" t="n">
        <v>45374</v>
      </c>
      <c r="E423" s="2" t="inlineStr">
        <is>
          <t>15:17</t>
        </is>
      </c>
      <c r="F423" s="5" t="n">
        <v>822.5</v>
      </c>
      <c r="G423" s="5" t="n"/>
      <c r="H423" s="5" t="n"/>
      <c r="I423" s="5" t="n"/>
      <c r="J423" s="5" t="n">
        <v>164.5</v>
      </c>
      <c r="K423" s="5" t="n"/>
      <c r="L423" s="5" t="n"/>
      <c r="M423" s="5" t="n"/>
      <c r="N423" s="5" t="n"/>
      <c r="O423" s="5" t="n">
        <v>987</v>
      </c>
      <c r="P423" s="5" t="n"/>
      <c r="Q423" s="5" t="n">
        <v>987</v>
      </c>
      <c r="R423" s="5" t="n"/>
    </row>
    <row r="424">
      <c r="A424" s="2" t="inlineStr">
        <is>
          <t>EJ020424.TXT</t>
        </is>
      </c>
      <c r="B424" s="3" t="inlineStr">
        <is>
          <t>001596</t>
        </is>
      </c>
      <c r="C424" s="3" t="inlineStr">
        <is>
          <t>001031</t>
        </is>
      </c>
      <c r="D424" s="4" t="n">
        <v>45374</v>
      </c>
      <c r="E424" s="2" t="inlineStr">
        <is>
          <t>15:32</t>
        </is>
      </c>
      <c r="F424" s="5" t="n">
        <v>548.33</v>
      </c>
      <c r="G424" s="5" t="n"/>
      <c r="H424" s="5" t="n"/>
      <c r="I424" s="5" t="n"/>
      <c r="J424" s="5" t="n">
        <v>109.67</v>
      </c>
      <c r="K424" s="5" t="n"/>
      <c r="L424" s="5" t="n"/>
      <c r="M424" s="5" t="n"/>
      <c r="N424" s="5" t="n"/>
      <c r="O424" s="5" t="n">
        <v>658</v>
      </c>
      <c r="P424" s="5" t="n">
        <v>658</v>
      </c>
      <c r="Q424" s="5" t="n"/>
      <c r="R424" s="5" t="n"/>
    </row>
    <row r="425">
      <c r="A425" s="2" t="inlineStr">
        <is>
          <t>EJ020424.TXT</t>
        </is>
      </c>
      <c r="B425" s="3" t="inlineStr">
        <is>
          <t>001597</t>
        </is>
      </c>
      <c r="C425" s="3" t="inlineStr">
        <is>
          <t>001032</t>
        </is>
      </c>
      <c r="D425" s="4" t="n">
        <v>45377</v>
      </c>
      <c r="E425" s="2" t="inlineStr">
        <is>
          <t>13:58</t>
        </is>
      </c>
      <c r="F425" s="5" t="n">
        <v>863.33</v>
      </c>
      <c r="G425" s="5" t="n"/>
      <c r="H425" s="5" t="n"/>
      <c r="I425" s="5" t="n"/>
      <c r="J425" s="5" t="n">
        <v>172.67</v>
      </c>
      <c r="K425" s="5" t="n"/>
      <c r="L425" s="5" t="n"/>
      <c r="M425" s="5" t="n"/>
      <c r="N425" s="5" t="n"/>
      <c r="O425" s="5" t="n">
        <v>1036</v>
      </c>
      <c r="P425" s="5" t="n">
        <v>1036</v>
      </c>
      <c r="Q425" s="5" t="n"/>
      <c r="R425" s="5" t="n"/>
    </row>
    <row r="426">
      <c r="A426" s="2" t="inlineStr">
        <is>
          <t>EJ020424.TXT</t>
        </is>
      </c>
      <c r="B426" s="3" t="inlineStr">
        <is>
          <t>001598</t>
        </is>
      </c>
      <c r="C426" s="3" t="inlineStr">
        <is>
          <t>001033</t>
        </is>
      </c>
      <c r="D426" s="4" t="n">
        <v>45379</v>
      </c>
      <c r="E426" s="2" t="inlineStr">
        <is>
          <t>11:58</t>
        </is>
      </c>
      <c r="F426" s="5" t="n">
        <v>274.17</v>
      </c>
      <c r="G426" s="5" t="n"/>
      <c r="H426" s="5" t="n"/>
      <c r="I426" s="5" t="n"/>
      <c r="J426" s="5" t="n">
        <v>54.83</v>
      </c>
      <c r="K426" s="5" t="n"/>
      <c r="L426" s="5" t="n"/>
      <c r="M426" s="5" t="n"/>
      <c r="N426" s="5" t="n"/>
      <c r="O426" s="5" t="n">
        <v>329</v>
      </c>
      <c r="P426" s="5" t="n">
        <v>329</v>
      </c>
      <c r="Q426" s="5" t="n"/>
      <c r="R426" s="5" t="n"/>
    </row>
    <row r="427">
      <c r="A427" s="2" t="inlineStr">
        <is>
          <t>EJ020424.TXT</t>
        </is>
      </c>
      <c r="B427" s="3" t="inlineStr">
        <is>
          <t>001599</t>
        </is>
      </c>
      <c r="C427" s="3" t="inlineStr">
        <is>
          <t>001034</t>
        </is>
      </c>
      <c r="D427" s="4" t="n">
        <v>45380</v>
      </c>
      <c r="E427" s="2" t="inlineStr">
        <is>
          <t>16:02</t>
        </is>
      </c>
      <c r="F427" s="5" t="n">
        <v>274.17</v>
      </c>
      <c r="G427" s="5" t="n"/>
      <c r="H427" s="5" t="n"/>
      <c r="I427" s="5" t="n"/>
      <c r="J427" s="5" t="n">
        <v>54.83</v>
      </c>
      <c r="K427" s="5" t="n"/>
      <c r="L427" s="5" t="n"/>
      <c r="M427" s="5" t="n"/>
      <c r="N427" s="5" t="n"/>
      <c r="O427" s="5" t="n">
        <v>329</v>
      </c>
      <c r="P427" s="5" t="n">
        <v>329</v>
      </c>
      <c r="Q427" s="5" t="n"/>
      <c r="R427" s="5" t="n"/>
    </row>
    <row r="428">
      <c r="A428" s="2" t="inlineStr">
        <is>
          <t>EJ020424.TXT</t>
        </is>
      </c>
      <c r="B428" s="3" t="inlineStr">
        <is>
          <t>001600</t>
        </is>
      </c>
      <c r="C428" s="3" t="inlineStr">
        <is>
          <t>001035</t>
        </is>
      </c>
      <c r="D428" s="4" t="n">
        <v>45381</v>
      </c>
      <c r="E428" s="2" t="inlineStr">
        <is>
          <t>16:36</t>
        </is>
      </c>
      <c r="F428" s="5" t="n">
        <v>82.25</v>
      </c>
      <c r="G428" s="5" t="n"/>
      <c r="H428" s="5" t="n"/>
      <c r="I428" s="5" t="n"/>
      <c r="J428" s="5" t="n">
        <v>16.45</v>
      </c>
      <c r="K428" s="5" t="n"/>
      <c r="L428" s="5" t="n"/>
      <c r="M428" s="5" t="n"/>
      <c r="N428" s="5" t="n"/>
      <c r="O428" s="5" t="n">
        <v>98.7</v>
      </c>
      <c r="P428" s="5" t="n">
        <v>98.7</v>
      </c>
      <c r="Q428" s="5" t="n"/>
      <c r="R428" s="5" t="n"/>
    </row>
    <row r="429">
      <c r="A429" s="2" t="inlineStr">
        <is>
          <t>EJ020524.TXT</t>
        </is>
      </c>
      <c r="B429" s="3" t="inlineStr">
        <is>
          <t>001605</t>
        </is>
      </c>
      <c r="C429" s="3" t="inlineStr">
        <is>
          <t>001036</t>
        </is>
      </c>
      <c r="D429" s="4" t="n">
        <v>45386</v>
      </c>
      <c r="E429" s="2" t="inlineStr">
        <is>
          <t>13:58</t>
        </is>
      </c>
      <c r="F429" s="5" t="n">
        <v>548.33</v>
      </c>
      <c r="G429" s="5" t="n"/>
      <c r="H429" s="5" t="n"/>
      <c r="I429" s="5" t="n"/>
      <c r="J429" s="5" t="n">
        <v>109.67</v>
      </c>
      <c r="K429" s="5" t="n"/>
      <c r="L429" s="5" t="n"/>
      <c r="M429" s="5" t="n"/>
      <c r="N429" s="5" t="n"/>
      <c r="O429" s="5" t="n">
        <v>658</v>
      </c>
      <c r="P429" s="5" t="n">
        <v>658</v>
      </c>
      <c r="Q429" s="5" t="n"/>
      <c r="R429" s="5" t="n"/>
    </row>
    <row r="430">
      <c r="A430" s="2" t="inlineStr">
        <is>
          <t>EJ020524.TXT</t>
        </is>
      </c>
      <c r="B430" s="3" t="inlineStr">
        <is>
          <t>001606</t>
        </is>
      </c>
      <c r="C430" s="3" t="inlineStr">
        <is>
          <t>001037</t>
        </is>
      </c>
      <c r="D430" s="4" t="n">
        <v>45387</v>
      </c>
      <c r="E430" s="2" t="inlineStr">
        <is>
          <t>09:01</t>
        </is>
      </c>
      <c r="F430" s="5" t="n">
        <v>548.33</v>
      </c>
      <c r="G430" s="5" t="n"/>
      <c r="H430" s="5" t="n"/>
      <c r="I430" s="5" t="n"/>
      <c r="J430" s="5" t="n">
        <v>109.67</v>
      </c>
      <c r="K430" s="5" t="n"/>
      <c r="L430" s="5" t="n"/>
      <c r="M430" s="5" t="n"/>
      <c r="N430" s="5" t="n"/>
      <c r="O430" s="5" t="n">
        <v>658</v>
      </c>
      <c r="P430" s="5" t="n">
        <v>658</v>
      </c>
      <c r="Q430" s="5" t="n"/>
      <c r="R430" s="5" t="n"/>
    </row>
    <row r="431">
      <c r="A431" s="2" t="inlineStr">
        <is>
          <t>EJ020524.TXT</t>
        </is>
      </c>
      <c r="B431" s="3" t="inlineStr">
        <is>
          <t>001612</t>
        </is>
      </c>
      <c r="C431" s="3" t="inlineStr">
        <is>
          <t>001038</t>
        </is>
      </c>
      <c r="D431" s="4" t="n">
        <v>45390</v>
      </c>
      <c r="E431" s="2" t="inlineStr">
        <is>
          <t>14:35</t>
        </is>
      </c>
      <c r="F431" s="5" t="n">
        <v>658.33</v>
      </c>
      <c r="G431" s="5" t="n"/>
      <c r="H431" s="5" t="n"/>
      <c r="I431" s="5" t="n"/>
      <c r="J431" s="5" t="n">
        <v>131.67</v>
      </c>
      <c r="K431" s="5" t="n"/>
      <c r="L431" s="5" t="n"/>
      <c r="M431" s="5" t="n"/>
      <c r="N431" s="5" t="n"/>
      <c r="O431" s="5" t="n">
        <v>790</v>
      </c>
      <c r="P431" s="5" t="n">
        <v>790</v>
      </c>
      <c r="Q431" s="5" t="n"/>
      <c r="R431" s="5" t="n"/>
    </row>
    <row r="432">
      <c r="A432" s="2" t="inlineStr">
        <is>
          <t>EJ020524.TXT</t>
        </is>
      </c>
      <c r="B432" s="3" t="inlineStr">
        <is>
          <t>001613</t>
        </is>
      </c>
      <c r="C432" s="3" t="inlineStr">
        <is>
          <t>001039</t>
        </is>
      </c>
      <c r="D432" s="4" t="n">
        <v>45392</v>
      </c>
      <c r="E432" s="2" t="inlineStr">
        <is>
          <t>10:50</t>
        </is>
      </c>
      <c r="F432" s="5" t="n">
        <v>548.33</v>
      </c>
      <c r="G432" s="5" t="n"/>
      <c r="H432" s="5" t="n"/>
      <c r="I432" s="5" t="n"/>
      <c r="J432" s="5" t="n">
        <v>109.67</v>
      </c>
      <c r="K432" s="5" t="n"/>
      <c r="L432" s="5" t="n"/>
      <c r="M432" s="5" t="n"/>
      <c r="N432" s="5" t="n"/>
      <c r="O432" s="5" t="n">
        <v>658</v>
      </c>
      <c r="P432" s="5" t="n">
        <v>658</v>
      </c>
      <c r="Q432" s="5" t="n"/>
      <c r="R432" s="5" t="n"/>
    </row>
    <row r="433">
      <c r="A433" s="2" t="inlineStr">
        <is>
          <t>EJ020524.TXT</t>
        </is>
      </c>
      <c r="B433" s="3" t="inlineStr">
        <is>
          <t>001614</t>
        </is>
      </c>
      <c r="C433" s="3" t="inlineStr">
        <is>
          <t>001040</t>
        </is>
      </c>
      <c r="D433" s="4" t="n">
        <v>45392</v>
      </c>
      <c r="E433" s="2" t="inlineStr">
        <is>
          <t>10:52</t>
        </is>
      </c>
      <c r="F433" s="5" t="n">
        <v>548.33</v>
      </c>
      <c r="G433" s="5" t="n"/>
      <c r="H433" s="5" t="n"/>
      <c r="I433" s="5" t="n"/>
      <c r="J433" s="5" t="n">
        <v>109.67</v>
      </c>
      <c r="K433" s="5" t="n"/>
      <c r="L433" s="5" t="n"/>
      <c r="M433" s="5" t="n"/>
      <c r="N433" s="5" t="n"/>
      <c r="O433" s="5" t="n">
        <v>658</v>
      </c>
      <c r="P433" s="5" t="n">
        <v>658</v>
      </c>
      <c r="Q433" s="5" t="n"/>
      <c r="R433" s="5" t="n"/>
    </row>
    <row r="434">
      <c r="A434" s="2" t="inlineStr">
        <is>
          <t>EJ020524.TXT</t>
        </is>
      </c>
      <c r="B434" s="3" t="inlineStr">
        <is>
          <t>001617</t>
        </is>
      </c>
      <c r="C434" s="3" t="inlineStr">
        <is>
          <t>001041</t>
        </is>
      </c>
      <c r="D434" s="4" t="n">
        <v>45393</v>
      </c>
      <c r="E434" s="2" t="inlineStr">
        <is>
          <t>11:26</t>
        </is>
      </c>
      <c r="F434" s="5" t="n">
        <v>3190</v>
      </c>
      <c r="G434" s="5" t="n"/>
      <c r="H434" s="5" t="n"/>
      <c r="I434" s="5" t="n"/>
      <c r="J434" s="5" t="n">
        <v>638</v>
      </c>
      <c r="K434" s="5" t="n"/>
      <c r="L434" s="5" t="n"/>
      <c r="M434" s="5" t="n"/>
      <c r="N434" s="5" t="n"/>
      <c r="O434" s="5" t="n">
        <v>3828</v>
      </c>
      <c r="P434" s="5" t="n">
        <v>3828</v>
      </c>
      <c r="Q434" s="5" t="n"/>
      <c r="R434" s="5" t="n"/>
    </row>
    <row r="435">
      <c r="A435" s="2" t="inlineStr">
        <is>
          <t>EJ020524.TXT</t>
        </is>
      </c>
      <c r="B435" s="3" t="inlineStr">
        <is>
          <t>001618</t>
        </is>
      </c>
      <c r="C435" s="3" t="inlineStr">
        <is>
          <t>001042</t>
        </is>
      </c>
      <c r="D435" s="4" t="n">
        <v>45393</v>
      </c>
      <c r="E435" s="2" t="inlineStr">
        <is>
          <t>12:53</t>
        </is>
      </c>
      <c r="F435" s="5" t="n">
        <v>548.33</v>
      </c>
      <c r="G435" s="5" t="n"/>
      <c r="H435" s="5" t="n"/>
      <c r="I435" s="5" t="n"/>
      <c r="J435" s="5" t="n">
        <v>109.67</v>
      </c>
      <c r="K435" s="5" t="n"/>
      <c r="L435" s="5" t="n"/>
      <c r="M435" s="5" t="n"/>
      <c r="N435" s="5" t="n"/>
      <c r="O435" s="5" t="n">
        <v>658</v>
      </c>
      <c r="P435" s="5" t="n">
        <v>658</v>
      </c>
      <c r="Q435" s="5" t="n"/>
      <c r="R435" s="5" t="n"/>
    </row>
    <row r="436">
      <c r="A436" s="2" t="inlineStr">
        <is>
          <t>EJ020524.TXT</t>
        </is>
      </c>
      <c r="B436" s="3" t="inlineStr">
        <is>
          <t>001619</t>
        </is>
      </c>
      <c r="C436" s="3" t="inlineStr">
        <is>
          <t>001043</t>
        </is>
      </c>
      <c r="D436" s="4" t="n">
        <v>45394</v>
      </c>
      <c r="E436" s="2" t="inlineStr">
        <is>
          <t>14:50</t>
        </is>
      </c>
      <c r="F436" s="5" t="n">
        <v>279.65</v>
      </c>
      <c r="G436" s="5" t="n"/>
      <c r="H436" s="5" t="n"/>
      <c r="I436" s="5" t="n"/>
      <c r="J436" s="5" t="n">
        <v>55.93</v>
      </c>
      <c r="K436" s="5" t="n"/>
      <c r="L436" s="5" t="n"/>
      <c r="M436" s="5" t="n"/>
      <c r="N436" s="5" t="n"/>
      <c r="O436" s="5" t="n">
        <v>335.58</v>
      </c>
      <c r="P436" s="5" t="n">
        <v>335.58</v>
      </c>
      <c r="Q436" s="5" t="n"/>
      <c r="R436" s="5" t="n"/>
    </row>
    <row r="437">
      <c r="A437" s="2" t="inlineStr">
        <is>
          <t>EJ020524.TXT</t>
        </is>
      </c>
      <c r="B437" s="3" t="inlineStr">
        <is>
          <t>001620</t>
        </is>
      </c>
      <c r="C437" s="3" t="inlineStr">
        <is>
          <t>001044</t>
        </is>
      </c>
      <c r="D437" s="4" t="n">
        <v>45394</v>
      </c>
      <c r="E437" s="2" t="inlineStr">
        <is>
          <t>14:52</t>
        </is>
      </c>
      <c r="F437" s="5" t="n">
        <v>548.33</v>
      </c>
      <c r="G437" s="5" t="n"/>
      <c r="H437" s="5" t="n"/>
      <c r="I437" s="5" t="n"/>
      <c r="J437" s="5" t="n">
        <v>109.67</v>
      </c>
      <c r="K437" s="5" t="n"/>
      <c r="L437" s="5" t="n"/>
      <c r="M437" s="5" t="n"/>
      <c r="N437" s="5" t="n"/>
      <c r="O437" s="5" t="n">
        <v>658</v>
      </c>
      <c r="P437" s="5" t="n">
        <v>658</v>
      </c>
      <c r="Q437" s="5" t="n"/>
      <c r="R437" s="5" t="n"/>
    </row>
    <row r="438">
      <c r="A438" s="2" t="inlineStr">
        <is>
          <t>EJ020524.TXT</t>
        </is>
      </c>
      <c r="B438" s="3" t="inlineStr">
        <is>
          <t>001621</t>
        </is>
      </c>
      <c r="C438" s="3" t="inlineStr">
        <is>
          <t>001045</t>
        </is>
      </c>
      <c r="D438" s="4" t="n">
        <v>45397</v>
      </c>
      <c r="E438" s="2" t="inlineStr">
        <is>
          <t>09:33</t>
        </is>
      </c>
      <c r="F438" s="5" t="n">
        <v>548.33</v>
      </c>
      <c r="G438" s="5" t="n"/>
      <c r="H438" s="5" t="n"/>
      <c r="I438" s="5" t="n"/>
      <c r="J438" s="5" t="n">
        <v>109.67</v>
      </c>
      <c r="K438" s="5" t="n"/>
      <c r="L438" s="5" t="n"/>
      <c r="M438" s="5" t="n"/>
      <c r="N438" s="5" t="n"/>
      <c r="O438" s="5" t="n">
        <v>658</v>
      </c>
      <c r="P438" s="5" t="n">
        <v>658</v>
      </c>
      <c r="Q438" s="5" t="n"/>
      <c r="R438" s="5" t="n"/>
    </row>
    <row r="439">
      <c r="A439" s="2" t="inlineStr">
        <is>
          <t>EJ020524.TXT</t>
        </is>
      </c>
      <c r="B439" s="3" t="inlineStr">
        <is>
          <t>001622</t>
        </is>
      </c>
      <c r="C439" s="3" t="inlineStr">
        <is>
          <t>001046</t>
        </is>
      </c>
      <c r="D439" s="4" t="n">
        <v>45397</v>
      </c>
      <c r="E439" s="2" t="inlineStr">
        <is>
          <t>09:33</t>
        </is>
      </c>
      <c r="F439" s="5" t="n">
        <v>548.33</v>
      </c>
      <c r="G439" s="5" t="n"/>
      <c r="H439" s="5" t="n"/>
      <c r="I439" s="5" t="n"/>
      <c r="J439" s="5" t="n">
        <v>109.67</v>
      </c>
      <c r="K439" s="5" t="n"/>
      <c r="L439" s="5" t="n"/>
      <c r="M439" s="5" t="n"/>
      <c r="N439" s="5" t="n"/>
      <c r="O439" s="5" t="n">
        <v>658</v>
      </c>
      <c r="P439" s="5" t="n">
        <v>658</v>
      </c>
      <c r="Q439" s="5" t="n"/>
      <c r="R439" s="5" t="n"/>
    </row>
    <row r="440">
      <c r="A440" s="2" t="inlineStr">
        <is>
          <t>EJ020524.TXT</t>
        </is>
      </c>
      <c r="B440" s="3" t="inlineStr">
        <is>
          <t>001623</t>
        </is>
      </c>
      <c r="C440" s="3" t="inlineStr">
        <is>
          <t>001047</t>
        </is>
      </c>
      <c r="D440" s="4" t="n">
        <v>45398</v>
      </c>
      <c r="E440" s="2" t="inlineStr">
        <is>
          <t>16:31</t>
        </is>
      </c>
      <c r="F440" s="5" t="n">
        <v>548.33</v>
      </c>
      <c r="G440" s="5" t="n"/>
      <c r="H440" s="5" t="n"/>
      <c r="I440" s="5" t="n"/>
      <c r="J440" s="5" t="n">
        <v>109.67</v>
      </c>
      <c r="K440" s="5" t="n"/>
      <c r="L440" s="5" t="n"/>
      <c r="M440" s="5" t="n"/>
      <c r="N440" s="5" t="n"/>
      <c r="O440" s="5" t="n">
        <v>658</v>
      </c>
      <c r="P440" s="5" t="n">
        <v>658</v>
      </c>
      <c r="Q440" s="5" t="n"/>
      <c r="R440" s="5" t="n"/>
    </row>
    <row r="441">
      <c r="A441" s="2" t="inlineStr">
        <is>
          <t>EJ020524.TXT</t>
        </is>
      </c>
      <c r="B441" s="3" t="inlineStr">
        <is>
          <t>001625</t>
        </is>
      </c>
      <c r="C441" s="3" t="inlineStr">
        <is>
          <t>001048</t>
        </is>
      </c>
      <c r="D441" s="4" t="n">
        <v>45400</v>
      </c>
      <c r="E441" s="2" t="inlineStr">
        <is>
          <t>10:03</t>
        </is>
      </c>
      <c r="F441" s="5" t="n">
        <v>416.33</v>
      </c>
      <c r="G441" s="5" t="n"/>
      <c r="H441" s="5" t="n"/>
      <c r="I441" s="5" t="n"/>
      <c r="J441" s="5" t="n">
        <v>83.27</v>
      </c>
      <c r="K441" s="5" t="n"/>
      <c r="L441" s="5" t="n"/>
      <c r="M441" s="5" t="n"/>
      <c r="N441" s="5" t="n"/>
      <c r="O441" s="5" t="n">
        <v>499.6</v>
      </c>
      <c r="P441" s="5" t="n"/>
      <c r="Q441" s="5" t="n">
        <v>499.6</v>
      </c>
      <c r="R441" s="5" t="n"/>
    </row>
    <row r="442">
      <c r="A442" s="2" t="inlineStr">
        <is>
          <t>EJ020524.TXT</t>
        </is>
      </c>
      <c r="B442" s="3" t="inlineStr">
        <is>
          <t>001627</t>
        </is>
      </c>
      <c r="C442" s="3" t="inlineStr">
        <is>
          <t>001049</t>
        </is>
      </c>
      <c r="D442" s="4" t="n">
        <v>45400</v>
      </c>
      <c r="E442" s="2" t="inlineStr">
        <is>
          <t>11:25</t>
        </is>
      </c>
      <c r="F442" s="5" t="n">
        <v>190.83</v>
      </c>
      <c r="G442" s="5" t="n"/>
      <c r="H442" s="5" t="n"/>
      <c r="I442" s="5" t="n"/>
      <c r="J442" s="5" t="n">
        <v>38.17</v>
      </c>
      <c r="K442" s="5" t="n"/>
      <c r="L442" s="5" t="n"/>
      <c r="M442" s="5" t="n"/>
      <c r="N442" s="5" t="n"/>
      <c r="O442" s="5" t="n">
        <v>229</v>
      </c>
      <c r="P442" s="5" t="n">
        <v>229</v>
      </c>
      <c r="Q442" s="5" t="n"/>
      <c r="R442" s="5" t="n"/>
    </row>
    <row r="443">
      <c r="A443" s="2" t="inlineStr">
        <is>
          <t>EJ020524.TXT</t>
        </is>
      </c>
      <c r="B443" s="3" t="inlineStr">
        <is>
          <t>001628</t>
        </is>
      </c>
      <c r="C443" s="3" t="inlineStr">
        <is>
          <t>001050</t>
        </is>
      </c>
      <c r="D443" s="4" t="n">
        <v>45400</v>
      </c>
      <c r="E443" s="2" t="inlineStr">
        <is>
          <t>11:49</t>
        </is>
      </c>
      <c r="F443" s="5" t="n">
        <v>66.5</v>
      </c>
      <c r="G443" s="5" t="n"/>
      <c r="H443" s="5" t="n"/>
      <c r="I443" s="5" t="n"/>
      <c r="J443" s="5" t="n">
        <v>13.3</v>
      </c>
      <c r="K443" s="5" t="n"/>
      <c r="L443" s="5" t="n"/>
      <c r="M443" s="5" t="n"/>
      <c r="N443" s="5" t="n"/>
      <c r="O443" s="5" t="n">
        <v>79.8</v>
      </c>
      <c r="P443" s="5" t="n">
        <v>79.8</v>
      </c>
      <c r="Q443" s="5" t="n"/>
      <c r="R443" s="5" t="n"/>
    </row>
    <row r="444">
      <c r="A444" s="2" t="inlineStr">
        <is>
          <t>EJ020524.TXT</t>
        </is>
      </c>
      <c r="B444" s="3" t="inlineStr">
        <is>
          <t>001629</t>
        </is>
      </c>
      <c r="C444" s="3" t="inlineStr">
        <is>
          <t>001051</t>
        </is>
      </c>
      <c r="D444" s="4" t="n">
        <v>45400</v>
      </c>
      <c r="E444" s="2" t="inlineStr">
        <is>
          <t>12:47</t>
        </is>
      </c>
      <c r="F444" s="5" t="n">
        <v>60.83</v>
      </c>
      <c r="G444" s="5" t="n"/>
      <c r="H444" s="5" t="n"/>
      <c r="I444" s="5" t="n"/>
      <c r="J444" s="5" t="n">
        <v>12.17</v>
      </c>
      <c r="K444" s="5" t="n"/>
      <c r="L444" s="5" t="n"/>
      <c r="M444" s="5" t="n"/>
      <c r="N444" s="5" t="n"/>
      <c r="O444" s="5" t="n">
        <v>73</v>
      </c>
      <c r="P444" s="5" t="n">
        <v>73</v>
      </c>
      <c r="Q444" s="5" t="n"/>
      <c r="R444" s="5" t="n"/>
    </row>
    <row r="445">
      <c r="A445" s="2" t="inlineStr">
        <is>
          <t>EJ020524.TXT</t>
        </is>
      </c>
      <c r="B445" s="3" t="inlineStr">
        <is>
          <t>001630</t>
        </is>
      </c>
      <c r="C445" s="3" t="inlineStr">
        <is>
          <t>001052</t>
        </is>
      </c>
      <c r="D445" s="4" t="n">
        <v>45402</v>
      </c>
      <c r="E445" s="2" t="inlineStr">
        <is>
          <t>13:16</t>
        </is>
      </c>
      <c r="F445" s="5" t="n">
        <v>548.33</v>
      </c>
      <c r="G445" s="5" t="n"/>
      <c r="H445" s="5" t="n"/>
      <c r="I445" s="5" t="n"/>
      <c r="J445" s="5" t="n">
        <v>109.67</v>
      </c>
      <c r="K445" s="5" t="n"/>
      <c r="L445" s="5" t="n"/>
      <c r="M445" s="5" t="n"/>
      <c r="N445" s="5" t="n"/>
      <c r="O445" s="5" t="n">
        <v>658</v>
      </c>
      <c r="P445" s="5" t="n"/>
      <c r="Q445" s="5" t="n">
        <v>658</v>
      </c>
      <c r="R445" s="5" t="n"/>
    </row>
    <row r="446">
      <c r="A446" s="2" t="inlineStr">
        <is>
          <t>EJ020524.TXT</t>
        </is>
      </c>
      <c r="B446" s="3" t="inlineStr">
        <is>
          <t>001632</t>
        </is>
      </c>
      <c r="C446" s="3" t="inlineStr">
        <is>
          <t>001053</t>
        </is>
      </c>
      <c r="D446" s="4" t="n">
        <v>45404</v>
      </c>
      <c r="E446" s="2" t="inlineStr">
        <is>
          <t>10:36</t>
        </is>
      </c>
      <c r="F446" s="5" t="n">
        <v>41.58</v>
      </c>
      <c r="G446" s="5" t="n"/>
      <c r="H446" s="5" t="n"/>
      <c r="I446" s="5" t="n"/>
      <c r="J446" s="5" t="n">
        <v>8.32</v>
      </c>
      <c r="K446" s="5" t="n"/>
      <c r="L446" s="5" t="n"/>
      <c r="M446" s="5" t="n"/>
      <c r="N446" s="5" t="n"/>
      <c r="O446" s="5" t="n">
        <v>49.9</v>
      </c>
      <c r="P446" s="5" t="n">
        <v>49.9</v>
      </c>
      <c r="Q446" s="5" t="n"/>
      <c r="R446" s="5" t="n"/>
    </row>
    <row r="447">
      <c r="A447" s="2" t="inlineStr">
        <is>
          <t>EJ020524.TXT</t>
        </is>
      </c>
      <c r="B447" s="3" t="inlineStr">
        <is>
          <t>001633</t>
        </is>
      </c>
      <c r="C447" s="3" t="inlineStr">
        <is>
          <t>001054</t>
        </is>
      </c>
      <c r="D447" s="4" t="n">
        <v>45404</v>
      </c>
      <c r="E447" s="2" t="inlineStr">
        <is>
          <t>10:53</t>
        </is>
      </c>
      <c r="F447" s="5" t="n">
        <v>582.5</v>
      </c>
      <c r="G447" s="5" t="n"/>
      <c r="H447" s="5" t="n"/>
      <c r="I447" s="5" t="n"/>
      <c r="J447" s="5" t="n">
        <v>116.5</v>
      </c>
      <c r="K447" s="5" t="n"/>
      <c r="L447" s="5" t="n"/>
      <c r="M447" s="5" t="n"/>
      <c r="N447" s="5" t="n"/>
      <c r="O447" s="5" t="n">
        <v>699</v>
      </c>
      <c r="P447" s="5" t="n">
        <v>699</v>
      </c>
      <c r="Q447" s="5" t="n"/>
      <c r="R447" s="5" t="n"/>
    </row>
    <row r="448">
      <c r="A448" s="2" t="inlineStr">
        <is>
          <t>EJ020524.TXT</t>
        </is>
      </c>
      <c r="B448" s="3" t="inlineStr">
        <is>
          <t>001634</t>
        </is>
      </c>
      <c r="C448" s="3" t="inlineStr">
        <is>
          <t>001055</t>
        </is>
      </c>
      <c r="D448" s="4" t="n">
        <v>45405</v>
      </c>
      <c r="E448" s="2" t="inlineStr">
        <is>
          <t>13:45</t>
        </is>
      </c>
      <c r="F448" s="5" t="n">
        <v>2600</v>
      </c>
      <c r="G448" s="5" t="n"/>
      <c r="H448" s="5" t="n"/>
      <c r="I448" s="5" t="n"/>
      <c r="J448" s="5" t="n">
        <v>520</v>
      </c>
      <c r="K448" s="5" t="n"/>
      <c r="L448" s="5" t="n"/>
      <c r="M448" s="5" t="n"/>
      <c r="N448" s="5" t="n"/>
      <c r="O448" s="5" t="n">
        <v>3120</v>
      </c>
      <c r="P448" s="5" t="n">
        <v>3120</v>
      </c>
      <c r="Q448" s="5" t="n"/>
      <c r="R448" s="5" t="n"/>
    </row>
    <row r="449">
      <c r="A449" s="2" t="inlineStr">
        <is>
          <t>EJ020524.TXT</t>
        </is>
      </c>
      <c r="B449" s="3" t="inlineStr">
        <is>
          <t>001635</t>
        </is>
      </c>
      <c r="C449" s="3" t="inlineStr">
        <is>
          <t>001056</t>
        </is>
      </c>
      <c r="D449" s="4" t="n">
        <v>45406</v>
      </c>
      <c r="E449" s="2" t="inlineStr">
        <is>
          <t>12:23</t>
        </is>
      </c>
      <c r="F449" s="5" t="n">
        <v>329.17</v>
      </c>
      <c r="G449" s="5" t="n"/>
      <c r="H449" s="5" t="n"/>
      <c r="I449" s="5" t="n"/>
      <c r="J449" s="5" t="n">
        <v>65.83</v>
      </c>
      <c r="K449" s="5" t="n"/>
      <c r="L449" s="5" t="n"/>
      <c r="M449" s="5" t="n"/>
      <c r="N449" s="5" t="n"/>
      <c r="O449" s="5" t="n">
        <v>395</v>
      </c>
      <c r="P449" s="5" t="n"/>
      <c r="Q449" s="5" t="n">
        <v>395</v>
      </c>
      <c r="R449" s="5" t="n"/>
    </row>
    <row r="450">
      <c r="A450" s="2" t="inlineStr">
        <is>
          <t>EJ020524.TXT</t>
        </is>
      </c>
      <c r="B450" s="3" t="inlineStr">
        <is>
          <t>001637</t>
        </is>
      </c>
      <c r="C450" s="3" t="inlineStr">
        <is>
          <t>001057</t>
        </is>
      </c>
      <c r="D450" s="4" t="n">
        <v>45407</v>
      </c>
      <c r="E450" s="2" t="inlineStr">
        <is>
          <t>11:05</t>
        </is>
      </c>
      <c r="F450" s="5" t="n">
        <v>274.17</v>
      </c>
      <c r="G450" s="5" t="n"/>
      <c r="H450" s="5" t="n"/>
      <c r="I450" s="5" t="n"/>
      <c r="J450" s="5" t="n">
        <v>54.83</v>
      </c>
      <c r="K450" s="5" t="n"/>
      <c r="L450" s="5" t="n"/>
      <c r="M450" s="5" t="n"/>
      <c r="N450" s="5" t="n"/>
      <c r="O450" s="5" t="n">
        <v>329</v>
      </c>
      <c r="P450" s="5" t="n">
        <v>329</v>
      </c>
      <c r="Q450" s="5" t="n"/>
      <c r="R450" s="5" t="n"/>
    </row>
    <row r="451">
      <c r="A451" s="2" t="inlineStr">
        <is>
          <t>EJ020524.TXT</t>
        </is>
      </c>
      <c r="B451" s="3" t="inlineStr">
        <is>
          <t>001638</t>
        </is>
      </c>
      <c r="C451" s="3" t="inlineStr">
        <is>
          <t>001058</t>
        </is>
      </c>
      <c r="D451" s="4" t="n">
        <v>45407</v>
      </c>
      <c r="E451" s="2" t="inlineStr">
        <is>
          <t>12:38</t>
        </is>
      </c>
      <c r="F451" s="5" t="n">
        <v>548.33</v>
      </c>
      <c r="G451" s="5" t="n"/>
      <c r="H451" s="5" t="n"/>
      <c r="I451" s="5" t="n"/>
      <c r="J451" s="5" t="n">
        <v>109.67</v>
      </c>
      <c r="K451" s="5" t="n"/>
      <c r="L451" s="5" t="n"/>
      <c r="M451" s="5" t="n"/>
      <c r="N451" s="5" t="n"/>
      <c r="O451" s="5" t="n">
        <v>658</v>
      </c>
      <c r="P451" s="5" t="n">
        <v>658</v>
      </c>
      <c r="Q451" s="5" t="n"/>
      <c r="R451" s="5" t="n"/>
    </row>
    <row r="452">
      <c r="A452" s="2" t="inlineStr">
        <is>
          <t>EJ020524.TXT</t>
        </is>
      </c>
      <c r="B452" s="3" t="inlineStr">
        <is>
          <t>001639</t>
        </is>
      </c>
      <c r="C452" s="3" t="inlineStr">
        <is>
          <t>001059</t>
        </is>
      </c>
      <c r="D452" s="4" t="n">
        <v>45408</v>
      </c>
      <c r="E452" s="2" t="inlineStr">
        <is>
          <t>10:26</t>
        </is>
      </c>
      <c r="F452" s="5" t="n">
        <v>548.33</v>
      </c>
      <c r="G452" s="5" t="n"/>
      <c r="H452" s="5" t="n"/>
      <c r="I452" s="5" t="n"/>
      <c r="J452" s="5" t="n">
        <v>109.67</v>
      </c>
      <c r="K452" s="5" t="n"/>
      <c r="L452" s="5" t="n"/>
      <c r="M452" s="5" t="n"/>
      <c r="N452" s="5" t="n"/>
      <c r="O452" s="5" t="n">
        <v>658</v>
      </c>
      <c r="P452" s="5" t="n"/>
      <c r="Q452" s="5" t="n">
        <v>658</v>
      </c>
      <c r="R452" s="5" t="n"/>
    </row>
    <row r="453">
      <c r="A453" s="2" t="inlineStr">
        <is>
          <t>EJ020524.TXT</t>
        </is>
      </c>
      <c r="B453" s="3" t="inlineStr">
        <is>
          <t>001644</t>
        </is>
      </c>
      <c r="C453" s="3" t="inlineStr">
        <is>
          <t>001060</t>
        </is>
      </c>
      <c r="D453" s="4" t="n">
        <v>45408</v>
      </c>
      <c r="E453" s="2" t="inlineStr">
        <is>
          <t>13:49</t>
        </is>
      </c>
      <c r="F453" s="5" t="n">
        <v>183</v>
      </c>
      <c r="G453" s="5" t="n"/>
      <c r="H453" s="5" t="n"/>
      <c r="I453" s="5" t="n"/>
      <c r="J453" s="5" t="n">
        <v>36.6</v>
      </c>
      <c r="K453" s="5" t="n"/>
      <c r="L453" s="5" t="n"/>
      <c r="M453" s="5" t="n"/>
      <c r="N453" s="5" t="n"/>
      <c r="O453" s="5" t="n">
        <v>219.6</v>
      </c>
      <c r="P453" s="5" t="n"/>
      <c r="Q453" s="5" t="n">
        <v>219.6</v>
      </c>
      <c r="R453" s="5" t="n"/>
    </row>
    <row r="454">
      <c r="A454" s="2" t="inlineStr">
        <is>
          <t>EJ020524.TXT</t>
        </is>
      </c>
      <c r="B454" s="3" t="inlineStr">
        <is>
          <t>001645</t>
        </is>
      </c>
      <c r="C454" s="3" t="inlineStr">
        <is>
          <t>001061</t>
        </is>
      </c>
      <c r="D454" s="4" t="n">
        <v>45408</v>
      </c>
      <c r="E454" s="2" t="inlineStr">
        <is>
          <t>14:18</t>
        </is>
      </c>
      <c r="F454" s="5" t="n">
        <v>2375</v>
      </c>
      <c r="G454" s="5" t="n"/>
      <c r="H454" s="5" t="n"/>
      <c r="I454" s="5" t="n"/>
      <c r="J454" s="5" t="n">
        <v>475</v>
      </c>
      <c r="K454" s="5" t="n"/>
      <c r="L454" s="5" t="n"/>
      <c r="M454" s="5" t="n"/>
      <c r="N454" s="5" t="n"/>
      <c r="O454" s="5" t="n">
        <v>2850</v>
      </c>
      <c r="P454" s="5" t="n">
        <v>2850</v>
      </c>
      <c r="Q454" s="5" t="n"/>
      <c r="R454" s="5" t="n"/>
    </row>
    <row r="455">
      <c r="A455" s="2" t="inlineStr">
        <is>
          <t>EJ020524.TXT</t>
        </is>
      </c>
      <c r="B455" s="3" t="inlineStr">
        <is>
          <t>001646</t>
        </is>
      </c>
      <c r="C455" s="3" t="inlineStr">
        <is>
          <t>001062</t>
        </is>
      </c>
      <c r="D455" s="4" t="n">
        <v>45408</v>
      </c>
      <c r="E455" s="2" t="inlineStr">
        <is>
          <t>14:39</t>
        </is>
      </c>
      <c r="F455" s="5" t="n">
        <v>536.25</v>
      </c>
      <c r="G455" s="5" t="n"/>
      <c r="H455" s="5" t="n"/>
      <c r="I455" s="5" t="n"/>
      <c r="J455" s="5" t="n">
        <v>107.25</v>
      </c>
      <c r="K455" s="5" t="n"/>
      <c r="L455" s="5" t="n"/>
      <c r="M455" s="5" t="n"/>
      <c r="N455" s="5" t="n"/>
      <c r="O455" s="5" t="n">
        <v>643.5</v>
      </c>
      <c r="P455" s="5" t="n"/>
      <c r="Q455" s="5" t="n">
        <v>643.5</v>
      </c>
      <c r="R455" s="5" t="n"/>
    </row>
    <row r="456">
      <c r="A456" s="2" t="inlineStr">
        <is>
          <t>EJ020524.TXT</t>
        </is>
      </c>
      <c r="B456" s="3" t="inlineStr">
        <is>
          <t>001647</t>
        </is>
      </c>
      <c r="C456" s="3" t="inlineStr">
        <is>
          <t>001063</t>
        </is>
      </c>
      <c r="D456" s="4" t="n">
        <v>45408</v>
      </c>
      <c r="E456" s="2" t="inlineStr">
        <is>
          <t>16:00</t>
        </is>
      </c>
      <c r="F456" s="5" t="n">
        <v>274.17</v>
      </c>
      <c r="G456" s="5" t="n"/>
      <c r="H456" s="5" t="n"/>
      <c r="I456" s="5" t="n"/>
      <c r="J456" s="5" t="n">
        <v>54.83</v>
      </c>
      <c r="K456" s="5" t="n"/>
      <c r="L456" s="5" t="n"/>
      <c r="M456" s="5" t="n"/>
      <c r="N456" s="5" t="n"/>
      <c r="O456" s="5" t="n">
        <v>329</v>
      </c>
      <c r="P456" s="5" t="n">
        <v>329</v>
      </c>
      <c r="Q456" s="5" t="n"/>
      <c r="R456" s="5" t="n"/>
    </row>
    <row r="457">
      <c r="A457" s="2" t="inlineStr">
        <is>
          <t>EJ020524.TXT</t>
        </is>
      </c>
      <c r="B457" s="3" t="inlineStr">
        <is>
          <t>001648</t>
        </is>
      </c>
      <c r="C457" s="3" t="inlineStr">
        <is>
          <t>001064</t>
        </is>
      </c>
      <c r="D457" s="4" t="n">
        <v>45409</v>
      </c>
      <c r="E457" s="2" t="inlineStr">
        <is>
          <t>16:42</t>
        </is>
      </c>
      <c r="F457" s="5" t="n">
        <v>274.17</v>
      </c>
      <c r="G457" s="5" t="n"/>
      <c r="H457" s="5" t="n"/>
      <c r="I457" s="5" t="n"/>
      <c r="J457" s="5" t="n">
        <v>54.83</v>
      </c>
      <c r="K457" s="5" t="n"/>
      <c r="L457" s="5" t="n"/>
      <c r="M457" s="5" t="n"/>
      <c r="N457" s="5" t="n"/>
      <c r="O457" s="5" t="n">
        <v>329</v>
      </c>
      <c r="P457" s="5" t="n"/>
      <c r="Q457" s="5" t="n">
        <v>329</v>
      </c>
      <c r="R457" s="5" t="n"/>
    </row>
    <row r="458">
      <c r="A458" s="2" t="inlineStr">
        <is>
          <t>EJ010624.TXT</t>
        </is>
      </c>
      <c r="B458" s="3" t="inlineStr">
        <is>
          <t>001655</t>
        </is>
      </c>
      <c r="C458" s="3" t="inlineStr">
        <is>
          <t>001065</t>
        </is>
      </c>
      <c r="D458" s="4" t="n">
        <v>45414</v>
      </c>
      <c r="E458" s="2" t="inlineStr">
        <is>
          <t>15:00</t>
        </is>
      </c>
      <c r="F458" s="5" t="n">
        <v>548.33</v>
      </c>
      <c r="G458" s="5" t="n"/>
      <c r="H458" s="5" t="n"/>
      <c r="I458" s="5" t="n"/>
      <c r="J458" s="5" t="n">
        <v>109.67</v>
      </c>
      <c r="K458" s="5" t="n"/>
      <c r="L458" s="5" t="n"/>
      <c r="M458" s="5" t="n"/>
      <c r="N458" s="5" t="n"/>
      <c r="O458" s="5" t="n">
        <v>658</v>
      </c>
      <c r="P458" s="5" t="n">
        <v>658</v>
      </c>
      <c r="Q458" s="5" t="n"/>
      <c r="R458" s="5" t="n"/>
    </row>
    <row r="459">
      <c r="A459" s="2" t="inlineStr">
        <is>
          <t>EJ010624.TXT</t>
        </is>
      </c>
      <c r="B459" s="3" t="inlineStr">
        <is>
          <t>001658</t>
        </is>
      </c>
      <c r="C459" s="3" t="inlineStr">
        <is>
          <t>001066</t>
        </is>
      </c>
      <c r="D459" s="4" t="n">
        <v>45416</v>
      </c>
      <c r="E459" s="2" t="inlineStr">
        <is>
          <t>14:40</t>
        </is>
      </c>
      <c r="F459" s="5" t="n">
        <v>274.17</v>
      </c>
      <c r="G459" s="5" t="n"/>
      <c r="H459" s="5" t="n"/>
      <c r="I459" s="5" t="n"/>
      <c r="J459" s="5" t="n">
        <v>54.83</v>
      </c>
      <c r="K459" s="5" t="n"/>
      <c r="L459" s="5" t="n"/>
      <c r="M459" s="5" t="n"/>
      <c r="N459" s="5" t="n"/>
      <c r="O459" s="5" t="n">
        <v>329</v>
      </c>
      <c r="P459" s="5" t="n"/>
      <c r="Q459" s="5" t="n">
        <v>329</v>
      </c>
      <c r="R459" s="5" t="n"/>
    </row>
    <row r="460">
      <c r="A460" s="2" t="inlineStr">
        <is>
          <t>EJ010624.TXT</t>
        </is>
      </c>
      <c r="B460" s="3" t="inlineStr">
        <is>
          <t>001659</t>
        </is>
      </c>
      <c r="C460" s="3" t="inlineStr">
        <is>
          <t>001067</t>
        </is>
      </c>
      <c r="D460" s="4" t="n">
        <v>45416</v>
      </c>
      <c r="E460" s="2" t="inlineStr">
        <is>
          <t>14:53</t>
        </is>
      </c>
      <c r="F460" s="5" t="n">
        <v>274.17</v>
      </c>
      <c r="G460" s="5" t="n"/>
      <c r="H460" s="5" t="n"/>
      <c r="I460" s="5" t="n"/>
      <c r="J460" s="5" t="n">
        <v>54.83</v>
      </c>
      <c r="K460" s="5" t="n"/>
      <c r="L460" s="5" t="n"/>
      <c r="M460" s="5" t="n"/>
      <c r="N460" s="5" t="n"/>
      <c r="O460" s="5" t="n">
        <v>329</v>
      </c>
      <c r="P460" s="5" t="n">
        <v>329</v>
      </c>
      <c r="Q460" s="5" t="n"/>
      <c r="R460" s="5" t="n"/>
    </row>
    <row r="461">
      <c r="A461" s="2" t="inlineStr">
        <is>
          <t>EJ010624.TXT</t>
        </is>
      </c>
      <c r="B461" s="3" t="inlineStr">
        <is>
          <t>001661</t>
        </is>
      </c>
      <c r="C461" s="3" t="inlineStr">
        <is>
          <t>001068</t>
        </is>
      </c>
      <c r="D461" s="4" t="n">
        <v>45418</v>
      </c>
      <c r="E461" s="2" t="inlineStr">
        <is>
          <t>13:11</t>
        </is>
      </c>
      <c r="F461" s="5" t="n">
        <v>730</v>
      </c>
      <c r="G461" s="5" t="n"/>
      <c r="H461" s="5" t="n"/>
      <c r="I461" s="5" t="n"/>
      <c r="J461" s="5" t="n">
        <v>146</v>
      </c>
      <c r="K461" s="5" t="n"/>
      <c r="L461" s="5" t="n"/>
      <c r="M461" s="5" t="n"/>
      <c r="N461" s="5" t="n"/>
      <c r="O461" s="5" t="n">
        <v>876</v>
      </c>
      <c r="P461" s="5" t="n">
        <v>876</v>
      </c>
      <c r="Q461" s="5" t="n"/>
      <c r="R461" s="5" t="n"/>
    </row>
    <row r="462">
      <c r="A462" s="2" t="inlineStr">
        <is>
          <t>EJ010624.TXT</t>
        </is>
      </c>
      <c r="B462" s="3" t="inlineStr">
        <is>
          <t>001662</t>
        </is>
      </c>
      <c r="C462" s="3" t="inlineStr">
        <is>
          <t>001069</t>
        </is>
      </c>
      <c r="D462" s="4" t="n">
        <v>45422</v>
      </c>
      <c r="E462" s="2" t="inlineStr">
        <is>
          <t>11:21</t>
        </is>
      </c>
      <c r="F462" s="5" t="n">
        <v>324.08</v>
      </c>
      <c r="G462" s="5" t="n"/>
      <c r="H462" s="5" t="n"/>
      <c r="I462" s="5" t="n"/>
      <c r="J462" s="5" t="n">
        <v>64.81999999999999</v>
      </c>
      <c r="K462" s="5" t="n"/>
      <c r="L462" s="5" t="n"/>
      <c r="M462" s="5" t="n"/>
      <c r="N462" s="5" t="n"/>
      <c r="O462" s="5" t="n">
        <v>388.9</v>
      </c>
      <c r="P462" s="5" t="n">
        <v>388.9</v>
      </c>
      <c r="Q462" s="5" t="n"/>
      <c r="R462" s="5" t="n"/>
    </row>
    <row r="463">
      <c r="A463" s="2" t="inlineStr">
        <is>
          <t>EJ010624.TXT</t>
        </is>
      </c>
      <c r="B463" s="3" t="inlineStr">
        <is>
          <t>001663</t>
        </is>
      </c>
      <c r="C463" s="3" t="inlineStr">
        <is>
          <t>001070</t>
        </is>
      </c>
      <c r="D463" s="4" t="n">
        <v>45422</v>
      </c>
      <c r="E463" s="2" t="inlineStr">
        <is>
          <t>13:12</t>
        </is>
      </c>
      <c r="F463" s="5" t="n">
        <v>1096.67</v>
      </c>
      <c r="G463" s="5" t="n"/>
      <c r="H463" s="5" t="n"/>
      <c r="I463" s="5" t="n"/>
      <c r="J463" s="5" t="n">
        <v>219.33</v>
      </c>
      <c r="K463" s="5" t="n"/>
      <c r="L463" s="5" t="n"/>
      <c r="M463" s="5" t="n"/>
      <c r="N463" s="5" t="n"/>
      <c r="O463" s="5" t="n">
        <v>1316</v>
      </c>
      <c r="P463" s="5" t="n">
        <v>1316</v>
      </c>
      <c r="Q463" s="5" t="n"/>
      <c r="R463" s="5" t="n"/>
    </row>
    <row r="464">
      <c r="A464" s="2" t="inlineStr">
        <is>
          <t>EJ010624.TXT</t>
        </is>
      </c>
      <c r="B464" s="3" t="inlineStr">
        <is>
          <t>001664</t>
        </is>
      </c>
      <c r="C464" s="3" t="inlineStr">
        <is>
          <t>001071</t>
        </is>
      </c>
      <c r="D464" s="4" t="n">
        <v>45423</v>
      </c>
      <c r="E464" s="2" t="inlineStr">
        <is>
          <t>16:07</t>
        </is>
      </c>
      <c r="F464" s="5" t="n">
        <v>274.17</v>
      </c>
      <c r="G464" s="5" t="n"/>
      <c r="H464" s="5" t="n"/>
      <c r="I464" s="5" t="n"/>
      <c r="J464" s="5" t="n">
        <v>54.83</v>
      </c>
      <c r="K464" s="5" t="n"/>
      <c r="L464" s="5" t="n"/>
      <c r="M464" s="5" t="n"/>
      <c r="N464" s="5" t="n"/>
      <c r="O464" s="5" t="n">
        <v>329</v>
      </c>
      <c r="P464" s="5" t="n">
        <v>329</v>
      </c>
      <c r="Q464" s="5" t="n"/>
      <c r="R464" s="5" t="n"/>
    </row>
    <row r="465">
      <c r="A465" s="2" t="inlineStr">
        <is>
          <t>EJ010624.TXT</t>
        </is>
      </c>
      <c r="B465" s="3" t="inlineStr">
        <is>
          <t>001665</t>
        </is>
      </c>
      <c r="C465" s="3" t="inlineStr">
        <is>
          <t>001072</t>
        </is>
      </c>
      <c r="D465" s="4" t="n">
        <v>45425</v>
      </c>
      <c r="E465" s="2" t="inlineStr">
        <is>
          <t>12:30</t>
        </is>
      </c>
      <c r="F465" s="5" t="n">
        <v>274.17</v>
      </c>
      <c r="G465" s="5" t="n"/>
      <c r="H465" s="5" t="n"/>
      <c r="I465" s="5" t="n"/>
      <c r="J465" s="5" t="n">
        <v>54.83</v>
      </c>
      <c r="K465" s="5" t="n"/>
      <c r="L465" s="5" t="n"/>
      <c r="M465" s="5" t="n"/>
      <c r="N465" s="5" t="n"/>
      <c r="O465" s="5" t="n">
        <v>329</v>
      </c>
      <c r="P465" s="5" t="n"/>
      <c r="Q465" s="5" t="n">
        <v>329</v>
      </c>
      <c r="R465" s="5" t="n"/>
    </row>
    <row r="466">
      <c r="A466" s="2" t="inlineStr">
        <is>
          <t>EJ010624.TXT</t>
        </is>
      </c>
      <c r="B466" s="3" t="inlineStr">
        <is>
          <t>001667</t>
        </is>
      </c>
      <c r="C466" s="3" t="inlineStr">
        <is>
          <t>001073</t>
        </is>
      </c>
      <c r="D466" s="4" t="n">
        <v>45426</v>
      </c>
      <c r="E466" s="2" t="inlineStr">
        <is>
          <t>12:48</t>
        </is>
      </c>
      <c r="F466" s="5" t="n">
        <v>274.17</v>
      </c>
      <c r="G466" s="5" t="n"/>
      <c r="H466" s="5" t="n"/>
      <c r="I466" s="5" t="n"/>
      <c r="J466" s="5" t="n">
        <v>54.83</v>
      </c>
      <c r="K466" s="5" t="n"/>
      <c r="L466" s="5" t="n"/>
      <c r="M466" s="5" t="n"/>
      <c r="N466" s="5" t="n"/>
      <c r="O466" s="5" t="n">
        <v>329</v>
      </c>
      <c r="P466" s="5" t="n">
        <v>329</v>
      </c>
      <c r="Q466" s="5" t="n"/>
      <c r="R466" s="5" t="n"/>
    </row>
    <row r="467">
      <c r="A467" s="2" t="inlineStr">
        <is>
          <t>EJ010624.TXT</t>
        </is>
      </c>
      <c r="B467" s="3" t="inlineStr">
        <is>
          <t>001668</t>
        </is>
      </c>
      <c r="C467" s="3" t="inlineStr">
        <is>
          <t>001074</t>
        </is>
      </c>
      <c r="D467" s="4" t="n">
        <v>45426</v>
      </c>
      <c r="E467" s="2" t="inlineStr">
        <is>
          <t>12:48</t>
        </is>
      </c>
      <c r="F467" s="5" t="n">
        <v>199.17</v>
      </c>
      <c r="G467" s="5" t="n"/>
      <c r="H467" s="5" t="n"/>
      <c r="I467" s="5" t="n"/>
      <c r="J467" s="5" t="n">
        <v>39.83</v>
      </c>
      <c r="K467" s="5" t="n"/>
      <c r="L467" s="5" t="n"/>
      <c r="M467" s="5" t="n"/>
      <c r="N467" s="5" t="n"/>
      <c r="O467" s="5" t="n">
        <v>239</v>
      </c>
      <c r="P467" s="5" t="n">
        <v>239</v>
      </c>
      <c r="Q467" s="5" t="n"/>
      <c r="R467" s="5" t="n"/>
    </row>
    <row r="468">
      <c r="A468" s="2" t="inlineStr">
        <is>
          <t>EJ010624.TXT</t>
        </is>
      </c>
      <c r="B468" s="3" t="inlineStr">
        <is>
          <t>001669</t>
        </is>
      </c>
      <c r="C468" s="3" t="inlineStr">
        <is>
          <t>001075</t>
        </is>
      </c>
      <c r="D468" s="4" t="n">
        <v>45427</v>
      </c>
      <c r="E468" s="2" t="inlineStr">
        <is>
          <t>12:20</t>
        </is>
      </c>
      <c r="F468" s="5" t="n">
        <v>548.33</v>
      </c>
      <c r="G468" s="5" t="n"/>
      <c r="H468" s="5" t="n"/>
      <c r="I468" s="5" t="n"/>
      <c r="J468" s="5" t="n">
        <v>109.67</v>
      </c>
      <c r="K468" s="5" t="n"/>
      <c r="L468" s="5" t="n"/>
      <c r="M468" s="5" t="n"/>
      <c r="N468" s="5" t="n"/>
      <c r="O468" s="5" t="n">
        <v>658</v>
      </c>
      <c r="P468" s="5" t="n">
        <v>658</v>
      </c>
      <c r="Q468" s="5" t="n"/>
      <c r="R468" s="5" t="n"/>
    </row>
    <row r="469">
      <c r="A469" s="2" t="inlineStr">
        <is>
          <t>EJ010624.TXT</t>
        </is>
      </c>
      <c r="B469" s="3" t="inlineStr">
        <is>
          <t>001670</t>
        </is>
      </c>
      <c r="C469" s="3" t="inlineStr">
        <is>
          <t>001076</t>
        </is>
      </c>
      <c r="D469" s="4" t="n">
        <v>45427</v>
      </c>
      <c r="E469" s="2" t="inlineStr">
        <is>
          <t>15:00</t>
        </is>
      </c>
      <c r="F469" s="5" t="n">
        <v>548.33</v>
      </c>
      <c r="G469" s="5" t="n"/>
      <c r="H469" s="5" t="n"/>
      <c r="I469" s="5" t="n"/>
      <c r="J469" s="5" t="n">
        <v>109.67</v>
      </c>
      <c r="K469" s="5" t="n"/>
      <c r="L469" s="5" t="n"/>
      <c r="M469" s="5" t="n"/>
      <c r="N469" s="5" t="n"/>
      <c r="O469" s="5" t="n">
        <v>658</v>
      </c>
      <c r="P469" s="5" t="n"/>
      <c r="Q469" s="5" t="n">
        <v>658</v>
      </c>
      <c r="R469" s="5" t="n"/>
    </row>
    <row r="470">
      <c r="A470" s="2" t="inlineStr">
        <is>
          <t>EJ010624.TXT</t>
        </is>
      </c>
      <c r="B470" s="3" t="inlineStr">
        <is>
          <t>001671</t>
        </is>
      </c>
      <c r="C470" s="3" t="inlineStr">
        <is>
          <t>001077</t>
        </is>
      </c>
      <c r="D470" s="4" t="n">
        <v>45427</v>
      </c>
      <c r="E470" s="2" t="inlineStr">
        <is>
          <t>16:06</t>
        </is>
      </c>
      <c r="F470" s="5" t="n">
        <v>83.17</v>
      </c>
      <c r="G470" s="5" t="n"/>
      <c r="H470" s="5" t="n"/>
      <c r="I470" s="5" t="n"/>
      <c r="J470" s="5" t="n">
        <v>16.63</v>
      </c>
      <c r="K470" s="5" t="n"/>
      <c r="L470" s="5" t="n"/>
      <c r="M470" s="5" t="n"/>
      <c r="N470" s="5" t="n"/>
      <c r="O470" s="5" t="n">
        <v>99.8</v>
      </c>
      <c r="P470" s="5" t="n">
        <v>99.8</v>
      </c>
      <c r="Q470" s="5" t="n"/>
      <c r="R470" s="5" t="n"/>
    </row>
    <row r="471">
      <c r="A471" s="2" t="inlineStr">
        <is>
          <t>EJ010624.TXT</t>
        </is>
      </c>
      <c r="B471" s="3" t="inlineStr">
        <is>
          <t>001673</t>
        </is>
      </c>
      <c r="C471" s="3" t="inlineStr">
        <is>
          <t>001078</t>
        </is>
      </c>
      <c r="D471" s="4" t="n">
        <v>45434</v>
      </c>
      <c r="E471" s="2" t="inlineStr">
        <is>
          <t>15:48</t>
        </is>
      </c>
      <c r="F471" s="5" t="n">
        <v>1096.67</v>
      </c>
      <c r="G471" s="5" t="n"/>
      <c r="H471" s="5" t="n"/>
      <c r="I471" s="5" t="n"/>
      <c r="J471" s="5" t="n">
        <v>219.33</v>
      </c>
      <c r="K471" s="5" t="n"/>
      <c r="L471" s="5" t="n"/>
      <c r="M471" s="5" t="n"/>
      <c r="N471" s="5" t="n"/>
      <c r="O471" s="5" t="n">
        <v>1316</v>
      </c>
      <c r="P471" s="5" t="n"/>
      <c r="Q471" s="5" t="n">
        <v>1316</v>
      </c>
      <c r="R471" s="5" t="n"/>
    </row>
    <row r="472">
      <c r="A472" s="2" t="inlineStr">
        <is>
          <t>EJ010624.TXT</t>
        </is>
      </c>
      <c r="B472" s="3" t="inlineStr">
        <is>
          <t>001674</t>
        </is>
      </c>
      <c r="C472" s="3" t="inlineStr">
        <is>
          <t>001079</t>
        </is>
      </c>
      <c r="D472" s="4" t="n">
        <v>45435</v>
      </c>
      <c r="E472" s="2" t="inlineStr">
        <is>
          <t>12:51</t>
        </is>
      </c>
      <c r="F472" s="5" t="n">
        <v>1644.5</v>
      </c>
      <c r="G472" s="5" t="n"/>
      <c r="H472" s="5" t="n"/>
      <c r="I472" s="5" t="n"/>
      <c r="J472" s="5" t="n">
        <v>328.9</v>
      </c>
      <c r="K472" s="5" t="n"/>
      <c r="L472" s="5" t="n"/>
      <c r="M472" s="5" t="n"/>
      <c r="N472" s="5" t="n"/>
      <c r="O472" s="5" t="n">
        <v>1973.4</v>
      </c>
      <c r="P472" s="5" t="n">
        <v>1973.4</v>
      </c>
      <c r="Q472" s="5" t="n"/>
      <c r="R472" s="5" t="n"/>
    </row>
    <row r="473">
      <c r="A473" s="2" t="inlineStr">
        <is>
          <t>EJ010624.TXT</t>
        </is>
      </c>
      <c r="B473" s="3" t="inlineStr">
        <is>
          <t>001675</t>
        </is>
      </c>
      <c r="C473" s="3" t="inlineStr">
        <is>
          <t>001080</t>
        </is>
      </c>
      <c r="D473" s="4" t="n">
        <v>45435</v>
      </c>
      <c r="E473" s="2" t="inlineStr">
        <is>
          <t>14:25</t>
        </is>
      </c>
      <c r="F473" s="5" t="n">
        <v>548.33</v>
      </c>
      <c r="G473" s="5" t="n"/>
      <c r="H473" s="5" t="n"/>
      <c r="I473" s="5" t="n"/>
      <c r="J473" s="5" t="n">
        <v>109.67</v>
      </c>
      <c r="K473" s="5" t="n"/>
      <c r="L473" s="5" t="n"/>
      <c r="M473" s="5" t="n"/>
      <c r="N473" s="5" t="n"/>
      <c r="O473" s="5" t="n">
        <v>658</v>
      </c>
      <c r="P473" s="5" t="n"/>
      <c r="Q473" s="5" t="n">
        <v>658</v>
      </c>
      <c r="R473" s="5" t="n"/>
    </row>
    <row r="474">
      <c r="A474" s="2" t="inlineStr">
        <is>
          <t>EJ010624.TXT</t>
        </is>
      </c>
      <c r="B474" s="3" t="inlineStr">
        <is>
          <t>001676</t>
        </is>
      </c>
      <c r="C474" s="3" t="inlineStr">
        <is>
          <t>001081</t>
        </is>
      </c>
      <c r="D474" s="4" t="n">
        <v>45435</v>
      </c>
      <c r="E474" s="2" t="inlineStr">
        <is>
          <t>14:37</t>
        </is>
      </c>
      <c r="F474" s="5" t="n">
        <v>822.5</v>
      </c>
      <c r="G474" s="5" t="n"/>
      <c r="H474" s="5" t="n"/>
      <c r="I474" s="5" t="n"/>
      <c r="J474" s="5" t="n">
        <v>164.5</v>
      </c>
      <c r="K474" s="5" t="n"/>
      <c r="L474" s="5" t="n"/>
      <c r="M474" s="5" t="n"/>
      <c r="N474" s="5" t="n"/>
      <c r="O474" s="5" t="n">
        <v>987</v>
      </c>
      <c r="P474" s="5" t="n">
        <v>987</v>
      </c>
      <c r="Q474" s="5" t="n"/>
      <c r="R474" s="5" t="n"/>
    </row>
    <row r="475">
      <c r="A475" s="2" t="inlineStr">
        <is>
          <t>EJ010624.TXT</t>
        </is>
      </c>
      <c r="B475" s="3" t="inlineStr">
        <is>
          <t>001677</t>
        </is>
      </c>
      <c r="C475" s="3" t="inlineStr">
        <is>
          <t>001082</t>
        </is>
      </c>
      <c r="D475" s="4" t="n">
        <v>45435</v>
      </c>
      <c r="E475" s="2" t="inlineStr">
        <is>
          <t>16:28</t>
        </is>
      </c>
      <c r="F475" s="5" t="n">
        <v>548.33</v>
      </c>
      <c r="G475" s="5" t="n"/>
      <c r="H475" s="5" t="n"/>
      <c r="I475" s="5" t="n"/>
      <c r="J475" s="5" t="n">
        <v>109.67</v>
      </c>
      <c r="K475" s="5" t="n"/>
      <c r="L475" s="5" t="n"/>
      <c r="M475" s="5" t="n"/>
      <c r="N475" s="5" t="n"/>
      <c r="O475" s="5" t="n">
        <v>658</v>
      </c>
      <c r="P475" s="5" t="n">
        <v>658</v>
      </c>
      <c r="Q475" s="5" t="n"/>
      <c r="R475" s="5" t="n"/>
    </row>
    <row r="476">
      <c r="A476" s="2" t="inlineStr">
        <is>
          <t>EJ010624.TXT</t>
        </is>
      </c>
      <c r="B476" s="3" t="inlineStr">
        <is>
          <t>001678</t>
        </is>
      </c>
      <c r="C476" s="3" t="inlineStr">
        <is>
          <t>001083</t>
        </is>
      </c>
      <c r="D476" s="4" t="n">
        <v>45437</v>
      </c>
      <c r="E476" s="2" t="inlineStr">
        <is>
          <t>14:37</t>
        </is>
      </c>
      <c r="F476" s="5" t="n">
        <v>45.75</v>
      </c>
      <c r="G476" s="5" t="n"/>
      <c r="H476" s="5" t="n"/>
      <c r="I476" s="5" t="n"/>
      <c r="J476" s="5" t="n">
        <v>9.15</v>
      </c>
      <c r="K476" s="5" t="n"/>
      <c r="L476" s="5" t="n"/>
      <c r="M476" s="5" t="n"/>
      <c r="N476" s="5" t="n"/>
      <c r="O476" s="5" t="n">
        <v>54.9</v>
      </c>
      <c r="P476" s="5" t="n">
        <v>54.9</v>
      </c>
      <c r="Q476" s="5" t="n"/>
      <c r="R476" s="5" t="n"/>
    </row>
    <row r="477">
      <c r="A477" s="2" t="inlineStr">
        <is>
          <t>EJ010624.TXT</t>
        </is>
      </c>
      <c r="B477" s="3" t="inlineStr">
        <is>
          <t>001679</t>
        </is>
      </c>
      <c r="C477" s="3" t="inlineStr">
        <is>
          <t>001084</t>
        </is>
      </c>
      <c r="D477" s="4" t="n">
        <v>45439</v>
      </c>
      <c r="E477" s="2" t="inlineStr">
        <is>
          <t>16:38</t>
        </is>
      </c>
      <c r="F477" s="5" t="n">
        <v>548.33</v>
      </c>
      <c r="G477" s="5" t="n"/>
      <c r="H477" s="5" t="n"/>
      <c r="I477" s="5" t="n"/>
      <c r="J477" s="5" t="n">
        <v>109.67</v>
      </c>
      <c r="K477" s="5" t="n"/>
      <c r="L477" s="5" t="n"/>
      <c r="M477" s="5" t="n"/>
      <c r="N477" s="5" t="n"/>
      <c r="O477" s="5" t="n">
        <v>658</v>
      </c>
      <c r="P477" s="5" t="n">
        <v>658</v>
      </c>
      <c r="Q477" s="5" t="n"/>
      <c r="R477" s="5" t="n"/>
    </row>
    <row r="478">
      <c r="A478" s="2" t="inlineStr">
        <is>
          <t>EJ010624.TXT</t>
        </is>
      </c>
      <c r="B478" s="3" t="inlineStr">
        <is>
          <t>001681</t>
        </is>
      </c>
      <c r="C478" s="3" t="inlineStr">
        <is>
          <t>001085</t>
        </is>
      </c>
      <c r="D478" s="4" t="n">
        <v>45440</v>
      </c>
      <c r="E478" s="2" t="inlineStr">
        <is>
          <t>14:43</t>
        </is>
      </c>
      <c r="F478" s="5" t="n">
        <v>274.17</v>
      </c>
      <c r="G478" s="5" t="n"/>
      <c r="H478" s="5" t="n"/>
      <c r="I478" s="5" t="n"/>
      <c r="J478" s="5" t="n">
        <v>54.83</v>
      </c>
      <c r="K478" s="5" t="n"/>
      <c r="L478" s="5" t="n"/>
      <c r="M478" s="5" t="n"/>
      <c r="N478" s="5" t="n"/>
      <c r="O478" s="5" t="n">
        <v>329</v>
      </c>
      <c r="P478" s="5" t="n"/>
      <c r="Q478" s="5" t="n">
        <v>329</v>
      </c>
      <c r="R478" s="5" t="n"/>
    </row>
    <row r="479">
      <c r="A479" s="2" t="inlineStr">
        <is>
          <t>EJ010624.TXT</t>
        </is>
      </c>
      <c r="B479" s="3" t="inlineStr">
        <is>
          <t>001683</t>
        </is>
      </c>
      <c r="C479" s="3" t="inlineStr">
        <is>
          <t>001086</t>
        </is>
      </c>
      <c r="D479" s="4" t="n">
        <v>45441</v>
      </c>
      <c r="E479" s="2" t="inlineStr">
        <is>
          <t>09:27</t>
        </is>
      </c>
      <c r="F479" s="5" t="n">
        <v>548.33</v>
      </c>
      <c r="G479" s="5" t="n"/>
      <c r="H479" s="5" t="n"/>
      <c r="I479" s="5" t="n"/>
      <c r="J479" s="5" t="n">
        <v>109.67</v>
      </c>
      <c r="K479" s="5" t="n"/>
      <c r="L479" s="5" t="n"/>
      <c r="M479" s="5" t="n"/>
      <c r="N479" s="5" t="n"/>
      <c r="O479" s="5" t="n">
        <v>658</v>
      </c>
      <c r="P479" s="5" t="n">
        <v>658</v>
      </c>
      <c r="Q479" s="5" t="n"/>
      <c r="R479" s="5" t="n"/>
    </row>
    <row r="480">
      <c r="A480" s="2" t="inlineStr">
        <is>
          <t>EJ010624.TXT</t>
        </is>
      </c>
      <c r="B480" s="3" t="inlineStr">
        <is>
          <t>001684</t>
        </is>
      </c>
      <c r="C480" s="3" t="inlineStr">
        <is>
          <t>001087</t>
        </is>
      </c>
      <c r="D480" s="4" t="n">
        <v>45441</v>
      </c>
      <c r="E480" s="2" t="inlineStr">
        <is>
          <t>13:59</t>
        </is>
      </c>
      <c r="F480" s="5" t="n">
        <v>548.33</v>
      </c>
      <c r="G480" s="5" t="n"/>
      <c r="H480" s="5" t="n"/>
      <c r="I480" s="5" t="n"/>
      <c r="J480" s="5" t="n">
        <v>109.67</v>
      </c>
      <c r="K480" s="5" t="n"/>
      <c r="L480" s="5" t="n"/>
      <c r="M480" s="5" t="n"/>
      <c r="N480" s="5" t="n"/>
      <c r="O480" s="5" t="n">
        <v>658</v>
      </c>
      <c r="P480" s="5" t="n">
        <v>658</v>
      </c>
      <c r="Q480" s="5" t="n"/>
      <c r="R480" s="5" t="n"/>
    </row>
    <row r="481">
      <c r="A481" s="2" t="inlineStr">
        <is>
          <t>EJ010624.TXT</t>
        </is>
      </c>
      <c r="B481" s="3" t="inlineStr">
        <is>
          <t>001685</t>
        </is>
      </c>
      <c r="C481" s="3" t="inlineStr">
        <is>
          <t>001088</t>
        </is>
      </c>
      <c r="D481" s="4" t="n">
        <v>45441</v>
      </c>
      <c r="E481" s="2" t="inlineStr">
        <is>
          <t>14:10</t>
        </is>
      </c>
      <c r="F481" s="5" t="n">
        <v>274.17</v>
      </c>
      <c r="G481" s="5" t="n"/>
      <c r="H481" s="5" t="n"/>
      <c r="I481" s="5" t="n"/>
      <c r="J481" s="5" t="n">
        <v>54.83</v>
      </c>
      <c r="K481" s="5" t="n"/>
      <c r="L481" s="5" t="n"/>
      <c r="M481" s="5" t="n"/>
      <c r="N481" s="5" t="n"/>
      <c r="O481" s="5" t="n">
        <v>329</v>
      </c>
      <c r="P481" s="5" t="n"/>
      <c r="Q481" s="5" t="n">
        <v>329</v>
      </c>
      <c r="R481" s="5" t="n"/>
    </row>
    <row r="482">
      <c r="A482" s="2" t="inlineStr">
        <is>
          <t>EJ010624.TXT</t>
        </is>
      </c>
      <c r="B482" s="3" t="inlineStr">
        <is>
          <t>001686</t>
        </is>
      </c>
      <c r="C482" s="3" t="inlineStr">
        <is>
          <t>001089</t>
        </is>
      </c>
      <c r="D482" s="4" t="n">
        <v>45444</v>
      </c>
      <c r="E482" s="2" t="inlineStr">
        <is>
          <t>13:35</t>
        </is>
      </c>
      <c r="F482" s="5" t="n">
        <v>1733.33</v>
      </c>
      <c r="G482" s="5" t="n"/>
      <c r="H482" s="5" t="n"/>
      <c r="I482" s="5" t="n"/>
      <c r="J482" s="5" t="n">
        <v>346.67</v>
      </c>
      <c r="K482" s="5" t="n"/>
      <c r="L482" s="5" t="n"/>
      <c r="M482" s="5" t="n"/>
      <c r="N482" s="5" t="n"/>
      <c r="O482" s="5" t="n">
        <v>2080</v>
      </c>
      <c r="P482" s="5" t="n">
        <v>2080</v>
      </c>
      <c r="Q482" s="5" t="n"/>
      <c r="R482" s="5" t="n"/>
    </row>
    <row r="483">
      <c r="A483" s="2" t="inlineStr">
        <is>
          <t>EJ010724.TXT</t>
        </is>
      </c>
      <c r="B483" s="3" t="inlineStr">
        <is>
          <t>001690</t>
        </is>
      </c>
      <c r="C483" s="3" t="inlineStr">
        <is>
          <t>001090</t>
        </is>
      </c>
      <c r="D483" s="4" t="n">
        <v>45444</v>
      </c>
      <c r="E483" s="2" t="inlineStr">
        <is>
          <t>15:02</t>
        </is>
      </c>
      <c r="F483" s="5" t="n">
        <v>66.5</v>
      </c>
      <c r="G483" s="5" t="n"/>
      <c r="H483" s="5" t="n"/>
      <c r="I483" s="5" t="n"/>
      <c r="J483" s="5" t="n">
        <v>13.3</v>
      </c>
      <c r="K483" s="5" t="n"/>
      <c r="L483" s="5" t="n"/>
      <c r="M483" s="5" t="n"/>
      <c r="N483" s="5" t="n"/>
      <c r="O483" s="5" t="n">
        <v>79.8</v>
      </c>
      <c r="P483" s="5" t="n"/>
      <c r="Q483" s="5" t="n">
        <v>79.8</v>
      </c>
      <c r="R483" s="5" t="n"/>
    </row>
    <row r="484">
      <c r="A484" s="2" t="inlineStr">
        <is>
          <t>EJ010724.TXT</t>
        </is>
      </c>
      <c r="B484" s="3" t="inlineStr">
        <is>
          <t>001691</t>
        </is>
      </c>
      <c r="C484" s="3" t="inlineStr">
        <is>
          <t>001091</t>
        </is>
      </c>
      <c r="D484" s="4" t="n">
        <v>45444</v>
      </c>
      <c r="E484" s="2" t="inlineStr">
        <is>
          <t>16:23</t>
        </is>
      </c>
      <c r="F484" s="5" t="n">
        <v>73.33</v>
      </c>
      <c r="G484" s="5" t="n"/>
      <c r="H484" s="5" t="n"/>
      <c r="I484" s="5" t="n"/>
      <c r="J484" s="5" t="n">
        <v>14.67</v>
      </c>
      <c r="K484" s="5" t="n"/>
      <c r="L484" s="5" t="n"/>
      <c r="M484" s="5" t="n"/>
      <c r="N484" s="5" t="n"/>
      <c r="O484" s="5" t="n">
        <v>88</v>
      </c>
      <c r="P484" s="5" t="n">
        <v>88</v>
      </c>
      <c r="Q484" s="5" t="n"/>
      <c r="R484" s="5" t="n"/>
    </row>
    <row r="485">
      <c r="A485" s="2" t="inlineStr">
        <is>
          <t>EJ010724.TXT</t>
        </is>
      </c>
      <c r="B485" s="3" t="inlineStr">
        <is>
          <t>001692</t>
        </is>
      </c>
      <c r="C485" s="3" t="inlineStr">
        <is>
          <t>001092</t>
        </is>
      </c>
      <c r="D485" s="4" t="n">
        <v>45444</v>
      </c>
      <c r="E485" s="2" t="inlineStr">
        <is>
          <t>16:27</t>
        </is>
      </c>
      <c r="F485" s="5" t="n">
        <v>41.58</v>
      </c>
      <c r="G485" s="5" t="n"/>
      <c r="H485" s="5" t="n"/>
      <c r="I485" s="5" t="n"/>
      <c r="J485" s="5" t="n">
        <v>8.32</v>
      </c>
      <c r="K485" s="5" t="n"/>
      <c r="L485" s="5" t="n"/>
      <c r="M485" s="5" t="n"/>
      <c r="N485" s="5" t="n"/>
      <c r="O485" s="5" t="n">
        <v>49.9</v>
      </c>
      <c r="P485" s="5" t="n">
        <v>49.9</v>
      </c>
      <c r="Q485" s="5" t="n"/>
      <c r="R485" s="5" t="n"/>
    </row>
    <row r="486">
      <c r="A486" s="2" t="inlineStr">
        <is>
          <t>EJ010724.TXT</t>
        </is>
      </c>
      <c r="B486" s="3" t="inlineStr">
        <is>
          <t>001696</t>
        </is>
      </c>
      <c r="C486" s="3" t="inlineStr">
        <is>
          <t>001093</t>
        </is>
      </c>
      <c r="D486" s="4" t="n">
        <v>45446</v>
      </c>
      <c r="E486" s="2" t="inlineStr">
        <is>
          <t>10:10</t>
        </is>
      </c>
      <c r="F486" s="5" t="n">
        <v>274.17</v>
      </c>
      <c r="G486" s="5" t="n"/>
      <c r="H486" s="5" t="n"/>
      <c r="I486" s="5" t="n"/>
      <c r="J486" s="5" t="n">
        <v>54.83</v>
      </c>
      <c r="K486" s="5" t="n"/>
      <c r="L486" s="5" t="n"/>
      <c r="M486" s="5" t="n"/>
      <c r="N486" s="5" t="n"/>
      <c r="O486" s="5" t="n">
        <v>329</v>
      </c>
      <c r="P486" s="5" t="n">
        <v>329</v>
      </c>
      <c r="Q486" s="5" t="n"/>
      <c r="R486" s="5" t="n"/>
    </row>
    <row r="487">
      <c r="A487" s="2" t="inlineStr">
        <is>
          <t>EJ010724.TXT</t>
        </is>
      </c>
      <c r="B487" s="3" t="inlineStr">
        <is>
          <t>001701</t>
        </is>
      </c>
      <c r="C487" s="3" t="inlineStr">
        <is>
          <t>001094</t>
        </is>
      </c>
      <c r="D487" s="4" t="n">
        <v>45446</v>
      </c>
      <c r="E487" s="2" t="inlineStr">
        <is>
          <t>14:20</t>
        </is>
      </c>
      <c r="F487" s="5" t="n">
        <v>548.33</v>
      </c>
      <c r="G487" s="5" t="n"/>
      <c r="H487" s="5" t="n"/>
      <c r="I487" s="5" t="n"/>
      <c r="J487" s="5" t="n">
        <v>109.67</v>
      </c>
      <c r="K487" s="5" t="n"/>
      <c r="L487" s="5" t="n"/>
      <c r="M487" s="5" t="n"/>
      <c r="N487" s="5" t="n"/>
      <c r="O487" s="5" t="n">
        <v>658</v>
      </c>
      <c r="P487" s="5" t="n">
        <v>658</v>
      </c>
      <c r="Q487" s="5" t="n"/>
      <c r="R487" s="5" t="n"/>
    </row>
    <row r="488">
      <c r="A488" s="2" t="inlineStr">
        <is>
          <t>EJ010724.TXT</t>
        </is>
      </c>
      <c r="B488" s="3" t="inlineStr">
        <is>
          <t>001706</t>
        </is>
      </c>
      <c r="C488" s="3" t="inlineStr">
        <is>
          <t>001095</t>
        </is>
      </c>
      <c r="D488" s="4" t="n">
        <v>45449</v>
      </c>
      <c r="E488" s="2" t="inlineStr">
        <is>
          <t>14:23</t>
        </is>
      </c>
      <c r="F488" s="5" t="n">
        <v>274.17</v>
      </c>
      <c r="G488" s="5" t="n"/>
      <c r="H488" s="5" t="n"/>
      <c r="I488" s="5" t="n"/>
      <c r="J488" s="5" t="n">
        <v>54.83</v>
      </c>
      <c r="K488" s="5" t="n"/>
      <c r="L488" s="5" t="n"/>
      <c r="M488" s="5" t="n"/>
      <c r="N488" s="5" t="n"/>
      <c r="O488" s="5" t="n">
        <v>329</v>
      </c>
      <c r="P488" s="5" t="n">
        <v>329</v>
      </c>
      <c r="Q488" s="5" t="n"/>
      <c r="R488" s="5" t="n"/>
    </row>
    <row r="489">
      <c r="A489" s="2" t="inlineStr">
        <is>
          <t>EJ010724.TXT</t>
        </is>
      </c>
      <c r="B489" s="3" t="inlineStr">
        <is>
          <t>001707</t>
        </is>
      </c>
      <c r="C489" s="3" t="inlineStr">
        <is>
          <t>001096</t>
        </is>
      </c>
      <c r="D489" s="4" t="n">
        <v>45456</v>
      </c>
      <c r="E489" s="2" t="inlineStr">
        <is>
          <t>14:18</t>
        </is>
      </c>
      <c r="F489" s="5" t="n">
        <v>274.17</v>
      </c>
      <c r="G489" s="5" t="n"/>
      <c r="H489" s="5" t="n"/>
      <c r="I489" s="5" t="n"/>
      <c r="J489" s="5" t="n">
        <v>54.83</v>
      </c>
      <c r="K489" s="5" t="n"/>
      <c r="L489" s="5" t="n"/>
      <c r="M489" s="5" t="n"/>
      <c r="N489" s="5" t="n"/>
      <c r="O489" s="5" t="n">
        <v>329</v>
      </c>
      <c r="P489" s="5" t="n">
        <v>329</v>
      </c>
      <c r="Q489" s="5" t="n"/>
      <c r="R489" s="5" t="n"/>
    </row>
    <row r="490">
      <c r="A490" s="2" t="inlineStr">
        <is>
          <t>EJ010724.TXT</t>
        </is>
      </c>
      <c r="B490" s="3" t="inlineStr">
        <is>
          <t>001708</t>
        </is>
      </c>
      <c r="C490" s="3" t="inlineStr">
        <is>
          <t>001097</t>
        </is>
      </c>
      <c r="D490" s="4" t="n">
        <v>45456</v>
      </c>
      <c r="E490" s="2" t="inlineStr">
        <is>
          <t>14:19</t>
        </is>
      </c>
      <c r="F490" s="5" t="n">
        <v>274.17</v>
      </c>
      <c r="G490" s="5" t="n"/>
      <c r="H490" s="5" t="n"/>
      <c r="I490" s="5" t="n"/>
      <c r="J490" s="5" t="n">
        <v>54.83</v>
      </c>
      <c r="K490" s="5" t="n"/>
      <c r="L490" s="5" t="n"/>
      <c r="M490" s="5" t="n"/>
      <c r="N490" s="5" t="n"/>
      <c r="O490" s="5" t="n">
        <v>329</v>
      </c>
      <c r="P490" s="5" t="n">
        <v>329</v>
      </c>
      <c r="Q490" s="5" t="n"/>
      <c r="R490" s="5" t="n"/>
    </row>
    <row r="491">
      <c r="A491" s="2" t="inlineStr">
        <is>
          <t>EJ010724.TXT</t>
        </is>
      </c>
      <c r="B491" s="3" t="inlineStr">
        <is>
          <t>001709</t>
        </is>
      </c>
      <c r="C491" s="3" t="inlineStr">
        <is>
          <t>001098</t>
        </is>
      </c>
      <c r="D491" s="4" t="n">
        <v>45456</v>
      </c>
      <c r="E491" s="2" t="inlineStr">
        <is>
          <t>14:19</t>
        </is>
      </c>
      <c r="F491" s="5" t="n">
        <v>274.17</v>
      </c>
      <c r="G491" s="5" t="n"/>
      <c r="H491" s="5" t="n"/>
      <c r="I491" s="5" t="n"/>
      <c r="J491" s="5" t="n">
        <v>54.83</v>
      </c>
      <c r="K491" s="5" t="n"/>
      <c r="L491" s="5" t="n"/>
      <c r="M491" s="5" t="n"/>
      <c r="N491" s="5" t="n"/>
      <c r="O491" s="5" t="n">
        <v>329</v>
      </c>
      <c r="P491" s="5" t="n">
        <v>329</v>
      </c>
      <c r="Q491" s="5" t="n"/>
      <c r="R491" s="5" t="n"/>
    </row>
    <row r="492">
      <c r="A492" s="2" t="inlineStr">
        <is>
          <t>EJ010724.TXT</t>
        </is>
      </c>
      <c r="B492" s="3" t="inlineStr">
        <is>
          <t>001710</t>
        </is>
      </c>
      <c r="C492" s="3" t="inlineStr">
        <is>
          <t>001099</t>
        </is>
      </c>
      <c r="D492" s="4" t="n">
        <v>45456</v>
      </c>
      <c r="E492" s="2" t="inlineStr">
        <is>
          <t>14:19</t>
        </is>
      </c>
      <c r="F492" s="5" t="n">
        <v>274.17</v>
      </c>
      <c r="G492" s="5" t="n"/>
      <c r="H492" s="5" t="n"/>
      <c r="I492" s="5" t="n"/>
      <c r="J492" s="5" t="n">
        <v>54.83</v>
      </c>
      <c r="K492" s="5" t="n"/>
      <c r="L492" s="5" t="n"/>
      <c r="M492" s="5" t="n"/>
      <c r="N492" s="5" t="n"/>
      <c r="O492" s="5" t="n">
        <v>329</v>
      </c>
      <c r="P492" s="5" t="n">
        <v>329</v>
      </c>
      <c r="Q492" s="5" t="n"/>
      <c r="R492" s="5" t="n"/>
    </row>
    <row r="493">
      <c r="A493" s="2" t="inlineStr">
        <is>
          <t>EJ010724.TXT</t>
        </is>
      </c>
      <c r="B493" s="3" t="inlineStr">
        <is>
          <t>001711</t>
        </is>
      </c>
      <c r="C493" s="3" t="inlineStr">
        <is>
          <t>001100</t>
        </is>
      </c>
      <c r="D493" s="4" t="n">
        <v>45457</v>
      </c>
      <c r="E493" s="2" t="inlineStr">
        <is>
          <t>14:54</t>
        </is>
      </c>
      <c r="F493" s="5" t="n">
        <v>582.5</v>
      </c>
      <c r="G493" s="5" t="n"/>
      <c r="H493" s="5" t="n"/>
      <c r="I493" s="5" t="n"/>
      <c r="J493" s="5" t="n">
        <v>116.5</v>
      </c>
      <c r="K493" s="5" t="n"/>
      <c r="L493" s="5" t="n"/>
      <c r="M493" s="5" t="n"/>
      <c r="N493" s="5" t="n"/>
      <c r="O493" s="5" t="n">
        <v>699</v>
      </c>
      <c r="P493" s="5" t="n"/>
      <c r="Q493" s="5" t="n">
        <v>699</v>
      </c>
      <c r="R493" s="5" t="n"/>
    </row>
    <row r="494">
      <c r="A494" s="2" t="inlineStr">
        <is>
          <t>EJ010724.TXT</t>
        </is>
      </c>
      <c r="B494" s="3" t="inlineStr">
        <is>
          <t>001713</t>
        </is>
      </c>
      <c r="C494" s="3" t="inlineStr">
        <is>
          <t>001101</t>
        </is>
      </c>
      <c r="D494" s="4" t="n">
        <v>45458</v>
      </c>
      <c r="E494" s="2" t="inlineStr">
        <is>
          <t>14:45</t>
        </is>
      </c>
      <c r="F494" s="5" t="n">
        <v>415</v>
      </c>
      <c r="G494" s="5" t="n"/>
      <c r="H494" s="5" t="n"/>
      <c r="I494" s="5" t="n"/>
      <c r="J494" s="5" t="n">
        <v>83</v>
      </c>
      <c r="K494" s="5" t="n"/>
      <c r="L494" s="5" t="n"/>
      <c r="M494" s="5" t="n"/>
      <c r="N494" s="5" t="n"/>
      <c r="O494" s="5" t="n">
        <v>498</v>
      </c>
      <c r="P494" s="5" t="n"/>
      <c r="Q494" s="5" t="n">
        <v>498</v>
      </c>
      <c r="R494" s="5" t="n"/>
    </row>
    <row r="495">
      <c r="A495" s="2" t="inlineStr">
        <is>
          <t>EJ010724.TXT</t>
        </is>
      </c>
      <c r="B495" s="3" t="inlineStr">
        <is>
          <t>001714</t>
        </is>
      </c>
      <c r="C495" s="3" t="inlineStr">
        <is>
          <t>001102</t>
        </is>
      </c>
      <c r="D495" s="4" t="n">
        <v>45458</v>
      </c>
      <c r="E495" s="2" t="inlineStr">
        <is>
          <t>16:09</t>
        </is>
      </c>
      <c r="F495" s="5" t="n">
        <v>274.17</v>
      </c>
      <c r="G495" s="5" t="n"/>
      <c r="H495" s="5" t="n"/>
      <c r="I495" s="5" t="n"/>
      <c r="J495" s="5" t="n">
        <v>54.83</v>
      </c>
      <c r="K495" s="5" t="n"/>
      <c r="L495" s="5" t="n"/>
      <c r="M495" s="5" t="n"/>
      <c r="N495" s="5" t="n"/>
      <c r="O495" s="5" t="n">
        <v>329</v>
      </c>
      <c r="P495" s="5" t="n"/>
      <c r="Q495" s="5" t="n">
        <v>329</v>
      </c>
      <c r="R495" s="5" t="n"/>
    </row>
    <row r="496">
      <c r="A496" s="2" t="inlineStr">
        <is>
          <t>EJ010724.TXT</t>
        </is>
      </c>
      <c r="B496" s="3" t="inlineStr">
        <is>
          <t>001715</t>
        </is>
      </c>
      <c r="C496" s="3" t="inlineStr">
        <is>
          <t>001103</t>
        </is>
      </c>
      <c r="D496" s="4" t="n">
        <v>45461</v>
      </c>
      <c r="E496" s="2" t="inlineStr">
        <is>
          <t>08:59</t>
        </is>
      </c>
      <c r="F496" s="5" t="n">
        <v>548.33</v>
      </c>
      <c r="G496" s="5" t="n"/>
      <c r="H496" s="5" t="n"/>
      <c r="I496" s="5" t="n"/>
      <c r="J496" s="5" t="n">
        <v>109.67</v>
      </c>
      <c r="K496" s="5" t="n"/>
      <c r="L496" s="5" t="n"/>
      <c r="M496" s="5" t="n"/>
      <c r="N496" s="5" t="n"/>
      <c r="O496" s="5" t="n">
        <v>658</v>
      </c>
      <c r="P496" s="5" t="n"/>
      <c r="Q496" s="5" t="n">
        <v>658</v>
      </c>
      <c r="R496" s="5" t="n"/>
    </row>
    <row r="497">
      <c r="A497" s="2" t="inlineStr">
        <is>
          <t>EJ010724.TXT</t>
        </is>
      </c>
      <c r="B497" s="3" t="inlineStr">
        <is>
          <t>001717</t>
        </is>
      </c>
      <c r="C497" s="3" t="inlineStr">
        <is>
          <t>001104</t>
        </is>
      </c>
      <c r="D497" s="4" t="n">
        <v>45463</v>
      </c>
      <c r="E497" s="2" t="inlineStr">
        <is>
          <t>10:19</t>
        </is>
      </c>
      <c r="F497" s="5" t="n">
        <v>548.33</v>
      </c>
      <c r="G497" s="5" t="n"/>
      <c r="H497" s="5" t="n"/>
      <c r="I497" s="5" t="n"/>
      <c r="J497" s="5" t="n">
        <v>109.67</v>
      </c>
      <c r="K497" s="5" t="n"/>
      <c r="L497" s="5" t="n"/>
      <c r="M497" s="5" t="n"/>
      <c r="N497" s="5" t="n"/>
      <c r="O497" s="5" t="n">
        <v>658</v>
      </c>
      <c r="P497" s="5" t="n">
        <v>658</v>
      </c>
      <c r="Q497" s="5" t="n"/>
      <c r="R497" s="5" t="n"/>
    </row>
    <row r="498">
      <c r="A498" s="2" t="inlineStr">
        <is>
          <t>EJ010724.TXT</t>
        </is>
      </c>
      <c r="B498" s="3" t="inlineStr">
        <is>
          <t>001718</t>
        </is>
      </c>
      <c r="C498" s="3" t="inlineStr">
        <is>
          <t>001105</t>
        </is>
      </c>
      <c r="D498" s="4" t="n">
        <v>45468</v>
      </c>
      <c r="E498" s="2" t="inlineStr">
        <is>
          <t>15:12</t>
        </is>
      </c>
      <c r="F498" s="5" t="n">
        <v>20500</v>
      </c>
      <c r="G498" s="5" t="n"/>
      <c r="H498" s="5" t="n"/>
      <c r="I498" s="5" t="n"/>
      <c r="J498" s="5" t="n">
        <v>4100</v>
      </c>
      <c r="K498" s="5" t="n"/>
      <c r="L498" s="5" t="n"/>
      <c r="M498" s="5" t="n"/>
      <c r="N498" s="5" t="n"/>
      <c r="O498" s="5" t="n">
        <v>24600</v>
      </c>
      <c r="P498" s="5" t="n">
        <v>24600</v>
      </c>
      <c r="Q498" s="5" t="n"/>
      <c r="R498" s="5" t="n"/>
    </row>
    <row r="499">
      <c r="A499" s="2" t="inlineStr">
        <is>
          <t>EJ010724.TXT</t>
        </is>
      </c>
      <c r="B499" s="3" t="inlineStr">
        <is>
          <t>001719</t>
        </is>
      </c>
      <c r="C499" s="3" t="inlineStr">
        <is>
          <t>001106</t>
        </is>
      </c>
      <c r="D499" s="4" t="n">
        <v>45469</v>
      </c>
      <c r="E499" s="2" t="inlineStr">
        <is>
          <t>10:55</t>
        </is>
      </c>
      <c r="F499" s="5" t="n">
        <v>531.67</v>
      </c>
      <c r="G499" s="5" t="n"/>
      <c r="H499" s="5" t="n"/>
      <c r="I499" s="5" t="n"/>
      <c r="J499" s="5" t="n">
        <v>106.33</v>
      </c>
      <c r="K499" s="5" t="n"/>
      <c r="L499" s="5" t="n"/>
      <c r="M499" s="5" t="n"/>
      <c r="N499" s="5" t="n"/>
      <c r="O499" s="5" t="n">
        <v>638</v>
      </c>
      <c r="P499" s="5" t="n"/>
      <c r="Q499" s="5" t="n">
        <v>638</v>
      </c>
      <c r="R499" s="5" t="n"/>
    </row>
    <row r="500">
      <c r="A500" s="2" t="inlineStr">
        <is>
          <t>EJ010724.TXT</t>
        </is>
      </c>
      <c r="B500" s="3" t="inlineStr">
        <is>
          <t>001720</t>
        </is>
      </c>
      <c r="C500" s="3" t="inlineStr">
        <is>
          <t>001107</t>
        </is>
      </c>
      <c r="D500" s="4" t="n">
        <v>45469</v>
      </c>
      <c r="E500" s="2" t="inlineStr">
        <is>
          <t>12:56</t>
        </is>
      </c>
      <c r="F500" s="5" t="n">
        <v>274.17</v>
      </c>
      <c r="G500" s="5" t="n"/>
      <c r="H500" s="5" t="n"/>
      <c r="I500" s="5" t="n"/>
      <c r="J500" s="5" t="n">
        <v>54.83</v>
      </c>
      <c r="K500" s="5" t="n"/>
      <c r="L500" s="5" t="n"/>
      <c r="M500" s="5" t="n"/>
      <c r="N500" s="5" t="n"/>
      <c r="O500" s="5" t="n">
        <v>329</v>
      </c>
      <c r="P500" s="5" t="n">
        <v>329</v>
      </c>
      <c r="Q500" s="5" t="n"/>
      <c r="R500" s="5" t="n"/>
    </row>
    <row r="501">
      <c r="A501" s="2" t="inlineStr">
        <is>
          <t>EJ010724.TXT</t>
        </is>
      </c>
      <c r="B501" s="3" t="inlineStr">
        <is>
          <t>001721</t>
        </is>
      </c>
      <c r="C501" s="3" t="inlineStr">
        <is>
          <t>001108</t>
        </is>
      </c>
      <c r="D501" s="4" t="n">
        <v>45469</v>
      </c>
      <c r="E501" s="2" t="inlineStr">
        <is>
          <t>13:17</t>
        </is>
      </c>
      <c r="F501" s="5" t="n">
        <v>548.33</v>
      </c>
      <c r="G501" s="5" t="n"/>
      <c r="H501" s="5" t="n"/>
      <c r="I501" s="5" t="n"/>
      <c r="J501" s="5" t="n">
        <v>109.67</v>
      </c>
      <c r="K501" s="5" t="n"/>
      <c r="L501" s="5" t="n"/>
      <c r="M501" s="5" t="n"/>
      <c r="N501" s="5" t="n"/>
      <c r="O501" s="5" t="n">
        <v>658</v>
      </c>
      <c r="P501" s="5" t="n">
        <v>658</v>
      </c>
      <c r="Q501" s="5" t="n"/>
      <c r="R501" s="5" t="n"/>
    </row>
    <row r="502">
      <c r="A502" s="2" t="inlineStr">
        <is>
          <t>EJ010724.TXT</t>
        </is>
      </c>
      <c r="B502" s="3" t="inlineStr">
        <is>
          <t>001722</t>
        </is>
      </c>
      <c r="C502" s="3" t="inlineStr">
        <is>
          <t>001109</t>
        </is>
      </c>
      <c r="D502" s="4" t="n">
        <v>45469</v>
      </c>
      <c r="E502" s="2" t="inlineStr">
        <is>
          <t>15:56</t>
        </is>
      </c>
      <c r="F502" s="5" t="n">
        <v>90.83</v>
      </c>
      <c r="G502" s="5" t="n"/>
      <c r="H502" s="5" t="n"/>
      <c r="I502" s="5" t="n"/>
      <c r="J502" s="5" t="n">
        <v>18.17</v>
      </c>
      <c r="K502" s="5" t="n"/>
      <c r="L502" s="5" t="n"/>
      <c r="M502" s="5" t="n"/>
      <c r="N502" s="5" t="n"/>
      <c r="O502" s="5" t="n">
        <v>109</v>
      </c>
      <c r="P502" s="5" t="n"/>
      <c r="Q502" s="5" t="n">
        <v>109</v>
      </c>
      <c r="R502" s="5" t="n"/>
    </row>
    <row r="503">
      <c r="A503" s="2" t="inlineStr">
        <is>
          <t>EJ010724.TXT</t>
        </is>
      </c>
      <c r="B503" s="3" t="inlineStr">
        <is>
          <t>001724</t>
        </is>
      </c>
      <c r="C503" s="3" t="inlineStr">
        <is>
          <t>001110</t>
        </is>
      </c>
      <c r="D503" s="4" t="n">
        <v>45471</v>
      </c>
      <c r="E503" s="2" t="inlineStr">
        <is>
          <t>11:37</t>
        </is>
      </c>
      <c r="F503" s="5" t="n">
        <v>40.75</v>
      </c>
      <c r="G503" s="5" t="n"/>
      <c r="H503" s="5" t="n"/>
      <c r="I503" s="5" t="n"/>
      <c r="J503" s="5" t="n">
        <v>8.15</v>
      </c>
      <c r="K503" s="5" t="n"/>
      <c r="L503" s="5" t="n"/>
      <c r="M503" s="5" t="n"/>
      <c r="N503" s="5" t="n"/>
      <c r="O503" s="5" t="n">
        <v>48.9</v>
      </c>
      <c r="P503" s="5" t="n">
        <v>48.9</v>
      </c>
      <c r="Q503" s="5" t="n"/>
      <c r="R503" s="5" t="n"/>
    </row>
    <row r="504">
      <c r="A504" s="2" t="inlineStr">
        <is>
          <t>EJ010724.TXT</t>
        </is>
      </c>
      <c r="B504" s="3" t="inlineStr">
        <is>
          <t>001725</t>
        </is>
      </c>
      <c r="C504" s="3" t="inlineStr">
        <is>
          <t>001111</t>
        </is>
      </c>
      <c r="D504" s="4" t="n">
        <v>45472</v>
      </c>
      <c r="E504" s="2" t="inlineStr">
        <is>
          <t>13:34</t>
        </is>
      </c>
      <c r="F504" s="5" t="n">
        <v>329.17</v>
      </c>
      <c r="G504" s="5" t="n"/>
      <c r="H504" s="5" t="n"/>
      <c r="I504" s="5" t="n"/>
      <c r="J504" s="5" t="n">
        <v>65.83</v>
      </c>
      <c r="K504" s="5" t="n"/>
      <c r="L504" s="5" t="n"/>
      <c r="M504" s="5" t="n"/>
      <c r="N504" s="5" t="n"/>
      <c r="O504" s="5" t="n">
        <v>395</v>
      </c>
      <c r="P504" s="5" t="n">
        <v>395</v>
      </c>
      <c r="Q504" s="5" t="n"/>
      <c r="R504" s="5" t="n"/>
    </row>
    <row r="505">
      <c r="A505" s="2" t="inlineStr">
        <is>
          <t>EJ010724.TXT</t>
        </is>
      </c>
      <c r="B505" s="3" t="inlineStr">
        <is>
          <t>001726</t>
        </is>
      </c>
      <c r="C505" s="3" t="inlineStr">
        <is>
          <t>001112</t>
        </is>
      </c>
      <c r="D505" s="4" t="n">
        <v>45472</v>
      </c>
      <c r="E505" s="2" t="inlineStr">
        <is>
          <t>14:05</t>
        </is>
      </c>
      <c r="F505" s="5" t="n">
        <v>548.33</v>
      </c>
      <c r="G505" s="5" t="n"/>
      <c r="H505" s="5" t="n"/>
      <c r="I505" s="5" t="n"/>
      <c r="J505" s="5" t="n">
        <v>109.67</v>
      </c>
      <c r="K505" s="5" t="n"/>
      <c r="L505" s="5" t="n"/>
      <c r="M505" s="5" t="n"/>
      <c r="N505" s="5" t="n"/>
      <c r="O505" s="5" t="n">
        <v>658</v>
      </c>
      <c r="P505" s="5" t="n">
        <v>658</v>
      </c>
      <c r="Q505" s="5" t="n"/>
      <c r="R505" s="5" t="n"/>
    </row>
    <row r="506">
      <c r="A506" s="2" t="inlineStr">
        <is>
          <t>EJ010824.TXT</t>
        </is>
      </c>
      <c r="B506" s="3" t="inlineStr">
        <is>
          <t>001732</t>
        </is>
      </c>
      <c r="C506" s="3" t="inlineStr">
        <is>
          <t>001113</t>
        </is>
      </c>
      <c r="D506" s="4" t="n">
        <v>45474</v>
      </c>
      <c r="E506" s="2" t="inlineStr">
        <is>
          <t>16:08</t>
        </is>
      </c>
      <c r="F506" s="5" t="n">
        <v>397.5</v>
      </c>
      <c r="G506" s="5" t="n"/>
      <c r="H506" s="5" t="n"/>
      <c r="I506" s="5" t="n"/>
      <c r="J506" s="5" t="n">
        <v>79.5</v>
      </c>
      <c r="K506" s="5" t="n"/>
      <c r="L506" s="5" t="n"/>
      <c r="M506" s="5" t="n"/>
      <c r="N506" s="5" t="n"/>
      <c r="O506" s="5" t="n">
        <v>477</v>
      </c>
      <c r="P506" s="5" t="n"/>
      <c r="Q506" s="5" t="n">
        <v>477</v>
      </c>
      <c r="R506" s="5" t="n"/>
    </row>
    <row r="507">
      <c r="A507" s="2" t="inlineStr">
        <is>
          <t>EJ010824.TXT</t>
        </is>
      </c>
      <c r="B507" s="3" t="inlineStr">
        <is>
          <t>001733</t>
        </is>
      </c>
      <c r="C507" s="3" t="inlineStr">
        <is>
          <t>001114</t>
        </is>
      </c>
      <c r="D507" s="4" t="n">
        <v>45475</v>
      </c>
      <c r="E507" s="2" t="inlineStr">
        <is>
          <t>09:55</t>
        </is>
      </c>
      <c r="F507" s="5" t="n">
        <v>20500</v>
      </c>
      <c r="G507" s="5" t="n"/>
      <c r="H507" s="5" t="n"/>
      <c r="I507" s="5" t="n"/>
      <c r="J507" s="5" t="n">
        <v>4100</v>
      </c>
      <c r="K507" s="5" t="n"/>
      <c r="L507" s="5" t="n"/>
      <c r="M507" s="5" t="n"/>
      <c r="N507" s="5" t="n"/>
      <c r="O507" s="5" t="n">
        <v>24600</v>
      </c>
      <c r="P507" s="5" t="n">
        <v>24600</v>
      </c>
      <c r="Q507" s="5" t="n"/>
      <c r="R507" s="5" t="n"/>
    </row>
    <row r="508">
      <c r="A508" s="2" t="inlineStr">
        <is>
          <t>EJ010824.TXT</t>
        </is>
      </c>
      <c r="B508" s="3" t="inlineStr">
        <is>
          <t>001734</t>
        </is>
      </c>
      <c r="C508" s="3" t="inlineStr">
        <is>
          <t>001115</t>
        </is>
      </c>
      <c r="D508" s="4" t="n">
        <v>45475</v>
      </c>
      <c r="E508" s="2" t="inlineStr">
        <is>
          <t>12:08</t>
        </is>
      </c>
      <c r="F508" s="5" t="n">
        <v>274.17</v>
      </c>
      <c r="G508" s="5" t="n"/>
      <c r="H508" s="5" t="n"/>
      <c r="I508" s="5" t="n"/>
      <c r="J508" s="5" t="n">
        <v>54.83</v>
      </c>
      <c r="K508" s="5" t="n"/>
      <c r="L508" s="5" t="n"/>
      <c r="M508" s="5" t="n"/>
      <c r="N508" s="5" t="n"/>
      <c r="O508" s="5" t="n">
        <v>329</v>
      </c>
      <c r="P508" s="5" t="n">
        <v>329</v>
      </c>
      <c r="Q508" s="5" t="n"/>
      <c r="R508" s="5" t="n"/>
    </row>
    <row r="509">
      <c r="A509" s="2" t="inlineStr">
        <is>
          <t>EJ010824.TXT</t>
        </is>
      </c>
      <c r="B509" s="3" t="inlineStr">
        <is>
          <t>001735</t>
        </is>
      </c>
      <c r="C509" s="3" t="inlineStr">
        <is>
          <t>001116</t>
        </is>
      </c>
      <c r="D509" s="4" t="n">
        <v>45476</v>
      </c>
      <c r="E509" s="2" t="inlineStr">
        <is>
          <t>15:17</t>
        </is>
      </c>
      <c r="F509" s="5" t="n">
        <v>274.17</v>
      </c>
      <c r="G509" s="5" t="n"/>
      <c r="H509" s="5" t="n"/>
      <c r="I509" s="5" t="n"/>
      <c r="J509" s="5" t="n">
        <v>54.83</v>
      </c>
      <c r="K509" s="5" t="n"/>
      <c r="L509" s="5" t="n"/>
      <c r="M509" s="5" t="n"/>
      <c r="N509" s="5" t="n"/>
      <c r="O509" s="5" t="n">
        <v>329</v>
      </c>
      <c r="P509" s="5" t="n"/>
      <c r="Q509" s="5" t="n">
        <v>329</v>
      </c>
      <c r="R509" s="5" t="n"/>
    </row>
    <row r="510">
      <c r="A510" s="2" t="inlineStr">
        <is>
          <t>EJ010824.TXT</t>
        </is>
      </c>
      <c r="B510" s="3" t="inlineStr">
        <is>
          <t>001736</t>
        </is>
      </c>
      <c r="C510" s="3" t="inlineStr">
        <is>
          <t>001117</t>
        </is>
      </c>
      <c r="D510" s="4" t="n">
        <v>45481</v>
      </c>
      <c r="E510" s="2" t="inlineStr">
        <is>
          <t>09:03</t>
        </is>
      </c>
      <c r="F510" s="5" t="n">
        <v>347.5</v>
      </c>
      <c r="G510" s="5" t="n"/>
      <c r="H510" s="5" t="n"/>
      <c r="I510" s="5" t="n"/>
      <c r="J510" s="5" t="n">
        <v>69.5</v>
      </c>
      <c r="K510" s="5" t="n"/>
      <c r="L510" s="5" t="n"/>
      <c r="M510" s="5" t="n"/>
      <c r="N510" s="5" t="n"/>
      <c r="O510" s="5" t="n">
        <v>417</v>
      </c>
      <c r="P510" s="5" t="n"/>
      <c r="Q510" s="5" t="n">
        <v>417</v>
      </c>
      <c r="R510" s="5" t="n"/>
    </row>
    <row r="511">
      <c r="A511" s="2" t="inlineStr">
        <is>
          <t>EJ010824.TXT</t>
        </is>
      </c>
      <c r="B511" s="3" t="inlineStr">
        <is>
          <t>001737</t>
        </is>
      </c>
      <c r="C511" s="3" t="inlineStr">
        <is>
          <t>001118</t>
        </is>
      </c>
      <c r="D511" s="4" t="n">
        <v>45482</v>
      </c>
      <c r="E511" s="2" t="inlineStr">
        <is>
          <t>10:48</t>
        </is>
      </c>
      <c r="F511" s="5" t="n">
        <v>274.17</v>
      </c>
      <c r="G511" s="5" t="n"/>
      <c r="H511" s="5" t="n"/>
      <c r="I511" s="5" t="n"/>
      <c r="J511" s="5" t="n">
        <v>54.83</v>
      </c>
      <c r="K511" s="5" t="n"/>
      <c r="L511" s="5" t="n"/>
      <c r="M511" s="5" t="n"/>
      <c r="N511" s="5" t="n"/>
      <c r="O511" s="5" t="n">
        <v>329</v>
      </c>
      <c r="P511" s="5" t="n">
        <v>329</v>
      </c>
      <c r="Q511" s="5" t="n"/>
      <c r="R511" s="5" t="n"/>
    </row>
    <row r="512">
      <c r="A512" s="2" t="inlineStr">
        <is>
          <t>EJ010824.TXT</t>
        </is>
      </c>
      <c r="B512" s="3" t="inlineStr">
        <is>
          <t>001738</t>
        </is>
      </c>
      <c r="C512" s="3" t="inlineStr">
        <is>
          <t>001119</t>
        </is>
      </c>
      <c r="D512" s="4" t="n">
        <v>45483</v>
      </c>
      <c r="E512" s="2" t="inlineStr">
        <is>
          <t>10:31</t>
        </is>
      </c>
      <c r="F512" s="5" t="n">
        <v>1096.67</v>
      </c>
      <c r="G512" s="5" t="n"/>
      <c r="H512" s="5" t="n"/>
      <c r="I512" s="5" t="n"/>
      <c r="J512" s="5" t="n">
        <v>219.33</v>
      </c>
      <c r="K512" s="5" t="n"/>
      <c r="L512" s="5" t="n"/>
      <c r="M512" s="5" t="n"/>
      <c r="N512" s="5" t="n"/>
      <c r="O512" s="5" t="n">
        <v>1316</v>
      </c>
      <c r="P512" s="5" t="n">
        <v>1316</v>
      </c>
      <c r="Q512" s="5" t="n"/>
      <c r="R512" s="5" t="n"/>
    </row>
    <row r="513">
      <c r="A513" s="2" t="inlineStr">
        <is>
          <t>EJ010824.TXT</t>
        </is>
      </c>
      <c r="B513" s="3" t="inlineStr">
        <is>
          <t>001741</t>
        </is>
      </c>
      <c r="C513" s="3" t="inlineStr">
        <is>
          <t>001120</t>
        </is>
      </c>
      <c r="D513" s="4" t="n">
        <v>45483</v>
      </c>
      <c r="E513" s="2" t="inlineStr">
        <is>
          <t>13:58</t>
        </is>
      </c>
      <c r="F513" s="5" t="n">
        <v>2075</v>
      </c>
      <c r="G513" s="5" t="n"/>
      <c r="H513" s="5" t="n"/>
      <c r="I513" s="5" t="n"/>
      <c r="J513" s="5" t="n">
        <v>415</v>
      </c>
      <c r="K513" s="5" t="n"/>
      <c r="L513" s="5" t="n"/>
      <c r="M513" s="5" t="n"/>
      <c r="N513" s="5" t="n"/>
      <c r="O513" s="5" t="n">
        <v>2490</v>
      </c>
      <c r="P513" s="5" t="n"/>
      <c r="Q513" s="5" t="n">
        <v>2490</v>
      </c>
      <c r="R513" s="5" t="n"/>
    </row>
    <row r="514">
      <c r="A514" s="2" t="inlineStr">
        <is>
          <t>EJ010824.TXT</t>
        </is>
      </c>
      <c r="B514" s="3" t="inlineStr">
        <is>
          <t>001742</t>
        </is>
      </c>
      <c r="C514" s="3" t="inlineStr">
        <is>
          <t>001121</t>
        </is>
      </c>
      <c r="D514" s="4" t="n">
        <v>45483</v>
      </c>
      <c r="E514" s="2" t="inlineStr">
        <is>
          <t>14:05</t>
        </is>
      </c>
      <c r="F514" s="5" t="n">
        <v>548.33</v>
      </c>
      <c r="G514" s="5" t="n"/>
      <c r="H514" s="5" t="n"/>
      <c r="I514" s="5" t="n"/>
      <c r="J514" s="5" t="n">
        <v>109.67</v>
      </c>
      <c r="K514" s="5" t="n"/>
      <c r="L514" s="5" t="n"/>
      <c r="M514" s="5" t="n"/>
      <c r="N514" s="5" t="n"/>
      <c r="O514" s="5" t="n">
        <v>658</v>
      </c>
      <c r="P514" s="5" t="n">
        <v>658</v>
      </c>
      <c r="Q514" s="5" t="n"/>
      <c r="R514" s="5" t="n"/>
    </row>
    <row r="515">
      <c r="A515" s="2" t="inlineStr">
        <is>
          <t>EJ010824.TXT</t>
        </is>
      </c>
      <c r="B515" s="3" t="inlineStr">
        <is>
          <t>001746</t>
        </is>
      </c>
      <c r="C515" s="3" t="inlineStr">
        <is>
          <t>001122</t>
        </is>
      </c>
      <c r="D515" s="4" t="n">
        <v>45484</v>
      </c>
      <c r="E515" s="2" t="inlineStr">
        <is>
          <t>12:05</t>
        </is>
      </c>
      <c r="F515" s="5" t="n">
        <v>548.33</v>
      </c>
      <c r="G515" s="5" t="n"/>
      <c r="H515" s="5" t="n"/>
      <c r="I515" s="5" t="n"/>
      <c r="J515" s="5" t="n">
        <v>109.67</v>
      </c>
      <c r="K515" s="5" t="n"/>
      <c r="L515" s="5" t="n"/>
      <c r="M515" s="5" t="n"/>
      <c r="N515" s="5" t="n"/>
      <c r="O515" s="5" t="n">
        <v>658</v>
      </c>
      <c r="P515" s="5" t="n">
        <v>658</v>
      </c>
      <c r="Q515" s="5" t="n"/>
      <c r="R515" s="5" t="n"/>
    </row>
    <row r="516">
      <c r="A516" s="2" t="inlineStr">
        <is>
          <t>EJ010824.TXT</t>
        </is>
      </c>
      <c r="B516" s="3" t="inlineStr">
        <is>
          <t>001747</t>
        </is>
      </c>
      <c r="C516" s="3" t="inlineStr">
        <is>
          <t>001123</t>
        </is>
      </c>
      <c r="D516" s="4" t="n">
        <v>45490</v>
      </c>
      <c r="E516" s="2" t="inlineStr">
        <is>
          <t>15:43</t>
        </is>
      </c>
      <c r="F516" s="5" t="n">
        <v>548.33</v>
      </c>
      <c r="G516" s="5" t="n"/>
      <c r="H516" s="5" t="n"/>
      <c r="I516" s="5" t="n"/>
      <c r="J516" s="5" t="n">
        <v>109.67</v>
      </c>
      <c r="K516" s="5" t="n"/>
      <c r="L516" s="5" t="n"/>
      <c r="M516" s="5" t="n"/>
      <c r="N516" s="5" t="n"/>
      <c r="O516" s="5" t="n">
        <v>658</v>
      </c>
      <c r="P516" s="5" t="n"/>
      <c r="Q516" s="5" t="n">
        <v>658</v>
      </c>
      <c r="R516" s="5" t="n"/>
    </row>
    <row r="517">
      <c r="A517" s="2" t="inlineStr">
        <is>
          <t>EJ010824.TXT</t>
        </is>
      </c>
      <c r="B517" s="3" t="inlineStr">
        <is>
          <t>001748</t>
        </is>
      </c>
      <c r="C517" s="3" t="inlineStr">
        <is>
          <t>001124</t>
        </is>
      </c>
      <c r="D517" s="4" t="n">
        <v>45490</v>
      </c>
      <c r="E517" s="2" t="inlineStr">
        <is>
          <t>16:40</t>
        </is>
      </c>
      <c r="F517" s="5" t="n">
        <v>1096.67</v>
      </c>
      <c r="G517" s="5" t="n"/>
      <c r="H517" s="5" t="n"/>
      <c r="I517" s="5" t="n"/>
      <c r="J517" s="5" t="n">
        <v>219.33</v>
      </c>
      <c r="K517" s="5" t="n"/>
      <c r="L517" s="5" t="n"/>
      <c r="M517" s="5" t="n"/>
      <c r="N517" s="5" t="n"/>
      <c r="O517" s="5" t="n">
        <v>1316</v>
      </c>
      <c r="P517" s="5" t="n">
        <v>1316</v>
      </c>
      <c r="Q517" s="5" t="n"/>
      <c r="R517" s="5" t="n"/>
    </row>
    <row r="518">
      <c r="A518" s="2" t="inlineStr">
        <is>
          <t>EJ010824.TXT</t>
        </is>
      </c>
      <c r="B518" s="3" t="inlineStr">
        <is>
          <t>001750</t>
        </is>
      </c>
      <c r="C518" s="3" t="inlineStr">
        <is>
          <t>001125</t>
        </is>
      </c>
      <c r="D518" s="4" t="n">
        <v>45492</v>
      </c>
      <c r="E518" s="2" t="inlineStr">
        <is>
          <t>11:02</t>
        </is>
      </c>
      <c r="F518" s="5" t="n">
        <v>822.5</v>
      </c>
      <c r="G518" s="5" t="n"/>
      <c r="H518" s="5" t="n"/>
      <c r="I518" s="5" t="n"/>
      <c r="J518" s="5" t="n">
        <v>164.5</v>
      </c>
      <c r="K518" s="5" t="n"/>
      <c r="L518" s="5" t="n"/>
      <c r="M518" s="5" t="n"/>
      <c r="N518" s="5" t="n"/>
      <c r="O518" s="5" t="n">
        <v>987</v>
      </c>
      <c r="P518" s="5" t="n"/>
      <c r="Q518" s="5" t="n">
        <v>987</v>
      </c>
      <c r="R518" s="5" t="n"/>
    </row>
    <row r="519">
      <c r="A519" s="2" t="inlineStr">
        <is>
          <t>EJ010824.TXT</t>
        </is>
      </c>
      <c r="B519" s="3" t="inlineStr">
        <is>
          <t>001751</t>
        </is>
      </c>
      <c r="C519" s="3" t="inlineStr">
        <is>
          <t>001126</t>
        </is>
      </c>
      <c r="D519" s="4" t="n">
        <v>45492</v>
      </c>
      <c r="E519" s="2" t="inlineStr">
        <is>
          <t>11:03</t>
        </is>
      </c>
      <c r="F519" s="5" t="n">
        <v>822.5</v>
      </c>
      <c r="G519" s="5" t="n"/>
      <c r="H519" s="5" t="n"/>
      <c r="I519" s="5" t="n"/>
      <c r="J519" s="5" t="n">
        <v>164.5</v>
      </c>
      <c r="K519" s="5" t="n"/>
      <c r="L519" s="5" t="n"/>
      <c r="M519" s="5" t="n"/>
      <c r="N519" s="5" t="n"/>
      <c r="O519" s="5" t="n">
        <v>987</v>
      </c>
      <c r="P519" s="5" t="n"/>
      <c r="Q519" s="5" t="n">
        <v>987</v>
      </c>
      <c r="R519" s="5" t="n"/>
    </row>
    <row r="520">
      <c r="A520" s="2" t="inlineStr">
        <is>
          <t>EJ010824.TXT</t>
        </is>
      </c>
      <c r="B520" s="3" t="inlineStr">
        <is>
          <t>001752</t>
        </is>
      </c>
      <c r="C520" s="3" t="inlineStr">
        <is>
          <t>001127</t>
        </is>
      </c>
      <c r="D520" s="4" t="n">
        <v>45492</v>
      </c>
      <c r="E520" s="2" t="inlineStr">
        <is>
          <t>11:03</t>
        </is>
      </c>
      <c r="F520" s="5" t="n">
        <v>822.5</v>
      </c>
      <c r="G520" s="5" t="n"/>
      <c r="H520" s="5" t="n"/>
      <c r="I520" s="5" t="n"/>
      <c r="J520" s="5" t="n">
        <v>164.5</v>
      </c>
      <c r="K520" s="5" t="n"/>
      <c r="L520" s="5" t="n"/>
      <c r="M520" s="5" t="n"/>
      <c r="N520" s="5" t="n"/>
      <c r="O520" s="5" t="n">
        <v>987</v>
      </c>
      <c r="P520" s="5" t="n"/>
      <c r="Q520" s="5" t="n">
        <v>987</v>
      </c>
      <c r="R520" s="5" t="n"/>
    </row>
    <row r="521">
      <c r="A521" s="2" t="inlineStr">
        <is>
          <t>EJ010824.TXT</t>
        </is>
      </c>
      <c r="B521" s="3" t="inlineStr">
        <is>
          <t>001753</t>
        </is>
      </c>
      <c r="C521" s="3" t="inlineStr">
        <is>
          <t>001128</t>
        </is>
      </c>
      <c r="D521" s="4" t="n">
        <v>45492</v>
      </c>
      <c r="E521" s="2" t="inlineStr">
        <is>
          <t>11:03</t>
        </is>
      </c>
      <c r="F521" s="5" t="n">
        <v>822.5</v>
      </c>
      <c r="G521" s="5" t="n"/>
      <c r="H521" s="5" t="n"/>
      <c r="I521" s="5" t="n"/>
      <c r="J521" s="5" t="n">
        <v>164.5</v>
      </c>
      <c r="K521" s="5" t="n"/>
      <c r="L521" s="5" t="n"/>
      <c r="M521" s="5" t="n"/>
      <c r="N521" s="5" t="n"/>
      <c r="O521" s="5" t="n">
        <v>987</v>
      </c>
      <c r="P521" s="5" t="n"/>
      <c r="Q521" s="5" t="n">
        <v>987</v>
      </c>
      <c r="R521" s="5" t="n"/>
    </row>
    <row r="522">
      <c r="A522" s="2" t="inlineStr">
        <is>
          <t>EJ010824.TXT</t>
        </is>
      </c>
      <c r="B522" s="3" t="inlineStr">
        <is>
          <t>001754</t>
        </is>
      </c>
      <c r="C522" s="3" t="inlineStr">
        <is>
          <t>001129</t>
        </is>
      </c>
      <c r="D522" s="4" t="n">
        <v>45492</v>
      </c>
      <c r="E522" s="2" t="inlineStr">
        <is>
          <t>11:05</t>
        </is>
      </c>
      <c r="F522" s="5" t="n">
        <v>210</v>
      </c>
      <c r="G522" s="5" t="n"/>
      <c r="H522" s="5" t="n"/>
      <c r="I522" s="5" t="n"/>
      <c r="J522" s="5" t="n">
        <v>42</v>
      </c>
      <c r="K522" s="5" t="n"/>
      <c r="L522" s="5" t="n"/>
      <c r="M522" s="5" t="n"/>
      <c r="N522" s="5" t="n"/>
      <c r="O522" s="5" t="n">
        <v>252</v>
      </c>
      <c r="P522" s="5" t="n"/>
      <c r="Q522" s="5" t="n">
        <v>252</v>
      </c>
      <c r="R522" s="5" t="n"/>
    </row>
    <row r="523">
      <c r="A523" s="2" t="inlineStr">
        <is>
          <t>EJ010824.TXT</t>
        </is>
      </c>
      <c r="B523" s="3" t="inlineStr">
        <is>
          <t>001755</t>
        </is>
      </c>
      <c r="C523" s="3" t="inlineStr">
        <is>
          <t>001130</t>
        </is>
      </c>
      <c r="D523" s="4" t="n">
        <v>45492</v>
      </c>
      <c r="E523" s="2" t="inlineStr">
        <is>
          <t>15:43</t>
        </is>
      </c>
      <c r="F523" s="5" t="n">
        <v>274.17</v>
      </c>
      <c r="G523" s="5" t="n"/>
      <c r="H523" s="5" t="n"/>
      <c r="I523" s="5" t="n"/>
      <c r="J523" s="5" t="n">
        <v>54.83</v>
      </c>
      <c r="K523" s="5" t="n"/>
      <c r="L523" s="5" t="n"/>
      <c r="M523" s="5" t="n"/>
      <c r="N523" s="5" t="n"/>
      <c r="O523" s="5" t="n">
        <v>329</v>
      </c>
      <c r="P523" s="5" t="n"/>
      <c r="Q523" s="5" t="n">
        <v>329</v>
      </c>
      <c r="R523" s="5" t="n"/>
    </row>
    <row r="524">
      <c r="A524" s="2" t="inlineStr">
        <is>
          <t>EJ010824.TXT</t>
        </is>
      </c>
      <c r="B524" s="3" t="inlineStr">
        <is>
          <t>001759</t>
        </is>
      </c>
      <c r="C524" s="3" t="inlineStr">
        <is>
          <t>001131</t>
        </is>
      </c>
      <c r="D524" s="4" t="n">
        <v>45495</v>
      </c>
      <c r="E524" s="2" t="inlineStr">
        <is>
          <t>15:11</t>
        </is>
      </c>
      <c r="F524" s="5" t="n">
        <v>265.83</v>
      </c>
      <c r="G524" s="5" t="n"/>
      <c r="H524" s="5" t="n"/>
      <c r="I524" s="5" t="n"/>
      <c r="J524" s="5" t="n">
        <v>53.17</v>
      </c>
      <c r="K524" s="5" t="n"/>
      <c r="L524" s="5" t="n"/>
      <c r="M524" s="5" t="n"/>
      <c r="N524" s="5" t="n"/>
      <c r="O524" s="5" t="n">
        <v>319</v>
      </c>
      <c r="P524" s="5" t="n">
        <v>50</v>
      </c>
      <c r="Q524" s="5" t="n">
        <v>269</v>
      </c>
      <c r="R524" s="5" t="n"/>
    </row>
    <row r="525">
      <c r="A525" s="2" t="inlineStr">
        <is>
          <t>EJ010824.TXT</t>
        </is>
      </c>
      <c r="B525" s="3" t="inlineStr">
        <is>
          <t>001764</t>
        </is>
      </c>
      <c r="C525" s="3" t="inlineStr">
        <is>
          <t>001132</t>
        </is>
      </c>
      <c r="D525" s="4" t="n">
        <v>45496</v>
      </c>
      <c r="E525" s="2" t="inlineStr">
        <is>
          <t>15:57</t>
        </is>
      </c>
      <c r="F525" s="5" t="n">
        <v>329.17</v>
      </c>
      <c r="G525" s="5" t="n"/>
      <c r="H525" s="5" t="n"/>
      <c r="I525" s="5" t="n"/>
      <c r="J525" s="5" t="n">
        <v>65.83</v>
      </c>
      <c r="K525" s="5" t="n"/>
      <c r="L525" s="5" t="n"/>
      <c r="M525" s="5" t="n"/>
      <c r="N525" s="5" t="n"/>
      <c r="O525" s="5" t="n">
        <v>395</v>
      </c>
      <c r="P525" s="5" t="n"/>
      <c r="Q525" s="5" t="n">
        <v>395</v>
      </c>
      <c r="R525" s="5" t="n"/>
    </row>
    <row r="526">
      <c r="A526" s="2" t="inlineStr">
        <is>
          <t>EJ010824.TXT</t>
        </is>
      </c>
      <c r="B526" s="3" t="inlineStr">
        <is>
          <t>001765</t>
        </is>
      </c>
      <c r="C526" s="3" t="inlineStr">
        <is>
          <t>001133</t>
        </is>
      </c>
      <c r="D526" s="4" t="n">
        <v>45496</v>
      </c>
      <c r="E526" s="2" t="inlineStr">
        <is>
          <t>15:58</t>
        </is>
      </c>
      <c r="F526" s="5" t="n">
        <v>329.17</v>
      </c>
      <c r="G526" s="5" t="n"/>
      <c r="H526" s="5" t="n"/>
      <c r="I526" s="5" t="n"/>
      <c r="J526" s="5" t="n">
        <v>65.83</v>
      </c>
      <c r="K526" s="5" t="n"/>
      <c r="L526" s="5" t="n"/>
      <c r="M526" s="5" t="n"/>
      <c r="N526" s="5" t="n"/>
      <c r="O526" s="5" t="n">
        <v>395</v>
      </c>
      <c r="P526" s="5" t="n"/>
      <c r="Q526" s="5" t="n">
        <v>395</v>
      </c>
      <c r="R526" s="5" t="n"/>
    </row>
    <row r="527">
      <c r="A527" s="2" t="inlineStr">
        <is>
          <t>EJ010824.TXT</t>
        </is>
      </c>
      <c r="B527" s="3" t="inlineStr">
        <is>
          <t>001766</t>
        </is>
      </c>
      <c r="C527" s="3" t="inlineStr">
        <is>
          <t>001134</t>
        </is>
      </c>
      <c r="D527" s="4" t="n">
        <v>45496</v>
      </c>
      <c r="E527" s="2" t="inlineStr">
        <is>
          <t>16:14</t>
        </is>
      </c>
      <c r="F527" s="5" t="n">
        <v>474.17</v>
      </c>
      <c r="G527" s="5" t="n"/>
      <c r="H527" s="5" t="n"/>
      <c r="I527" s="5" t="n"/>
      <c r="J527" s="5" t="n">
        <v>94.83</v>
      </c>
      <c r="K527" s="5" t="n"/>
      <c r="L527" s="5" t="n"/>
      <c r="M527" s="5" t="n"/>
      <c r="N527" s="5" t="n"/>
      <c r="O527" s="5" t="n">
        <v>569</v>
      </c>
      <c r="P527" s="5" t="n">
        <v>569</v>
      </c>
      <c r="Q527" s="5" t="n"/>
      <c r="R527" s="5" t="n"/>
    </row>
    <row r="528">
      <c r="A528" s="2" t="inlineStr">
        <is>
          <t>EJ010824.TXT</t>
        </is>
      </c>
      <c r="B528" s="3" t="inlineStr">
        <is>
          <t>001767</t>
        </is>
      </c>
      <c r="C528" s="3" t="inlineStr">
        <is>
          <t>001135</t>
        </is>
      </c>
      <c r="D528" s="4" t="n">
        <v>45496</v>
      </c>
      <c r="E528" s="2" t="inlineStr">
        <is>
          <t>16:15</t>
        </is>
      </c>
      <c r="F528" s="5" t="n">
        <v>274.17</v>
      </c>
      <c r="G528" s="5" t="n"/>
      <c r="H528" s="5" t="n"/>
      <c r="I528" s="5" t="n"/>
      <c r="J528" s="5" t="n">
        <v>54.83</v>
      </c>
      <c r="K528" s="5" t="n"/>
      <c r="L528" s="5" t="n"/>
      <c r="M528" s="5" t="n"/>
      <c r="N528" s="5" t="n"/>
      <c r="O528" s="5" t="n">
        <v>329</v>
      </c>
      <c r="P528" s="5" t="n"/>
      <c r="Q528" s="5" t="n">
        <v>329</v>
      </c>
      <c r="R528" s="5" t="n"/>
    </row>
    <row r="529">
      <c r="A529" s="2" t="inlineStr">
        <is>
          <t>EJ010824.TXT</t>
        </is>
      </c>
      <c r="B529" s="3" t="inlineStr">
        <is>
          <t>001768</t>
        </is>
      </c>
      <c r="C529" s="3" t="inlineStr">
        <is>
          <t>001136</t>
        </is>
      </c>
      <c r="D529" s="4" t="n">
        <v>45499</v>
      </c>
      <c r="E529" s="2" t="inlineStr">
        <is>
          <t>12:26</t>
        </is>
      </c>
      <c r="F529" s="5" t="n">
        <v>548.33</v>
      </c>
      <c r="G529" s="5" t="n"/>
      <c r="H529" s="5" t="n"/>
      <c r="I529" s="5" t="n"/>
      <c r="J529" s="5" t="n">
        <v>109.67</v>
      </c>
      <c r="K529" s="5" t="n"/>
      <c r="L529" s="5" t="n"/>
      <c r="M529" s="5" t="n"/>
      <c r="N529" s="5" t="n"/>
      <c r="O529" s="5" t="n">
        <v>658</v>
      </c>
      <c r="P529" s="5" t="n">
        <v>658</v>
      </c>
      <c r="Q529" s="5" t="n"/>
      <c r="R529" s="5" t="n"/>
    </row>
    <row r="530">
      <c r="A530" s="2" t="inlineStr">
        <is>
          <t>EJ010824.TXT</t>
        </is>
      </c>
      <c r="B530" s="3" t="inlineStr">
        <is>
          <t>001769</t>
        </is>
      </c>
      <c r="C530" s="3" t="inlineStr">
        <is>
          <t>001137</t>
        </is>
      </c>
      <c r="D530" s="4" t="n">
        <v>45500</v>
      </c>
      <c r="E530" s="2" t="inlineStr">
        <is>
          <t>14:34</t>
        </is>
      </c>
      <c r="F530" s="5" t="n">
        <v>274.17</v>
      </c>
      <c r="G530" s="5" t="n"/>
      <c r="H530" s="5" t="n"/>
      <c r="I530" s="5" t="n"/>
      <c r="J530" s="5" t="n">
        <v>54.83</v>
      </c>
      <c r="K530" s="5" t="n"/>
      <c r="L530" s="5" t="n"/>
      <c r="M530" s="5" t="n"/>
      <c r="N530" s="5" t="n"/>
      <c r="O530" s="5" t="n">
        <v>329</v>
      </c>
      <c r="P530" s="5" t="n">
        <v>329</v>
      </c>
      <c r="Q530" s="5" t="n"/>
      <c r="R530" s="5" t="n"/>
    </row>
    <row r="531">
      <c r="A531" s="2" t="inlineStr">
        <is>
          <t>EJ010824.TXT</t>
        </is>
      </c>
      <c r="B531" s="3" t="inlineStr">
        <is>
          <t>001770</t>
        </is>
      </c>
      <c r="C531" s="3" t="inlineStr">
        <is>
          <t>001138</t>
        </is>
      </c>
      <c r="D531" s="4" t="n">
        <v>45502</v>
      </c>
      <c r="E531" s="2" t="inlineStr">
        <is>
          <t>12:10</t>
        </is>
      </c>
      <c r="F531" s="5" t="n">
        <v>274.17</v>
      </c>
      <c r="G531" s="5" t="n"/>
      <c r="H531" s="5" t="n"/>
      <c r="I531" s="5" t="n"/>
      <c r="J531" s="5" t="n">
        <v>54.83</v>
      </c>
      <c r="K531" s="5" t="n"/>
      <c r="L531" s="5" t="n"/>
      <c r="M531" s="5" t="n"/>
      <c r="N531" s="5" t="n"/>
      <c r="O531" s="5" t="n">
        <v>329</v>
      </c>
      <c r="P531" s="5" t="n">
        <v>329</v>
      </c>
      <c r="Q531" s="5" t="n"/>
      <c r="R531" s="5" t="n"/>
    </row>
    <row r="532">
      <c r="A532" s="2" t="inlineStr">
        <is>
          <t>EJ010824.TXT</t>
        </is>
      </c>
      <c r="B532" s="3" t="inlineStr">
        <is>
          <t>001771</t>
        </is>
      </c>
      <c r="C532" s="3" t="inlineStr">
        <is>
          <t>001139</t>
        </is>
      </c>
      <c r="D532" s="4" t="n">
        <v>45502</v>
      </c>
      <c r="E532" s="2" t="inlineStr">
        <is>
          <t>15:17</t>
        </is>
      </c>
      <c r="F532" s="5" t="n">
        <v>548.33</v>
      </c>
      <c r="G532" s="5" t="n"/>
      <c r="H532" s="5" t="n"/>
      <c r="I532" s="5" t="n"/>
      <c r="J532" s="5" t="n">
        <v>109.67</v>
      </c>
      <c r="K532" s="5" t="n"/>
      <c r="L532" s="5" t="n"/>
      <c r="M532" s="5" t="n"/>
      <c r="N532" s="5" t="n"/>
      <c r="O532" s="5" t="n">
        <v>658</v>
      </c>
      <c r="P532" s="5" t="n">
        <v>658</v>
      </c>
      <c r="Q532" s="5" t="n"/>
      <c r="R532" s="5" t="n"/>
    </row>
    <row r="533">
      <c r="A533" s="2" t="inlineStr">
        <is>
          <t>EJ010824.TXT</t>
        </is>
      </c>
      <c r="B533" s="3" t="inlineStr">
        <is>
          <t>001773</t>
        </is>
      </c>
      <c r="C533" s="3" t="inlineStr">
        <is>
          <t>001140</t>
        </is>
      </c>
      <c r="D533" s="4" t="n">
        <v>45503</v>
      </c>
      <c r="E533" s="2" t="inlineStr">
        <is>
          <t>09:16</t>
        </is>
      </c>
      <c r="F533" s="5" t="n">
        <v>548.33</v>
      </c>
      <c r="G533" s="5" t="n"/>
      <c r="H533" s="5" t="n"/>
      <c r="I533" s="5" t="n"/>
      <c r="J533" s="5" t="n">
        <v>109.67</v>
      </c>
      <c r="K533" s="5" t="n"/>
      <c r="L533" s="5" t="n"/>
      <c r="M533" s="5" t="n"/>
      <c r="N533" s="5" t="n"/>
      <c r="O533" s="5" t="n">
        <v>658</v>
      </c>
      <c r="P533" s="5" t="n"/>
      <c r="Q533" s="5" t="n">
        <v>658</v>
      </c>
      <c r="R533" s="5" t="n"/>
    </row>
    <row r="534">
      <c r="A534" s="2" t="inlineStr">
        <is>
          <t>EJ010824.TXT</t>
        </is>
      </c>
      <c r="B534" s="3" t="inlineStr">
        <is>
          <t>001775</t>
        </is>
      </c>
      <c r="C534" s="3" t="inlineStr">
        <is>
          <t>001141</t>
        </is>
      </c>
      <c r="D534" s="4" t="n">
        <v>45504</v>
      </c>
      <c r="E534" s="2" t="inlineStr">
        <is>
          <t>12:57</t>
        </is>
      </c>
      <c r="F534" s="5" t="n">
        <v>274.17</v>
      </c>
      <c r="G534" s="5" t="n"/>
      <c r="H534" s="5" t="n"/>
      <c r="I534" s="5" t="n"/>
      <c r="J534" s="5" t="n">
        <v>54.83</v>
      </c>
      <c r="K534" s="5" t="n"/>
      <c r="L534" s="5" t="n"/>
      <c r="M534" s="5" t="n"/>
      <c r="N534" s="5" t="n"/>
      <c r="O534" s="5" t="n">
        <v>329</v>
      </c>
      <c r="P534" s="5" t="n"/>
      <c r="Q534" s="5" t="n">
        <v>329</v>
      </c>
      <c r="R534" s="5" t="n"/>
    </row>
    <row r="535">
      <c r="A535" s="2" t="inlineStr">
        <is>
          <t>EJ300824.TXT</t>
        </is>
      </c>
      <c r="B535" s="3" t="inlineStr">
        <is>
          <t>001783</t>
        </is>
      </c>
      <c r="C535" s="3" t="inlineStr">
        <is>
          <t>001142</t>
        </is>
      </c>
      <c r="D535" s="4" t="n">
        <v>45505</v>
      </c>
      <c r="E535" s="2" t="inlineStr">
        <is>
          <t>13:59</t>
        </is>
      </c>
      <c r="F535" s="5" t="n">
        <v>1645</v>
      </c>
      <c r="G535" s="5" t="n"/>
      <c r="H535" s="5" t="n"/>
      <c r="I535" s="5" t="n"/>
      <c r="J535" s="5" t="n">
        <v>329</v>
      </c>
      <c r="K535" s="5" t="n"/>
      <c r="L535" s="5" t="n"/>
      <c r="M535" s="5" t="n"/>
      <c r="N535" s="5" t="n"/>
      <c r="O535" s="5" t="n">
        <v>1974</v>
      </c>
      <c r="P535" s="5" t="n">
        <v>1974</v>
      </c>
      <c r="Q535" s="5" t="n"/>
      <c r="R535" s="5" t="n"/>
    </row>
    <row r="536">
      <c r="A536" s="2" t="inlineStr">
        <is>
          <t>EJ300824.TXT</t>
        </is>
      </c>
      <c r="B536" s="3" t="inlineStr">
        <is>
          <t>001784</t>
        </is>
      </c>
      <c r="C536" s="3" t="inlineStr">
        <is>
          <t>001143</t>
        </is>
      </c>
      <c r="D536" s="4" t="n">
        <v>45506</v>
      </c>
      <c r="E536" s="2" t="inlineStr">
        <is>
          <t>09:49</t>
        </is>
      </c>
      <c r="F536" s="5" t="n">
        <v>175</v>
      </c>
      <c r="G536" s="5" t="n"/>
      <c r="H536" s="5" t="n"/>
      <c r="I536" s="5" t="n"/>
      <c r="J536" s="5" t="n">
        <v>35</v>
      </c>
      <c r="K536" s="5" t="n"/>
      <c r="L536" s="5" t="n"/>
      <c r="M536" s="5" t="n"/>
      <c r="N536" s="5" t="n"/>
      <c r="O536" s="5" t="n">
        <v>210</v>
      </c>
      <c r="P536" s="5" t="n">
        <v>80</v>
      </c>
      <c r="Q536" s="5" t="n">
        <v>130</v>
      </c>
      <c r="R536" s="5" t="n"/>
    </row>
    <row r="537">
      <c r="A537" s="2" t="inlineStr">
        <is>
          <t>EJ300824.TXT</t>
        </is>
      </c>
      <c r="B537" s="3" t="inlineStr">
        <is>
          <t>001785</t>
        </is>
      </c>
      <c r="C537" s="3" t="inlineStr">
        <is>
          <t>001144</t>
        </is>
      </c>
      <c r="D537" s="4" t="n">
        <v>45506</v>
      </c>
      <c r="E537" s="2" t="inlineStr">
        <is>
          <t>09:51</t>
        </is>
      </c>
      <c r="F537" s="5" t="n">
        <v>796.67</v>
      </c>
      <c r="G537" s="5" t="n"/>
      <c r="H537" s="5" t="n"/>
      <c r="I537" s="5" t="n"/>
      <c r="J537" s="5" t="n">
        <v>159.33</v>
      </c>
      <c r="K537" s="5" t="n"/>
      <c r="L537" s="5" t="n"/>
      <c r="M537" s="5" t="n"/>
      <c r="N537" s="5" t="n"/>
      <c r="O537" s="5" t="n">
        <v>956</v>
      </c>
      <c r="P537" s="5" t="n">
        <v>856</v>
      </c>
      <c r="Q537" s="5" t="n">
        <v>100</v>
      </c>
      <c r="R537" s="5" t="n"/>
    </row>
    <row r="538">
      <c r="A538" s="2" t="inlineStr">
        <is>
          <t>EJ300824.TXT</t>
        </is>
      </c>
      <c r="B538" s="3" t="inlineStr">
        <is>
          <t>001787</t>
        </is>
      </c>
      <c r="C538" s="3" t="inlineStr">
        <is>
          <t>001145</t>
        </is>
      </c>
      <c r="D538" s="4" t="n">
        <v>45506</v>
      </c>
      <c r="E538" s="2" t="inlineStr">
        <is>
          <t>15:08</t>
        </is>
      </c>
      <c r="F538" s="5" t="n">
        <v>1165</v>
      </c>
      <c r="G538" s="5" t="n"/>
      <c r="H538" s="5" t="n"/>
      <c r="I538" s="5" t="n"/>
      <c r="J538" s="5" t="n">
        <v>233</v>
      </c>
      <c r="K538" s="5" t="n"/>
      <c r="L538" s="5" t="n"/>
      <c r="M538" s="5" t="n"/>
      <c r="N538" s="5" t="n"/>
      <c r="O538" s="5" t="n">
        <v>1398</v>
      </c>
      <c r="P538" s="5" t="n">
        <v>1398</v>
      </c>
      <c r="Q538" s="5" t="n"/>
      <c r="R538" s="5" t="n"/>
    </row>
    <row r="539">
      <c r="A539" s="2" t="inlineStr">
        <is>
          <t>EJ300824.TXT</t>
        </is>
      </c>
      <c r="B539" s="3" t="inlineStr">
        <is>
          <t>001788</t>
        </is>
      </c>
      <c r="C539" s="3" t="inlineStr">
        <is>
          <t>001146</t>
        </is>
      </c>
      <c r="D539" s="4" t="n">
        <v>45506</v>
      </c>
      <c r="E539" s="2" t="inlineStr">
        <is>
          <t>15:09</t>
        </is>
      </c>
      <c r="F539" s="5" t="n">
        <v>324.17</v>
      </c>
      <c r="G539" s="5" t="n"/>
      <c r="H539" s="5" t="n"/>
      <c r="I539" s="5" t="n"/>
      <c r="J539" s="5" t="n">
        <v>64.83</v>
      </c>
      <c r="K539" s="5" t="n"/>
      <c r="L539" s="5" t="n"/>
      <c r="M539" s="5" t="n"/>
      <c r="N539" s="5" t="n"/>
      <c r="O539" s="5" t="n">
        <v>389</v>
      </c>
      <c r="P539" s="5" t="n">
        <v>389</v>
      </c>
      <c r="Q539" s="5" t="n"/>
      <c r="R539" s="5" t="n"/>
    </row>
    <row r="540">
      <c r="A540" s="2" t="inlineStr">
        <is>
          <t>EJ300824.TXT</t>
        </is>
      </c>
      <c r="B540" s="3" t="inlineStr">
        <is>
          <t>001790</t>
        </is>
      </c>
      <c r="C540" s="3" t="inlineStr">
        <is>
          <t>001147</t>
        </is>
      </c>
      <c r="D540" s="4" t="n">
        <v>45507</v>
      </c>
      <c r="E540" s="2" t="inlineStr">
        <is>
          <t>14:26</t>
        </is>
      </c>
      <c r="F540" s="5" t="n">
        <v>548.33</v>
      </c>
      <c r="G540" s="5" t="n"/>
      <c r="H540" s="5" t="n"/>
      <c r="I540" s="5" t="n"/>
      <c r="J540" s="5" t="n">
        <v>109.67</v>
      </c>
      <c r="K540" s="5" t="n"/>
      <c r="L540" s="5" t="n"/>
      <c r="M540" s="5" t="n"/>
      <c r="N540" s="5" t="n"/>
      <c r="O540" s="5" t="n">
        <v>658</v>
      </c>
      <c r="P540" s="5" t="n">
        <v>658</v>
      </c>
      <c r="Q540" s="5" t="n"/>
      <c r="R540" s="5" t="n"/>
    </row>
    <row r="541">
      <c r="A541" s="2" t="inlineStr">
        <is>
          <t>EJ300824.TXT</t>
        </is>
      </c>
      <c r="B541" s="3" t="inlineStr">
        <is>
          <t>001791</t>
        </is>
      </c>
      <c r="C541" s="3" t="inlineStr">
        <is>
          <t>001148</t>
        </is>
      </c>
      <c r="D541" s="4" t="n">
        <v>45507</v>
      </c>
      <c r="E541" s="2" t="inlineStr">
        <is>
          <t>14:38</t>
        </is>
      </c>
      <c r="F541" s="5" t="n">
        <v>274.17</v>
      </c>
      <c r="G541" s="5" t="n"/>
      <c r="H541" s="5" t="n"/>
      <c r="I541" s="5" t="n"/>
      <c r="J541" s="5" t="n">
        <v>54.83</v>
      </c>
      <c r="K541" s="5" t="n"/>
      <c r="L541" s="5" t="n"/>
      <c r="M541" s="5" t="n"/>
      <c r="N541" s="5" t="n"/>
      <c r="O541" s="5" t="n">
        <v>329</v>
      </c>
      <c r="P541" s="5" t="n">
        <v>329</v>
      </c>
      <c r="Q541" s="5" t="n"/>
      <c r="R541" s="5" t="n"/>
    </row>
    <row r="542">
      <c r="A542" s="2" t="inlineStr">
        <is>
          <t>EJ300824.TXT</t>
        </is>
      </c>
      <c r="B542" s="3" t="inlineStr">
        <is>
          <t>001792</t>
        </is>
      </c>
      <c r="C542" s="3" t="inlineStr">
        <is>
          <t>001149</t>
        </is>
      </c>
      <c r="D542" s="4" t="n">
        <v>45509</v>
      </c>
      <c r="E542" s="2" t="inlineStr">
        <is>
          <t>09:32</t>
        </is>
      </c>
      <c r="F542" s="5" t="n">
        <v>582.5</v>
      </c>
      <c r="G542" s="5" t="n"/>
      <c r="H542" s="5" t="n"/>
      <c r="I542" s="5" t="n"/>
      <c r="J542" s="5" t="n">
        <v>116.5</v>
      </c>
      <c r="K542" s="5" t="n"/>
      <c r="L542" s="5" t="n"/>
      <c r="M542" s="5" t="n"/>
      <c r="N542" s="5" t="n"/>
      <c r="O542" s="5" t="n">
        <v>699</v>
      </c>
      <c r="P542" s="5" t="n">
        <v>699</v>
      </c>
      <c r="Q542" s="5" t="n"/>
      <c r="R542" s="5" t="n"/>
    </row>
    <row r="543">
      <c r="A543" s="2" t="inlineStr">
        <is>
          <t>EJ300824.TXT</t>
        </is>
      </c>
      <c r="B543" s="3" t="inlineStr">
        <is>
          <t>001793</t>
        </is>
      </c>
      <c r="C543" s="3" t="inlineStr">
        <is>
          <t>001150</t>
        </is>
      </c>
      <c r="D543" s="4" t="n">
        <v>45509</v>
      </c>
      <c r="E543" s="2" t="inlineStr">
        <is>
          <t>11:49</t>
        </is>
      </c>
      <c r="F543" s="5" t="n">
        <v>822.5</v>
      </c>
      <c r="G543" s="5" t="n"/>
      <c r="H543" s="5" t="n"/>
      <c r="I543" s="5" t="n"/>
      <c r="J543" s="5" t="n">
        <v>164.5</v>
      </c>
      <c r="K543" s="5" t="n"/>
      <c r="L543" s="5" t="n"/>
      <c r="M543" s="5" t="n"/>
      <c r="N543" s="5" t="n"/>
      <c r="O543" s="5" t="n">
        <v>987</v>
      </c>
      <c r="P543" s="5" t="n">
        <v>987</v>
      </c>
      <c r="Q543" s="5" t="n"/>
      <c r="R543" s="5" t="n"/>
    </row>
    <row r="544">
      <c r="A544" s="2" t="inlineStr">
        <is>
          <t>EJ300824.TXT</t>
        </is>
      </c>
      <c r="B544" s="3" t="inlineStr">
        <is>
          <t>001795</t>
        </is>
      </c>
      <c r="C544" s="3" t="inlineStr">
        <is>
          <t>001151</t>
        </is>
      </c>
      <c r="D544" s="4" t="n">
        <v>45510</v>
      </c>
      <c r="E544" s="2" t="inlineStr">
        <is>
          <t>08:56</t>
        </is>
      </c>
      <c r="F544" s="5" t="n">
        <v>548.33</v>
      </c>
      <c r="G544" s="5" t="n"/>
      <c r="H544" s="5" t="n"/>
      <c r="I544" s="5" t="n"/>
      <c r="J544" s="5" t="n">
        <v>109.67</v>
      </c>
      <c r="K544" s="5" t="n"/>
      <c r="L544" s="5" t="n"/>
      <c r="M544" s="5" t="n"/>
      <c r="N544" s="5" t="n"/>
      <c r="O544" s="5" t="n">
        <v>658</v>
      </c>
      <c r="P544" s="5" t="n">
        <v>658</v>
      </c>
      <c r="Q544" s="5" t="n"/>
      <c r="R544" s="5" t="n"/>
    </row>
    <row r="545">
      <c r="A545" s="2" t="inlineStr">
        <is>
          <t>EJ300824.TXT</t>
        </is>
      </c>
      <c r="B545" s="3" t="inlineStr">
        <is>
          <t>001798</t>
        </is>
      </c>
      <c r="C545" s="3" t="inlineStr">
        <is>
          <t>001152</t>
        </is>
      </c>
      <c r="D545" s="4" t="n">
        <v>45510</v>
      </c>
      <c r="E545" s="2" t="inlineStr">
        <is>
          <t>16:05</t>
        </is>
      </c>
      <c r="F545" s="5" t="n">
        <v>199.17</v>
      </c>
      <c r="G545" s="5" t="n"/>
      <c r="H545" s="5" t="n"/>
      <c r="I545" s="5" t="n"/>
      <c r="J545" s="5" t="n">
        <v>39.83</v>
      </c>
      <c r="K545" s="5" t="n"/>
      <c r="L545" s="5" t="n"/>
      <c r="M545" s="5" t="n"/>
      <c r="N545" s="5" t="n"/>
      <c r="O545" s="5" t="n">
        <v>239</v>
      </c>
      <c r="P545" s="5" t="n">
        <v>239</v>
      </c>
      <c r="Q545" s="5" t="n"/>
      <c r="R545" s="5" t="n"/>
    </row>
    <row r="546">
      <c r="A546" s="2" t="inlineStr">
        <is>
          <t>EJ300824.TXT</t>
        </is>
      </c>
      <c r="B546" s="3" t="inlineStr">
        <is>
          <t>001799</t>
        </is>
      </c>
      <c r="C546" s="3" t="inlineStr">
        <is>
          <t>001153</t>
        </is>
      </c>
      <c r="D546" s="4" t="n">
        <v>45511</v>
      </c>
      <c r="E546" s="2" t="inlineStr">
        <is>
          <t>09:41</t>
        </is>
      </c>
      <c r="F546" s="5" t="n">
        <v>75</v>
      </c>
      <c r="G546" s="5" t="n"/>
      <c r="H546" s="5" t="n"/>
      <c r="I546" s="5" t="n"/>
      <c r="J546" s="5" t="n">
        <v>15</v>
      </c>
      <c r="K546" s="5" t="n"/>
      <c r="L546" s="5" t="n"/>
      <c r="M546" s="5" t="n"/>
      <c r="N546" s="5" t="n"/>
      <c r="O546" s="5" t="n">
        <v>90</v>
      </c>
      <c r="P546" s="5" t="n">
        <v>90</v>
      </c>
      <c r="Q546" s="5" t="n"/>
      <c r="R546" s="5" t="n"/>
    </row>
    <row r="547">
      <c r="A547" s="2" t="inlineStr">
        <is>
          <t>EJ300824.TXT</t>
        </is>
      </c>
      <c r="B547" s="3" t="inlineStr">
        <is>
          <t>001801</t>
        </is>
      </c>
      <c r="C547" s="3" t="inlineStr">
        <is>
          <t>001154</t>
        </is>
      </c>
      <c r="D547" s="4" t="n">
        <v>45514</v>
      </c>
      <c r="E547" s="2" t="inlineStr">
        <is>
          <t>13:37</t>
        </is>
      </c>
      <c r="F547" s="5" t="n">
        <v>74.92</v>
      </c>
      <c r="G547" s="5" t="n"/>
      <c r="H547" s="5" t="n"/>
      <c r="I547" s="5" t="n"/>
      <c r="J547" s="5" t="n">
        <v>14.98</v>
      </c>
      <c r="K547" s="5" t="n"/>
      <c r="L547" s="5" t="n"/>
      <c r="M547" s="5" t="n"/>
      <c r="N547" s="5" t="n"/>
      <c r="O547" s="5" t="n">
        <v>89.90000000000001</v>
      </c>
      <c r="P547" s="5" t="n">
        <v>89.90000000000001</v>
      </c>
      <c r="Q547" s="5" t="n"/>
      <c r="R547" s="5" t="n"/>
    </row>
    <row r="548">
      <c r="A548" s="2" t="inlineStr">
        <is>
          <t>EJ300824.TXT</t>
        </is>
      </c>
      <c r="B548" s="3" t="inlineStr">
        <is>
          <t>001802</t>
        </is>
      </c>
      <c r="C548" s="3" t="inlineStr">
        <is>
          <t>001155</t>
        </is>
      </c>
      <c r="D548" s="4" t="n">
        <v>45520</v>
      </c>
      <c r="E548" s="2" t="inlineStr">
        <is>
          <t>14:13</t>
        </is>
      </c>
      <c r="F548" s="5" t="n">
        <v>415</v>
      </c>
      <c r="G548" s="5" t="n"/>
      <c r="H548" s="5" t="n"/>
      <c r="I548" s="5" t="n"/>
      <c r="J548" s="5" t="n">
        <v>83</v>
      </c>
      <c r="K548" s="5" t="n"/>
      <c r="L548" s="5" t="n"/>
      <c r="M548" s="5" t="n"/>
      <c r="N548" s="5" t="n"/>
      <c r="O548" s="5" t="n">
        <v>498</v>
      </c>
      <c r="P548" s="5" t="n">
        <v>498</v>
      </c>
      <c r="Q548" s="5" t="n"/>
      <c r="R548" s="5" t="n"/>
    </row>
    <row r="549">
      <c r="A549" s="2" t="inlineStr">
        <is>
          <t>EJ300824.TXT</t>
        </is>
      </c>
      <c r="B549" s="3" t="inlineStr">
        <is>
          <t>001803</t>
        </is>
      </c>
      <c r="C549" s="3" t="inlineStr">
        <is>
          <t>001156</t>
        </is>
      </c>
      <c r="D549" s="4" t="n">
        <v>45521</v>
      </c>
      <c r="E549" s="2" t="inlineStr">
        <is>
          <t>14:58</t>
        </is>
      </c>
      <c r="F549" s="5" t="n">
        <v>1566.67</v>
      </c>
      <c r="G549" s="5" t="n"/>
      <c r="H549" s="5" t="n"/>
      <c r="I549" s="5" t="n"/>
      <c r="J549" s="5" t="n">
        <v>313.33</v>
      </c>
      <c r="K549" s="5" t="n"/>
      <c r="L549" s="5" t="n"/>
      <c r="M549" s="5" t="n"/>
      <c r="N549" s="5" t="n"/>
      <c r="O549" s="5" t="n">
        <v>1880</v>
      </c>
      <c r="P549" s="5" t="n">
        <v>1880</v>
      </c>
      <c r="Q549" s="5" t="n"/>
      <c r="R549" s="5" t="n"/>
    </row>
    <row r="550">
      <c r="A550" s="2" t="inlineStr">
        <is>
          <t>EJ300824.TXT</t>
        </is>
      </c>
      <c r="B550" s="3" t="inlineStr">
        <is>
          <t>001804</t>
        </is>
      </c>
      <c r="C550" s="3" t="inlineStr">
        <is>
          <t>001157</t>
        </is>
      </c>
      <c r="D550" s="4" t="n">
        <v>45521</v>
      </c>
      <c r="E550" s="2" t="inlineStr">
        <is>
          <t>15:20</t>
        </is>
      </c>
      <c r="F550" s="5" t="n">
        <v>548.33</v>
      </c>
      <c r="G550" s="5" t="n"/>
      <c r="H550" s="5" t="n"/>
      <c r="I550" s="5" t="n"/>
      <c r="J550" s="5" t="n">
        <v>109.67</v>
      </c>
      <c r="K550" s="5" t="n"/>
      <c r="L550" s="5" t="n"/>
      <c r="M550" s="5" t="n"/>
      <c r="N550" s="5" t="n"/>
      <c r="O550" s="5" t="n">
        <v>658</v>
      </c>
      <c r="P550" s="5" t="n">
        <v>278</v>
      </c>
      <c r="Q550" s="5" t="n">
        <v>380</v>
      </c>
      <c r="R550" s="5" t="n"/>
    </row>
    <row r="551">
      <c r="A551" s="2" t="inlineStr">
        <is>
          <t>EJ300824.TXT</t>
        </is>
      </c>
      <c r="B551" s="3" t="inlineStr">
        <is>
          <t>001806</t>
        </is>
      </c>
      <c r="C551" s="3" t="inlineStr">
        <is>
          <t>001158</t>
        </is>
      </c>
      <c r="D551" s="4" t="n">
        <v>45521</v>
      </c>
      <c r="E551" s="2" t="inlineStr">
        <is>
          <t>15:45</t>
        </is>
      </c>
      <c r="F551" s="5" t="n">
        <v>191.42</v>
      </c>
      <c r="G551" s="5" t="n"/>
      <c r="H551" s="5" t="n"/>
      <c r="I551" s="5" t="n"/>
      <c r="J551" s="5" t="n">
        <v>38.28</v>
      </c>
      <c r="K551" s="5" t="n"/>
      <c r="L551" s="5" t="n"/>
      <c r="M551" s="5" t="n"/>
      <c r="N551" s="5" t="n"/>
      <c r="O551" s="5" t="n">
        <v>229.7</v>
      </c>
      <c r="P551" s="5" t="n">
        <v>229.7</v>
      </c>
      <c r="Q551" s="5" t="n"/>
      <c r="R551" s="5" t="n"/>
    </row>
    <row r="552">
      <c r="A552" s="2" t="inlineStr">
        <is>
          <t>EJ300824.TXT</t>
        </is>
      </c>
      <c r="B552" s="3" t="inlineStr">
        <is>
          <t>001807</t>
        </is>
      </c>
      <c r="C552" s="3" t="inlineStr">
        <is>
          <t>001159</t>
        </is>
      </c>
      <c r="D552" s="4" t="n">
        <v>45523</v>
      </c>
      <c r="E552" s="2" t="inlineStr">
        <is>
          <t>15:02</t>
        </is>
      </c>
      <c r="F552" s="5" t="n">
        <v>548.33</v>
      </c>
      <c r="G552" s="5" t="n"/>
      <c r="H552" s="5" t="n"/>
      <c r="I552" s="5" t="n"/>
      <c r="J552" s="5" t="n">
        <v>109.67</v>
      </c>
      <c r="K552" s="5" t="n"/>
      <c r="L552" s="5" t="n"/>
      <c r="M552" s="5" t="n"/>
      <c r="N552" s="5" t="n"/>
      <c r="O552" s="5" t="n">
        <v>658</v>
      </c>
      <c r="P552" s="5" t="n"/>
      <c r="Q552" s="5" t="n">
        <v>658</v>
      </c>
      <c r="R552" s="5" t="n"/>
    </row>
    <row r="553">
      <c r="A553" s="2" t="inlineStr">
        <is>
          <t>EJ300824.TXT</t>
        </is>
      </c>
      <c r="B553" s="3" t="inlineStr">
        <is>
          <t>001808</t>
        </is>
      </c>
      <c r="C553" s="3" t="inlineStr">
        <is>
          <t>001160</t>
        </is>
      </c>
      <c r="D553" s="4" t="n">
        <v>45524</v>
      </c>
      <c r="E553" s="2" t="inlineStr">
        <is>
          <t>11:43</t>
        </is>
      </c>
      <c r="F553" s="5" t="n">
        <v>496.67</v>
      </c>
      <c r="G553" s="5" t="n"/>
      <c r="H553" s="5" t="n"/>
      <c r="I553" s="5" t="n"/>
      <c r="J553" s="5" t="n">
        <v>99.33</v>
      </c>
      <c r="K553" s="5" t="n"/>
      <c r="L553" s="5" t="n"/>
      <c r="M553" s="5" t="n"/>
      <c r="N553" s="5" t="n"/>
      <c r="O553" s="5" t="n">
        <v>596</v>
      </c>
      <c r="P553" s="5" t="n">
        <v>596</v>
      </c>
      <c r="Q553" s="5" t="n"/>
      <c r="R553" s="5" t="n"/>
    </row>
    <row r="554">
      <c r="A554" s="2" t="inlineStr">
        <is>
          <t>EJ300824.TXT</t>
        </is>
      </c>
      <c r="B554" s="3" t="inlineStr">
        <is>
          <t>001809</t>
        </is>
      </c>
      <c r="C554" s="3" t="inlineStr">
        <is>
          <t>001161</t>
        </is>
      </c>
      <c r="D554" s="4" t="n">
        <v>45525</v>
      </c>
      <c r="E554" s="2" t="inlineStr">
        <is>
          <t>12:54</t>
        </is>
      </c>
      <c r="F554" s="5" t="n">
        <v>2338.33</v>
      </c>
      <c r="G554" s="5" t="n"/>
      <c r="H554" s="5" t="n"/>
      <c r="I554" s="5" t="n"/>
      <c r="J554" s="5" t="n">
        <v>467.67</v>
      </c>
      <c r="K554" s="5" t="n"/>
      <c r="L554" s="5" t="n"/>
      <c r="M554" s="5" t="n"/>
      <c r="N554" s="5" t="n"/>
      <c r="O554" s="5" t="n">
        <v>2806</v>
      </c>
      <c r="P554" s="5" t="n">
        <v>2806</v>
      </c>
      <c r="Q554" s="5" t="n"/>
      <c r="R554" s="5" t="n"/>
    </row>
    <row r="555">
      <c r="A555" s="2" t="inlineStr">
        <is>
          <t>EJ300824.TXT</t>
        </is>
      </c>
      <c r="B555" s="3" t="inlineStr">
        <is>
          <t>001810</t>
        </is>
      </c>
      <c r="C555" s="3" t="inlineStr">
        <is>
          <t>001162</t>
        </is>
      </c>
      <c r="D555" s="4" t="n">
        <v>45526</v>
      </c>
      <c r="E555" s="2" t="inlineStr">
        <is>
          <t>10:38</t>
        </is>
      </c>
      <c r="F555" s="5" t="n">
        <v>274.17</v>
      </c>
      <c r="G555" s="5" t="n"/>
      <c r="H555" s="5" t="n"/>
      <c r="I555" s="5" t="n"/>
      <c r="J555" s="5" t="n">
        <v>54.83</v>
      </c>
      <c r="K555" s="5" t="n"/>
      <c r="L555" s="5" t="n"/>
      <c r="M555" s="5" t="n"/>
      <c r="N555" s="5" t="n"/>
      <c r="O555" s="5" t="n">
        <v>329</v>
      </c>
      <c r="P555" s="5" t="n"/>
      <c r="Q555" s="5" t="n">
        <v>329</v>
      </c>
      <c r="R555" s="5" t="n"/>
    </row>
    <row r="556">
      <c r="A556" s="2" t="inlineStr">
        <is>
          <t>EJ300824.TXT</t>
        </is>
      </c>
      <c r="B556" s="3" t="inlineStr">
        <is>
          <t>001811</t>
        </is>
      </c>
      <c r="C556" s="3" t="inlineStr">
        <is>
          <t>001163</t>
        </is>
      </c>
      <c r="D556" s="4" t="n">
        <v>45527</v>
      </c>
      <c r="E556" s="2" t="inlineStr">
        <is>
          <t>15:17</t>
        </is>
      </c>
      <c r="F556" s="5" t="n">
        <v>49.92</v>
      </c>
      <c r="G556" s="5" t="n"/>
      <c r="H556" s="5" t="n"/>
      <c r="I556" s="5" t="n"/>
      <c r="J556" s="5" t="n">
        <v>9.98</v>
      </c>
      <c r="K556" s="5" t="n"/>
      <c r="L556" s="5" t="n"/>
      <c r="M556" s="5" t="n"/>
      <c r="N556" s="5" t="n"/>
      <c r="O556" s="5" t="n">
        <v>59.9</v>
      </c>
      <c r="P556" s="5" t="n">
        <v>59.9</v>
      </c>
      <c r="Q556" s="5" t="n"/>
      <c r="R556" s="5" t="n"/>
    </row>
    <row r="557">
      <c r="A557" s="2" t="inlineStr">
        <is>
          <t>EJ300824.TXT</t>
        </is>
      </c>
      <c r="B557" s="3" t="inlineStr">
        <is>
          <t>001812</t>
        </is>
      </c>
      <c r="C557" s="3" t="inlineStr">
        <is>
          <t>001164</t>
        </is>
      </c>
      <c r="D557" s="4" t="n">
        <v>45530</v>
      </c>
      <c r="E557" s="2" t="inlineStr">
        <is>
          <t>09:32</t>
        </is>
      </c>
      <c r="F557" s="5" t="n">
        <v>1096.67</v>
      </c>
      <c r="G557" s="5" t="n"/>
      <c r="H557" s="5" t="n"/>
      <c r="I557" s="5" t="n"/>
      <c r="J557" s="5" t="n">
        <v>219.33</v>
      </c>
      <c r="K557" s="5" t="n"/>
      <c r="L557" s="5" t="n"/>
      <c r="M557" s="5" t="n"/>
      <c r="N557" s="5" t="n"/>
      <c r="O557" s="5" t="n">
        <v>1316</v>
      </c>
      <c r="P557" s="5" t="n">
        <v>316</v>
      </c>
      <c r="Q557" s="5" t="n">
        <v>1000</v>
      </c>
      <c r="R557" s="5" t="n"/>
    </row>
    <row r="558">
      <c r="A558" s="2" t="inlineStr">
        <is>
          <t>EJ300824.TXT</t>
        </is>
      </c>
      <c r="B558" s="3" t="inlineStr">
        <is>
          <t>001814</t>
        </is>
      </c>
      <c r="C558" s="3" t="inlineStr">
        <is>
          <t>001165</t>
        </is>
      </c>
      <c r="D558" s="4" t="n">
        <v>45533</v>
      </c>
      <c r="E558" s="2" t="inlineStr">
        <is>
          <t>11:10</t>
        </is>
      </c>
      <c r="F558" s="5" t="n">
        <v>17500</v>
      </c>
      <c r="G558" s="5" t="n"/>
      <c r="H558" s="5" t="n"/>
      <c r="I558" s="5" t="n"/>
      <c r="J558" s="5" t="n">
        <v>3500</v>
      </c>
      <c r="K558" s="5" t="n"/>
      <c r="L558" s="5" t="n"/>
      <c r="M558" s="5" t="n"/>
      <c r="N558" s="5" t="n"/>
      <c r="O558" s="5" t="n">
        <v>21000</v>
      </c>
      <c r="P558" s="5" t="n">
        <v>21000</v>
      </c>
      <c r="Q558" s="5" t="n"/>
      <c r="R558" s="5" t="n"/>
    </row>
    <row r="559">
      <c r="A559" s="2" t="inlineStr">
        <is>
          <t>EJ300924.TXT</t>
        </is>
      </c>
      <c r="B559" s="3" t="inlineStr">
        <is>
          <t>001822</t>
        </is>
      </c>
      <c r="C559" s="3" t="inlineStr">
        <is>
          <t>001166</t>
        </is>
      </c>
      <c r="D559" s="4" t="n">
        <v>45537</v>
      </c>
      <c r="E559" s="2" t="inlineStr">
        <is>
          <t>14:49</t>
        </is>
      </c>
      <c r="F559" s="5" t="n">
        <v>411.83</v>
      </c>
      <c r="G559" s="5" t="n"/>
      <c r="H559" s="5" t="n"/>
      <c r="I559" s="5" t="n"/>
      <c r="J559" s="5" t="n">
        <v>82.37</v>
      </c>
      <c r="K559" s="5" t="n"/>
      <c r="L559" s="5" t="n"/>
      <c r="M559" s="5" t="n"/>
      <c r="N559" s="5" t="n"/>
      <c r="O559" s="5" t="n">
        <v>494.2</v>
      </c>
      <c r="P559" s="5" t="n"/>
      <c r="Q559" s="5" t="n">
        <v>494.2</v>
      </c>
      <c r="R559" s="5" t="n"/>
    </row>
    <row r="560">
      <c r="A560" s="2" t="inlineStr">
        <is>
          <t>EJ300924.TXT</t>
        </is>
      </c>
      <c r="B560" s="3" t="inlineStr">
        <is>
          <t>001825</t>
        </is>
      </c>
      <c r="C560" s="3" t="inlineStr">
        <is>
          <t>001167</t>
        </is>
      </c>
      <c r="D560" s="4" t="n">
        <v>45538</v>
      </c>
      <c r="E560" s="2" t="inlineStr">
        <is>
          <t>09:38</t>
        </is>
      </c>
      <c r="F560" s="5" t="n">
        <v>190.83</v>
      </c>
      <c r="G560" s="5" t="n"/>
      <c r="H560" s="5" t="n"/>
      <c r="I560" s="5" t="n"/>
      <c r="J560" s="5" t="n">
        <v>38.17</v>
      </c>
      <c r="K560" s="5" t="n"/>
      <c r="L560" s="5" t="n"/>
      <c r="M560" s="5" t="n"/>
      <c r="N560" s="5" t="n"/>
      <c r="O560" s="5" t="n">
        <v>229</v>
      </c>
      <c r="P560" s="5" t="n"/>
      <c r="Q560" s="5" t="n">
        <v>229</v>
      </c>
      <c r="R560" s="5" t="n"/>
    </row>
    <row r="561">
      <c r="A561" s="2" t="inlineStr">
        <is>
          <t>EJ300924.TXT</t>
        </is>
      </c>
      <c r="B561" s="3" t="inlineStr">
        <is>
          <t>001826</t>
        </is>
      </c>
      <c r="C561" s="3" t="inlineStr">
        <is>
          <t>001168</t>
        </is>
      </c>
      <c r="D561" s="4" t="n">
        <v>45538</v>
      </c>
      <c r="E561" s="2" t="inlineStr">
        <is>
          <t>15:10</t>
        </is>
      </c>
      <c r="F561" s="5" t="n">
        <v>1096.67</v>
      </c>
      <c r="G561" s="5" t="n"/>
      <c r="H561" s="5" t="n"/>
      <c r="I561" s="5" t="n"/>
      <c r="J561" s="5" t="n">
        <v>219.33</v>
      </c>
      <c r="K561" s="5" t="n"/>
      <c r="L561" s="5" t="n"/>
      <c r="M561" s="5" t="n"/>
      <c r="N561" s="5" t="n"/>
      <c r="O561" s="5" t="n">
        <v>1316</v>
      </c>
      <c r="P561" s="5" t="n">
        <v>316</v>
      </c>
      <c r="Q561" s="5" t="n">
        <v>1000</v>
      </c>
      <c r="R561" s="5" t="n"/>
    </row>
    <row r="562">
      <c r="A562" s="2" t="inlineStr">
        <is>
          <t>EJ300924.TXT</t>
        </is>
      </c>
      <c r="B562" s="3" t="inlineStr">
        <is>
          <t>001829</t>
        </is>
      </c>
      <c r="C562" s="3" t="inlineStr">
        <is>
          <t>001169</t>
        </is>
      </c>
      <c r="D562" s="4" t="n">
        <v>45541</v>
      </c>
      <c r="E562" s="2" t="inlineStr">
        <is>
          <t>12:13</t>
        </is>
      </c>
      <c r="F562" s="5" t="n">
        <v>45.75</v>
      </c>
      <c r="G562" s="5" t="n"/>
      <c r="H562" s="5" t="n"/>
      <c r="I562" s="5" t="n"/>
      <c r="J562" s="5" t="n">
        <v>9.15</v>
      </c>
      <c r="K562" s="5" t="n"/>
      <c r="L562" s="5" t="n"/>
      <c r="M562" s="5" t="n"/>
      <c r="N562" s="5" t="n"/>
      <c r="O562" s="5" t="n">
        <v>54.9</v>
      </c>
      <c r="P562" s="5" t="n">
        <v>54.9</v>
      </c>
      <c r="Q562" s="5" t="n"/>
      <c r="R562" s="5" t="n"/>
    </row>
    <row r="563">
      <c r="A563" s="2" t="inlineStr">
        <is>
          <t>EJ300924.TXT</t>
        </is>
      </c>
      <c r="B563" s="3" t="inlineStr">
        <is>
          <t>001830</t>
        </is>
      </c>
      <c r="C563" s="3" t="inlineStr">
        <is>
          <t>001170</t>
        </is>
      </c>
      <c r="D563" s="4" t="n">
        <v>45541</v>
      </c>
      <c r="E563" s="2" t="inlineStr">
        <is>
          <t>12:18</t>
        </is>
      </c>
      <c r="F563" s="5" t="n">
        <v>548.33</v>
      </c>
      <c r="G563" s="5" t="n"/>
      <c r="H563" s="5" t="n"/>
      <c r="I563" s="5" t="n"/>
      <c r="J563" s="5" t="n">
        <v>109.67</v>
      </c>
      <c r="K563" s="5" t="n"/>
      <c r="L563" s="5" t="n"/>
      <c r="M563" s="5" t="n"/>
      <c r="N563" s="5" t="n"/>
      <c r="O563" s="5" t="n">
        <v>658</v>
      </c>
      <c r="P563" s="5" t="n"/>
      <c r="Q563" s="5" t="n">
        <v>658</v>
      </c>
      <c r="R563" s="5" t="n"/>
    </row>
    <row r="564">
      <c r="A564" s="2" t="inlineStr">
        <is>
          <t>EJ300924.TXT</t>
        </is>
      </c>
      <c r="B564" s="3" t="inlineStr">
        <is>
          <t>001831</t>
        </is>
      </c>
      <c r="C564" s="3" t="inlineStr">
        <is>
          <t>001171</t>
        </is>
      </c>
      <c r="D564" s="4" t="n">
        <v>45541</v>
      </c>
      <c r="E564" s="2" t="inlineStr">
        <is>
          <t>16:36</t>
        </is>
      </c>
      <c r="F564" s="5" t="n">
        <v>750</v>
      </c>
      <c r="G564" s="5" t="n"/>
      <c r="H564" s="5" t="n"/>
      <c r="I564" s="5" t="n"/>
      <c r="J564" s="5" t="n">
        <v>150</v>
      </c>
      <c r="K564" s="5" t="n"/>
      <c r="L564" s="5" t="n"/>
      <c r="M564" s="5" t="n"/>
      <c r="N564" s="5" t="n"/>
      <c r="O564" s="5" t="n">
        <v>900</v>
      </c>
      <c r="P564" s="5" t="n"/>
      <c r="Q564" s="5" t="n">
        <v>900</v>
      </c>
      <c r="R564" s="5" t="n"/>
    </row>
    <row r="565">
      <c r="A565" s="2" t="inlineStr">
        <is>
          <t>EJ300924.TXT</t>
        </is>
      </c>
      <c r="B565" s="3" t="inlineStr">
        <is>
          <t>001832</t>
        </is>
      </c>
      <c r="C565" s="3" t="inlineStr">
        <is>
          <t>001172</t>
        </is>
      </c>
      <c r="D565" s="4" t="n">
        <v>45541</v>
      </c>
      <c r="E565" s="2" t="inlineStr">
        <is>
          <t>16:37</t>
        </is>
      </c>
      <c r="F565" s="5" t="n">
        <v>106.67</v>
      </c>
      <c r="G565" s="5" t="n"/>
      <c r="H565" s="5" t="n"/>
      <c r="I565" s="5" t="n"/>
      <c r="J565" s="5" t="n">
        <v>21.33</v>
      </c>
      <c r="K565" s="5" t="n"/>
      <c r="L565" s="5" t="n"/>
      <c r="M565" s="5" t="n"/>
      <c r="N565" s="5" t="n"/>
      <c r="O565" s="5" t="n">
        <v>128</v>
      </c>
      <c r="P565" s="5" t="n">
        <v>128</v>
      </c>
      <c r="Q565" s="5" t="n"/>
      <c r="R565" s="5" t="n"/>
    </row>
    <row r="566">
      <c r="A566" s="2" t="inlineStr">
        <is>
          <t>EJ300924.TXT</t>
        </is>
      </c>
      <c r="B566" s="3" t="inlineStr">
        <is>
          <t>001833</t>
        </is>
      </c>
      <c r="C566" s="3" t="inlineStr">
        <is>
          <t>001173</t>
        </is>
      </c>
      <c r="D566" s="4" t="n">
        <v>45541</v>
      </c>
      <c r="E566" s="2" t="inlineStr">
        <is>
          <t>16:49</t>
        </is>
      </c>
      <c r="F566" s="5" t="n">
        <v>140.83</v>
      </c>
      <c r="G566" s="5" t="n"/>
      <c r="H566" s="5" t="n"/>
      <c r="I566" s="5" t="n"/>
      <c r="J566" s="5" t="n">
        <v>28.17</v>
      </c>
      <c r="K566" s="5" t="n"/>
      <c r="L566" s="5" t="n"/>
      <c r="M566" s="5" t="n"/>
      <c r="N566" s="5" t="n"/>
      <c r="O566" s="5" t="n">
        <v>169</v>
      </c>
      <c r="P566" s="5" t="n">
        <v>169</v>
      </c>
      <c r="Q566" s="5" t="n"/>
      <c r="R566" s="5" t="n"/>
    </row>
    <row r="567">
      <c r="A567" s="2" t="inlineStr">
        <is>
          <t>EJ300924.TXT</t>
        </is>
      </c>
      <c r="B567" s="3" t="inlineStr">
        <is>
          <t>001834</t>
        </is>
      </c>
      <c r="C567" s="3" t="inlineStr">
        <is>
          <t>001174</t>
        </is>
      </c>
      <c r="D567" s="4" t="n">
        <v>45544</v>
      </c>
      <c r="E567" s="2" t="inlineStr">
        <is>
          <t>12:33</t>
        </is>
      </c>
      <c r="F567" s="5" t="n">
        <v>548.33</v>
      </c>
      <c r="G567" s="5" t="n"/>
      <c r="H567" s="5" t="n"/>
      <c r="I567" s="5" t="n"/>
      <c r="J567" s="5" t="n">
        <v>109.67</v>
      </c>
      <c r="K567" s="5" t="n"/>
      <c r="L567" s="5" t="n"/>
      <c r="M567" s="5" t="n"/>
      <c r="N567" s="5" t="n"/>
      <c r="O567" s="5" t="n">
        <v>658</v>
      </c>
      <c r="P567" s="5" t="n">
        <v>658</v>
      </c>
      <c r="Q567" s="5" t="n"/>
      <c r="R567" s="5" t="n"/>
    </row>
    <row r="568">
      <c r="A568" s="2" t="inlineStr">
        <is>
          <t>EJ300924.TXT</t>
        </is>
      </c>
      <c r="B568" s="3" t="inlineStr">
        <is>
          <t>001835</t>
        </is>
      </c>
      <c r="C568" s="3" t="inlineStr">
        <is>
          <t>001175</t>
        </is>
      </c>
      <c r="D568" s="4" t="n">
        <v>45545</v>
      </c>
      <c r="E568" s="2" t="inlineStr">
        <is>
          <t>14:31</t>
        </is>
      </c>
      <c r="F568" s="5" t="n">
        <v>548.33</v>
      </c>
      <c r="G568" s="5" t="n"/>
      <c r="H568" s="5" t="n"/>
      <c r="I568" s="5" t="n"/>
      <c r="J568" s="5" t="n">
        <v>109.67</v>
      </c>
      <c r="K568" s="5" t="n"/>
      <c r="L568" s="5" t="n"/>
      <c r="M568" s="5" t="n"/>
      <c r="N568" s="5" t="n"/>
      <c r="O568" s="5" t="n">
        <v>658</v>
      </c>
      <c r="P568" s="5" t="n">
        <v>658</v>
      </c>
      <c r="Q568" s="5" t="n"/>
      <c r="R568" s="5" t="n"/>
    </row>
    <row r="569">
      <c r="A569" s="2" t="inlineStr">
        <is>
          <t>EJ300924.TXT</t>
        </is>
      </c>
      <c r="B569" s="3" t="inlineStr">
        <is>
          <t>001837</t>
        </is>
      </c>
      <c r="C569" s="3" t="inlineStr">
        <is>
          <t>001176</t>
        </is>
      </c>
      <c r="D569" s="4" t="n">
        <v>45548</v>
      </c>
      <c r="E569" s="2" t="inlineStr">
        <is>
          <t>12:15</t>
        </is>
      </c>
      <c r="F569" s="5" t="n">
        <v>73.33</v>
      </c>
      <c r="G569" s="5" t="n"/>
      <c r="H569" s="5" t="n"/>
      <c r="I569" s="5" t="n"/>
      <c r="J569" s="5" t="n">
        <v>14.67</v>
      </c>
      <c r="K569" s="5" t="n"/>
      <c r="L569" s="5" t="n"/>
      <c r="M569" s="5" t="n"/>
      <c r="N569" s="5" t="n"/>
      <c r="O569" s="5" t="n">
        <v>88</v>
      </c>
      <c r="P569" s="5" t="n"/>
      <c r="Q569" s="5" t="n">
        <v>88</v>
      </c>
      <c r="R569" s="5" t="n"/>
    </row>
    <row r="570">
      <c r="A570" s="2" t="inlineStr">
        <is>
          <t>EJ300924.TXT</t>
        </is>
      </c>
      <c r="B570" s="3" t="inlineStr">
        <is>
          <t>001838</t>
        </is>
      </c>
      <c r="C570" s="3" t="inlineStr">
        <is>
          <t>001177</t>
        </is>
      </c>
      <c r="D570" s="4" t="n">
        <v>45552</v>
      </c>
      <c r="E570" s="2" t="inlineStr">
        <is>
          <t>11:36</t>
        </is>
      </c>
      <c r="F570" s="5" t="n">
        <v>796.67</v>
      </c>
      <c r="G570" s="5" t="n"/>
      <c r="H570" s="5" t="n"/>
      <c r="I570" s="5" t="n"/>
      <c r="J570" s="5" t="n">
        <v>159.33</v>
      </c>
      <c r="K570" s="5" t="n"/>
      <c r="L570" s="5" t="n"/>
      <c r="M570" s="5" t="n"/>
      <c r="N570" s="5" t="n"/>
      <c r="O570" s="5" t="n">
        <v>956</v>
      </c>
      <c r="P570" s="5" t="n">
        <v>956</v>
      </c>
      <c r="Q570" s="5" t="n"/>
      <c r="R570" s="5" t="n"/>
    </row>
    <row r="571">
      <c r="A571" s="2" t="inlineStr">
        <is>
          <t>EJ300924.TXT</t>
        </is>
      </c>
      <c r="B571" s="3" t="inlineStr">
        <is>
          <t>001839</t>
        </is>
      </c>
      <c r="C571" s="3" t="inlineStr">
        <is>
          <t>001178</t>
        </is>
      </c>
      <c r="D571" s="4" t="n">
        <v>45553</v>
      </c>
      <c r="E571" s="2" t="inlineStr">
        <is>
          <t>09:38</t>
        </is>
      </c>
      <c r="F571" s="5" t="n">
        <v>548.33</v>
      </c>
      <c r="G571" s="5" t="n"/>
      <c r="H571" s="5" t="n"/>
      <c r="I571" s="5" t="n"/>
      <c r="J571" s="5" t="n">
        <v>109.67</v>
      </c>
      <c r="K571" s="5" t="n"/>
      <c r="L571" s="5" t="n"/>
      <c r="M571" s="5" t="n"/>
      <c r="N571" s="5" t="n"/>
      <c r="O571" s="5" t="n">
        <v>658</v>
      </c>
      <c r="P571" s="5" t="n"/>
      <c r="Q571" s="5" t="n">
        <v>658</v>
      </c>
      <c r="R571" s="5" t="n"/>
    </row>
    <row r="572">
      <c r="A572" s="2" t="inlineStr">
        <is>
          <t>EJ300924.TXT</t>
        </is>
      </c>
      <c r="B572" s="3" t="inlineStr">
        <is>
          <t>001840</t>
        </is>
      </c>
      <c r="C572" s="3" t="inlineStr">
        <is>
          <t>001179</t>
        </is>
      </c>
      <c r="D572" s="4" t="n">
        <v>45553</v>
      </c>
      <c r="E572" s="2" t="inlineStr">
        <is>
          <t>10:12</t>
        </is>
      </c>
      <c r="F572" s="5" t="n">
        <v>548.33</v>
      </c>
      <c r="G572" s="5" t="n"/>
      <c r="H572" s="5" t="n"/>
      <c r="I572" s="5" t="n"/>
      <c r="J572" s="5" t="n">
        <v>109.67</v>
      </c>
      <c r="K572" s="5" t="n"/>
      <c r="L572" s="5" t="n"/>
      <c r="M572" s="5" t="n"/>
      <c r="N572" s="5" t="n"/>
      <c r="O572" s="5" t="n">
        <v>658</v>
      </c>
      <c r="P572" s="5" t="n">
        <v>658</v>
      </c>
      <c r="Q572" s="5" t="n"/>
      <c r="R572" s="5" t="n"/>
    </row>
    <row r="573">
      <c r="A573" s="2" t="inlineStr">
        <is>
          <t>EJ300924.TXT</t>
        </is>
      </c>
      <c r="B573" s="3" t="inlineStr">
        <is>
          <t>001841</t>
        </is>
      </c>
      <c r="C573" s="3" t="inlineStr">
        <is>
          <t>001180</t>
        </is>
      </c>
      <c r="D573" s="4" t="n">
        <v>45553</v>
      </c>
      <c r="E573" s="2" t="inlineStr">
        <is>
          <t>15:18</t>
        </is>
      </c>
      <c r="F573" s="5" t="n">
        <v>1894.83</v>
      </c>
      <c r="G573" s="5" t="n"/>
      <c r="H573" s="5" t="n"/>
      <c r="I573" s="5" t="n"/>
      <c r="J573" s="5" t="n">
        <v>378.97</v>
      </c>
      <c r="K573" s="5" t="n"/>
      <c r="L573" s="5" t="n"/>
      <c r="M573" s="5" t="n"/>
      <c r="N573" s="5" t="n"/>
      <c r="O573" s="5" t="n">
        <v>2273.8</v>
      </c>
      <c r="P573" s="5" t="n">
        <v>1273.8</v>
      </c>
      <c r="Q573" s="5" t="n">
        <v>1000</v>
      </c>
      <c r="R573" s="5" t="n"/>
    </row>
    <row r="574">
      <c r="A574" s="2" t="inlineStr">
        <is>
          <t>EJ300924.TXT</t>
        </is>
      </c>
      <c r="B574" s="3" t="inlineStr">
        <is>
          <t>001843</t>
        </is>
      </c>
      <c r="C574" s="3" t="inlineStr">
        <is>
          <t>001181</t>
        </is>
      </c>
      <c r="D574" s="4" t="n">
        <v>45556</v>
      </c>
      <c r="E574" s="2" t="inlineStr">
        <is>
          <t>13:24</t>
        </is>
      </c>
      <c r="F574" s="5" t="n">
        <v>1896.67</v>
      </c>
      <c r="G574" s="5" t="n"/>
      <c r="H574" s="5" t="n"/>
      <c r="I574" s="5" t="n"/>
      <c r="J574" s="5" t="n">
        <v>379.33</v>
      </c>
      <c r="K574" s="5" t="n"/>
      <c r="L574" s="5" t="n"/>
      <c r="M574" s="5" t="n"/>
      <c r="N574" s="5" t="n"/>
      <c r="O574" s="5" t="n">
        <v>2276</v>
      </c>
      <c r="P574" s="5" t="n">
        <v>2276</v>
      </c>
      <c r="Q574" s="5" t="n"/>
      <c r="R574" s="5" t="n"/>
    </row>
    <row r="575">
      <c r="A575" s="2" t="inlineStr">
        <is>
          <t>EJ300924.TXT</t>
        </is>
      </c>
      <c r="B575" s="3" t="inlineStr">
        <is>
          <t>001844</t>
        </is>
      </c>
      <c r="C575" s="3" t="inlineStr">
        <is>
          <t>001182</t>
        </is>
      </c>
      <c r="D575" s="4" t="n">
        <v>45556</v>
      </c>
      <c r="E575" s="2" t="inlineStr">
        <is>
          <t>13:48</t>
        </is>
      </c>
      <c r="F575" s="5" t="n">
        <v>822.5</v>
      </c>
      <c r="G575" s="5" t="n"/>
      <c r="H575" s="5" t="n"/>
      <c r="I575" s="5" t="n"/>
      <c r="J575" s="5" t="n">
        <v>164.5</v>
      </c>
      <c r="K575" s="5" t="n"/>
      <c r="L575" s="5" t="n"/>
      <c r="M575" s="5" t="n"/>
      <c r="N575" s="5" t="n"/>
      <c r="O575" s="5" t="n">
        <v>987</v>
      </c>
      <c r="P575" s="5" t="n">
        <v>987</v>
      </c>
      <c r="Q575" s="5" t="n"/>
      <c r="R575" s="5" t="n"/>
    </row>
    <row r="576">
      <c r="A576" s="2" t="inlineStr">
        <is>
          <t>EJ300924.TXT</t>
        </is>
      </c>
      <c r="B576" s="3" t="inlineStr">
        <is>
          <t>001845</t>
        </is>
      </c>
      <c r="C576" s="3" t="inlineStr">
        <is>
          <t>001183</t>
        </is>
      </c>
      <c r="D576" s="4" t="n">
        <v>45556</v>
      </c>
      <c r="E576" s="2" t="inlineStr">
        <is>
          <t>16:17</t>
        </is>
      </c>
      <c r="F576" s="5" t="n">
        <v>548.33</v>
      </c>
      <c r="G576" s="5" t="n"/>
      <c r="H576" s="5" t="n"/>
      <c r="I576" s="5" t="n"/>
      <c r="J576" s="5" t="n">
        <v>109.67</v>
      </c>
      <c r="K576" s="5" t="n"/>
      <c r="L576" s="5" t="n"/>
      <c r="M576" s="5" t="n"/>
      <c r="N576" s="5" t="n"/>
      <c r="O576" s="5" t="n">
        <v>658</v>
      </c>
      <c r="P576" s="5" t="n">
        <v>658</v>
      </c>
      <c r="Q576" s="5" t="n"/>
      <c r="R576" s="5" t="n"/>
    </row>
    <row r="577">
      <c r="A577" s="2" t="inlineStr">
        <is>
          <t>EJ300924.TXT</t>
        </is>
      </c>
      <c r="B577" s="3" t="inlineStr">
        <is>
          <t>001846</t>
        </is>
      </c>
      <c r="C577" s="3" t="inlineStr">
        <is>
          <t>001184</t>
        </is>
      </c>
      <c r="D577" s="4" t="n">
        <v>45559</v>
      </c>
      <c r="E577" s="2" t="inlineStr">
        <is>
          <t>10:07</t>
        </is>
      </c>
      <c r="F577" s="5" t="n">
        <v>796.67</v>
      </c>
      <c r="G577" s="5" t="n"/>
      <c r="H577" s="5" t="n"/>
      <c r="I577" s="5" t="n"/>
      <c r="J577" s="5" t="n">
        <v>159.33</v>
      </c>
      <c r="K577" s="5" t="n"/>
      <c r="L577" s="5" t="n"/>
      <c r="M577" s="5" t="n"/>
      <c r="N577" s="5" t="n"/>
      <c r="O577" s="5" t="n">
        <v>956</v>
      </c>
      <c r="P577" s="5" t="n">
        <v>956</v>
      </c>
      <c r="Q577" s="5" t="n"/>
      <c r="R577" s="5" t="n"/>
    </row>
    <row r="578">
      <c r="A578" s="2" t="inlineStr">
        <is>
          <t>EJ300924.TXT</t>
        </is>
      </c>
      <c r="B578" s="3" t="inlineStr">
        <is>
          <t>001847</t>
        </is>
      </c>
      <c r="C578" s="3" t="inlineStr">
        <is>
          <t>001185</t>
        </is>
      </c>
      <c r="D578" s="4" t="n">
        <v>45560</v>
      </c>
      <c r="E578" s="2" t="inlineStr">
        <is>
          <t>10:06</t>
        </is>
      </c>
      <c r="F578" s="5" t="n">
        <v>1530</v>
      </c>
      <c r="G578" s="5" t="n"/>
      <c r="H578" s="5" t="n"/>
      <c r="I578" s="5" t="n"/>
      <c r="J578" s="5" t="n">
        <v>306</v>
      </c>
      <c r="K578" s="5" t="n"/>
      <c r="L578" s="5" t="n"/>
      <c r="M578" s="5" t="n"/>
      <c r="N578" s="5" t="n"/>
      <c r="O578" s="5" t="n">
        <v>1836</v>
      </c>
      <c r="P578" s="5" t="n">
        <v>1836</v>
      </c>
      <c r="Q578" s="5" t="n"/>
      <c r="R578" s="5" t="n"/>
    </row>
    <row r="579">
      <c r="A579" s="2" t="inlineStr">
        <is>
          <t>EJ300924.TXT</t>
        </is>
      </c>
      <c r="B579" s="3" t="inlineStr">
        <is>
          <t>001849</t>
        </is>
      </c>
      <c r="C579" s="3" t="inlineStr">
        <is>
          <t>001186</t>
        </is>
      </c>
      <c r="D579" s="4" t="n">
        <v>45561</v>
      </c>
      <c r="E579" s="2" t="inlineStr">
        <is>
          <t>09:53</t>
        </is>
      </c>
      <c r="F579" s="5" t="n">
        <v>2261.67</v>
      </c>
      <c r="G579" s="5" t="n"/>
      <c r="H579" s="5" t="n"/>
      <c r="I579" s="5" t="n"/>
      <c r="J579" s="5" t="n">
        <v>452.33</v>
      </c>
      <c r="K579" s="5" t="n"/>
      <c r="L579" s="5" t="n"/>
      <c r="M579" s="5" t="n"/>
      <c r="N579" s="5" t="n"/>
      <c r="O579" s="5" t="n">
        <v>2714</v>
      </c>
      <c r="P579" s="5" t="n">
        <v>2714</v>
      </c>
      <c r="Q579" s="5" t="n"/>
      <c r="R579" s="5" t="n"/>
    </row>
    <row r="580">
      <c r="A580" s="2" t="inlineStr">
        <is>
          <t>EJ300924.TXT</t>
        </is>
      </c>
      <c r="B580" s="3" t="inlineStr">
        <is>
          <t>001850</t>
        </is>
      </c>
      <c r="C580" s="3" t="inlineStr">
        <is>
          <t>001187</t>
        </is>
      </c>
      <c r="D580" s="4" t="n">
        <v>45563</v>
      </c>
      <c r="E580" s="2" t="inlineStr">
        <is>
          <t>13:07</t>
        </is>
      </c>
      <c r="F580" s="5" t="n">
        <v>548.33</v>
      </c>
      <c r="G580" s="5" t="n"/>
      <c r="H580" s="5" t="n"/>
      <c r="I580" s="5" t="n"/>
      <c r="J580" s="5" t="n">
        <v>109.67</v>
      </c>
      <c r="K580" s="5" t="n"/>
      <c r="L580" s="5" t="n"/>
      <c r="M580" s="5" t="n"/>
      <c r="N580" s="5" t="n"/>
      <c r="O580" s="5" t="n">
        <v>658</v>
      </c>
      <c r="P580" s="5" t="n">
        <v>658</v>
      </c>
      <c r="Q580" s="5" t="n"/>
      <c r="R580" s="5" t="n"/>
    </row>
    <row r="581">
      <c r="A581" s="2" t="inlineStr">
        <is>
          <t>EJ021124.TXT</t>
        </is>
      </c>
      <c r="B581" s="3" t="inlineStr">
        <is>
          <t>001856</t>
        </is>
      </c>
      <c r="C581" s="3" t="inlineStr">
        <is>
          <t>001188</t>
        </is>
      </c>
      <c r="D581" s="4" t="n">
        <v>45566</v>
      </c>
      <c r="E581" s="2" t="inlineStr">
        <is>
          <t>11:37</t>
        </is>
      </c>
      <c r="F581" s="5" t="n">
        <v>49.92</v>
      </c>
      <c r="G581" s="5" t="n"/>
      <c r="H581" s="5" t="n"/>
      <c r="I581" s="5" t="n"/>
      <c r="J581" s="5" t="n">
        <v>9.98</v>
      </c>
      <c r="K581" s="5" t="n"/>
      <c r="L581" s="5" t="n"/>
      <c r="M581" s="5" t="n"/>
      <c r="N581" s="5" t="n"/>
      <c r="O581" s="5" t="n">
        <v>59.9</v>
      </c>
      <c r="P581" s="5" t="n">
        <v>59.9</v>
      </c>
      <c r="Q581" s="5" t="n"/>
      <c r="R581" s="5" t="n"/>
    </row>
    <row r="582">
      <c r="A582" s="2" t="inlineStr">
        <is>
          <t>EJ021124.TXT</t>
        </is>
      </c>
      <c r="B582" s="3" t="inlineStr">
        <is>
          <t>001857</t>
        </is>
      </c>
      <c r="C582" s="3" t="inlineStr">
        <is>
          <t>001189</t>
        </is>
      </c>
      <c r="D582" s="4" t="n">
        <v>45567</v>
      </c>
      <c r="E582" s="2" t="inlineStr">
        <is>
          <t>13:48</t>
        </is>
      </c>
      <c r="F582" s="5" t="n">
        <v>73.33</v>
      </c>
      <c r="G582" s="5" t="n"/>
      <c r="H582" s="5" t="n"/>
      <c r="I582" s="5" t="n"/>
      <c r="J582" s="5" t="n">
        <v>14.67</v>
      </c>
      <c r="K582" s="5" t="n"/>
      <c r="L582" s="5" t="n"/>
      <c r="M582" s="5" t="n"/>
      <c r="N582" s="5" t="n"/>
      <c r="O582" s="5" t="n">
        <v>88</v>
      </c>
      <c r="P582" s="5" t="n">
        <v>88</v>
      </c>
      <c r="Q582" s="5" t="n"/>
      <c r="R582" s="5" t="n"/>
    </row>
    <row r="583">
      <c r="A583" s="2" t="inlineStr">
        <is>
          <t>EJ021124.TXT</t>
        </is>
      </c>
      <c r="B583" s="3" t="inlineStr">
        <is>
          <t>001860</t>
        </is>
      </c>
      <c r="C583" s="3" t="inlineStr">
        <is>
          <t>001190</t>
        </is>
      </c>
      <c r="D583" s="4" t="n">
        <v>45569</v>
      </c>
      <c r="E583" s="2" t="inlineStr">
        <is>
          <t>16:03</t>
        </is>
      </c>
      <c r="F583" s="5" t="n">
        <v>45.75</v>
      </c>
      <c r="G583" s="5" t="n"/>
      <c r="H583" s="5" t="n"/>
      <c r="I583" s="5" t="n"/>
      <c r="J583" s="5" t="n">
        <v>9.15</v>
      </c>
      <c r="K583" s="5" t="n"/>
      <c r="L583" s="5" t="n"/>
      <c r="M583" s="5" t="n"/>
      <c r="N583" s="5" t="n"/>
      <c r="O583" s="5" t="n">
        <v>54.9</v>
      </c>
      <c r="P583" s="5" t="n">
        <v>54.9</v>
      </c>
      <c r="Q583" s="5" t="n"/>
      <c r="R583" s="5" t="n"/>
    </row>
    <row r="584">
      <c r="A584" s="2" t="inlineStr">
        <is>
          <t>EJ021124.TXT</t>
        </is>
      </c>
      <c r="B584" s="3" t="inlineStr">
        <is>
          <t>001861</t>
        </is>
      </c>
      <c r="C584" s="3" t="inlineStr">
        <is>
          <t>001191</t>
        </is>
      </c>
      <c r="D584" s="4" t="n">
        <v>45572</v>
      </c>
      <c r="E584" s="2" t="inlineStr">
        <is>
          <t>10:14</t>
        </is>
      </c>
      <c r="F584" s="5" t="n">
        <v>21000</v>
      </c>
      <c r="G584" s="5" t="n"/>
      <c r="H584" s="5" t="n"/>
      <c r="I584" s="5" t="n"/>
      <c r="J584" s="5" t="n">
        <v>4200</v>
      </c>
      <c r="K584" s="5" t="n"/>
      <c r="L584" s="5" t="n"/>
      <c r="M584" s="5" t="n"/>
      <c r="N584" s="5" t="n"/>
      <c r="O584" s="5" t="n">
        <v>25200</v>
      </c>
      <c r="P584" s="5" t="n">
        <v>25200</v>
      </c>
      <c r="Q584" s="5" t="n"/>
      <c r="R584" s="5" t="n"/>
    </row>
    <row r="585">
      <c r="A585" s="2" t="inlineStr">
        <is>
          <t>EJ021124.TXT</t>
        </is>
      </c>
      <c r="B585" s="3" t="inlineStr">
        <is>
          <t>001862</t>
        </is>
      </c>
      <c r="C585" s="3" t="inlineStr">
        <is>
          <t>001192</t>
        </is>
      </c>
      <c r="D585" s="4" t="n">
        <v>45574</v>
      </c>
      <c r="E585" s="2" t="inlineStr">
        <is>
          <t>15:23</t>
        </is>
      </c>
      <c r="F585" s="5" t="n">
        <v>274.17</v>
      </c>
      <c r="G585" s="5" t="n"/>
      <c r="H585" s="5" t="n"/>
      <c r="I585" s="5" t="n"/>
      <c r="J585" s="5" t="n">
        <v>54.83</v>
      </c>
      <c r="K585" s="5" t="n"/>
      <c r="L585" s="5" t="n"/>
      <c r="M585" s="5" t="n"/>
      <c r="N585" s="5" t="n"/>
      <c r="O585" s="5" t="n">
        <v>329</v>
      </c>
      <c r="P585" s="5" t="n">
        <v>329</v>
      </c>
      <c r="Q585" s="5" t="n"/>
      <c r="R585" s="5" t="n"/>
    </row>
    <row r="586">
      <c r="A586" s="2" t="inlineStr">
        <is>
          <t>EJ021124.TXT</t>
        </is>
      </c>
      <c r="B586" s="3" t="inlineStr">
        <is>
          <t>001863</t>
        </is>
      </c>
      <c r="C586" s="3" t="inlineStr">
        <is>
          <t>001193</t>
        </is>
      </c>
      <c r="D586" s="4" t="n">
        <v>45575</v>
      </c>
      <c r="E586" s="2" t="inlineStr">
        <is>
          <t>13:18</t>
        </is>
      </c>
      <c r="F586" s="5" t="n">
        <v>2413.33</v>
      </c>
      <c r="G586" s="5" t="n"/>
      <c r="H586" s="5" t="n"/>
      <c r="I586" s="5" t="n"/>
      <c r="J586" s="5" t="n">
        <v>482.67</v>
      </c>
      <c r="K586" s="5" t="n"/>
      <c r="L586" s="5" t="n"/>
      <c r="M586" s="5" t="n"/>
      <c r="N586" s="5" t="n"/>
      <c r="O586" s="5" t="n">
        <v>2896</v>
      </c>
      <c r="P586" s="5" t="n">
        <v>1896</v>
      </c>
      <c r="Q586" s="5" t="n">
        <v>1000</v>
      </c>
      <c r="R586" s="5" t="n"/>
    </row>
    <row r="587">
      <c r="A587" s="2" t="inlineStr">
        <is>
          <t>EJ021124.TXT</t>
        </is>
      </c>
      <c r="B587" s="3" t="inlineStr">
        <is>
          <t>001867</t>
        </is>
      </c>
      <c r="C587" s="3" t="inlineStr">
        <is>
          <t>001194</t>
        </is>
      </c>
      <c r="D587" s="4" t="n">
        <v>45581</v>
      </c>
      <c r="E587" s="2" t="inlineStr">
        <is>
          <t>14:16</t>
        </is>
      </c>
      <c r="F587" s="5" t="n">
        <v>82.33</v>
      </c>
      <c r="G587" s="5" t="n"/>
      <c r="H587" s="5" t="n"/>
      <c r="I587" s="5" t="n"/>
      <c r="J587" s="5" t="n">
        <v>16.47</v>
      </c>
      <c r="K587" s="5" t="n"/>
      <c r="L587" s="5" t="n"/>
      <c r="M587" s="5" t="n"/>
      <c r="N587" s="5" t="n"/>
      <c r="O587" s="5" t="n">
        <v>98.8</v>
      </c>
      <c r="P587" s="5" t="n"/>
      <c r="Q587" s="5" t="n">
        <v>98.8</v>
      </c>
      <c r="R587" s="5" t="n"/>
    </row>
    <row r="588">
      <c r="A588" s="2" t="inlineStr">
        <is>
          <t>EJ021124.TXT</t>
        </is>
      </c>
      <c r="B588" s="3" t="inlineStr">
        <is>
          <t>001868</t>
        </is>
      </c>
      <c r="C588" s="3" t="inlineStr">
        <is>
          <t>001195</t>
        </is>
      </c>
      <c r="D588" s="4" t="n">
        <v>45583</v>
      </c>
      <c r="E588" s="2" t="inlineStr">
        <is>
          <t>15:57</t>
        </is>
      </c>
      <c r="F588" s="5" t="n">
        <v>3200</v>
      </c>
      <c r="G588" s="5" t="n"/>
      <c r="H588" s="5" t="n"/>
      <c r="I588" s="5" t="n"/>
      <c r="J588" s="5" t="n">
        <v>640</v>
      </c>
      <c r="K588" s="5" t="n"/>
      <c r="L588" s="5" t="n"/>
      <c r="M588" s="5" t="n"/>
      <c r="N588" s="5" t="n"/>
      <c r="O588" s="5" t="n">
        <v>3840</v>
      </c>
      <c r="P588" s="5" t="n">
        <v>3840</v>
      </c>
      <c r="Q588" s="5" t="n"/>
      <c r="R588" s="5" t="n"/>
    </row>
    <row r="589">
      <c r="A589" s="2" t="inlineStr">
        <is>
          <t>EJ021124.TXT</t>
        </is>
      </c>
      <c r="B589" s="3" t="inlineStr">
        <is>
          <t>001869</t>
        </is>
      </c>
      <c r="C589" s="3" t="inlineStr">
        <is>
          <t>001196</t>
        </is>
      </c>
      <c r="D589" s="4" t="n">
        <v>45587</v>
      </c>
      <c r="E589" s="2" t="inlineStr">
        <is>
          <t>13:53</t>
        </is>
      </c>
      <c r="F589" s="5" t="n">
        <v>274.17</v>
      </c>
      <c r="G589" s="5" t="n"/>
      <c r="H589" s="5" t="n"/>
      <c r="I589" s="5" t="n"/>
      <c r="J589" s="5" t="n">
        <v>54.83</v>
      </c>
      <c r="K589" s="5" t="n"/>
      <c r="L589" s="5" t="n"/>
      <c r="M589" s="5" t="n"/>
      <c r="N589" s="5" t="n"/>
      <c r="O589" s="5" t="n">
        <v>329</v>
      </c>
      <c r="P589" s="5" t="n">
        <v>329</v>
      </c>
      <c r="Q589" s="5" t="n"/>
      <c r="R589" s="5" t="n"/>
    </row>
    <row r="590">
      <c r="A590" s="2" t="inlineStr">
        <is>
          <t>EJ021124.TXT</t>
        </is>
      </c>
      <c r="B590" s="3" t="inlineStr">
        <is>
          <t>001870</t>
        </is>
      </c>
      <c r="C590" s="3" t="inlineStr">
        <is>
          <t>001197</t>
        </is>
      </c>
      <c r="D590" s="4" t="n">
        <v>45587</v>
      </c>
      <c r="E590" s="2" t="inlineStr">
        <is>
          <t>14:42</t>
        </is>
      </c>
      <c r="F590" s="5" t="n">
        <v>175</v>
      </c>
      <c r="G590" s="5" t="n"/>
      <c r="H590" s="5" t="n"/>
      <c r="I590" s="5" t="n"/>
      <c r="J590" s="5" t="n">
        <v>35</v>
      </c>
      <c r="K590" s="5" t="n"/>
      <c r="L590" s="5" t="n"/>
      <c r="M590" s="5" t="n"/>
      <c r="N590" s="5" t="n"/>
      <c r="O590" s="5" t="n">
        <v>210</v>
      </c>
      <c r="P590" s="5" t="n"/>
      <c r="Q590" s="5" t="n">
        <v>210</v>
      </c>
      <c r="R590" s="5" t="n"/>
    </row>
    <row r="591">
      <c r="A591" s="2" t="inlineStr">
        <is>
          <t>EJ021124.TXT</t>
        </is>
      </c>
      <c r="B591" s="3" t="inlineStr">
        <is>
          <t>001871</t>
        </is>
      </c>
      <c r="C591" s="3" t="inlineStr">
        <is>
          <t>001198</t>
        </is>
      </c>
      <c r="D591" s="4" t="n">
        <v>45593</v>
      </c>
      <c r="E591" s="2" t="inlineStr">
        <is>
          <t>11:38</t>
        </is>
      </c>
      <c r="F591" s="5" t="n">
        <v>274.17</v>
      </c>
      <c r="G591" s="5" t="n"/>
      <c r="H591" s="5" t="n"/>
      <c r="I591" s="5" t="n"/>
      <c r="J591" s="5" t="n">
        <v>54.83</v>
      </c>
      <c r="K591" s="5" t="n"/>
      <c r="L591" s="5" t="n"/>
      <c r="M591" s="5" t="n"/>
      <c r="N591" s="5" t="n"/>
      <c r="O591" s="5" t="n">
        <v>329</v>
      </c>
      <c r="P591" s="5" t="n"/>
      <c r="Q591" s="5" t="n">
        <v>329</v>
      </c>
      <c r="R591" s="5" t="n"/>
    </row>
    <row r="592">
      <c r="A592" s="2" t="inlineStr">
        <is>
          <t>EJ021124.TXT</t>
        </is>
      </c>
      <c r="B592" s="3" t="inlineStr">
        <is>
          <t>001872</t>
        </is>
      </c>
      <c r="C592" s="3" t="inlineStr">
        <is>
          <t>001199</t>
        </is>
      </c>
      <c r="D592" s="4" t="n">
        <v>45594</v>
      </c>
      <c r="E592" s="2" t="inlineStr">
        <is>
          <t>16:48</t>
        </is>
      </c>
      <c r="F592" s="5" t="n">
        <v>2298.33</v>
      </c>
      <c r="G592" s="5" t="n"/>
      <c r="H592" s="5" t="n"/>
      <c r="I592" s="5" t="n"/>
      <c r="J592" s="5" t="n">
        <v>459.67</v>
      </c>
      <c r="K592" s="5" t="n"/>
      <c r="L592" s="5" t="n"/>
      <c r="M592" s="5" t="n"/>
      <c r="N592" s="5" t="n"/>
      <c r="O592" s="5" t="n">
        <v>2758</v>
      </c>
      <c r="P592" s="5" t="n">
        <v>2758</v>
      </c>
      <c r="Q592" s="5" t="n"/>
      <c r="R592" s="5" t="n"/>
    </row>
    <row r="593">
      <c r="A593" s="2" t="inlineStr">
        <is>
          <t>EJ021124.TXT</t>
        </is>
      </c>
      <c r="B593" s="3" t="inlineStr">
        <is>
          <t>001873</t>
        </is>
      </c>
      <c r="C593" s="3" t="inlineStr">
        <is>
          <t>001200</t>
        </is>
      </c>
      <c r="D593" s="4" t="n">
        <v>45596</v>
      </c>
      <c r="E593" s="2" t="inlineStr">
        <is>
          <t>12:57</t>
        </is>
      </c>
      <c r="F593" s="5" t="n">
        <v>124.17</v>
      </c>
      <c r="G593" s="5" t="n"/>
      <c r="H593" s="5" t="n"/>
      <c r="I593" s="5" t="n"/>
      <c r="J593" s="5" t="n">
        <v>24.83</v>
      </c>
      <c r="K593" s="5" t="n"/>
      <c r="L593" s="5" t="n"/>
      <c r="M593" s="5" t="n"/>
      <c r="N593" s="5" t="n"/>
      <c r="O593" s="5" t="n">
        <v>149</v>
      </c>
      <c r="P593" s="5" t="n">
        <v>149</v>
      </c>
      <c r="Q593" s="5" t="n"/>
      <c r="R593" s="5" t="n"/>
    </row>
    <row r="594">
      <c r="A594" s="2" t="inlineStr">
        <is>
          <t>EJ021124.TXT</t>
        </is>
      </c>
      <c r="B594" s="3" t="inlineStr">
        <is>
          <t>001874</t>
        </is>
      </c>
      <c r="C594" s="3" t="inlineStr">
        <is>
          <t>001201</t>
        </is>
      </c>
      <c r="D594" s="4" t="n">
        <v>45598</v>
      </c>
      <c r="E594" s="2" t="inlineStr">
        <is>
          <t>14:11</t>
        </is>
      </c>
      <c r="F594" s="5" t="n">
        <v>830</v>
      </c>
      <c r="G594" s="5" t="n"/>
      <c r="H594" s="5" t="n"/>
      <c r="I594" s="5" t="n"/>
      <c r="J594" s="5" t="n">
        <v>166</v>
      </c>
      <c r="K594" s="5" t="n"/>
      <c r="L594" s="5" t="n"/>
      <c r="M594" s="5" t="n"/>
      <c r="N594" s="5" t="n"/>
      <c r="O594" s="5" t="n">
        <v>996</v>
      </c>
      <c r="P594" s="5" t="n"/>
      <c r="Q594" s="5" t="n">
        <v>996</v>
      </c>
      <c r="R594" s="5" t="n"/>
    </row>
    <row r="595">
      <c r="A595" s="2" t="inlineStr">
        <is>
          <t>EJ021224.TXT</t>
        </is>
      </c>
      <c r="B595" s="3" t="inlineStr">
        <is>
          <t>001881</t>
        </is>
      </c>
      <c r="C595" s="3" t="inlineStr">
        <is>
          <t>001202</t>
        </is>
      </c>
      <c r="D595" s="4" t="n">
        <v>45609</v>
      </c>
      <c r="E595" s="2" t="inlineStr">
        <is>
          <t>12:46</t>
        </is>
      </c>
      <c r="F595" s="5" t="n">
        <v>1096.67</v>
      </c>
      <c r="G595" s="5" t="n"/>
      <c r="H595" s="5" t="n"/>
      <c r="I595" s="5" t="n"/>
      <c r="J595" s="5" t="n">
        <v>219.33</v>
      </c>
      <c r="K595" s="5" t="n"/>
      <c r="L595" s="5" t="n"/>
      <c r="M595" s="5" t="n"/>
      <c r="N595" s="5" t="n"/>
      <c r="O595" s="5" t="n">
        <v>1316</v>
      </c>
      <c r="P595" s="5" t="n">
        <v>1316</v>
      </c>
      <c r="Q595" s="5" t="n"/>
      <c r="R595" s="5" t="n"/>
    </row>
    <row r="596">
      <c r="A596" s="2" t="inlineStr">
        <is>
          <t>EJ021224.TXT</t>
        </is>
      </c>
      <c r="B596" s="3" t="inlineStr">
        <is>
          <t>001885</t>
        </is>
      </c>
      <c r="C596" s="3" t="inlineStr">
        <is>
          <t>001203</t>
        </is>
      </c>
      <c r="D596" s="4" t="n">
        <v>45617</v>
      </c>
      <c r="E596" s="2" t="inlineStr">
        <is>
          <t>13:23</t>
        </is>
      </c>
      <c r="F596" s="5" t="n">
        <v>73.33</v>
      </c>
      <c r="G596" s="5" t="n"/>
      <c r="H596" s="5" t="n"/>
      <c r="I596" s="5" t="n"/>
      <c r="J596" s="5" t="n">
        <v>14.67</v>
      </c>
      <c r="K596" s="5" t="n"/>
      <c r="L596" s="5" t="n"/>
      <c r="M596" s="5" t="n"/>
      <c r="N596" s="5" t="n"/>
      <c r="O596" s="5" t="n">
        <v>88</v>
      </c>
      <c r="P596" s="5" t="n">
        <v>88</v>
      </c>
      <c r="Q596" s="5" t="n"/>
      <c r="R596" s="5" t="n"/>
    </row>
    <row r="597">
      <c r="A597" s="2" t="inlineStr">
        <is>
          <t>EJ021224.TXT</t>
        </is>
      </c>
      <c r="B597" s="3" t="inlineStr">
        <is>
          <t>001886</t>
        </is>
      </c>
      <c r="C597" s="3" t="inlineStr">
        <is>
          <t>001204</t>
        </is>
      </c>
      <c r="D597" s="4" t="n">
        <v>45617</v>
      </c>
      <c r="E597" s="2" t="inlineStr">
        <is>
          <t>13:33</t>
        </is>
      </c>
      <c r="F597" s="5" t="n">
        <v>199.17</v>
      </c>
      <c r="G597" s="5" t="n"/>
      <c r="H597" s="5" t="n"/>
      <c r="I597" s="5" t="n"/>
      <c r="J597" s="5" t="n">
        <v>39.83</v>
      </c>
      <c r="K597" s="5" t="n"/>
      <c r="L597" s="5" t="n"/>
      <c r="M597" s="5" t="n"/>
      <c r="N597" s="5" t="n"/>
      <c r="O597" s="5" t="n">
        <v>239</v>
      </c>
      <c r="P597" s="5" t="n">
        <v>239</v>
      </c>
      <c r="Q597" s="5" t="n"/>
      <c r="R597" s="5" t="n"/>
    </row>
    <row r="598">
      <c r="A598" s="2" t="inlineStr">
        <is>
          <t>EJ021224.TXT</t>
        </is>
      </c>
      <c r="B598" s="3" t="inlineStr">
        <is>
          <t>001887</t>
        </is>
      </c>
      <c r="C598" s="3" t="inlineStr">
        <is>
          <t>001205</t>
        </is>
      </c>
      <c r="D598" s="4" t="n">
        <v>45618</v>
      </c>
      <c r="E598" s="2" t="inlineStr">
        <is>
          <t>13:01</t>
        </is>
      </c>
      <c r="F598" s="5" t="n">
        <v>57.42</v>
      </c>
      <c r="G598" s="5" t="n"/>
      <c r="H598" s="5" t="n"/>
      <c r="I598" s="5" t="n"/>
      <c r="J598" s="5" t="n">
        <v>11.48</v>
      </c>
      <c r="K598" s="5" t="n"/>
      <c r="L598" s="5" t="n"/>
      <c r="M598" s="5" t="n"/>
      <c r="N598" s="5" t="n"/>
      <c r="O598" s="5" t="n">
        <v>68.90000000000001</v>
      </c>
      <c r="P598" s="5" t="n">
        <v>68.90000000000001</v>
      </c>
      <c r="Q598" s="5" t="n"/>
      <c r="R598" s="5" t="n"/>
    </row>
    <row r="599">
      <c r="A599" s="2" t="inlineStr">
        <is>
          <t>EJ021224.TXT</t>
        </is>
      </c>
      <c r="B599" s="3" t="inlineStr">
        <is>
          <t>001888</t>
        </is>
      </c>
      <c r="C599" s="3" t="inlineStr">
        <is>
          <t>001206</t>
        </is>
      </c>
      <c r="D599" s="4" t="n">
        <v>45618</v>
      </c>
      <c r="E599" s="2" t="inlineStr">
        <is>
          <t>15:52</t>
        </is>
      </c>
      <c r="F599" s="5" t="n">
        <v>548.33</v>
      </c>
      <c r="G599" s="5" t="n"/>
      <c r="H599" s="5" t="n"/>
      <c r="I599" s="5" t="n"/>
      <c r="J599" s="5" t="n">
        <v>109.67</v>
      </c>
      <c r="K599" s="5" t="n"/>
      <c r="L599" s="5" t="n"/>
      <c r="M599" s="5" t="n"/>
      <c r="N599" s="5" t="n"/>
      <c r="O599" s="5" t="n">
        <v>658</v>
      </c>
      <c r="P599" s="5" t="n">
        <v>658</v>
      </c>
      <c r="Q599" s="5" t="n"/>
      <c r="R599" s="5" t="n"/>
    </row>
    <row r="600">
      <c r="A600" s="2" t="inlineStr">
        <is>
          <t>EJ021224.TXT</t>
        </is>
      </c>
      <c r="B600" s="3" t="inlineStr">
        <is>
          <t>001889</t>
        </is>
      </c>
      <c r="C600" s="3" t="inlineStr">
        <is>
          <t>001207</t>
        </is>
      </c>
      <c r="D600" s="4" t="n">
        <v>45622</v>
      </c>
      <c r="E600" s="2" t="inlineStr">
        <is>
          <t>10:35</t>
        </is>
      </c>
      <c r="F600" s="5" t="n">
        <v>1096.67</v>
      </c>
      <c r="G600" s="5" t="n"/>
      <c r="H600" s="5" t="n"/>
      <c r="I600" s="5" t="n"/>
      <c r="J600" s="5" t="n">
        <v>219.33</v>
      </c>
      <c r="K600" s="5" t="n"/>
      <c r="L600" s="5" t="n"/>
      <c r="M600" s="5" t="n"/>
      <c r="N600" s="5" t="n"/>
      <c r="O600" s="5" t="n">
        <v>1316</v>
      </c>
      <c r="P600" s="5" t="n">
        <v>1316</v>
      </c>
      <c r="Q600" s="5" t="n"/>
      <c r="R600" s="5" t="n"/>
    </row>
    <row r="601">
      <c r="A601" s="2" t="inlineStr">
        <is>
          <t>EJ021224.TXT</t>
        </is>
      </c>
      <c r="B601" s="3" t="inlineStr">
        <is>
          <t>001891</t>
        </is>
      </c>
      <c r="C601" s="3" t="inlineStr">
        <is>
          <t>001208</t>
        </is>
      </c>
      <c r="D601" s="4" t="n">
        <v>45624</v>
      </c>
      <c r="E601" s="2" t="inlineStr">
        <is>
          <t>14:31</t>
        </is>
      </c>
      <c r="F601" s="5" t="n">
        <v>1096.67</v>
      </c>
      <c r="G601" s="5" t="n"/>
      <c r="H601" s="5" t="n"/>
      <c r="I601" s="5" t="n"/>
      <c r="J601" s="5" t="n">
        <v>219.33</v>
      </c>
      <c r="K601" s="5" t="n"/>
      <c r="L601" s="5" t="n"/>
      <c r="M601" s="5" t="n"/>
      <c r="N601" s="5" t="n"/>
      <c r="O601" s="5" t="n">
        <v>1316</v>
      </c>
      <c r="P601" s="5" t="n">
        <v>1316</v>
      </c>
      <c r="Q601" s="5" t="n"/>
      <c r="R601" s="5" t="n"/>
    </row>
    <row r="602">
      <c r="A602" s="2" t="inlineStr">
        <is>
          <t>EJ311224.TXT</t>
        </is>
      </c>
      <c r="B602" s="3" t="inlineStr">
        <is>
          <t>001900</t>
        </is>
      </c>
      <c r="C602" s="3" t="inlineStr">
        <is>
          <t>001209</t>
        </is>
      </c>
      <c r="D602" s="4" t="n">
        <v>45629</v>
      </c>
      <c r="E602" s="2" t="inlineStr">
        <is>
          <t>14:03</t>
        </is>
      </c>
      <c r="F602" s="5" t="n">
        <v>531.67</v>
      </c>
      <c r="G602" s="5" t="n"/>
      <c r="H602" s="5" t="n"/>
      <c r="I602" s="5" t="n"/>
      <c r="J602" s="5" t="n">
        <v>106.33</v>
      </c>
      <c r="K602" s="5" t="n"/>
      <c r="L602" s="5" t="n"/>
      <c r="M602" s="5" t="n"/>
      <c r="N602" s="5" t="n"/>
      <c r="O602" s="5" t="n">
        <v>638</v>
      </c>
      <c r="P602" s="5" t="n">
        <v>638</v>
      </c>
      <c r="Q602" s="5" t="n"/>
      <c r="R602" s="5" t="n"/>
    </row>
    <row r="603">
      <c r="A603" s="2" t="inlineStr">
        <is>
          <t>EJ311224.TXT</t>
        </is>
      </c>
      <c r="B603" s="3" t="inlineStr">
        <is>
          <t>001901</t>
        </is>
      </c>
      <c r="C603" s="3" t="inlineStr">
        <is>
          <t>001210</t>
        </is>
      </c>
      <c r="D603" s="4" t="n">
        <v>45631</v>
      </c>
      <c r="E603" s="2" t="inlineStr">
        <is>
          <t>10:42</t>
        </is>
      </c>
      <c r="F603" s="5" t="n">
        <v>531.67</v>
      </c>
      <c r="G603" s="5" t="n"/>
      <c r="H603" s="5" t="n"/>
      <c r="I603" s="5" t="n"/>
      <c r="J603" s="5" t="n">
        <v>106.33</v>
      </c>
      <c r="K603" s="5" t="n"/>
      <c r="L603" s="5" t="n"/>
      <c r="M603" s="5" t="n"/>
      <c r="N603" s="5" t="n"/>
      <c r="O603" s="5" t="n">
        <v>638</v>
      </c>
      <c r="P603" s="5" t="n">
        <v>638</v>
      </c>
      <c r="Q603" s="5" t="n"/>
      <c r="R603" s="5" t="n"/>
    </row>
    <row r="604">
      <c r="A604" s="2" t="inlineStr">
        <is>
          <t>EJ311224.TXT</t>
        </is>
      </c>
      <c r="B604" s="3" t="inlineStr">
        <is>
          <t>001902</t>
        </is>
      </c>
      <c r="C604" s="3" t="inlineStr">
        <is>
          <t>001211</t>
        </is>
      </c>
      <c r="D604" s="4" t="n">
        <v>45631</v>
      </c>
      <c r="E604" s="2" t="inlineStr">
        <is>
          <t>13:27</t>
        </is>
      </c>
      <c r="F604" s="5" t="n">
        <v>175</v>
      </c>
      <c r="G604" s="5" t="n"/>
      <c r="H604" s="5" t="n"/>
      <c r="I604" s="5" t="n"/>
      <c r="J604" s="5" t="n">
        <v>35</v>
      </c>
      <c r="K604" s="5" t="n"/>
      <c r="L604" s="5" t="n"/>
      <c r="M604" s="5" t="n"/>
      <c r="N604" s="5" t="n"/>
      <c r="O604" s="5" t="n">
        <v>210</v>
      </c>
      <c r="P604" s="5" t="n">
        <v>210</v>
      </c>
      <c r="Q604" s="5" t="n"/>
      <c r="R604" s="5" t="n"/>
    </row>
    <row r="605">
      <c r="A605" s="2" t="inlineStr">
        <is>
          <t>EJ311224.TXT</t>
        </is>
      </c>
      <c r="B605" s="3" t="inlineStr">
        <is>
          <t>001903</t>
        </is>
      </c>
      <c r="C605" s="3" t="inlineStr">
        <is>
          <t>001212</t>
        </is>
      </c>
      <c r="D605" s="4" t="n">
        <v>45632</v>
      </c>
      <c r="E605" s="2" t="inlineStr">
        <is>
          <t>14:23</t>
        </is>
      </c>
      <c r="F605" s="5" t="n">
        <v>548.33</v>
      </c>
      <c r="G605" s="5" t="n"/>
      <c r="H605" s="5" t="n"/>
      <c r="I605" s="5" t="n"/>
      <c r="J605" s="5" t="n">
        <v>109.67</v>
      </c>
      <c r="K605" s="5" t="n"/>
      <c r="L605" s="5" t="n"/>
      <c r="M605" s="5" t="n"/>
      <c r="N605" s="5" t="n"/>
      <c r="O605" s="5" t="n">
        <v>658</v>
      </c>
      <c r="P605" s="5" t="n">
        <v>658</v>
      </c>
      <c r="Q605" s="5" t="n"/>
      <c r="R605" s="5" t="n"/>
    </row>
    <row r="606">
      <c r="A606" s="2" t="inlineStr">
        <is>
          <t>EJ311224.TXT</t>
        </is>
      </c>
      <c r="B606" s="3" t="inlineStr">
        <is>
          <t>001904</t>
        </is>
      </c>
      <c r="C606" s="3" t="inlineStr">
        <is>
          <t>001213</t>
        </is>
      </c>
      <c r="D606" s="4" t="n">
        <v>45632</v>
      </c>
      <c r="E606" s="2" t="inlineStr">
        <is>
          <t>15:51</t>
        </is>
      </c>
      <c r="F606" s="5" t="n">
        <v>199.17</v>
      </c>
      <c r="G606" s="5" t="n"/>
      <c r="H606" s="5" t="n"/>
      <c r="I606" s="5" t="n"/>
      <c r="J606" s="5" t="n">
        <v>39.83</v>
      </c>
      <c r="K606" s="5" t="n"/>
      <c r="L606" s="5" t="n"/>
      <c r="M606" s="5" t="n"/>
      <c r="N606" s="5" t="n"/>
      <c r="O606" s="5" t="n">
        <v>239</v>
      </c>
      <c r="P606" s="5" t="n">
        <v>239</v>
      </c>
      <c r="Q606" s="5" t="n"/>
      <c r="R606" s="5" t="n"/>
    </row>
    <row r="607">
      <c r="A607" s="2" t="inlineStr">
        <is>
          <t>EJ311224.TXT</t>
        </is>
      </c>
      <c r="B607" s="3" t="inlineStr">
        <is>
          <t>001905</t>
        </is>
      </c>
      <c r="C607" s="3" t="inlineStr">
        <is>
          <t>001214</t>
        </is>
      </c>
      <c r="D607" s="4" t="n">
        <v>45632</v>
      </c>
      <c r="E607" s="2" t="inlineStr">
        <is>
          <t>17:09</t>
        </is>
      </c>
      <c r="F607" s="5" t="n">
        <v>548.33</v>
      </c>
      <c r="G607" s="5" t="n"/>
      <c r="H607" s="5" t="n"/>
      <c r="I607" s="5" t="n"/>
      <c r="J607" s="5" t="n">
        <v>109.67</v>
      </c>
      <c r="K607" s="5" t="n"/>
      <c r="L607" s="5" t="n"/>
      <c r="M607" s="5" t="n"/>
      <c r="N607" s="5" t="n"/>
      <c r="O607" s="5" t="n">
        <v>658</v>
      </c>
      <c r="P607" s="5" t="n"/>
      <c r="Q607" s="5" t="n">
        <v>658</v>
      </c>
      <c r="R607" s="5" t="n"/>
    </row>
    <row r="608">
      <c r="A608" s="2" t="inlineStr">
        <is>
          <t>EJ311224.TXT</t>
        </is>
      </c>
      <c r="B608" s="3" t="inlineStr">
        <is>
          <t>001906</t>
        </is>
      </c>
      <c r="C608" s="3" t="inlineStr">
        <is>
          <t>001215</t>
        </is>
      </c>
      <c r="D608" s="4" t="n">
        <v>45643</v>
      </c>
      <c r="E608" s="2" t="inlineStr">
        <is>
          <t>10:06</t>
        </is>
      </c>
      <c r="F608" s="5" t="n">
        <v>548.33</v>
      </c>
      <c r="G608" s="5" t="n"/>
      <c r="H608" s="5" t="n"/>
      <c r="I608" s="5" t="n"/>
      <c r="J608" s="5" t="n">
        <v>109.67</v>
      </c>
      <c r="K608" s="5" t="n"/>
      <c r="L608" s="5" t="n"/>
      <c r="M608" s="5" t="n"/>
      <c r="N608" s="5" t="n"/>
      <c r="O608" s="5" t="n">
        <v>658</v>
      </c>
      <c r="P608" s="5" t="n">
        <v>658</v>
      </c>
      <c r="Q608" s="5" t="n"/>
      <c r="R608" s="5" t="n"/>
    </row>
    <row r="609">
      <c r="A609" s="2" t="inlineStr">
        <is>
          <t>EJ311224.TXT</t>
        </is>
      </c>
      <c r="B609" s="3" t="inlineStr">
        <is>
          <t>001907</t>
        </is>
      </c>
      <c r="C609" s="3" t="inlineStr">
        <is>
          <t>001216</t>
        </is>
      </c>
      <c r="D609" s="4" t="n">
        <v>45643</v>
      </c>
      <c r="E609" s="2" t="inlineStr">
        <is>
          <t>10:06</t>
        </is>
      </c>
      <c r="F609" s="5" t="n">
        <v>548.33</v>
      </c>
      <c r="G609" s="5" t="n"/>
      <c r="H609" s="5" t="n"/>
      <c r="I609" s="5" t="n"/>
      <c r="J609" s="5" t="n">
        <v>109.67</v>
      </c>
      <c r="K609" s="5" t="n"/>
      <c r="L609" s="5" t="n"/>
      <c r="M609" s="5" t="n"/>
      <c r="N609" s="5" t="n"/>
      <c r="O609" s="5" t="n">
        <v>658</v>
      </c>
      <c r="P609" s="5" t="n">
        <v>658</v>
      </c>
      <c r="Q609" s="5" t="n"/>
      <c r="R609" s="5" t="n"/>
    </row>
    <row r="610">
      <c r="A610" s="2" t="inlineStr">
        <is>
          <t>EJ311224.TXT</t>
        </is>
      </c>
      <c r="B610" s="3" t="inlineStr">
        <is>
          <t>001908</t>
        </is>
      </c>
      <c r="C610" s="3" t="inlineStr">
        <is>
          <t>001217</t>
        </is>
      </c>
      <c r="D610" s="4" t="n">
        <v>45643</v>
      </c>
      <c r="E610" s="2" t="inlineStr">
        <is>
          <t>12:32</t>
        </is>
      </c>
      <c r="F610" s="5" t="n">
        <v>58.25</v>
      </c>
      <c r="G610" s="5" t="n"/>
      <c r="H610" s="5" t="n"/>
      <c r="I610" s="5" t="n"/>
      <c r="J610" s="5" t="n">
        <v>11.65</v>
      </c>
      <c r="K610" s="5" t="n"/>
      <c r="L610" s="5" t="n"/>
      <c r="M610" s="5" t="n"/>
      <c r="N610" s="5" t="n"/>
      <c r="O610" s="5" t="n">
        <v>69.90000000000001</v>
      </c>
      <c r="P610" s="5" t="n">
        <v>69.90000000000001</v>
      </c>
      <c r="Q610" s="5" t="n"/>
      <c r="R610" s="5" t="n"/>
    </row>
    <row r="611">
      <c r="A611" s="2" t="inlineStr">
        <is>
          <t>EJ311224.TXT</t>
        </is>
      </c>
      <c r="B611" s="3" t="inlineStr">
        <is>
          <t>001909</t>
        </is>
      </c>
      <c r="C611" s="3" t="inlineStr">
        <is>
          <t>001218</t>
        </is>
      </c>
      <c r="D611" s="4" t="n">
        <v>45645</v>
      </c>
      <c r="E611" s="2" t="inlineStr">
        <is>
          <t>13:54</t>
        </is>
      </c>
      <c r="F611" s="5" t="n">
        <v>574</v>
      </c>
      <c r="G611" s="5" t="n"/>
      <c r="H611" s="5" t="n"/>
      <c r="I611" s="5" t="n"/>
      <c r="J611" s="5" t="n">
        <v>114.8</v>
      </c>
      <c r="K611" s="5" t="n"/>
      <c r="L611" s="5" t="n"/>
      <c r="M611" s="5" t="n"/>
      <c r="N611" s="5" t="n"/>
      <c r="O611" s="5" t="n">
        <v>688.8</v>
      </c>
      <c r="P611" s="5" t="n">
        <v>688.8</v>
      </c>
      <c r="Q611" s="5" t="n"/>
      <c r="R611" s="5" t="n"/>
    </row>
    <row r="612">
      <c r="A612" s="2" t="inlineStr">
        <is>
          <t>EJ311224.TXT</t>
        </is>
      </c>
      <c r="B612" s="3" t="inlineStr">
        <is>
          <t>001910</t>
        </is>
      </c>
      <c r="C612" s="3" t="inlineStr">
        <is>
          <t>001219</t>
        </is>
      </c>
      <c r="D612" s="4" t="n">
        <v>45646</v>
      </c>
      <c r="E612" s="2" t="inlineStr">
        <is>
          <t>15:26</t>
        </is>
      </c>
      <c r="F612" s="5" t="n">
        <v>948.33</v>
      </c>
      <c r="G612" s="5" t="n"/>
      <c r="H612" s="5" t="n"/>
      <c r="I612" s="5" t="n"/>
      <c r="J612" s="5" t="n">
        <v>189.67</v>
      </c>
      <c r="K612" s="5" t="n"/>
      <c r="L612" s="5" t="n"/>
      <c r="M612" s="5" t="n"/>
      <c r="N612" s="5" t="n"/>
      <c r="O612" s="5" t="n">
        <v>1138</v>
      </c>
      <c r="P612" s="5" t="n">
        <v>1138</v>
      </c>
      <c r="Q612" s="5" t="n"/>
      <c r="R612" s="5" t="n"/>
    </row>
    <row r="613">
      <c r="A613" s="2" t="inlineStr">
        <is>
          <t>EJ311224.TXT</t>
        </is>
      </c>
      <c r="B613" s="3" t="inlineStr">
        <is>
          <t>001911</t>
        </is>
      </c>
      <c r="C613" s="3" t="inlineStr">
        <is>
          <t>001220</t>
        </is>
      </c>
      <c r="D613" s="4" t="n">
        <v>45649</v>
      </c>
      <c r="E613" s="2" t="inlineStr">
        <is>
          <t>16:49</t>
        </is>
      </c>
      <c r="F613" s="5" t="n">
        <v>58.25</v>
      </c>
      <c r="G613" s="5" t="n"/>
      <c r="H613" s="5" t="n"/>
      <c r="I613" s="5" t="n"/>
      <c r="J613" s="5" t="n">
        <v>11.65</v>
      </c>
      <c r="K613" s="5" t="n"/>
      <c r="L613" s="5" t="n"/>
      <c r="M613" s="5" t="n"/>
      <c r="N613" s="5" t="n"/>
      <c r="O613" s="5" t="n">
        <v>69.90000000000001</v>
      </c>
      <c r="P613" s="5" t="n">
        <v>69.90000000000001</v>
      </c>
      <c r="Q613" s="5" t="n"/>
      <c r="R613" s="5" t="n"/>
    </row>
    <row r="614">
      <c r="A614" s="2" t="inlineStr">
        <is>
          <t>EJ311224.TXT</t>
        </is>
      </c>
      <c r="B614" s="3" t="inlineStr">
        <is>
          <t>001912</t>
        </is>
      </c>
      <c r="C614" s="3" t="inlineStr">
        <is>
          <t>001221</t>
        </is>
      </c>
      <c r="D614" s="4" t="n">
        <v>45649</v>
      </c>
      <c r="E614" s="2" t="inlineStr">
        <is>
          <t>17:18</t>
        </is>
      </c>
      <c r="F614" s="5" t="n">
        <v>274.17</v>
      </c>
      <c r="G614" s="5" t="n"/>
      <c r="H614" s="5" t="n"/>
      <c r="I614" s="5" t="n"/>
      <c r="J614" s="5" t="n">
        <v>54.83</v>
      </c>
      <c r="K614" s="5" t="n"/>
      <c r="L614" s="5" t="n"/>
      <c r="M614" s="5" t="n"/>
      <c r="N614" s="5" t="n"/>
      <c r="O614" s="5" t="n">
        <v>329</v>
      </c>
      <c r="P614" s="5" t="n">
        <v>329</v>
      </c>
      <c r="Q614" s="5" t="n"/>
      <c r="R614" s="5" t="n"/>
    </row>
    <row r="615">
      <c r="A615" s="2" t="inlineStr">
        <is>
          <t>EJ311224.TXT</t>
        </is>
      </c>
      <c r="B615" s="3" t="inlineStr">
        <is>
          <t>001913</t>
        </is>
      </c>
      <c r="C615" s="3" t="inlineStr">
        <is>
          <t>001222</t>
        </is>
      </c>
      <c r="D615" s="4" t="n">
        <v>45654</v>
      </c>
      <c r="E615" s="2" t="inlineStr">
        <is>
          <t>14:18</t>
        </is>
      </c>
      <c r="F615" s="5" t="n">
        <v>274.17</v>
      </c>
      <c r="G615" s="5" t="n"/>
      <c r="H615" s="5" t="n"/>
      <c r="I615" s="5" t="n"/>
      <c r="J615" s="5" t="n">
        <v>54.83</v>
      </c>
      <c r="K615" s="5" t="n"/>
      <c r="L615" s="5" t="n"/>
      <c r="M615" s="5" t="n"/>
      <c r="N615" s="5" t="n"/>
      <c r="O615" s="5" t="n">
        <v>329</v>
      </c>
      <c r="P615" s="5" t="n"/>
      <c r="Q615" s="5" t="n">
        <v>329</v>
      </c>
      <c r="R615" s="5" t="n"/>
    </row>
    <row r="616">
      <c r="A616" s="2" t="inlineStr">
        <is>
          <t>EJ311224.TXT</t>
        </is>
      </c>
      <c r="B616" s="3" t="inlineStr">
        <is>
          <t>001914</t>
        </is>
      </c>
      <c r="C616" s="3" t="inlineStr">
        <is>
          <t>001223</t>
        </is>
      </c>
      <c r="D616" s="4" t="n">
        <v>45654</v>
      </c>
      <c r="E616" s="2" t="inlineStr">
        <is>
          <t>15:24</t>
        </is>
      </c>
      <c r="F616" s="5" t="n">
        <v>822.5</v>
      </c>
      <c r="G616" s="5" t="n"/>
      <c r="H616" s="5" t="n"/>
      <c r="I616" s="5" t="n"/>
      <c r="J616" s="5" t="n">
        <v>164.5</v>
      </c>
      <c r="K616" s="5" t="n"/>
      <c r="L616" s="5" t="n"/>
      <c r="M616" s="5" t="n"/>
      <c r="N616" s="5" t="n"/>
      <c r="O616" s="5" t="n">
        <v>987</v>
      </c>
      <c r="P616" s="5" t="n"/>
      <c r="Q616" s="5" t="n">
        <v>987</v>
      </c>
      <c r="R616" s="5" t="n"/>
    </row>
    <row r="617">
      <c r="A617" s="2" t="inlineStr">
        <is>
          <t>EJ311224.TXT</t>
        </is>
      </c>
      <c r="B617" s="3" t="inlineStr">
        <is>
          <t>001915</t>
        </is>
      </c>
      <c r="C617" s="3" t="inlineStr">
        <is>
          <t>001224</t>
        </is>
      </c>
      <c r="D617" s="4" t="n">
        <v>45656</v>
      </c>
      <c r="E617" s="2" t="inlineStr">
        <is>
          <t>15:06</t>
        </is>
      </c>
      <c r="F617" s="5" t="n">
        <v>2392.5</v>
      </c>
      <c r="G617" s="5" t="n"/>
      <c r="H617" s="5" t="n"/>
      <c r="I617" s="5" t="n"/>
      <c r="J617" s="5" t="n">
        <v>478.5</v>
      </c>
      <c r="K617" s="5" t="n"/>
      <c r="L617" s="5" t="n"/>
      <c r="M617" s="5" t="n"/>
      <c r="N617" s="5" t="n"/>
      <c r="O617" s="5" t="n">
        <v>2871</v>
      </c>
      <c r="P617" s="5" t="n">
        <v>1871</v>
      </c>
      <c r="Q617" s="5" t="n">
        <v>1000</v>
      </c>
      <c r="R617" s="5" t="n"/>
    </row>
    <row r="618">
      <c r="A618" s="2" t="inlineStr">
        <is>
          <t>EJ311224.TXT</t>
        </is>
      </c>
      <c r="B618" s="3" t="inlineStr">
        <is>
          <t>001917</t>
        </is>
      </c>
      <c r="C618" s="3" t="inlineStr">
        <is>
          <t>001225</t>
        </is>
      </c>
      <c r="D618" s="4" t="n">
        <v>45657</v>
      </c>
      <c r="E618" s="2" t="inlineStr">
        <is>
          <t>10:55</t>
        </is>
      </c>
      <c r="F618" s="5" t="n">
        <v>73.33</v>
      </c>
      <c r="G618" s="5" t="n"/>
      <c r="H618" s="5" t="n"/>
      <c r="I618" s="5" t="n"/>
      <c r="J618" s="5" t="n">
        <v>14.67</v>
      </c>
      <c r="K618" s="5" t="n"/>
      <c r="L618" s="5" t="n"/>
      <c r="M618" s="5" t="n"/>
      <c r="N618" s="5" t="n"/>
      <c r="O618" s="5" t="n">
        <v>88</v>
      </c>
      <c r="P618" s="5" t="n"/>
      <c r="Q618" s="5" t="n">
        <v>88</v>
      </c>
      <c r="R618" s="5" t="n"/>
    </row>
    <row r="619">
      <c r="A619" s="2" t="inlineStr">
        <is>
          <t>EJ010225.TXT</t>
        </is>
      </c>
      <c r="B619" s="3" t="inlineStr">
        <is>
          <t>001925</t>
        </is>
      </c>
      <c r="C619" s="3" t="inlineStr">
        <is>
          <t>001226</t>
        </is>
      </c>
      <c r="D619" s="4" t="n">
        <v>45661</v>
      </c>
      <c r="E619" s="2" t="inlineStr">
        <is>
          <t>14:58</t>
        </is>
      </c>
      <c r="F619" s="5" t="n">
        <v>548.33</v>
      </c>
      <c r="G619" s="5" t="n"/>
      <c r="H619" s="5" t="n"/>
      <c r="I619" s="5" t="n"/>
      <c r="J619" s="5" t="n">
        <v>109.67</v>
      </c>
      <c r="K619" s="5" t="n"/>
      <c r="L619" s="5" t="n"/>
      <c r="M619" s="5" t="n"/>
      <c r="N619" s="5" t="n"/>
      <c r="O619" s="5" t="n">
        <v>658</v>
      </c>
      <c r="P619" s="5" t="n"/>
      <c r="Q619" s="5" t="n">
        <v>658</v>
      </c>
      <c r="R619" s="5" t="n"/>
    </row>
    <row r="620">
      <c r="A620" s="2" t="inlineStr">
        <is>
          <t>EJ010225.TXT</t>
        </is>
      </c>
      <c r="B620" s="3" t="inlineStr">
        <is>
          <t>001926</t>
        </is>
      </c>
      <c r="C620" s="3" t="inlineStr">
        <is>
          <t>001227</t>
        </is>
      </c>
      <c r="D620" s="4" t="n">
        <v>45663</v>
      </c>
      <c r="E620" s="2" t="inlineStr">
        <is>
          <t>10:57</t>
        </is>
      </c>
      <c r="F620" s="5" t="n">
        <v>4275</v>
      </c>
      <c r="G620" s="5" t="n"/>
      <c r="H620" s="5" t="n"/>
      <c r="I620" s="5" t="n"/>
      <c r="J620" s="5" t="n">
        <v>855</v>
      </c>
      <c r="K620" s="5" t="n"/>
      <c r="L620" s="5" t="n"/>
      <c r="M620" s="5" t="n"/>
      <c r="N620" s="5" t="n"/>
      <c r="O620" s="5" t="n">
        <v>5130</v>
      </c>
      <c r="P620" s="5" t="n">
        <v>5130</v>
      </c>
      <c r="Q620" s="5" t="n"/>
      <c r="R620" s="5" t="n"/>
    </row>
    <row r="621">
      <c r="A621" s="2" t="inlineStr">
        <is>
          <t>EJ010225.TXT</t>
        </is>
      </c>
      <c r="B621" s="3" t="inlineStr">
        <is>
          <t>001927</t>
        </is>
      </c>
      <c r="C621" s="3" t="inlineStr">
        <is>
          <t>001228</t>
        </is>
      </c>
      <c r="D621" s="4" t="n">
        <v>45664</v>
      </c>
      <c r="E621" s="2" t="inlineStr">
        <is>
          <t>17:38</t>
        </is>
      </c>
      <c r="F621" s="5" t="n">
        <v>548.33</v>
      </c>
      <c r="G621" s="5" t="n"/>
      <c r="H621" s="5" t="n"/>
      <c r="I621" s="5" t="n"/>
      <c r="J621" s="5" t="n">
        <v>109.67</v>
      </c>
      <c r="K621" s="5" t="n"/>
      <c r="L621" s="5" t="n"/>
      <c r="M621" s="5" t="n"/>
      <c r="N621" s="5" t="n"/>
      <c r="O621" s="5" t="n">
        <v>658</v>
      </c>
      <c r="P621" s="5" t="n">
        <v>658</v>
      </c>
      <c r="Q621" s="5" t="n"/>
      <c r="R621" s="5" t="n"/>
    </row>
    <row r="622">
      <c r="A622" s="2" t="inlineStr">
        <is>
          <t>EJ010225.TXT</t>
        </is>
      </c>
      <c r="B622" s="3" t="inlineStr">
        <is>
          <t>001928</t>
        </is>
      </c>
      <c r="C622" s="3" t="inlineStr">
        <is>
          <t>001229</t>
        </is>
      </c>
      <c r="D622" s="4" t="n">
        <v>45667</v>
      </c>
      <c r="E622" s="2" t="inlineStr">
        <is>
          <t>17:10</t>
        </is>
      </c>
      <c r="F622" s="5" t="n">
        <v>395</v>
      </c>
      <c r="G622" s="5" t="n"/>
      <c r="H622" s="5" t="n"/>
      <c r="I622" s="5" t="n"/>
      <c r="J622" s="5" t="n">
        <v>79</v>
      </c>
      <c r="K622" s="5" t="n"/>
      <c r="L622" s="5" t="n"/>
      <c r="M622" s="5" t="n"/>
      <c r="N622" s="5" t="n"/>
      <c r="O622" s="5" t="n">
        <v>474</v>
      </c>
      <c r="P622" s="5" t="n">
        <v>474</v>
      </c>
      <c r="Q622" s="5" t="n"/>
      <c r="R622" s="5" t="n"/>
    </row>
    <row r="623">
      <c r="A623" s="2" t="inlineStr">
        <is>
          <t>EJ010225.TXT</t>
        </is>
      </c>
      <c r="B623" s="3" t="inlineStr">
        <is>
          <t>001929</t>
        </is>
      </c>
      <c r="C623" s="3" t="inlineStr">
        <is>
          <t>001230</t>
        </is>
      </c>
      <c r="D623" s="4" t="n">
        <v>45672</v>
      </c>
      <c r="E623" s="2" t="inlineStr">
        <is>
          <t>16:06</t>
        </is>
      </c>
      <c r="F623" s="5" t="n">
        <v>340.67</v>
      </c>
      <c r="G623" s="5" t="n"/>
      <c r="H623" s="5" t="n"/>
      <c r="I623" s="5" t="n"/>
      <c r="J623" s="5" t="n">
        <v>68.13</v>
      </c>
      <c r="K623" s="5" t="n"/>
      <c r="L623" s="5" t="n"/>
      <c r="M623" s="5" t="n"/>
      <c r="N623" s="5" t="n"/>
      <c r="O623" s="5" t="n">
        <v>408.8</v>
      </c>
      <c r="P623" s="5" t="n"/>
      <c r="Q623" s="5" t="n">
        <v>408.8</v>
      </c>
      <c r="R623" s="5" t="n"/>
    </row>
    <row r="624">
      <c r="A624" s="2" t="inlineStr">
        <is>
          <t>EJ010225.TXT</t>
        </is>
      </c>
      <c r="B624" s="3" t="inlineStr">
        <is>
          <t>001931</t>
        </is>
      </c>
      <c r="C624" s="3" t="inlineStr">
        <is>
          <t>001231</t>
        </is>
      </c>
      <c r="D624" s="4" t="n">
        <v>45678</v>
      </c>
      <c r="E624" s="2" t="inlineStr">
        <is>
          <t>14:24</t>
        </is>
      </c>
      <c r="F624" s="5" t="n">
        <v>274.17</v>
      </c>
      <c r="G624" s="5" t="n"/>
      <c r="H624" s="5" t="n"/>
      <c r="I624" s="5" t="n"/>
      <c r="J624" s="5" t="n">
        <v>54.83</v>
      </c>
      <c r="K624" s="5" t="n"/>
      <c r="L624" s="5" t="n"/>
      <c r="M624" s="5" t="n"/>
      <c r="N624" s="5" t="n"/>
      <c r="O624" s="5" t="n">
        <v>329</v>
      </c>
      <c r="P624" s="5" t="n">
        <v>329</v>
      </c>
      <c r="Q624" s="5" t="n"/>
      <c r="R624" s="5" t="n"/>
    </row>
    <row r="625">
      <c r="A625" s="2" t="inlineStr">
        <is>
          <t>EJ010225.TXT</t>
        </is>
      </c>
      <c r="B625" s="3" t="inlineStr">
        <is>
          <t>001932</t>
        </is>
      </c>
      <c r="C625" s="3" t="inlineStr">
        <is>
          <t>001232</t>
        </is>
      </c>
      <c r="D625" s="4" t="n">
        <v>45678</v>
      </c>
      <c r="E625" s="2" t="inlineStr">
        <is>
          <t>14:27</t>
        </is>
      </c>
      <c r="F625" s="5" t="n">
        <v>274.17</v>
      </c>
      <c r="G625" s="5" t="n"/>
      <c r="H625" s="5" t="n"/>
      <c r="I625" s="5" t="n"/>
      <c r="J625" s="5" t="n">
        <v>54.83</v>
      </c>
      <c r="K625" s="5" t="n"/>
      <c r="L625" s="5" t="n"/>
      <c r="M625" s="5" t="n"/>
      <c r="N625" s="5" t="n"/>
      <c r="O625" s="5" t="n">
        <v>329</v>
      </c>
      <c r="P625" s="5" t="n">
        <v>329</v>
      </c>
      <c r="Q625" s="5" t="n"/>
      <c r="R625" s="5" t="n"/>
    </row>
    <row r="626">
      <c r="A626" s="2" t="inlineStr">
        <is>
          <t>EJ010225.TXT</t>
        </is>
      </c>
      <c r="B626" s="3" t="inlineStr">
        <is>
          <t>001933</t>
        </is>
      </c>
      <c r="C626" s="3" t="inlineStr">
        <is>
          <t>001233</t>
        </is>
      </c>
      <c r="D626" s="4" t="n">
        <v>45678</v>
      </c>
      <c r="E626" s="2" t="inlineStr">
        <is>
          <t>17:18</t>
        </is>
      </c>
      <c r="F626" s="5" t="n">
        <v>73.33</v>
      </c>
      <c r="G626" s="5" t="n"/>
      <c r="H626" s="5" t="n"/>
      <c r="I626" s="5" t="n"/>
      <c r="J626" s="5" t="n">
        <v>14.67</v>
      </c>
      <c r="K626" s="5" t="n"/>
      <c r="L626" s="5" t="n"/>
      <c r="M626" s="5" t="n"/>
      <c r="N626" s="5" t="n"/>
      <c r="O626" s="5" t="n">
        <v>88</v>
      </c>
      <c r="P626" s="5" t="n">
        <v>88</v>
      </c>
      <c r="Q626" s="5" t="n"/>
      <c r="R626" s="5" t="n"/>
    </row>
    <row r="627">
      <c r="A627" s="2" t="inlineStr">
        <is>
          <t>EJ010225.TXT</t>
        </is>
      </c>
      <c r="B627" s="3" t="inlineStr">
        <is>
          <t>001935</t>
        </is>
      </c>
      <c r="C627" s="3" t="inlineStr">
        <is>
          <t>001234</t>
        </is>
      </c>
      <c r="D627" s="4" t="n">
        <v>45679</v>
      </c>
      <c r="E627" s="2" t="inlineStr">
        <is>
          <t>15:13</t>
        </is>
      </c>
      <c r="F627" s="5" t="n">
        <v>49.92</v>
      </c>
      <c r="G627" s="5" t="n"/>
      <c r="H627" s="5" t="n"/>
      <c r="I627" s="5" t="n"/>
      <c r="J627" s="5" t="n">
        <v>9.98</v>
      </c>
      <c r="K627" s="5" t="n"/>
      <c r="L627" s="5" t="n"/>
      <c r="M627" s="5" t="n"/>
      <c r="N627" s="5" t="n"/>
      <c r="O627" s="5" t="n">
        <v>59.9</v>
      </c>
      <c r="P627" s="5" t="n">
        <v>59.9</v>
      </c>
      <c r="Q627" s="5" t="n"/>
      <c r="R627" s="5" t="n"/>
    </row>
    <row r="628">
      <c r="A628" s="2" t="inlineStr">
        <is>
          <t>EJ010225.TXT</t>
        </is>
      </c>
      <c r="B628" s="3" t="inlineStr">
        <is>
          <t>001937</t>
        </is>
      </c>
      <c r="C628" s="3" t="inlineStr">
        <is>
          <t>001235</t>
        </is>
      </c>
      <c r="D628" s="4" t="n">
        <v>45680</v>
      </c>
      <c r="E628" s="2" t="inlineStr">
        <is>
          <t>10:20</t>
        </is>
      </c>
      <c r="F628" s="5" t="n">
        <v>548.33</v>
      </c>
      <c r="G628" s="5" t="n"/>
      <c r="H628" s="5" t="n"/>
      <c r="I628" s="5" t="n"/>
      <c r="J628" s="5" t="n">
        <v>109.67</v>
      </c>
      <c r="K628" s="5" t="n"/>
      <c r="L628" s="5" t="n"/>
      <c r="M628" s="5" t="n"/>
      <c r="N628" s="5" t="n"/>
      <c r="O628" s="5" t="n">
        <v>658</v>
      </c>
      <c r="P628" s="5" t="n"/>
      <c r="Q628" s="5" t="n">
        <v>658</v>
      </c>
      <c r="R628" s="5" t="n"/>
    </row>
    <row r="629">
      <c r="A629" s="2" t="inlineStr">
        <is>
          <t>EJ010225.TXT</t>
        </is>
      </c>
      <c r="B629" s="3" t="inlineStr">
        <is>
          <t>001938</t>
        </is>
      </c>
      <c r="C629" s="3" t="inlineStr">
        <is>
          <t>001236</t>
        </is>
      </c>
      <c r="D629" s="4" t="n">
        <v>45681</v>
      </c>
      <c r="E629" s="2" t="inlineStr">
        <is>
          <t>15:36</t>
        </is>
      </c>
      <c r="F629" s="5" t="n">
        <v>49.92</v>
      </c>
      <c r="G629" s="5" t="n"/>
      <c r="H629" s="5" t="n"/>
      <c r="I629" s="5" t="n"/>
      <c r="J629" s="5" t="n">
        <v>9.98</v>
      </c>
      <c r="K629" s="5" t="n"/>
      <c r="L629" s="5" t="n"/>
      <c r="M629" s="5" t="n"/>
      <c r="N629" s="5" t="n"/>
      <c r="O629" s="5" t="n">
        <v>59.9</v>
      </c>
      <c r="P629" s="5" t="n"/>
      <c r="Q629" s="5" t="n">
        <v>59.9</v>
      </c>
      <c r="R629" s="5" t="n"/>
    </row>
    <row r="630">
      <c r="A630" s="2" t="inlineStr">
        <is>
          <t>EJ010225.TXT</t>
        </is>
      </c>
      <c r="B630" s="3" t="inlineStr">
        <is>
          <t>001939</t>
        </is>
      </c>
      <c r="C630" s="3" t="inlineStr">
        <is>
          <t>001237</t>
        </is>
      </c>
      <c r="D630" s="4" t="n">
        <v>45682</v>
      </c>
      <c r="E630" s="2" t="inlineStr">
        <is>
          <t>16:41</t>
        </is>
      </c>
      <c r="F630" s="5" t="n">
        <v>548.33</v>
      </c>
      <c r="G630" s="5" t="n"/>
      <c r="H630" s="5" t="n"/>
      <c r="I630" s="5" t="n"/>
      <c r="J630" s="5" t="n">
        <v>109.67</v>
      </c>
      <c r="K630" s="5" t="n"/>
      <c r="L630" s="5" t="n"/>
      <c r="M630" s="5" t="n"/>
      <c r="N630" s="5" t="n"/>
      <c r="O630" s="5" t="n">
        <v>658</v>
      </c>
      <c r="P630" s="5" t="n">
        <v>658</v>
      </c>
      <c r="Q630" s="5" t="n"/>
      <c r="R630" s="5" t="n"/>
    </row>
    <row r="631">
      <c r="A631" s="2" t="inlineStr">
        <is>
          <t>EJ010225.TXT</t>
        </is>
      </c>
      <c r="B631" s="3" t="inlineStr">
        <is>
          <t>001940</t>
        </is>
      </c>
      <c r="C631" s="3" t="inlineStr">
        <is>
          <t>001238</t>
        </is>
      </c>
      <c r="D631" s="4" t="n">
        <v>45682</v>
      </c>
      <c r="E631" s="2" t="inlineStr">
        <is>
          <t>16:59</t>
        </is>
      </c>
      <c r="F631" s="5" t="n">
        <v>73.33</v>
      </c>
      <c r="G631" s="5" t="n"/>
      <c r="H631" s="5" t="n"/>
      <c r="I631" s="5" t="n"/>
      <c r="J631" s="5" t="n">
        <v>14.67</v>
      </c>
      <c r="K631" s="5" t="n"/>
      <c r="L631" s="5" t="n"/>
      <c r="M631" s="5" t="n"/>
      <c r="N631" s="5" t="n"/>
      <c r="O631" s="5" t="n">
        <v>88</v>
      </c>
      <c r="P631" s="5" t="n">
        <v>88</v>
      </c>
      <c r="Q631" s="5" t="n"/>
      <c r="R631" s="5" t="n"/>
    </row>
    <row r="632">
      <c r="A632" s="2" t="inlineStr">
        <is>
          <t>EJ010225.TXT</t>
        </is>
      </c>
      <c r="B632" s="3" t="inlineStr">
        <is>
          <t>001941</t>
        </is>
      </c>
      <c r="C632" s="3" t="inlineStr">
        <is>
          <t>001239</t>
        </is>
      </c>
      <c r="D632" s="4" t="n">
        <v>45682</v>
      </c>
      <c r="E632" s="2" t="inlineStr">
        <is>
          <t>17:48</t>
        </is>
      </c>
      <c r="F632" s="5" t="n">
        <v>347.5</v>
      </c>
      <c r="G632" s="5" t="n"/>
      <c r="H632" s="5" t="n"/>
      <c r="I632" s="5" t="n"/>
      <c r="J632" s="5" t="n">
        <v>69.5</v>
      </c>
      <c r="K632" s="5" t="n"/>
      <c r="L632" s="5" t="n"/>
      <c r="M632" s="5" t="n"/>
      <c r="N632" s="5" t="n"/>
      <c r="O632" s="5" t="n">
        <v>417</v>
      </c>
      <c r="P632" s="5" t="n">
        <v>417</v>
      </c>
      <c r="Q632" s="5" t="n"/>
      <c r="R632" s="5" t="n"/>
    </row>
    <row r="633">
      <c r="A633" s="2" t="inlineStr">
        <is>
          <t>EJ010225.TXT</t>
        </is>
      </c>
      <c r="B633" s="3" t="inlineStr">
        <is>
          <t>001942</t>
        </is>
      </c>
      <c r="C633" s="3" t="inlineStr">
        <is>
          <t>001240</t>
        </is>
      </c>
      <c r="D633" s="4" t="n">
        <v>45684</v>
      </c>
      <c r="E633" s="2" t="inlineStr">
        <is>
          <t>12:13</t>
        </is>
      </c>
      <c r="F633" s="5" t="n">
        <v>489.17</v>
      </c>
      <c r="G633" s="5" t="n"/>
      <c r="H633" s="5" t="n"/>
      <c r="I633" s="5" t="n"/>
      <c r="J633" s="5" t="n">
        <v>97.83</v>
      </c>
      <c r="K633" s="5" t="n"/>
      <c r="L633" s="5" t="n"/>
      <c r="M633" s="5" t="n"/>
      <c r="N633" s="5" t="n"/>
      <c r="O633" s="5" t="n">
        <v>587</v>
      </c>
      <c r="P633" s="5" t="n"/>
      <c r="Q633" s="5" t="n">
        <v>587</v>
      </c>
      <c r="R633" s="5" t="n"/>
    </row>
    <row r="634">
      <c r="A634" s="2" t="inlineStr">
        <is>
          <t>EJ010225.TXT</t>
        </is>
      </c>
      <c r="B634" s="3" t="inlineStr">
        <is>
          <t>001945</t>
        </is>
      </c>
      <c r="C634" s="3" t="inlineStr">
        <is>
          <t>001241</t>
        </is>
      </c>
      <c r="D634" s="4" t="n">
        <v>45685</v>
      </c>
      <c r="E634" s="2" t="inlineStr">
        <is>
          <t>11:34</t>
        </is>
      </c>
      <c r="F634" s="5" t="n">
        <v>274.17</v>
      </c>
      <c r="G634" s="5" t="n"/>
      <c r="H634" s="5" t="n"/>
      <c r="I634" s="5" t="n"/>
      <c r="J634" s="5" t="n">
        <v>54.83</v>
      </c>
      <c r="K634" s="5" t="n"/>
      <c r="L634" s="5" t="n"/>
      <c r="M634" s="5" t="n"/>
      <c r="N634" s="5" t="n"/>
      <c r="O634" s="5" t="n">
        <v>329</v>
      </c>
      <c r="P634" s="5" t="n">
        <v>329</v>
      </c>
      <c r="Q634" s="5" t="n"/>
      <c r="R634" s="5" t="n"/>
    </row>
    <row r="635">
      <c r="A635" s="2" t="inlineStr">
        <is>
          <t>EJ010225.TXT</t>
        </is>
      </c>
      <c r="B635" s="3" t="inlineStr">
        <is>
          <t>001946</t>
        </is>
      </c>
      <c r="C635" s="3" t="inlineStr">
        <is>
          <t>001242</t>
        </is>
      </c>
      <c r="D635" s="4" t="n">
        <v>45685</v>
      </c>
      <c r="E635" s="2" t="inlineStr">
        <is>
          <t>15:48</t>
        </is>
      </c>
      <c r="F635" s="5" t="n">
        <v>299.83</v>
      </c>
      <c r="G635" s="5" t="n"/>
      <c r="H635" s="5" t="n"/>
      <c r="I635" s="5" t="n"/>
      <c r="J635" s="5" t="n">
        <v>59.97</v>
      </c>
      <c r="K635" s="5" t="n"/>
      <c r="L635" s="5" t="n"/>
      <c r="M635" s="5" t="n"/>
      <c r="N635" s="5" t="n"/>
      <c r="O635" s="5" t="n">
        <v>359.8</v>
      </c>
      <c r="P635" s="5" t="n"/>
      <c r="Q635" s="5" t="n">
        <v>359.8</v>
      </c>
      <c r="R635" s="5" t="n"/>
    </row>
    <row r="636">
      <c r="A636" s="2" t="inlineStr">
        <is>
          <t>EJ010225.TXT</t>
        </is>
      </c>
      <c r="B636" s="3" t="inlineStr">
        <is>
          <t>001950</t>
        </is>
      </c>
      <c r="C636" s="3" t="inlineStr">
        <is>
          <t>001243</t>
        </is>
      </c>
      <c r="D636" s="4" t="n">
        <v>45686</v>
      </c>
      <c r="E636" s="2" t="inlineStr">
        <is>
          <t>16:28</t>
        </is>
      </c>
      <c r="F636" s="5" t="n">
        <v>49.92</v>
      </c>
      <c r="G636" s="5" t="n"/>
      <c r="H636" s="5" t="n"/>
      <c r="I636" s="5" t="n"/>
      <c r="J636" s="5" t="n">
        <v>9.98</v>
      </c>
      <c r="K636" s="5" t="n"/>
      <c r="L636" s="5" t="n"/>
      <c r="M636" s="5" t="n"/>
      <c r="N636" s="5" t="n"/>
      <c r="O636" s="5" t="n">
        <v>59.9</v>
      </c>
      <c r="P636" s="5" t="n">
        <v>59.9</v>
      </c>
      <c r="Q636" s="5" t="n"/>
      <c r="R636" s="5" t="n"/>
    </row>
    <row r="637">
      <c r="A637" s="2" t="inlineStr">
        <is>
          <t>EJ010225.TXT</t>
        </is>
      </c>
      <c r="B637" s="3" t="inlineStr">
        <is>
          <t>001951</t>
        </is>
      </c>
      <c r="C637" s="3" t="inlineStr">
        <is>
          <t>001244</t>
        </is>
      </c>
      <c r="D637" s="4" t="n">
        <v>45689</v>
      </c>
      <c r="E637" s="2" t="inlineStr">
        <is>
          <t>15:51</t>
        </is>
      </c>
      <c r="F637" s="5" t="n">
        <v>274.17</v>
      </c>
      <c r="G637" s="5" t="n"/>
      <c r="H637" s="5" t="n"/>
      <c r="I637" s="5" t="n"/>
      <c r="J637" s="5" t="n">
        <v>54.83</v>
      </c>
      <c r="K637" s="5" t="n"/>
      <c r="L637" s="5" t="n"/>
      <c r="M637" s="5" t="n"/>
      <c r="N637" s="5" t="n"/>
      <c r="O637" s="5" t="n">
        <v>329</v>
      </c>
      <c r="P637" s="5" t="n">
        <v>329</v>
      </c>
      <c r="Q637" s="5" t="n"/>
      <c r="R637" s="5" t="n"/>
    </row>
    <row r="638">
      <c r="A638" s="2" t="inlineStr">
        <is>
          <t>EJ010325.TXT</t>
        </is>
      </c>
      <c r="B638" s="3" t="inlineStr">
        <is>
          <t>001960</t>
        </is>
      </c>
      <c r="C638" s="3" t="inlineStr">
        <is>
          <t>001245</t>
        </is>
      </c>
      <c r="D638" s="4" t="n">
        <v>45695</v>
      </c>
      <c r="E638" s="2" t="inlineStr">
        <is>
          <t>15:24</t>
        </is>
      </c>
      <c r="F638" s="5" t="n">
        <v>274.17</v>
      </c>
      <c r="G638" s="5" t="n"/>
      <c r="H638" s="5" t="n"/>
      <c r="I638" s="5" t="n"/>
      <c r="J638" s="5" t="n">
        <v>54.83</v>
      </c>
      <c r="K638" s="5" t="n"/>
      <c r="L638" s="5" t="n"/>
      <c r="M638" s="5" t="n"/>
      <c r="N638" s="5" t="n"/>
      <c r="O638" s="5" t="n">
        <v>329</v>
      </c>
      <c r="P638" s="5" t="n"/>
      <c r="Q638" s="5" t="n">
        <v>329</v>
      </c>
      <c r="R638" s="5" t="n"/>
    </row>
    <row r="639">
      <c r="A639" s="2" t="inlineStr">
        <is>
          <t>EJ010325.TXT</t>
        </is>
      </c>
      <c r="B639" s="3" t="inlineStr">
        <is>
          <t>001962</t>
        </is>
      </c>
      <c r="C639" s="3" t="inlineStr">
        <is>
          <t>001246</t>
        </is>
      </c>
      <c r="D639" s="4" t="n">
        <v>45696</v>
      </c>
      <c r="E639" s="2" t="inlineStr">
        <is>
          <t>16:55</t>
        </is>
      </c>
      <c r="F639" s="5" t="n">
        <v>41.58</v>
      </c>
      <c r="G639" s="5" t="n"/>
      <c r="H639" s="5" t="n"/>
      <c r="I639" s="5" t="n"/>
      <c r="J639" s="5" t="n">
        <v>8.32</v>
      </c>
      <c r="K639" s="5" t="n"/>
      <c r="L639" s="5" t="n"/>
      <c r="M639" s="5" t="n"/>
      <c r="N639" s="5" t="n"/>
      <c r="O639" s="5" t="n">
        <v>49.9</v>
      </c>
      <c r="P639" s="5" t="n">
        <v>49.9</v>
      </c>
      <c r="Q639" s="5" t="n"/>
      <c r="R639" s="5" t="n"/>
    </row>
    <row r="640">
      <c r="A640" s="2" t="inlineStr">
        <is>
          <t>EJ010325.TXT</t>
        </is>
      </c>
      <c r="B640" s="3" t="inlineStr">
        <is>
          <t>001963</t>
        </is>
      </c>
      <c r="C640" s="3" t="inlineStr">
        <is>
          <t>001247</t>
        </is>
      </c>
      <c r="D640" s="4" t="n">
        <v>45698</v>
      </c>
      <c r="E640" s="2" t="inlineStr">
        <is>
          <t>11:23</t>
        </is>
      </c>
      <c r="F640" s="5" t="n">
        <v>274.17</v>
      </c>
      <c r="G640" s="5" t="n"/>
      <c r="H640" s="5" t="n"/>
      <c r="I640" s="5" t="n"/>
      <c r="J640" s="5" t="n">
        <v>54.83</v>
      </c>
      <c r="K640" s="5" t="n"/>
      <c r="L640" s="5" t="n"/>
      <c r="M640" s="5" t="n"/>
      <c r="N640" s="5" t="n"/>
      <c r="O640" s="5" t="n">
        <v>329</v>
      </c>
      <c r="P640" s="5" t="n"/>
      <c r="Q640" s="5" t="n">
        <v>329</v>
      </c>
      <c r="R640" s="5" t="n"/>
    </row>
    <row r="641">
      <c r="A641" s="2" t="inlineStr">
        <is>
          <t>EJ010325.TXT</t>
        </is>
      </c>
      <c r="B641" s="3" t="inlineStr">
        <is>
          <t>001964</t>
        </is>
      </c>
      <c r="C641" s="3" t="inlineStr">
        <is>
          <t>001248</t>
        </is>
      </c>
      <c r="D641" s="4" t="n">
        <v>45698</v>
      </c>
      <c r="E641" s="2" t="inlineStr">
        <is>
          <t>13:35</t>
        </is>
      </c>
      <c r="F641" s="5" t="n">
        <v>830</v>
      </c>
      <c r="G641" s="5" t="n"/>
      <c r="H641" s="5" t="n"/>
      <c r="I641" s="5" t="n"/>
      <c r="J641" s="5" t="n">
        <v>166</v>
      </c>
      <c r="K641" s="5" t="n"/>
      <c r="L641" s="5" t="n"/>
      <c r="M641" s="5" t="n"/>
      <c r="N641" s="5" t="n"/>
      <c r="O641" s="5" t="n">
        <v>996</v>
      </c>
      <c r="P641" s="5" t="n"/>
      <c r="Q641" s="5" t="n">
        <v>996</v>
      </c>
      <c r="R641" s="5" t="n"/>
    </row>
    <row r="642">
      <c r="A642" s="2" t="inlineStr">
        <is>
          <t>EJ010325.TXT</t>
        </is>
      </c>
      <c r="B642" s="3" t="inlineStr">
        <is>
          <t>001965</t>
        </is>
      </c>
      <c r="C642" s="3" t="inlineStr">
        <is>
          <t>001249</t>
        </is>
      </c>
      <c r="D642" s="4" t="n">
        <v>45699</v>
      </c>
      <c r="E642" s="2" t="inlineStr">
        <is>
          <t>16:48</t>
        </is>
      </c>
      <c r="F642" s="5" t="n">
        <v>57.5</v>
      </c>
      <c r="G642" s="5" t="n"/>
      <c r="H642" s="5" t="n"/>
      <c r="I642" s="5" t="n"/>
      <c r="J642" s="5" t="n">
        <v>11.5</v>
      </c>
      <c r="K642" s="5" t="n"/>
      <c r="L642" s="5" t="n"/>
      <c r="M642" s="5" t="n"/>
      <c r="N642" s="5" t="n"/>
      <c r="O642" s="5" t="n">
        <v>69</v>
      </c>
      <c r="P642" s="5" t="n"/>
      <c r="Q642" s="5" t="n">
        <v>69</v>
      </c>
      <c r="R642" s="5" t="n"/>
    </row>
    <row r="643">
      <c r="A643" s="2" t="inlineStr">
        <is>
          <t>EJ010325.TXT</t>
        </is>
      </c>
      <c r="B643" s="3" t="inlineStr">
        <is>
          <t>001968</t>
        </is>
      </c>
      <c r="C643" s="3" t="inlineStr">
        <is>
          <t>001250</t>
        </is>
      </c>
      <c r="D643" s="4" t="n">
        <v>45701</v>
      </c>
      <c r="E643" s="2" t="inlineStr">
        <is>
          <t>11:18</t>
        </is>
      </c>
      <c r="F643" s="5" t="n">
        <v>274.17</v>
      </c>
      <c r="G643" s="5" t="n"/>
      <c r="H643" s="5" t="n"/>
      <c r="I643" s="5" t="n"/>
      <c r="J643" s="5" t="n">
        <v>54.83</v>
      </c>
      <c r="K643" s="5" t="n"/>
      <c r="L643" s="5" t="n"/>
      <c r="M643" s="5" t="n"/>
      <c r="N643" s="5" t="n"/>
      <c r="O643" s="5" t="n">
        <v>329</v>
      </c>
      <c r="P643" s="5" t="n"/>
      <c r="Q643" s="5" t="n">
        <v>329</v>
      </c>
      <c r="R643" s="5" t="n"/>
    </row>
    <row r="644">
      <c r="A644" s="2" t="inlineStr">
        <is>
          <t>EJ010325.TXT</t>
        </is>
      </c>
      <c r="B644" s="3" t="inlineStr">
        <is>
          <t>001969</t>
        </is>
      </c>
      <c r="C644" s="3" t="inlineStr">
        <is>
          <t>001251</t>
        </is>
      </c>
      <c r="D644" s="4" t="n">
        <v>45703</v>
      </c>
      <c r="E644" s="2" t="inlineStr">
        <is>
          <t>14:16</t>
        </is>
      </c>
      <c r="F644" s="5" t="n">
        <v>124.17</v>
      </c>
      <c r="G644" s="5" t="n"/>
      <c r="H644" s="5" t="n"/>
      <c r="I644" s="5" t="n"/>
      <c r="J644" s="5" t="n">
        <v>24.83</v>
      </c>
      <c r="K644" s="5" t="n"/>
      <c r="L644" s="5" t="n"/>
      <c r="M644" s="5" t="n"/>
      <c r="N644" s="5" t="n"/>
      <c r="O644" s="5" t="n">
        <v>149</v>
      </c>
      <c r="P644" s="5" t="n"/>
      <c r="Q644" s="5" t="n">
        <v>149</v>
      </c>
      <c r="R644" s="5" t="n"/>
    </row>
    <row r="645">
      <c r="A645" s="2" t="inlineStr">
        <is>
          <t>EJ010325.TXT</t>
        </is>
      </c>
      <c r="B645" s="3" t="inlineStr">
        <is>
          <t>001971</t>
        </is>
      </c>
      <c r="C645" s="3" t="inlineStr">
        <is>
          <t>001252</t>
        </is>
      </c>
      <c r="D645" s="4" t="n">
        <v>45703</v>
      </c>
      <c r="E645" s="2" t="inlineStr">
        <is>
          <t>17:35</t>
        </is>
      </c>
      <c r="F645" s="5" t="n">
        <v>398.33</v>
      </c>
      <c r="G645" s="5" t="n"/>
      <c r="H645" s="5" t="n"/>
      <c r="I645" s="5" t="n"/>
      <c r="J645" s="5" t="n">
        <v>79.67</v>
      </c>
      <c r="K645" s="5" t="n"/>
      <c r="L645" s="5" t="n"/>
      <c r="M645" s="5" t="n"/>
      <c r="N645" s="5" t="n"/>
      <c r="O645" s="5" t="n">
        <v>478</v>
      </c>
      <c r="P645" s="5" t="n">
        <v>478</v>
      </c>
      <c r="Q645" s="5" t="n"/>
      <c r="R645" s="5" t="n"/>
    </row>
    <row r="646">
      <c r="A646" s="2" t="inlineStr">
        <is>
          <t>EJ010325.TXT</t>
        </is>
      </c>
      <c r="B646" s="3" t="inlineStr">
        <is>
          <t>001973</t>
        </is>
      </c>
      <c r="C646" s="3" t="inlineStr">
        <is>
          <t>001253</t>
        </is>
      </c>
      <c r="D646" s="4" t="n">
        <v>45705</v>
      </c>
      <c r="E646" s="2" t="inlineStr">
        <is>
          <t>13:42</t>
        </is>
      </c>
      <c r="F646" s="5" t="n">
        <v>548.33</v>
      </c>
      <c r="G646" s="5" t="n"/>
      <c r="H646" s="5" t="n"/>
      <c r="I646" s="5" t="n"/>
      <c r="J646" s="5" t="n">
        <v>109.67</v>
      </c>
      <c r="K646" s="5" t="n"/>
      <c r="L646" s="5" t="n"/>
      <c r="M646" s="5" t="n"/>
      <c r="N646" s="5" t="n"/>
      <c r="O646" s="5" t="n">
        <v>658</v>
      </c>
      <c r="P646" s="5" t="n">
        <v>658</v>
      </c>
      <c r="Q646" s="5" t="n"/>
      <c r="R646" s="5" t="n"/>
    </row>
    <row r="647">
      <c r="A647" s="2" t="inlineStr">
        <is>
          <t>EJ010325.TXT</t>
        </is>
      </c>
      <c r="B647" s="3" t="inlineStr">
        <is>
          <t>001974</t>
        </is>
      </c>
      <c r="C647" s="3" t="inlineStr">
        <is>
          <t>001254</t>
        </is>
      </c>
      <c r="D647" s="4" t="n">
        <v>45707</v>
      </c>
      <c r="E647" s="2" t="inlineStr">
        <is>
          <t>13:56</t>
        </is>
      </c>
      <c r="F647" s="5" t="n">
        <v>274.17</v>
      </c>
      <c r="G647" s="5" t="n"/>
      <c r="H647" s="5" t="n"/>
      <c r="I647" s="5" t="n"/>
      <c r="J647" s="5" t="n">
        <v>54.83</v>
      </c>
      <c r="K647" s="5" t="n"/>
      <c r="L647" s="5" t="n"/>
      <c r="M647" s="5" t="n"/>
      <c r="N647" s="5" t="n"/>
      <c r="O647" s="5" t="n">
        <v>329</v>
      </c>
      <c r="P647" s="5" t="n"/>
      <c r="Q647" s="5" t="n">
        <v>329</v>
      </c>
      <c r="R647" s="5" t="n"/>
    </row>
    <row r="648">
      <c r="A648" s="2" t="inlineStr">
        <is>
          <t>EJ010325.TXT</t>
        </is>
      </c>
      <c r="B648" s="3" t="inlineStr">
        <is>
          <t>001975</t>
        </is>
      </c>
      <c r="C648" s="3" t="inlineStr">
        <is>
          <t>001255</t>
        </is>
      </c>
      <c r="D648" s="4" t="n">
        <v>45710</v>
      </c>
      <c r="E648" s="2" t="inlineStr">
        <is>
          <t>17:57</t>
        </is>
      </c>
      <c r="F648" s="5" t="n">
        <v>49.92</v>
      </c>
      <c r="G648" s="5" t="n"/>
      <c r="H648" s="5" t="n"/>
      <c r="I648" s="5" t="n"/>
      <c r="J648" s="5" t="n">
        <v>9.98</v>
      </c>
      <c r="K648" s="5" t="n"/>
      <c r="L648" s="5" t="n"/>
      <c r="M648" s="5" t="n"/>
      <c r="N648" s="5" t="n"/>
      <c r="O648" s="5" t="n">
        <v>59.9</v>
      </c>
      <c r="P648" s="5" t="n">
        <v>59.9</v>
      </c>
      <c r="Q648" s="5" t="n"/>
      <c r="R648" s="5" t="n"/>
    </row>
    <row r="649">
      <c r="A649" s="2" t="inlineStr">
        <is>
          <t>EJ010325.TXT</t>
        </is>
      </c>
      <c r="B649" s="3" t="inlineStr">
        <is>
          <t>001976</t>
        </is>
      </c>
      <c r="C649" s="3" t="inlineStr">
        <is>
          <t>001256</t>
        </is>
      </c>
      <c r="D649" s="4" t="n">
        <v>45714</v>
      </c>
      <c r="E649" s="2" t="inlineStr">
        <is>
          <t>16:49</t>
        </is>
      </c>
      <c r="F649" s="5" t="n">
        <v>395</v>
      </c>
      <c r="G649" s="5" t="n"/>
      <c r="H649" s="5" t="n"/>
      <c r="I649" s="5" t="n"/>
      <c r="J649" s="5" t="n">
        <v>79</v>
      </c>
      <c r="K649" s="5" t="n"/>
      <c r="L649" s="5" t="n"/>
      <c r="M649" s="5" t="n"/>
      <c r="N649" s="5" t="n"/>
      <c r="O649" s="5" t="n">
        <v>474</v>
      </c>
      <c r="P649" s="5" t="n">
        <v>474</v>
      </c>
      <c r="Q649" s="5" t="n"/>
      <c r="R649" s="5" t="n"/>
    </row>
    <row r="650">
      <c r="A650" s="2" t="inlineStr">
        <is>
          <t>EJ010325.TXT</t>
        </is>
      </c>
      <c r="B650" s="3" t="inlineStr">
        <is>
          <t>001979</t>
        </is>
      </c>
      <c r="C650" s="3" t="inlineStr">
        <is>
          <t>001257</t>
        </is>
      </c>
      <c r="D650" s="4" t="n">
        <v>45716</v>
      </c>
      <c r="E650" s="2" t="inlineStr">
        <is>
          <t>14:59</t>
        </is>
      </c>
      <c r="F650" s="5" t="n">
        <v>274.17</v>
      </c>
      <c r="G650" s="5" t="n"/>
      <c r="H650" s="5" t="n"/>
      <c r="I650" s="5" t="n"/>
      <c r="J650" s="5" t="n">
        <v>54.83</v>
      </c>
      <c r="K650" s="5" t="n"/>
      <c r="L650" s="5" t="n"/>
      <c r="M650" s="5" t="n"/>
      <c r="N650" s="5" t="n"/>
      <c r="O650" s="5" t="n">
        <v>329</v>
      </c>
      <c r="P650" s="5" t="n">
        <v>329</v>
      </c>
      <c r="Q650" s="5" t="n"/>
      <c r="R650" s="5" t="n"/>
    </row>
    <row r="651">
      <c r="A651" s="2" t="inlineStr">
        <is>
          <t>EJ010425.TXT</t>
        </is>
      </c>
      <c r="B651" s="3" t="inlineStr">
        <is>
          <t>001991</t>
        </is>
      </c>
      <c r="C651" s="3" t="inlineStr">
        <is>
          <t>001258</t>
        </is>
      </c>
      <c r="D651" s="4" t="n">
        <v>45723</v>
      </c>
      <c r="E651" s="2" t="inlineStr">
        <is>
          <t>15:21</t>
        </is>
      </c>
      <c r="F651" s="5" t="n">
        <v>199.17</v>
      </c>
      <c r="G651" s="5" t="n"/>
      <c r="H651" s="5" t="n"/>
      <c r="I651" s="5" t="n"/>
      <c r="J651" s="5" t="n">
        <v>39.83</v>
      </c>
      <c r="K651" s="5" t="n"/>
      <c r="L651" s="5" t="n"/>
      <c r="M651" s="5" t="n"/>
      <c r="N651" s="5" t="n"/>
      <c r="O651" s="5" t="n">
        <v>239</v>
      </c>
      <c r="P651" s="5" t="n">
        <v>239</v>
      </c>
      <c r="Q651" s="5" t="n"/>
      <c r="R651" s="5" t="n"/>
    </row>
    <row r="652">
      <c r="A652" s="2" t="inlineStr">
        <is>
          <t>EJ010425.TXT</t>
        </is>
      </c>
      <c r="B652" s="3" t="inlineStr">
        <is>
          <t>001992</t>
        </is>
      </c>
      <c r="C652" s="3" t="inlineStr">
        <is>
          <t>001259</t>
        </is>
      </c>
      <c r="D652" s="4" t="n">
        <v>45728</v>
      </c>
      <c r="E652" s="2" t="inlineStr">
        <is>
          <t>15:03</t>
        </is>
      </c>
      <c r="F652" s="5" t="n">
        <v>123.25</v>
      </c>
      <c r="G652" s="5" t="n"/>
      <c r="H652" s="5" t="n"/>
      <c r="I652" s="5" t="n"/>
      <c r="J652" s="5" t="n">
        <v>24.65</v>
      </c>
      <c r="K652" s="5" t="n"/>
      <c r="L652" s="5" t="n"/>
      <c r="M652" s="5" t="n"/>
      <c r="N652" s="5" t="n"/>
      <c r="O652" s="5" t="n">
        <v>147.9</v>
      </c>
      <c r="P652" s="5" t="n">
        <v>147.9</v>
      </c>
      <c r="Q652" s="5" t="n"/>
      <c r="R652" s="5" t="n"/>
    </row>
    <row r="653">
      <c r="A653" s="2" t="inlineStr">
        <is>
          <t>EJ010425.TXT</t>
        </is>
      </c>
      <c r="B653" s="3" t="inlineStr">
        <is>
          <t>001993</t>
        </is>
      </c>
      <c r="C653" s="3" t="inlineStr">
        <is>
          <t>001260</t>
        </is>
      </c>
      <c r="D653" s="4" t="n">
        <v>45729</v>
      </c>
      <c r="E653" s="2" t="inlineStr">
        <is>
          <t>12:01</t>
        </is>
      </c>
      <c r="F653" s="5" t="n">
        <v>41.58</v>
      </c>
      <c r="G653" s="5" t="n"/>
      <c r="H653" s="5" t="n"/>
      <c r="I653" s="5" t="n"/>
      <c r="J653" s="5" t="n">
        <v>8.32</v>
      </c>
      <c r="K653" s="5" t="n"/>
      <c r="L653" s="5" t="n"/>
      <c r="M653" s="5" t="n"/>
      <c r="N653" s="5" t="n"/>
      <c r="O653" s="5" t="n">
        <v>49.9</v>
      </c>
      <c r="P653" s="5" t="n">
        <v>49.9</v>
      </c>
      <c r="Q653" s="5" t="n"/>
      <c r="R653" s="5" t="n"/>
    </row>
    <row r="654">
      <c r="A654" s="2" t="inlineStr">
        <is>
          <t>EJ010425.TXT</t>
        </is>
      </c>
      <c r="B654" s="3" t="inlineStr">
        <is>
          <t>001994</t>
        </is>
      </c>
      <c r="C654" s="3" t="inlineStr">
        <is>
          <t>001261</t>
        </is>
      </c>
      <c r="D654" s="4" t="n">
        <v>45729</v>
      </c>
      <c r="E654" s="2" t="inlineStr">
        <is>
          <t>14:51</t>
        </is>
      </c>
      <c r="F654" s="5" t="n">
        <v>274.17</v>
      </c>
      <c r="G654" s="5" t="n"/>
      <c r="H654" s="5" t="n"/>
      <c r="I654" s="5" t="n"/>
      <c r="J654" s="5" t="n">
        <v>54.83</v>
      </c>
      <c r="K654" s="5" t="n"/>
      <c r="L654" s="5" t="n"/>
      <c r="M654" s="5" t="n"/>
      <c r="N654" s="5" t="n"/>
      <c r="O654" s="5" t="n">
        <v>329</v>
      </c>
      <c r="P654" s="5" t="n">
        <v>329</v>
      </c>
      <c r="Q654" s="5" t="n"/>
      <c r="R654" s="5" t="n"/>
    </row>
    <row r="655">
      <c r="A655" s="2" t="inlineStr">
        <is>
          <t>EJ010425.TXT</t>
        </is>
      </c>
      <c r="B655" s="3" t="inlineStr">
        <is>
          <t>001995</t>
        </is>
      </c>
      <c r="C655" s="3" t="inlineStr">
        <is>
          <t>001262</t>
        </is>
      </c>
      <c r="D655" s="4" t="n">
        <v>45730</v>
      </c>
      <c r="E655" s="2" t="inlineStr">
        <is>
          <t>16:44</t>
        </is>
      </c>
      <c r="F655" s="5" t="n">
        <v>548.33</v>
      </c>
      <c r="G655" s="5" t="n"/>
      <c r="H655" s="5" t="n"/>
      <c r="I655" s="5" t="n"/>
      <c r="J655" s="5" t="n">
        <v>109.67</v>
      </c>
      <c r="K655" s="5" t="n"/>
      <c r="L655" s="5" t="n"/>
      <c r="M655" s="5" t="n"/>
      <c r="N655" s="5" t="n"/>
      <c r="O655" s="5" t="n">
        <v>658</v>
      </c>
      <c r="P655" s="5" t="n">
        <v>658</v>
      </c>
      <c r="Q655" s="5" t="n"/>
      <c r="R655" s="5" t="n"/>
    </row>
    <row r="656">
      <c r="A656" s="2" t="inlineStr">
        <is>
          <t>EJ010425.TXT</t>
        </is>
      </c>
      <c r="B656" s="3" t="inlineStr">
        <is>
          <t>001997</t>
        </is>
      </c>
      <c r="C656" s="3" t="inlineStr">
        <is>
          <t>001263</t>
        </is>
      </c>
      <c r="D656" s="4" t="n">
        <v>45731</v>
      </c>
      <c r="E656" s="2" t="inlineStr">
        <is>
          <t>17:33</t>
        </is>
      </c>
      <c r="F656" s="5" t="n">
        <v>124.17</v>
      </c>
      <c r="G656" s="5" t="n"/>
      <c r="H656" s="5" t="n"/>
      <c r="I656" s="5" t="n"/>
      <c r="J656" s="5" t="n">
        <v>24.83</v>
      </c>
      <c r="K656" s="5" t="n"/>
      <c r="L656" s="5" t="n"/>
      <c r="M656" s="5" t="n"/>
      <c r="N656" s="5" t="n"/>
      <c r="O656" s="5" t="n">
        <v>149</v>
      </c>
      <c r="P656" s="5" t="n">
        <v>149</v>
      </c>
      <c r="Q656" s="5" t="n"/>
      <c r="R656" s="5" t="n"/>
    </row>
    <row r="657">
      <c r="A657" s="2" t="inlineStr">
        <is>
          <t>EJ010425.TXT</t>
        </is>
      </c>
      <c r="B657" s="3" t="inlineStr">
        <is>
          <t>001998</t>
        </is>
      </c>
      <c r="C657" s="3" t="inlineStr">
        <is>
          <t>001264</t>
        </is>
      </c>
      <c r="D657" s="4" t="n">
        <v>45731</v>
      </c>
      <c r="E657" s="2" t="inlineStr">
        <is>
          <t>17:39</t>
        </is>
      </c>
      <c r="F657" s="5" t="n">
        <v>274.17</v>
      </c>
      <c r="G657" s="5" t="n"/>
      <c r="H657" s="5" t="n"/>
      <c r="I657" s="5" t="n"/>
      <c r="J657" s="5" t="n">
        <v>54.83</v>
      </c>
      <c r="K657" s="5" t="n"/>
      <c r="L657" s="5" t="n"/>
      <c r="M657" s="5" t="n"/>
      <c r="N657" s="5" t="n"/>
      <c r="O657" s="5" t="n">
        <v>329</v>
      </c>
      <c r="P657" s="5" t="n"/>
      <c r="Q657" s="5" t="n">
        <v>329</v>
      </c>
      <c r="R657" s="5" t="n"/>
    </row>
    <row r="658">
      <c r="A658" s="2" t="inlineStr">
        <is>
          <t>EJ010425.TXT</t>
        </is>
      </c>
      <c r="B658" s="3" t="inlineStr">
        <is>
          <t>001999</t>
        </is>
      </c>
      <c r="C658" s="3" t="inlineStr">
        <is>
          <t>001265</t>
        </is>
      </c>
      <c r="D658" s="4" t="n">
        <v>45731</v>
      </c>
      <c r="E658" s="2" t="inlineStr">
        <is>
          <t>17:58</t>
        </is>
      </c>
      <c r="F658" s="5" t="n">
        <v>1195.83</v>
      </c>
      <c r="G658" s="5" t="n"/>
      <c r="H658" s="5" t="n"/>
      <c r="I658" s="5" t="n"/>
      <c r="J658" s="5" t="n">
        <v>239.17</v>
      </c>
      <c r="K658" s="5" t="n"/>
      <c r="L658" s="5" t="n"/>
      <c r="M658" s="5" t="n"/>
      <c r="N658" s="5" t="n"/>
      <c r="O658" s="5" t="n">
        <v>1435</v>
      </c>
      <c r="P658" s="5" t="n">
        <v>1435</v>
      </c>
      <c r="Q658" s="5" t="n"/>
      <c r="R658" s="5" t="n"/>
    </row>
    <row r="659">
      <c r="A659" s="2" t="inlineStr">
        <is>
          <t>EJ010425.TXT</t>
        </is>
      </c>
      <c r="B659" s="3" t="inlineStr">
        <is>
          <t>002000</t>
        </is>
      </c>
      <c r="C659" s="3" t="inlineStr">
        <is>
          <t>001266</t>
        </is>
      </c>
      <c r="D659" s="4" t="n">
        <v>45736</v>
      </c>
      <c r="E659" s="2" t="inlineStr">
        <is>
          <t>16:21</t>
        </is>
      </c>
      <c r="F659" s="5" t="n">
        <v>36.67</v>
      </c>
      <c r="G659" s="5" t="n"/>
      <c r="H659" s="5" t="n"/>
      <c r="I659" s="5" t="n"/>
      <c r="J659" s="5" t="n">
        <v>7.33</v>
      </c>
      <c r="K659" s="5" t="n"/>
      <c r="L659" s="5" t="n"/>
      <c r="M659" s="5" t="n"/>
      <c r="N659" s="5" t="n"/>
      <c r="O659" s="5" t="n">
        <v>44</v>
      </c>
      <c r="P659" s="5" t="n">
        <v>44</v>
      </c>
      <c r="Q659" s="5" t="n"/>
      <c r="R659" s="5" t="n"/>
    </row>
    <row r="660">
      <c r="A660" s="2" t="inlineStr">
        <is>
          <t>EJ010425.TXT</t>
        </is>
      </c>
      <c r="B660" s="3" t="inlineStr">
        <is>
          <t>002001</t>
        </is>
      </c>
      <c r="C660" s="3" t="inlineStr">
        <is>
          <t>001267</t>
        </is>
      </c>
      <c r="D660" s="4" t="n">
        <v>45737</v>
      </c>
      <c r="E660" s="2" t="inlineStr">
        <is>
          <t>11:01</t>
        </is>
      </c>
      <c r="F660" s="5" t="n">
        <v>73.33</v>
      </c>
      <c r="G660" s="5" t="n"/>
      <c r="H660" s="5" t="n"/>
      <c r="I660" s="5" t="n"/>
      <c r="J660" s="5" t="n">
        <v>14.67</v>
      </c>
      <c r="K660" s="5" t="n"/>
      <c r="L660" s="5" t="n"/>
      <c r="M660" s="5" t="n"/>
      <c r="N660" s="5" t="n"/>
      <c r="O660" s="5" t="n">
        <v>88</v>
      </c>
      <c r="P660" s="5" t="n">
        <v>88</v>
      </c>
      <c r="Q660" s="5" t="n"/>
      <c r="R660" s="5" t="n"/>
    </row>
    <row r="661">
      <c r="A661" s="2" t="inlineStr">
        <is>
          <t>EJ010425.TXT</t>
        </is>
      </c>
      <c r="B661" s="3" t="inlineStr">
        <is>
          <t>002002</t>
        </is>
      </c>
      <c r="C661" s="3" t="inlineStr">
        <is>
          <t>001268</t>
        </is>
      </c>
      <c r="D661" s="4" t="n">
        <v>45738</v>
      </c>
      <c r="E661" s="2" t="inlineStr">
        <is>
          <t>13:59</t>
        </is>
      </c>
      <c r="F661" s="5" t="n">
        <v>146.67</v>
      </c>
      <c r="G661" s="5" t="n"/>
      <c r="H661" s="5" t="n"/>
      <c r="I661" s="5" t="n"/>
      <c r="J661" s="5" t="n">
        <v>29.33</v>
      </c>
      <c r="K661" s="5" t="n"/>
      <c r="L661" s="5" t="n"/>
      <c r="M661" s="5" t="n"/>
      <c r="N661" s="5" t="n"/>
      <c r="O661" s="5" t="n">
        <v>176</v>
      </c>
      <c r="P661" s="5" t="n"/>
      <c r="Q661" s="5" t="n">
        <v>176</v>
      </c>
      <c r="R661" s="5" t="n"/>
    </row>
    <row r="662">
      <c r="A662" s="2" t="inlineStr">
        <is>
          <t>EJ010425.TXT</t>
        </is>
      </c>
      <c r="B662" s="3" t="inlineStr">
        <is>
          <t>002003</t>
        </is>
      </c>
      <c r="C662" s="3" t="inlineStr">
        <is>
          <t>001269</t>
        </is>
      </c>
      <c r="D662" s="4" t="n">
        <v>45743</v>
      </c>
      <c r="E662" s="2" t="inlineStr">
        <is>
          <t>12:55</t>
        </is>
      </c>
      <c r="F662" s="5" t="n">
        <v>174.08</v>
      </c>
      <c r="G662" s="5" t="n"/>
      <c r="H662" s="5" t="n"/>
      <c r="I662" s="5" t="n"/>
      <c r="J662" s="5" t="n">
        <v>34.82</v>
      </c>
      <c r="K662" s="5" t="n"/>
      <c r="L662" s="5" t="n"/>
      <c r="M662" s="5" t="n"/>
      <c r="N662" s="5" t="n"/>
      <c r="O662" s="5" t="n">
        <v>208.9</v>
      </c>
      <c r="P662" s="5" t="n">
        <v>208.9</v>
      </c>
      <c r="Q662" s="5" t="n"/>
      <c r="R662" s="5" t="n"/>
    </row>
    <row r="663">
      <c r="A663" s="2" t="inlineStr">
        <is>
          <t>EJ020525.TXT</t>
        </is>
      </c>
      <c r="B663" s="3" t="inlineStr">
        <is>
          <t>002007</t>
        </is>
      </c>
      <c r="C663" s="3" t="inlineStr">
        <is>
          <t>001270</t>
        </is>
      </c>
      <c r="D663" s="4" t="n">
        <v>45748</v>
      </c>
      <c r="E663" s="2" t="inlineStr">
        <is>
          <t>17:04</t>
        </is>
      </c>
      <c r="F663" s="5" t="n">
        <v>822.5</v>
      </c>
      <c r="G663" s="5" t="n"/>
      <c r="H663" s="5" t="n"/>
      <c r="I663" s="5" t="n"/>
      <c r="J663" s="5" t="n">
        <v>164.5</v>
      </c>
      <c r="K663" s="5" t="n"/>
      <c r="L663" s="5" t="n"/>
      <c r="M663" s="5" t="n"/>
      <c r="N663" s="5" t="n"/>
      <c r="O663" s="5" t="n">
        <v>987</v>
      </c>
      <c r="P663" s="5" t="n"/>
      <c r="Q663" s="5" t="n">
        <v>987</v>
      </c>
      <c r="R663" s="5" t="n"/>
    </row>
    <row r="664">
      <c r="A664" s="2" t="inlineStr">
        <is>
          <t>EJ020525.TXT</t>
        </is>
      </c>
      <c r="B664" s="3" t="inlineStr">
        <is>
          <t>002012</t>
        </is>
      </c>
      <c r="C664" s="3" t="inlineStr">
        <is>
          <t>001271</t>
        </is>
      </c>
      <c r="D664" s="4" t="n">
        <v>45749</v>
      </c>
      <c r="E664" s="2" t="inlineStr">
        <is>
          <t>14:28</t>
        </is>
      </c>
      <c r="F664" s="5" t="n">
        <v>797.5</v>
      </c>
      <c r="G664" s="5" t="n"/>
      <c r="H664" s="5" t="n"/>
      <c r="I664" s="5" t="n"/>
      <c r="J664" s="5" t="n">
        <v>159.5</v>
      </c>
      <c r="K664" s="5" t="n"/>
      <c r="L664" s="5" t="n"/>
      <c r="M664" s="5" t="n"/>
      <c r="N664" s="5" t="n"/>
      <c r="O664" s="5" t="n">
        <v>957</v>
      </c>
      <c r="P664" s="5" t="n"/>
      <c r="Q664" s="5" t="n">
        <v>957</v>
      </c>
      <c r="R664" s="5" t="n"/>
    </row>
    <row r="665">
      <c r="A665" s="2" t="inlineStr">
        <is>
          <t>EJ020525.TXT</t>
        </is>
      </c>
      <c r="B665" s="3" t="inlineStr">
        <is>
          <t>002014</t>
        </is>
      </c>
      <c r="C665" s="3" t="inlineStr">
        <is>
          <t>001272</t>
        </is>
      </c>
      <c r="D665" s="4" t="n">
        <v>45751</v>
      </c>
      <c r="E665" s="2" t="inlineStr">
        <is>
          <t>10:29</t>
        </is>
      </c>
      <c r="F665" s="5" t="n">
        <v>548.33</v>
      </c>
      <c r="G665" s="5" t="n"/>
      <c r="H665" s="5" t="n"/>
      <c r="I665" s="5" t="n"/>
      <c r="J665" s="5" t="n">
        <v>109.67</v>
      </c>
      <c r="K665" s="5" t="n"/>
      <c r="L665" s="5" t="n"/>
      <c r="M665" s="5" t="n"/>
      <c r="N665" s="5" t="n"/>
      <c r="O665" s="5" t="n">
        <v>658</v>
      </c>
      <c r="P665" s="5" t="n">
        <v>658</v>
      </c>
      <c r="Q665" s="5" t="n"/>
      <c r="R665" s="5" t="n"/>
    </row>
    <row r="666">
      <c r="A666" s="2" t="inlineStr">
        <is>
          <t>EJ020525.TXT</t>
        </is>
      </c>
      <c r="B666" s="3" t="inlineStr">
        <is>
          <t>002017</t>
        </is>
      </c>
      <c r="C666" s="3" t="inlineStr">
        <is>
          <t>001273</t>
        </is>
      </c>
      <c r="D666" s="4" t="n">
        <v>45755</v>
      </c>
      <c r="E666" s="2" t="inlineStr">
        <is>
          <t>13:37</t>
        </is>
      </c>
      <c r="F666" s="5" t="n">
        <v>781.67</v>
      </c>
      <c r="G666" s="5" t="n"/>
      <c r="H666" s="5" t="n"/>
      <c r="I666" s="5" t="n"/>
      <c r="J666" s="5" t="n">
        <v>156.33</v>
      </c>
      <c r="K666" s="5" t="n"/>
      <c r="L666" s="5" t="n"/>
      <c r="M666" s="5" t="n"/>
      <c r="N666" s="5" t="n"/>
      <c r="O666" s="5" t="n">
        <v>938</v>
      </c>
      <c r="P666" s="5" t="n"/>
      <c r="Q666" s="5" t="n">
        <v>938</v>
      </c>
      <c r="R666" s="5" t="n"/>
    </row>
    <row r="667">
      <c r="A667" s="2" t="inlineStr">
        <is>
          <t>EJ020525.TXT</t>
        </is>
      </c>
      <c r="B667" s="3" t="inlineStr">
        <is>
          <t>002018</t>
        </is>
      </c>
      <c r="C667" s="3" t="inlineStr">
        <is>
          <t>001274</t>
        </is>
      </c>
      <c r="D667" s="4" t="n">
        <v>45756</v>
      </c>
      <c r="E667" s="2" t="inlineStr">
        <is>
          <t>12:38</t>
        </is>
      </c>
      <c r="F667" s="5" t="n">
        <v>57.5</v>
      </c>
      <c r="G667" s="5" t="n"/>
      <c r="H667" s="5" t="n"/>
      <c r="I667" s="5" t="n"/>
      <c r="J667" s="5" t="n">
        <v>11.5</v>
      </c>
      <c r="K667" s="5" t="n"/>
      <c r="L667" s="5" t="n"/>
      <c r="M667" s="5" t="n"/>
      <c r="N667" s="5" t="n"/>
      <c r="O667" s="5" t="n">
        <v>69</v>
      </c>
      <c r="P667" s="5" t="n">
        <v>69</v>
      </c>
      <c r="Q667" s="5" t="n"/>
      <c r="R667" s="5" t="n"/>
    </row>
    <row r="668">
      <c r="A668" s="2" t="inlineStr">
        <is>
          <t>EJ020525.TXT</t>
        </is>
      </c>
      <c r="B668" s="3" t="inlineStr">
        <is>
          <t>002019</t>
        </is>
      </c>
      <c r="C668" s="3" t="inlineStr">
        <is>
          <t>001275</t>
        </is>
      </c>
      <c r="D668" s="4" t="n">
        <v>45757</v>
      </c>
      <c r="E668" s="2" t="inlineStr">
        <is>
          <t>12:01</t>
        </is>
      </c>
      <c r="F668" s="5" t="n">
        <v>274.17</v>
      </c>
      <c r="G668" s="5" t="n"/>
      <c r="H668" s="5" t="n"/>
      <c r="I668" s="5" t="n"/>
      <c r="J668" s="5" t="n">
        <v>54.83</v>
      </c>
      <c r="K668" s="5" t="n"/>
      <c r="L668" s="5" t="n"/>
      <c r="M668" s="5" t="n"/>
      <c r="N668" s="5" t="n"/>
      <c r="O668" s="5" t="n">
        <v>329</v>
      </c>
      <c r="P668" s="5" t="n"/>
      <c r="Q668" s="5" t="n">
        <v>329</v>
      </c>
      <c r="R668" s="5" t="n"/>
    </row>
    <row r="669">
      <c r="A669" s="2" t="inlineStr">
        <is>
          <t>EJ020525.TXT</t>
        </is>
      </c>
      <c r="B669" s="3" t="inlineStr">
        <is>
          <t>002021</t>
        </is>
      </c>
      <c r="C669" s="3" t="inlineStr">
        <is>
          <t>001276</t>
        </is>
      </c>
      <c r="D669" s="4" t="n">
        <v>45757</v>
      </c>
      <c r="E669" s="2" t="inlineStr">
        <is>
          <t>15:43</t>
        </is>
      </c>
      <c r="F669" s="5" t="n">
        <v>274.17</v>
      </c>
      <c r="G669" s="5" t="n"/>
      <c r="H669" s="5" t="n"/>
      <c r="I669" s="5" t="n"/>
      <c r="J669" s="5" t="n">
        <v>54.83</v>
      </c>
      <c r="K669" s="5" t="n"/>
      <c r="L669" s="5" t="n"/>
      <c r="M669" s="5" t="n"/>
      <c r="N669" s="5" t="n"/>
      <c r="O669" s="5" t="n">
        <v>329</v>
      </c>
      <c r="P669" s="5" t="n">
        <v>329</v>
      </c>
      <c r="Q669" s="5" t="n"/>
      <c r="R669" s="5" t="n"/>
    </row>
    <row r="670">
      <c r="A670" s="2" t="inlineStr">
        <is>
          <t>EJ020525.TXT</t>
        </is>
      </c>
      <c r="B670" s="3" t="inlineStr">
        <is>
          <t>002022</t>
        </is>
      </c>
      <c r="C670" s="3" t="inlineStr">
        <is>
          <t>001277</t>
        </is>
      </c>
      <c r="D670" s="4" t="n">
        <v>45758</v>
      </c>
      <c r="E670" s="2" t="inlineStr">
        <is>
          <t>13:52</t>
        </is>
      </c>
      <c r="F670" s="5" t="n">
        <v>274.17</v>
      </c>
      <c r="G670" s="5" t="n"/>
      <c r="H670" s="5" t="n"/>
      <c r="I670" s="5" t="n"/>
      <c r="J670" s="5" t="n">
        <v>54.83</v>
      </c>
      <c r="K670" s="5" t="n"/>
      <c r="L670" s="5" t="n"/>
      <c r="M670" s="5" t="n"/>
      <c r="N670" s="5" t="n"/>
      <c r="O670" s="5" t="n">
        <v>329</v>
      </c>
      <c r="P670" s="5" t="n">
        <v>329</v>
      </c>
      <c r="Q670" s="5" t="n"/>
      <c r="R670" s="5" t="n"/>
    </row>
    <row r="671">
      <c r="A671" s="2" t="inlineStr">
        <is>
          <t>EJ020525.TXT</t>
        </is>
      </c>
      <c r="B671" s="3" t="inlineStr">
        <is>
          <t>002023</t>
        </is>
      </c>
      <c r="C671" s="3" t="inlineStr">
        <is>
          <t>001278</t>
        </is>
      </c>
      <c r="D671" s="4" t="n">
        <v>45761</v>
      </c>
      <c r="E671" s="2" t="inlineStr">
        <is>
          <t>09:40</t>
        </is>
      </c>
      <c r="F671" s="5" t="n">
        <v>726.67</v>
      </c>
      <c r="G671" s="5" t="n"/>
      <c r="H671" s="5" t="n"/>
      <c r="I671" s="5" t="n"/>
      <c r="J671" s="5" t="n">
        <v>145.33</v>
      </c>
      <c r="K671" s="5" t="n"/>
      <c r="L671" s="5" t="n"/>
      <c r="M671" s="5" t="n"/>
      <c r="N671" s="5" t="n"/>
      <c r="O671" s="5" t="n">
        <v>872</v>
      </c>
      <c r="P671" s="5" t="n"/>
      <c r="Q671" s="5" t="n">
        <v>872</v>
      </c>
      <c r="R671" s="5" t="n"/>
    </row>
    <row r="672">
      <c r="A672" s="2" t="inlineStr">
        <is>
          <t>EJ020525.TXT</t>
        </is>
      </c>
      <c r="B672" s="3" t="inlineStr">
        <is>
          <t>002024</t>
        </is>
      </c>
      <c r="C672" s="3" t="inlineStr">
        <is>
          <t>001279</t>
        </is>
      </c>
      <c r="D672" s="4" t="n">
        <v>45761</v>
      </c>
      <c r="E672" s="2" t="inlineStr">
        <is>
          <t>16:51</t>
        </is>
      </c>
      <c r="F672" s="5" t="n">
        <v>398.33</v>
      </c>
      <c r="G672" s="5" t="n"/>
      <c r="H672" s="5" t="n"/>
      <c r="I672" s="5" t="n"/>
      <c r="J672" s="5" t="n">
        <v>79.67</v>
      </c>
      <c r="K672" s="5" t="n"/>
      <c r="L672" s="5" t="n"/>
      <c r="M672" s="5" t="n"/>
      <c r="N672" s="5" t="n"/>
      <c r="O672" s="5" t="n">
        <v>478</v>
      </c>
      <c r="P672" s="5" t="n">
        <v>478</v>
      </c>
      <c r="Q672" s="5" t="n"/>
      <c r="R672" s="5" t="n"/>
    </row>
    <row r="673">
      <c r="A673" s="2" t="inlineStr">
        <is>
          <t>EJ020525.TXT</t>
        </is>
      </c>
      <c r="B673" s="3" t="inlineStr">
        <is>
          <t>002025</t>
        </is>
      </c>
      <c r="C673" s="3" t="inlineStr">
        <is>
          <t>001280</t>
        </is>
      </c>
      <c r="D673" s="4" t="n">
        <v>45762</v>
      </c>
      <c r="E673" s="2" t="inlineStr">
        <is>
          <t>11:52</t>
        </is>
      </c>
      <c r="F673" s="5" t="n">
        <v>548.33</v>
      </c>
      <c r="G673" s="5" t="n"/>
      <c r="H673" s="5" t="n"/>
      <c r="I673" s="5" t="n"/>
      <c r="J673" s="5" t="n">
        <v>109.67</v>
      </c>
      <c r="K673" s="5" t="n"/>
      <c r="L673" s="5" t="n"/>
      <c r="M673" s="5" t="n"/>
      <c r="N673" s="5" t="n"/>
      <c r="O673" s="5" t="n">
        <v>658</v>
      </c>
      <c r="P673" s="5" t="n"/>
      <c r="Q673" s="5" t="n">
        <v>658</v>
      </c>
      <c r="R673" s="5" t="n"/>
    </row>
    <row r="674">
      <c r="A674" s="2" t="inlineStr">
        <is>
          <t>EJ020525.TXT</t>
        </is>
      </c>
      <c r="B674" s="3" t="inlineStr">
        <is>
          <t>002028</t>
        </is>
      </c>
      <c r="C674" s="3" t="inlineStr">
        <is>
          <t>001281</t>
        </is>
      </c>
      <c r="D674" s="4" t="n">
        <v>45763</v>
      </c>
      <c r="E674" s="2" t="inlineStr">
        <is>
          <t>09:19</t>
        </is>
      </c>
      <c r="F674" s="5" t="n">
        <v>790.83</v>
      </c>
      <c r="G674" s="5" t="n"/>
      <c r="H674" s="5" t="n"/>
      <c r="I674" s="5" t="n"/>
      <c r="J674" s="5" t="n">
        <v>158.17</v>
      </c>
      <c r="K674" s="5" t="n"/>
      <c r="L674" s="5" t="n"/>
      <c r="M674" s="5" t="n"/>
      <c r="N674" s="5" t="n"/>
      <c r="O674" s="5" t="n">
        <v>949</v>
      </c>
      <c r="P674" s="5" t="n"/>
      <c r="Q674" s="5" t="n">
        <v>949</v>
      </c>
      <c r="R674" s="5" t="n"/>
    </row>
    <row r="675">
      <c r="A675" s="2" t="inlineStr">
        <is>
          <t>EJ020525.TXT</t>
        </is>
      </c>
      <c r="B675" s="3" t="inlineStr">
        <is>
          <t>002029</t>
        </is>
      </c>
      <c r="C675" s="3" t="inlineStr">
        <is>
          <t>001282</t>
        </is>
      </c>
      <c r="D675" s="4" t="n">
        <v>45764</v>
      </c>
      <c r="E675" s="2" t="inlineStr">
        <is>
          <t>11:57</t>
        </is>
      </c>
      <c r="F675" s="5" t="n">
        <v>73.33</v>
      </c>
      <c r="G675" s="5" t="n"/>
      <c r="H675" s="5" t="n"/>
      <c r="I675" s="5" t="n"/>
      <c r="J675" s="5" t="n">
        <v>14.67</v>
      </c>
      <c r="K675" s="5" t="n"/>
      <c r="L675" s="5" t="n"/>
      <c r="M675" s="5" t="n"/>
      <c r="N675" s="5" t="n"/>
      <c r="O675" s="5" t="n">
        <v>88</v>
      </c>
      <c r="P675" s="5" t="n">
        <v>88</v>
      </c>
      <c r="Q675" s="5" t="n"/>
      <c r="R675" s="5" t="n"/>
    </row>
    <row r="676">
      <c r="A676" s="2" t="inlineStr">
        <is>
          <t>EJ020525.TXT</t>
        </is>
      </c>
      <c r="B676" s="3" t="inlineStr">
        <is>
          <t>002031</t>
        </is>
      </c>
      <c r="C676" s="3" t="inlineStr">
        <is>
          <t>001283</t>
        </is>
      </c>
      <c r="D676" s="4" t="n">
        <v>45766</v>
      </c>
      <c r="E676" s="2" t="inlineStr">
        <is>
          <t>13:51</t>
        </is>
      </c>
      <c r="F676" s="5" t="n">
        <v>248.33</v>
      </c>
      <c r="G676" s="5" t="n"/>
      <c r="H676" s="5" t="n"/>
      <c r="I676" s="5" t="n"/>
      <c r="J676" s="5" t="n">
        <v>49.67</v>
      </c>
      <c r="K676" s="5" t="n"/>
      <c r="L676" s="5" t="n"/>
      <c r="M676" s="5" t="n"/>
      <c r="N676" s="5" t="n"/>
      <c r="O676" s="5" t="n">
        <v>298</v>
      </c>
      <c r="P676" s="5" t="n">
        <v>298</v>
      </c>
      <c r="Q676" s="5" t="n"/>
      <c r="R676" s="5" t="n"/>
    </row>
    <row r="677">
      <c r="A677" s="2" t="inlineStr">
        <is>
          <t>EJ020525.TXT</t>
        </is>
      </c>
      <c r="B677" s="3" t="inlineStr">
        <is>
          <t>002032</t>
        </is>
      </c>
      <c r="C677" s="3" t="inlineStr">
        <is>
          <t>001284</t>
        </is>
      </c>
      <c r="D677" s="4" t="n">
        <v>45769</v>
      </c>
      <c r="E677" s="2" t="inlineStr">
        <is>
          <t>09:22</t>
        </is>
      </c>
      <c r="F677" s="5" t="n">
        <v>783.33</v>
      </c>
      <c r="G677" s="5" t="n"/>
      <c r="H677" s="5" t="n"/>
      <c r="I677" s="5" t="n"/>
      <c r="J677" s="5" t="n">
        <v>156.67</v>
      </c>
      <c r="K677" s="5" t="n"/>
      <c r="L677" s="5" t="n"/>
      <c r="M677" s="5" t="n"/>
      <c r="N677" s="5" t="n"/>
      <c r="O677" s="5" t="n">
        <v>940</v>
      </c>
      <c r="P677" s="5" t="n"/>
      <c r="Q677" s="5" t="n">
        <v>940</v>
      </c>
      <c r="R677" s="5" t="n"/>
    </row>
    <row r="678">
      <c r="A678" s="2" t="inlineStr">
        <is>
          <t>EJ020525.TXT</t>
        </is>
      </c>
      <c r="B678" s="3" t="inlineStr">
        <is>
          <t>002036</t>
        </is>
      </c>
      <c r="C678" s="3" t="inlineStr">
        <is>
          <t>001285</t>
        </is>
      </c>
      <c r="D678" s="4" t="n">
        <v>45772</v>
      </c>
      <c r="E678" s="2" t="inlineStr">
        <is>
          <t>16:45</t>
        </is>
      </c>
      <c r="F678" s="5" t="n">
        <v>724.17</v>
      </c>
      <c r="G678" s="5" t="n"/>
      <c r="H678" s="5" t="n"/>
      <c r="I678" s="5" t="n"/>
      <c r="J678" s="5" t="n">
        <v>144.83</v>
      </c>
      <c r="K678" s="5" t="n"/>
      <c r="L678" s="5" t="n"/>
      <c r="M678" s="5" t="n"/>
      <c r="N678" s="5" t="n"/>
      <c r="O678" s="5" t="n">
        <v>869</v>
      </c>
      <c r="P678" s="5" t="n"/>
      <c r="Q678" s="5" t="n">
        <v>869</v>
      </c>
      <c r="R678" s="5" t="n"/>
    </row>
    <row r="679">
      <c r="A679" s="2" t="inlineStr">
        <is>
          <t>EJ020525.TXT</t>
        </is>
      </c>
      <c r="B679" s="3" t="inlineStr">
        <is>
          <t>002037</t>
        </is>
      </c>
      <c r="C679" s="3" t="inlineStr">
        <is>
          <t>001286</t>
        </is>
      </c>
      <c r="D679" s="4" t="n">
        <v>45773</v>
      </c>
      <c r="E679" s="2" t="inlineStr">
        <is>
          <t>13:11</t>
        </is>
      </c>
      <c r="F679" s="5" t="n">
        <v>822.5</v>
      </c>
      <c r="G679" s="5" t="n"/>
      <c r="H679" s="5" t="n"/>
      <c r="I679" s="5" t="n"/>
      <c r="J679" s="5" t="n">
        <v>164.5</v>
      </c>
      <c r="K679" s="5" t="n"/>
      <c r="L679" s="5" t="n"/>
      <c r="M679" s="5" t="n"/>
      <c r="N679" s="5" t="n"/>
      <c r="O679" s="5" t="n">
        <v>987</v>
      </c>
      <c r="P679" s="5" t="n"/>
      <c r="Q679" s="5" t="n">
        <v>987</v>
      </c>
      <c r="R679" s="5" t="n"/>
    </row>
    <row r="680">
      <c r="A680" s="2" t="inlineStr">
        <is>
          <t>EJ020525.TXT</t>
        </is>
      </c>
      <c r="B680" s="3" t="inlineStr">
        <is>
          <t>002038</t>
        </is>
      </c>
      <c r="C680" s="3" t="inlineStr">
        <is>
          <t>001287</t>
        </is>
      </c>
      <c r="D680" s="4" t="n">
        <v>45775</v>
      </c>
      <c r="E680" s="2" t="inlineStr">
        <is>
          <t>10:28</t>
        </is>
      </c>
      <c r="F680" s="5" t="n">
        <v>548.33</v>
      </c>
      <c r="G680" s="5" t="n"/>
      <c r="H680" s="5" t="n"/>
      <c r="I680" s="5" t="n"/>
      <c r="J680" s="5" t="n">
        <v>109.67</v>
      </c>
      <c r="K680" s="5" t="n"/>
      <c r="L680" s="5" t="n"/>
      <c r="M680" s="5" t="n"/>
      <c r="N680" s="5" t="n"/>
      <c r="O680" s="5" t="n">
        <v>658</v>
      </c>
      <c r="P680" s="5" t="n"/>
      <c r="Q680" s="5" t="n">
        <v>658</v>
      </c>
      <c r="R680" s="5" t="n"/>
    </row>
    <row r="681">
      <c r="A681" s="2" t="inlineStr">
        <is>
          <t>EJ020525.TXT</t>
        </is>
      </c>
      <c r="B681" s="3" t="inlineStr">
        <is>
          <t>002039</t>
        </is>
      </c>
      <c r="C681" s="3" t="inlineStr">
        <is>
          <t>001288</t>
        </is>
      </c>
      <c r="D681" s="4" t="n">
        <v>45776</v>
      </c>
      <c r="E681" s="2" t="inlineStr">
        <is>
          <t>16:20</t>
        </is>
      </c>
      <c r="F681" s="5" t="n">
        <v>1096.67</v>
      </c>
      <c r="G681" s="5" t="n"/>
      <c r="H681" s="5" t="n"/>
      <c r="I681" s="5" t="n"/>
      <c r="J681" s="5" t="n">
        <v>219.33</v>
      </c>
      <c r="K681" s="5" t="n"/>
      <c r="L681" s="5" t="n"/>
      <c r="M681" s="5" t="n"/>
      <c r="N681" s="5" t="n"/>
      <c r="O681" s="5" t="n">
        <v>1316</v>
      </c>
      <c r="P681" s="5" t="n">
        <v>1316</v>
      </c>
      <c r="Q681" s="5" t="n"/>
      <c r="R681" s="5" t="n"/>
    </row>
    <row r="682">
      <c r="A682" s="2" t="inlineStr">
        <is>
          <t>EJ020525.TXT</t>
        </is>
      </c>
      <c r="B682" s="3" t="inlineStr">
        <is>
          <t>002040</t>
        </is>
      </c>
      <c r="C682" s="3" t="inlineStr">
        <is>
          <t>001289</t>
        </is>
      </c>
      <c r="D682" s="4" t="n">
        <v>45777</v>
      </c>
      <c r="E682" s="2" t="inlineStr">
        <is>
          <t>08:48</t>
        </is>
      </c>
      <c r="F682" s="5" t="n">
        <v>405</v>
      </c>
      <c r="G682" s="5" t="n"/>
      <c r="H682" s="5" t="n"/>
      <c r="I682" s="5" t="n"/>
      <c r="J682" s="5" t="n">
        <v>81</v>
      </c>
      <c r="K682" s="5" t="n"/>
      <c r="L682" s="5" t="n"/>
      <c r="M682" s="5" t="n"/>
      <c r="N682" s="5" t="n"/>
      <c r="O682" s="5" t="n">
        <v>486</v>
      </c>
      <c r="P682" s="5" t="n"/>
      <c r="Q682" s="5" t="n">
        <v>486</v>
      </c>
      <c r="R682" s="5" t="n"/>
    </row>
    <row r="683">
      <c r="A683" s="2" t="inlineStr">
        <is>
          <t>EJ020625.TXT</t>
        </is>
      </c>
      <c r="B683" s="3" t="inlineStr">
        <is>
          <t>002045</t>
        </is>
      </c>
      <c r="C683" s="3" t="inlineStr">
        <is>
          <t>001290</t>
        </is>
      </c>
      <c r="D683" s="4" t="n">
        <v>45779</v>
      </c>
      <c r="E683" s="2" t="inlineStr">
        <is>
          <t>09:50</t>
        </is>
      </c>
      <c r="F683" s="5" t="n">
        <v>265.83</v>
      </c>
      <c r="G683" s="5" t="n"/>
      <c r="H683" s="5" t="n"/>
      <c r="I683" s="5" t="n"/>
      <c r="J683" s="5" t="n">
        <v>53.17</v>
      </c>
      <c r="K683" s="5" t="n"/>
      <c r="L683" s="5" t="n"/>
      <c r="M683" s="5" t="n"/>
      <c r="N683" s="5" t="n"/>
      <c r="O683" s="5" t="n">
        <v>319</v>
      </c>
      <c r="P683" s="5" t="n"/>
      <c r="Q683" s="5" t="n">
        <v>319</v>
      </c>
      <c r="R683" s="5" t="n"/>
    </row>
    <row r="684">
      <c r="A684" s="2" t="inlineStr">
        <is>
          <t>EJ020625.TXT</t>
        </is>
      </c>
      <c r="B684" s="3" t="inlineStr">
        <is>
          <t>002047</t>
        </is>
      </c>
      <c r="C684" s="3" t="inlineStr">
        <is>
          <t>001291</t>
        </is>
      </c>
      <c r="D684" s="4" t="n">
        <v>45779</v>
      </c>
      <c r="E684" s="2" t="inlineStr">
        <is>
          <t>16:26</t>
        </is>
      </c>
      <c r="F684" s="5" t="n">
        <v>293.33</v>
      </c>
      <c r="G684" s="5" t="n"/>
      <c r="H684" s="5" t="n"/>
      <c r="I684" s="5" t="n"/>
      <c r="J684" s="5" t="n">
        <v>58.67</v>
      </c>
      <c r="K684" s="5" t="n"/>
      <c r="L684" s="5" t="n"/>
      <c r="M684" s="5" t="n"/>
      <c r="N684" s="5" t="n"/>
      <c r="O684" s="5" t="n">
        <v>352</v>
      </c>
      <c r="P684" s="5" t="n">
        <v>352</v>
      </c>
      <c r="Q684" s="5" t="n"/>
      <c r="R684" s="5" t="n"/>
    </row>
    <row r="685">
      <c r="A685" s="2" t="inlineStr">
        <is>
          <t>EJ020625.TXT</t>
        </is>
      </c>
      <c r="B685" s="3" t="inlineStr">
        <is>
          <t>002048</t>
        </is>
      </c>
      <c r="C685" s="3" t="inlineStr">
        <is>
          <t>001292</t>
        </is>
      </c>
      <c r="D685" s="4" t="n">
        <v>45782</v>
      </c>
      <c r="E685" s="2" t="inlineStr">
        <is>
          <t>13:29</t>
        </is>
      </c>
      <c r="F685" s="5" t="n">
        <v>33.33</v>
      </c>
      <c r="G685" s="5" t="n"/>
      <c r="H685" s="5" t="n"/>
      <c r="I685" s="5" t="n"/>
      <c r="J685" s="5" t="n">
        <v>6.67</v>
      </c>
      <c r="K685" s="5" t="n"/>
      <c r="L685" s="5" t="n"/>
      <c r="M685" s="5" t="n"/>
      <c r="N685" s="5" t="n"/>
      <c r="O685" s="5" t="n">
        <v>40</v>
      </c>
      <c r="P685" s="5" t="n"/>
      <c r="Q685" s="5" t="n"/>
      <c r="R685" s="5" t="n">
        <v>40</v>
      </c>
    </row>
    <row r="686">
      <c r="A686" s="2" t="inlineStr">
        <is>
          <t>EJ020625.TXT</t>
        </is>
      </c>
      <c r="B686" s="3" t="inlineStr">
        <is>
          <t>002049</t>
        </is>
      </c>
      <c r="C686" s="3" t="inlineStr">
        <is>
          <t>001293</t>
        </is>
      </c>
      <c r="D686" s="4" t="n">
        <v>45786</v>
      </c>
      <c r="E686" s="2" t="inlineStr">
        <is>
          <t>12:49</t>
        </is>
      </c>
      <c r="F686" s="5" t="n">
        <v>73.33</v>
      </c>
      <c r="G686" s="5" t="n"/>
      <c r="H686" s="5" t="n"/>
      <c r="I686" s="5" t="n"/>
      <c r="J686" s="5" t="n">
        <v>14.67</v>
      </c>
      <c r="K686" s="5" t="n"/>
      <c r="L686" s="5" t="n"/>
      <c r="M686" s="5" t="n"/>
      <c r="N686" s="5" t="n"/>
      <c r="O686" s="5" t="n">
        <v>88</v>
      </c>
      <c r="P686" s="5" t="n">
        <v>88</v>
      </c>
      <c r="Q686" s="5" t="n"/>
      <c r="R686" s="5" t="n"/>
    </row>
    <row r="687">
      <c r="A687" s="2" t="inlineStr">
        <is>
          <t>EJ020625.TXT</t>
        </is>
      </c>
      <c r="B687" s="3" t="inlineStr">
        <is>
          <t>002057</t>
        </is>
      </c>
      <c r="C687" s="3" t="inlineStr">
        <is>
          <t>001294</t>
        </is>
      </c>
      <c r="D687" s="4" t="n">
        <v>45792</v>
      </c>
      <c r="E687" s="2" t="inlineStr">
        <is>
          <t>16:08</t>
        </is>
      </c>
      <c r="F687" s="5" t="n">
        <v>465.83</v>
      </c>
      <c r="G687" s="5" t="n"/>
      <c r="H687" s="5" t="n"/>
      <c r="I687" s="5" t="n"/>
      <c r="J687" s="5" t="n">
        <v>93.17</v>
      </c>
      <c r="K687" s="5" t="n"/>
      <c r="L687" s="5" t="n"/>
      <c r="M687" s="5" t="n"/>
      <c r="N687" s="5" t="n"/>
      <c r="O687" s="5" t="n">
        <v>559</v>
      </c>
      <c r="P687" s="5" t="n"/>
      <c r="Q687" s="5" t="n">
        <v>559</v>
      </c>
      <c r="R687" s="5" t="n"/>
    </row>
    <row r="688">
      <c r="A688" s="2" t="inlineStr">
        <is>
          <t>EJ020625.TXT</t>
        </is>
      </c>
      <c r="B688" s="3" t="inlineStr">
        <is>
          <t>002058</t>
        </is>
      </c>
      <c r="C688" s="3" t="inlineStr">
        <is>
          <t>001295</t>
        </is>
      </c>
      <c r="D688" s="4" t="n">
        <v>45792</v>
      </c>
      <c r="E688" s="2" t="inlineStr">
        <is>
          <t>16:08</t>
        </is>
      </c>
      <c r="F688" s="5" t="n">
        <v>465.83</v>
      </c>
      <c r="G688" s="5" t="n"/>
      <c r="H688" s="5" t="n"/>
      <c r="I688" s="5" t="n"/>
      <c r="J688" s="5" t="n">
        <v>93.17</v>
      </c>
      <c r="K688" s="5" t="n"/>
      <c r="L688" s="5" t="n"/>
      <c r="M688" s="5" t="n"/>
      <c r="N688" s="5" t="n"/>
      <c r="O688" s="5" t="n">
        <v>559</v>
      </c>
      <c r="P688" s="5" t="n"/>
      <c r="Q688" s="5" t="n">
        <v>559</v>
      </c>
      <c r="R688" s="5" t="n"/>
    </row>
    <row r="689">
      <c r="A689" s="2" t="inlineStr">
        <is>
          <t>EJ020625.TXT</t>
        </is>
      </c>
      <c r="B689" s="3" t="inlineStr">
        <is>
          <t>002059</t>
        </is>
      </c>
      <c r="C689" s="3" t="inlineStr">
        <is>
          <t>001296</t>
        </is>
      </c>
      <c r="D689" s="4" t="n">
        <v>45793</v>
      </c>
      <c r="E689" s="2" t="inlineStr">
        <is>
          <t>09:50</t>
        </is>
      </c>
      <c r="F689" s="5" t="n">
        <v>36.67</v>
      </c>
      <c r="G689" s="5" t="n"/>
      <c r="H689" s="5" t="n"/>
      <c r="I689" s="5" t="n"/>
      <c r="J689" s="5" t="n">
        <v>7.33</v>
      </c>
      <c r="K689" s="5" t="n"/>
      <c r="L689" s="5" t="n"/>
      <c r="M689" s="5" t="n"/>
      <c r="N689" s="5" t="n"/>
      <c r="O689" s="5" t="n">
        <v>44</v>
      </c>
      <c r="P689" s="5" t="n">
        <v>44</v>
      </c>
      <c r="Q689" s="5" t="n"/>
      <c r="R689" s="5" t="n"/>
    </row>
    <row r="690">
      <c r="A690" s="2" t="inlineStr">
        <is>
          <t>EJ020625.TXT</t>
        </is>
      </c>
      <c r="B690" s="3" t="inlineStr">
        <is>
          <t>002060</t>
        </is>
      </c>
      <c r="C690" s="3" t="inlineStr">
        <is>
          <t>001297</t>
        </is>
      </c>
      <c r="D690" s="4" t="n">
        <v>45793</v>
      </c>
      <c r="E690" s="2" t="inlineStr">
        <is>
          <t>14:48</t>
        </is>
      </c>
      <c r="F690" s="5" t="n">
        <v>274.17</v>
      </c>
      <c r="G690" s="5" t="n"/>
      <c r="H690" s="5" t="n"/>
      <c r="I690" s="5" t="n"/>
      <c r="J690" s="5" t="n">
        <v>54.83</v>
      </c>
      <c r="K690" s="5" t="n"/>
      <c r="L690" s="5" t="n"/>
      <c r="M690" s="5" t="n"/>
      <c r="N690" s="5" t="n"/>
      <c r="O690" s="5" t="n">
        <v>329</v>
      </c>
      <c r="P690" s="5" t="n"/>
      <c r="Q690" s="5" t="n">
        <v>329</v>
      </c>
      <c r="R690" s="5" t="n"/>
    </row>
    <row r="691">
      <c r="A691" s="2" t="inlineStr">
        <is>
          <t>EJ020625.TXT</t>
        </is>
      </c>
      <c r="B691" s="3" t="inlineStr">
        <is>
          <t>002062</t>
        </is>
      </c>
      <c r="C691" s="3" t="inlineStr">
        <is>
          <t>001298</t>
        </is>
      </c>
      <c r="D691" s="4" t="n">
        <v>45794</v>
      </c>
      <c r="E691" s="2" t="inlineStr">
        <is>
          <t>14:04</t>
        </is>
      </c>
      <c r="F691" s="5" t="n">
        <v>274.17</v>
      </c>
      <c r="G691" s="5" t="n"/>
      <c r="H691" s="5" t="n"/>
      <c r="I691" s="5" t="n"/>
      <c r="J691" s="5" t="n">
        <v>54.83</v>
      </c>
      <c r="K691" s="5" t="n"/>
      <c r="L691" s="5" t="n"/>
      <c r="M691" s="5" t="n"/>
      <c r="N691" s="5" t="n"/>
      <c r="O691" s="5" t="n">
        <v>329</v>
      </c>
      <c r="P691" s="5" t="n">
        <v>329</v>
      </c>
      <c r="Q691" s="5" t="n"/>
      <c r="R691" s="5" t="n"/>
    </row>
    <row r="692">
      <c r="A692" s="2" t="inlineStr">
        <is>
          <t>EJ020625.TXT</t>
        </is>
      </c>
      <c r="B692" s="3" t="inlineStr">
        <is>
          <t>002063</t>
        </is>
      </c>
      <c r="C692" s="3" t="inlineStr">
        <is>
          <t>001299</t>
        </is>
      </c>
      <c r="D692" s="4" t="n">
        <v>45796</v>
      </c>
      <c r="E692" s="2" t="inlineStr">
        <is>
          <t>16:20</t>
        </is>
      </c>
      <c r="F692" s="5" t="n">
        <v>41.58</v>
      </c>
      <c r="G692" s="5" t="n"/>
      <c r="H692" s="5" t="n"/>
      <c r="I692" s="5" t="n"/>
      <c r="J692" s="5" t="n">
        <v>8.32</v>
      </c>
      <c r="K692" s="5" t="n"/>
      <c r="L692" s="5" t="n"/>
      <c r="M692" s="5" t="n"/>
      <c r="N692" s="5" t="n"/>
      <c r="O692" s="5" t="n">
        <v>49.9</v>
      </c>
      <c r="P692" s="5" t="n">
        <v>49.9</v>
      </c>
      <c r="Q692" s="5" t="n"/>
      <c r="R692" s="5" t="n"/>
    </row>
    <row r="693">
      <c r="A693" s="2" t="inlineStr">
        <is>
          <t>EJ020625.TXT</t>
        </is>
      </c>
      <c r="B693" s="3" t="inlineStr">
        <is>
          <t>002064</t>
        </is>
      </c>
      <c r="C693" s="3" t="inlineStr">
        <is>
          <t>001300</t>
        </is>
      </c>
      <c r="D693" s="4" t="n">
        <v>45797</v>
      </c>
      <c r="E693" s="2" t="inlineStr">
        <is>
          <t>14:19</t>
        </is>
      </c>
      <c r="F693" s="5" t="n">
        <v>207.5</v>
      </c>
      <c r="G693" s="5" t="n"/>
      <c r="H693" s="5" t="n"/>
      <c r="I693" s="5" t="n"/>
      <c r="J693" s="5" t="n">
        <v>41.5</v>
      </c>
      <c r="K693" s="5" t="n"/>
      <c r="L693" s="5" t="n"/>
      <c r="M693" s="5" t="n"/>
      <c r="N693" s="5" t="n"/>
      <c r="O693" s="5" t="n">
        <v>249</v>
      </c>
      <c r="P693" s="5" t="n">
        <v>249</v>
      </c>
      <c r="Q693" s="5" t="n"/>
      <c r="R693" s="5" t="n"/>
    </row>
    <row r="694">
      <c r="A694" s="2" t="inlineStr">
        <is>
          <t>EJ020625.TXT</t>
        </is>
      </c>
      <c r="B694" s="3" t="inlineStr">
        <is>
          <t>002067</t>
        </is>
      </c>
      <c r="C694" s="3" t="inlineStr">
        <is>
          <t>001301</t>
        </is>
      </c>
      <c r="D694" s="4" t="n">
        <v>45803</v>
      </c>
      <c r="E694" s="2" t="inlineStr">
        <is>
          <t>08:55</t>
        </is>
      </c>
      <c r="F694" s="5" t="n">
        <v>548.33</v>
      </c>
      <c r="G694" s="5" t="n"/>
      <c r="H694" s="5" t="n"/>
      <c r="I694" s="5" t="n"/>
      <c r="J694" s="5" t="n">
        <v>109.67</v>
      </c>
      <c r="K694" s="5" t="n"/>
      <c r="L694" s="5" t="n"/>
      <c r="M694" s="5" t="n"/>
      <c r="N694" s="5" t="n"/>
      <c r="O694" s="5" t="n">
        <v>658</v>
      </c>
      <c r="P694" s="5" t="n"/>
      <c r="Q694" s="5" t="n">
        <v>658</v>
      </c>
      <c r="R694" s="5" t="n"/>
    </row>
    <row r="695">
      <c r="A695" s="2" t="inlineStr">
        <is>
          <t>EJ020625.TXT</t>
        </is>
      </c>
      <c r="B695" s="3" t="inlineStr">
        <is>
          <t>002068</t>
        </is>
      </c>
      <c r="C695" s="3" t="inlineStr">
        <is>
          <t>001302</t>
        </is>
      </c>
      <c r="D695" s="4" t="n">
        <v>45805</v>
      </c>
      <c r="E695" s="2" t="inlineStr">
        <is>
          <t>16:08</t>
        </is>
      </c>
      <c r="F695" s="5" t="n">
        <v>41.58</v>
      </c>
      <c r="G695" s="5" t="n"/>
      <c r="H695" s="5" t="n"/>
      <c r="I695" s="5" t="n"/>
      <c r="J695" s="5" t="n">
        <v>8.32</v>
      </c>
      <c r="K695" s="5" t="n"/>
      <c r="L695" s="5" t="n"/>
      <c r="M695" s="5" t="n"/>
      <c r="N695" s="5" t="n"/>
      <c r="O695" s="5" t="n">
        <v>49.9</v>
      </c>
      <c r="P695" s="5" t="n">
        <v>49.9</v>
      </c>
      <c r="Q695" s="5" t="n"/>
      <c r="R695" s="5" t="n"/>
    </row>
    <row r="696">
      <c r="A696" s="2" t="inlineStr">
        <is>
          <t>EJ020625.TXT</t>
        </is>
      </c>
      <c r="B696" s="3" t="inlineStr">
        <is>
          <t>002069</t>
        </is>
      </c>
      <c r="C696" s="3" t="inlineStr">
        <is>
          <t>001303</t>
        </is>
      </c>
      <c r="D696" s="4" t="n">
        <v>45807</v>
      </c>
      <c r="E696" s="2" t="inlineStr">
        <is>
          <t>16:12</t>
        </is>
      </c>
      <c r="F696" s="5" t="n">
        <v>149.92</v>
      </c>
      <c r="G696" s="5" t="n"/>
      <c r="H696" s="5" t="n"/>
      <c r="I696" s="5" t="n"/>
      <c r="J696" s="5" t="n">
        <v>29.98</v>
      </c>
      <c r="K696" s="5" t="n"/>
      <c r="L696" s="5" t="n"/>
      <c r="M696" s="5" t="n"/>
      <c r="N696" s="5" t="n"/>
      <c r="O696" s="5" t="n">
        <v>179.9</v>
      </c>
      <c r="P696" s="5" t="n">
        <v>179.9</v>
      </c>
      <c r="Q696" s="5" t="n"/>
      <c r="R696" s="5" t="n"/>
    </row>
    <row r="697">
      <c r="A697" s="2" t="inlineStr">
        <is>
          <t>EJ010825.TXT</t>
        </is>
      </c>
      <c r="B697" s="3" t="inlineStr">
        <is>
          <t>002078</t>
        </is>
      </c>
      <c r="C697" s="3" t="inlineStr">
        <is>
          <t>001304</t>
        </is>
      </c>
      <c r="D697" s="4" t="n">
        <v>45811</v>
      </c>
      <c r="E697" s="2" t="inlineStr">
        <is>
          <t>11:05</t>
        </is>
      </c>
      <c r="F697" s="5" t="n">
        <v>548.33</v>
      </c>
      <c r="G697" s="5" t="n"/>
      <c r="H697" s="5" t="n"/>
      <c r="I697" s="5" t="n"/>
      <c r="J697" s="5" t="n">
        <v>109.67</v>
      </c>
      <c r="K697" s="5" t="n"/>
      <c r="L697" s="5" t="n"/>
      <c r="M697" s="5" t="n"/>
      <c r="N697" s="5" t="n"/>
      <c r="O697" s="5" t="n">
        <v>658</v>
      </c>
      <c r="P697" s="5" t="n">
        <v>658</v>
      </c>
      <c r="Q697" s="5" t="n"/>
      <c r="R697" s="5" t="n"/>
    </row>
    <row r="698">
      <c r="A698" s="2" t="inlineStr">
        <is>
          <t>EJ010825.TXT</t>
        </is>
      </c>
      <c r="B698" s="3" t="inlineStr">
        <is>
          <t>002079</t>
        </is>
      </c>
      <c r="C698" s="3" t="inlineStr">
        <is>
          <t>001305</t>
        </is>
      </c>
      <c r="D698" s="4" t="n">
        <v>45811</v>
      </c>
      <c r="E698" s="2" t="inlineStr">
        <is>
          <t>11:37</t>
        </is>
      </c>
      <c r="F698" s="5" t="n">
        <v>49.92</v>
      </c>
      <c r="G698" s="5" t="n"/>
      <c r="H698" s="5" t="n"/>
      <c r="I698" s="5" t="n"/>
      <c r="J698" s="5" t="n">
        <v>9.98</v>
      </c>
      <c r="K698" s="5" t="n"/>
      <c r="L698" s="5" t="n"/>
      <c r="M698" s="5" t="n"/>
      <c r="N698" s="5" t="n"/>
      <c r="O698" s="5" t="n">
        <v>59.9</v>
      </c>
      <c r="P698" s="5" t="n">
        <v>59.9</v>
      </c>
      <c r="Q698" s="5" t="n"/>
      <c r="R698" s="5" t="n"/>
    </row>
    <row r="699">
      <c r="A699" s="2" t="inlineStr">
        <is>
          <t>EJ010825.TXT</t>
        </is>
      </c>
      <c r="B699" s="3" t="inlineStr">
        <is>
          <t>002080</t>
        </is>
      </c>
      <c r="C699" s="3" t="inlineStr">
        <is>
          <t>001306</t>
        </is>
      </c>
      <c r="D699" s="4" t="n">
        <v>45820</v>
      </c>
      <c r="E699" s="2" t="inlineStr">
        <is>
          <t>14:27</t>
        </is>
      </c>
      <c r="F699" s="5" t="n">
        <v>274.17</v>
      </c>
      <c r="G699" s="5" t="n"/>
      <c r="H699" s="5" t="n"/>
      <c r="I699" s="5" t="n"/>
      <c r="J699" s="5" t="n">
        <v>54.83</v>
      </c>
      <c r="K699" s="5" t="n"/>
      <c r="L699" s="5" t="n"/>
      <c r="M699" s="5" t="n"/>
      <c r="N699" s="5" t="n"/>
      <c r="O699" s="5" t="n">
        <v>329</v>
      </c>
      <c r="P699" s="5" t="n"/>
      <c r="Q699" s="5" t="n">
        <v>329</v>
      </c>
      <c r="R699" s="5" t="n"/>
    </row>
    <row r="700">
      <c r="A700" s="2" t="inlineStr">
        <is>
          <t>EJ010825.TXT</t>
        </is>
      </c>
      <c r="B700" s="3" t="inlineStr">
        <is>
          <t>002081</t>
        </is>
      </c>
      <c r="C700" s="3" t="inlineStr">
        <is>
          <t>001307</t>
        </is>
      </c>
      <c r="D700" s="4" t="n">
        <v>45820</v>
      </c>
      <c r="E700" s="2" t="inlineStr">
        <is>
          <t>16:25</t>
        </is>
      </c>
      <c r="F700" s="5" t="n">
        <v>548.33</v>
      </c>
      <c r="G700" s="5" t="n"/>
      <c r="H700" s="5" t="n"/>
      <c r="I700" s="5" t="n"/>
      <c r="J700" s="5" t="n">
        <v>109.67</v>
      </c>
      <c r="K700" s="5" t="n"/>
      <c r="L700" s="5" t="n"/>
      <c r="M700" s="5" t="n"/>
      <c r="N700" s="5" t="n"/>
      <c r="O700" s="5" t="n">
        <v>658</v>
      </c>
      <c r="P700" s="5" t="n">
        <v>658</v>
      </c>
      <c r="Q700" s="5" t="n"/>
      <c r="R700" s="5" t="n"/>
    </row>
    <row r="701">
      <c r="A701" s="2" t="inlineStr">
        <is>
          <t>EJ010825.TXT</t>
        </is>
      </c>
      <c r="B701" s="3" t="inlineStr">
        <is>
          <t>002082</t>
        </is>
      </c>
      <c r="C701" s="3" t="inlineStr">
        <is>
          <t>001308</t>
        </is>
      </c>
      <c r="D701" s="4" t="n">
        <v>45824</v>
      </c>
      <c r="E701" s="2" t="inlineStr">
        <is>
          <t>13:03</t>
        </is>
      </c>
      <c r="F701" s="5" t="n">
        <v>415</v>
      </c>
      <c r="G701" s="5" t="n"/>
      <c r="H701" s="5" t="n"/>
      <c r="I701" s="5" t="n"/>
      <c r="J701" s="5" t="n">
        <v>83</v>
      </c>
      <c r="K701" s="5" t="n"/>
      <c r="L701" s="5" t="n"/>
      <c r="M701" s="5" t="n"/>
      <c r="N701" s="5" t="n"/>
      <c r="O701" s="5" t="n">
        <v>498</v>
      </c>
      <c r="P701" s="5" t="n">
        <v>498</v>
      </c>
      <c r="Q701" s="5" t="n"/>
      <c r="R701" s="5" t="n"/>
    </row>
    <row r="702">
      <c r="A702" s="2" t="inlineStr">
        <is>
          <t>EJ010825.TXT</t>
        </is>
      </c>
      <c r="B702" s="3" t="inlineStr">
        <is>
          <t>002083</t>
        </is>
      </c>
      <c r="C702" s="3" t="inlineStr">
        <is>
          <t>001309</t>
        </is>
      </c>
      <c r="D702" s="4" t="n">
        <v>45825</v>
      </c>
      <c r="E702" s="2" t="inlineStr">
        <is>
          <t>15:58</t>
        </is>
      </c>
      <c r="F702" s="5" t="n">
        <v>274.17</v>
      </c>
      <c r="G702" s="5" t="n"/>
      <c r="H702" s="5" t="n"/>
      <c r="I702" s="5" t="n"/>
      <c r="J702" s="5" t="n">
        <v>54.83</v>
      </c>
      <c r="K702" s="5" t="n"/>
      <c r="L702" s="5" t="n"/>
      <c r="M702" s="5" t="n"/>
      <c r="N702" s="5" t="n"/>
      <c r="O702" s="5" t="n">
        <v>329</v>
      </c>
      <c r="P702" s="5" t="n"/>
      <c r="Q702" s="5" t="n">
        <v>329</v>
      </c>
      <c r="R702" s="5" t="n"/>
    </row>
    <row r="703">
      <c r="A703" s="2" t="inlineStr">
        <is>
          <t>EJ010825.TXT</t>
        </is>
      </c>
      <c r="B703" s="3" t="inlineStr">
        <is>
          <t>002084</t>
        </is>
      </c>
      <c r="C703" s="3" t="inlineStr">
        <is>
          <t>001310</t>
        </is>
      </c>
      <c r="D703" s="4" t="n">
        <v>45828</v>
      </c>
      <c r="E703" s="2" t="inlineStr">
        <is>
          <t>14:36</t>
        </is>
      </c>
      <c r="F703" s="5" t="n">
        <v>274.17</v>
      </c>
      <c r="G703" s="5" t="n"/>
      <c r="H703" s="5" t="n"/>
      <c r="I703" s="5" t="n"/>
      <c r="J703" s="5" t="n">
        <v>54.83</v>
      </c>
      <c r="K703" s="5" t="n"/>
      <c r="L703" s="5" t="n"/>
      <c r="M703" s="5" t="n"/>
      <c r="N703" s="5" t="n"/>
      <c r="O703" s="5" t="n">
        <v>329</v>
      </c>
      <c r="P703" s="5" t="n">
        <v>329</v>
      </c>
      <c r="Q703" s="5" t="n"/>
      <c r="R703" s="5" t="n"/>
    </row>
    <row r="704">
      <c r="A704" s="2" t="inlineStr">
        <is>
          <t>EJ010825.TXT</t>
        </is>
      </c>
      <c r="B704" s="3" t="inlineStr">
        <is>
          <t>002085</t>
        </is>
      </c>
      <c r="C704" s="3" t="inlineStr">
        <is>
          <t>001311</t>
        </is>
      </c>
      <c r="D704" s="4" t="n">
        <v>45835</v>
      </c>
      <c r="E704" s="2" t="inlineStr">
        <is>
          <t>09:08</t>
        </is>
      </c>
      <c r="F704" s="5" t="n">
        <v>73.33</v>
      </c>
      <c r="G704" s="5" t="n"/>
      <c r="H704" s="5" t="n"/>
      <c r="I704" s="5" t="n"/>
      <c r="J704" s="5" t="n">
        <v>14.67</v>
      </c>
      <c r="K704" s="5" t="n"/>
      <c r="L704" s="5" t="n"/>
      <c r="M704" s="5" t="n"/>
      <c r="N704" s="5" t="n"/>
      <c r="O704" s="5" t="n">
        <v>88</v>
      </c>
      <c r="P704" s="5" t="n">
        <v>88</v>
      </c>
      <c r="Q704" s="5" t="n"/>
      <c r="R704" s="5" t="n"/>
    </row>
    <row r="705">
      <c r="A705" s="2" t="inlineStr">
        <is>
          <t>EJ010825.TXT</t>
        </is>
      </c>
      <c r="B705" s="3" t="inlineStr">
        <is>
          <t>002086</t>
        </is>
      </c>
      <c r="C705" s="3" t="inlineStr">
        <is>
          <t>001312</t>
        </is>
      </c>
      <c r="D705" s="4" t="n">
        <v>45839</v>
      </c>
      <c r="E705" s="2" t="inlineStr">
        <is>
          <t>10:01</t>
        </is>
      </c>
      <c r="F705" s="5" t="n">
        <v>531.67</v>
      </c>
      <c r="G705" s="5" t="n"/>
      <c r="H705" s="5" t="n"/>
      <c r="I705" s="5" t="n"/>
      <c r="J705" s="5" t="n">
        <v>106.33</v>
      </c>
      <c r="K705" s="5" t="n"/>
      <c r="L705" s="5" t="n"/>
      <c r="M705" s="5" t="n"/>
      <c r="N705" s="5" t="n"/>
      <c r="O705" s="5" t="n">
        <v>638</v>
      </c>
      <c r="P705" s="5" t="n">
        <v>638</v>
      </c>
      <c r="Q705" s="5" t="n"/>
      <c r="R705" s="5" t="n"/>
    </row>
    <row r="706">
      <c r="A706" s="2" t="inlineStr">
        <is>
          <t>EJ010825.TXT</t>
        </is>
      </c>
      <c r="B706" s="3" t="inlineStr">
        <is>
          <t>002088</t>
        </is>
      </c>
      <c r="C706" s="3" t="inlineStr">
        <is>
          <t>001313</t>
        </is>
      </c>
      <c r="D706" s="4" t="n">
        <v>45841</v>
      </c>
      <c r="E706" s="2" t="inlineStr">
        <is>
          <t>14:15</t>
        </is>
      </c>
      <c r="F706" s="5" t="n">
        <v>248.33</v>
      </c>
      <c r="G706" s="5" t="n"/>
      <c r="H706" s="5" t="n"/>
      <c r="I706" s="5" t="n"/>
      <c r="J706" s="5" t="n">
        <v>49.67</v>
      </c>
      <c r="K706" s="5" t="n"/>
      <c r="L706" s="5" t="n"/>
      <c r="M706" s="5" t="n"/>
      <c r="N706" s="5" t="n"/>
      <c r="O706" s="5" t="n">
        <v>298</v>
      </c>
      <c r="P706" s="5" t="n"/>
      <c r="Q706" s="5" t="n">
        <v>298</v>
      </c>
      <c r="R706" s="5" t="n"/>
    </row>
    <row r="707">
      <c r="A707" s="2" t="inlineStr">
        <is>
          <t>EJ010825.TXT</t>
        </is>
      </c>
      <c r="B707" s="3" t="inlineStr">
        <is>
          <t>002089</t>
        </is>
      </c>
      <c r="C707" s="3" t="inlineStr">
        <is>
          <t>001314</t>
        </is>
      </c>
      <c r="D707" s="4" t="n">
        <v>45848</v>
      </c>
      <c r="E707" s="2" t="inlineStr">
        <is>
          <t>14:53</t>
        </is>
      </c>
      <c r="F707" s="5" t="n">
        <v>866.67</v>
      </c>
      <c r="G707" s="5" t="n"/>
      <c r="H707" s="5" t="n"/>
      <c r="I707" s="5" t="n"/>
      <c r="J707" s="5" t="n">
        <v>173.33</v>
      </c>
      <c r="K707" s="5" t="n"/>
      <c r="L707" s="5" t="n"/>
      <c r="M707" s="5" t="n"/>
      <c r="N707" s="5" t="n"/>
      <c r="O707" s="5" t="n">
        <v>1040</v>
      </c>
      <c r="P707" s="5" t="n">
        <v>1040</v>
      </c>
      <c r="Q707" s="5" t="n"/>
      <c r="R707" s="5" t="n"/>
    </row>
    <row r="708">
      <c r="A708" s="2" t="inlineStr">
        <is>
          <t>EJ010825.TXT</t>
        </is>
      </c>
      <c r="B708" s="3" t="inlineStr">
        <is>
          <t>002090</t>
        </is>
      </c>
      <c r="C708" s="3" t="inlineStr">
        <is>
          <t>001315</t>
        </is>
      </c>
      <c r="D708" s="4" t="n">
        <v>45849</v>
      </c>
      <c r="E708" s="2" t="inlineStr">
        <is>
          <t>15:57</t>
        </is>
      </c>
      <c r="F708" s="5" t="n">
        <v>274.17</v>
      </c>
      <c r="G708" s="5" t="n"/>
      <c r="H708" s="5" t="n"/>
      <c r="I708" s="5" t="n"/>
      <c r="J708" s="5" t="n">
        <v>54.83</v>
      </c>
      <c r="K708" s="5" t="n"/>
      <c r="L708" s="5" t="n"/>
      <c r="M708" s="5" t="n"/>
      <c r="N708" s="5" t="n"/>
      <c r="O708" s="5" t="n">
        <v>329</v>
      </c>
      <c r="P708" s="5" t="n">
        <v>329</v>
      </c>
      <c r="Q708" s="5" t="n"/>
      <c r="R708" s="5" t="n"/>
    </row>
    <row r="709">
      <c r="A709" s="2" t="inlineStr">
        <is>
          <t>EJ010825.TXT</t>
        </is>
      </c>
      <c r="B709" s="3" t="inlineStr">
        <is>
          <t>002092</t>
        </is>
      </c>
      <c r="C709" s="3" t="inlineStr">
        <is>
          <t>001316</t>
        </is>
      </c>
      <c r="D709" s="4" t="n">
        <v>45854</v>
      </c>
      <c r="E709" s="2" t="inlineStr">
        <is>
          <t>12:41</t>
        </is>
      </c>
      <c r="F709" s="5" t="n">
        <v>474.17</v>
      </c>
      <c r="G709" s="5" t="n"/>
      <c r="H709" s="5" t="n"/>
      <c r="I709" s="5" t="n"/>
      <c r="J709" s="5" t="n">
        <v>94.83</v>
      </c>
      <c r="K709" s="5" t="n"/>
      <c r="L709" s="5" t="n"/>
      <c r="M709" s="5" t="n"/>
      <c r="N709" s="5" t="n"/>
      <c r="O709" s="5" t="n">
        <v>569</v>
      </c>
      <c r="P709" s="5" t="n"/>
      <c r="Q709" s="5" t="n">
        <v>569</v>
      </c>
      <c r="R709" s="5" t="n"/>
    </row>
    <row r="710">
      <c r="A710" s="2" t="inlineStr">
        <is>
          <t>EJ010825.TXT</t>
        </is>
      </c>
      <c r="B710" s="3" t="inlineStr">
        <is>
          <t>002093</t>
        </is>
      </c>
      <c r="C710" s="3" t="inlineStr">
        <is>
          <t>001317</t>
        </is>
      </c>
      <c r="D710" s="4" t="n">
        <v>45854</v>
      </c>
      <c r="E710" s="2" t="inlineStr">
        <is>
          <t>12:44</t>
        </is>
      </c>
      <c r="F710" s="5" t="n">
        <v>474.17</v>
      </c>
      <c r="G710" s="5" t="n"/>
      <c r="H710" s="5" t="n"/>
      <c r="I710" s="5" t="n"/>
      <c r="J710" s="5" t="n">
        <v>94.83</v>
      </c>
      <c r="K710" s="5" t="n"/>
      <c r="L710" s="5" t="n"/>
      <c r="M710" s="5" t="n"/>
      <c r="N710" s="5" t="n"/>
      <c r="O710" s="5" t="n">
        <v>569</v>
      </c>
      <c r="P710" s="5" t="n"/>
      <c r="Q710" s="5" t="n">
        <v>569</v>
      </c>
      <c r="R710" s="5" t="n"/>
    </row>
    <row r="711">
      <c r="A711" s="2" t="inlineStr">
        <is>
          <t>EJ010825.TXT</t>
        </is>
      </c>
      <c r="B711" s="3" t="inlineStr">
        <is>
          <t>002094</t>
        </is>
      </c>
      <c r="C711" s="3" t="inlineStr">
        <is>
          <t>001318</t>
        </is>
      </c>
      <c r="D711" s="4" t="n">
        <v>45854</v>
      </c>
      <c r="E711" s="2" t="inlineStr">
        <is>
          <t>12:44</t>
        </is>
      </c>
      <c r="F711" s="5" t="n">
        <v>474.17</v>
      </c>
      <c r="G711" s="5" t="n"/>
      <c r="H711" s="5" t="n"/>
      <c r="I711" s="5" t="n"/>
      <c r="J711" s="5" t="n">
        <v>94.83</v>
      </c>
      <c r="K711" s="5" t="n"/>
      <c r="L711" s="5" t="n"/>
      <c r="M711" s="5" t="n"/>
      <c r="N711" s="5" t="n"/>
      <c r="O711" s="5" t="n">
        <v>569</v>
      </c>
      <c r="P711" s="5" t="n"/>
      <c r="Q711" s="5" t="n">
        <v>569</v>
      </c>
      <c r="R711" s="5" t="n"/>
    </row>
    <row r="712">
      <c r="A712" s="2" t="inlineStr">
        <is>
          <t>EJ010825.TXT</t>
        </is>
      </c>
      <c r="B712" s="3" t="inlineStr">
        <is>
          <t>002095</t>
        </is>
      </c>
      <c r="C712" s="3" t="inlineStr">
        <is>
          <t>001319</t>
        </is>
      </c>
      <c r="D712" s="4" t="n">
        <v>45854</v>
      </c>
      <c r="E712" s="2" t="inlineStr">
        <is>
          <t>12:44</t>
        </is>
      </c>
      <c r="F712" s="5" t="n">
        <v>474.17</v>
      </c>
      <c r="G712" s="5" t="n"/>
      <c r="H712" s="5" t="n"/>
      <c r="I712" s="5" t="n"/>
      <c r="J712" s="5" t="n">
        <v>94.83</v>
      </c>
      <c r="K712" s="5" t="n"/>
      <c r="L712" s="5" t="n"/>
      <c r="M712" s="5" t="n"/>
      <c r="N712" s="5" t="n"/>
      <c r="O712" s="5" t="n">
        <v>569</v>
      </c>
      <c r="P712" s="5" t="n"/>
      <c r="Q712" s="5" t="n">
        <v>569</v>
      </c>
      <c r="R712" s="5" t="n"/>
    </row>
    <row r="713">
      <c r="A713" s="2" t="inlineStr">
        <is>
          <t>EJ010825.TXT</t>
        </is>
      </c>
      <c r="B713" s="3" t="inlineStr">
        <is>
          <t>002096</t>
        </is>
      </c>
      <c r="C713" s="3" t="inlineStr">
        <is>
          <t>001320</t>
        </is>
      </c>
      <c r="D713" s="4" t="n">
        <v>45854</v>
      </c>
      <c r="E713" s="2" t="inlineStr">
        <is>
          <t>12:44</t>
        </is>
      </c>
      <c r="F713" s="5" t="n">
        <v>474.17</v>
      </c>
      <c r="G713" s="5" t="n"/>
      <c r="H713" s="5" t="n"/>
      <c r="I713" s="5" t="n"/>
      <c r="J713" s="5" t="n">
        <v>94.83</v>
      </c>
      <c r="K713" s="5" t="n"/>
      <c r="L713" s="5" t="n"/>
      <c r="M713" s="5" t="n"/>
      <c r="N713" s="5" t="n"/>
      <c r="O713" s="5" t="n">
        <v>569</v>
      </c>
      <c r="P713" s="5" t="n"/>
      <c r="Q713" s="5" t="n">
        <v>569</v>
      </c>
      <c r="R713" s="5" t="n"/>
    </row>
    <row r="714">
      <c r="A714" s="2" t="inlineStr">
        <is>
          <t>EJ010825.TXT</t>
        </is>
      </c>
      <c r="B714" s="3" t="inlineStr">
        <is>
          <t>002097</t>
        </is>
      </c>
      <c r="C714" s="3" t="inlineStr">
        <is>
          <t>001321</t>
        </is>
      </c>
      <c r="D714" s="4" t="n">
        <v>45866</v>
      </c>
      <c r="E714" s="2" t="inlineStr">
        <is>
          <t>14:18</t>
        </is>
      </c>
      <c r="F714" s="5" t="n">
        <v>73.33</v>
      </c>
      <c r="G714" s="5" t="n"/>
      <c r="H714" s="5" t="n"/>
      <c r="I714" s="5" t="n"/>
      <c r="J714" s="5" t="n">
        <v>14.67</v>
      </c>
      <c r="K714" s="5" t="n"/>
      <c r="L714" s="5" t="n"/>
      <c r="M714" s="5" t="n"/>
      <c r="N714" s="5" t="n"/>
      <c r="O714" s="5" t="n">
        <v>88</v>
      </c>
      <c r="P714" s="5" t="n"/>
      <c r="Q714" s="5" t="n">
        <v>88</v>
      </c>
      <c r="R714" s="5" t="n"/>
    </row>
    <row r="715">
      <c r="A715" s="2" t="inlineStr">
        <is>
          <t>EJ010825.TXT</t>
        </is>
      </c>
      <c r="B715" s="3" t="inlineStr">
        <is>
          <t>002098</t>
        </is>
      </c>
      <c r="C715" s="3" t="inlineStr">
        <is>
          <t>001322</t>
        </is>
      </c>
      <c r="D715" s="4" t="n">
        <v>45867</v>
      </c>
      <c r="E715" s="2" t="inlineStr">
        <is>
          <t>10:07</t>
        </is>
      </c>
      <c r="F715" s="5" t="n">
        <v>274.17</v>
      </c>
      <c r="G715" s="5" t="n"/>
      <c r="H715" s="5" t="n"/>
      <c r="I715" s="5" t="n"/>
      <c r="J715" s="5" t="n">
        <v>54.83</v>
      </c>
      <c r="K715" s="5" t="n"/>
      <c r="L715" s="5" t="n"/>
      <c r="M715" s="5" t="n"/>
      <c r="N715" s="5" t="n"/>
      <c r="O715" s="5" t="n">
        <v>329</v>
      </c>
      <c r="P715" s="5" t="n">
        <v>229</v>
      </c>
      <c r="Q715" s="5" t="n">
        <v>100</v>
      </c>
      <c r="R715" s="5" t="n"/>
    </row>
    <row r="716">
      <c r="A716" s="2" t="inlineStr">
        <is>
          <t>EJ010825.TXT</t>
        </is>
      </c>
      <c r="B716" s="3" t="inlineStr">
        <is>
          <t>002100</t>
        </is>
      </c>
      <c r="C716" s="3" t="inlineStr">
        <is>
          <t>001323</t>
        </is>
      </c>
      <c r="D716" s="4" t="n">
        <v>45868</v>
      </c>
      <c r="E716" s="2" t="inlineStr">
        <is>
          <t>12:18</t>
        </is>
      </c>
      <c r="F716" s="5" t="n">
        <v>1107.5</v>
      </c>
      <c r="G716" s="5" t="n"/>
      <c r="H716" s="5" t="n"/>
      <c r="I716" s="5" t="n"/>
      <c r="J716" s="5" t="n">
        <v>221.5</v>
      </c>
      <c r="K716" s="5" t="n"/>
      <c r="L716" s="5" t="n"/>
      <c r="M716" s="5" t="n"/>
      <c r="N716" s="5" t="n"/>
      <c r="O716" s="5" t="n">
        <v>1329</v>
      </c>
      <c r="P716" s="5" t="n">
        <v>329</v>
      </c>
      <c r="Q716" s="5" t="n">
        <v>1000</v>
      </c>
      <c r="R716" s="5" t="n"/>
    </row>
    <row r="717">
      <c r="A717" s="2" t="inlineStr">
        <is>
          <t>EJ010825.TXT</t>
        </is>
      </c>
      <c r="B717" s="3" t="inlineStr">
        <is>
          <t>002102</t>
        </is>
      </c>
      <c r="C717" s="3" t="inlineStr">
        <is>
          <t>001324</t>
        </is>
      </c>
      <c r="D717" s="4" t="n">
        <v>45870</v>
      </c>
      <c r="E717" s="2" t="inlineStr">
        <is>
          <t>09:37</t>
        </is>
      </c>
      <c r="F717" s="5" t="n">
        <v>190.83</v>
      </c>
      <c r="G717" s="5" t="n"/>
      <c r="H717" s="5" t="n"/>
      <c r="I717" s="5" t="n"/>
      <c r="J717" s="5" t="n">
        <v>38.17</v>
      </c>
      <c r="K717" s="5" t="n"/>
      <c r="L717" s="5" t="n"/>
      <c r="M717" s="5" t="n"/>
      <c r="N717" s="5" t="n"/>
      <c r="O717" s="5" t="n">
        <v>229</v>
      </c>
      <c r="P717" s="5" t="n">
        <v>229</v>
      </c>
      <c r="Q717" s="5" t="n"/>
      <c r="R717" s="5" t="n"/>
    </row>
    <row r="718">
      <c r="A718" s="2" t="inlineStr">
        <is>
          <t>EJ010925.TXT</t>
        </is>
      </c>
      <c r="B718" s="3" t="inlineStr">
        <is>
          <t>002106</t>
        </is>
      </c>
      <c r="C718" s="3" t="inlineStr">
        <is>
          <t>001325</t>
        </is>
      </c>
      <c r="D718" s="4" t="n">
        <v>45875</v>
      </c>
      <c r="E718" s="2" t="inlineStr">
        <is>
          <t>16:08</t>
        </is>
      </c>
      <c r="F718" s="5" t="n">
        <v>73.33</v>
      </c>
      <c r="G718" s="5" t="n"/>
      <c r="H718" s="5" t="n"/>
      <c r="I718" s="5" t="n"/>
      <c r="J718" s="5" t="n">
        <v>14.67</v>
      </c>
      <c r="K718" s="5" t="n"/>
      <c r="L718" s="5" t="n"/>
      <c r="M718" s="5" t="n"/>
      <c r="N718" s="5" t="n"/>
      <c r="O718" s="5" t="n">
        <v>88</v>
      </c>
      <c r="P718" s="5" t="n">
        <v>88</v>
      </c>
      <c r="Q718" s="5" t="n"/>
      <c r="R718" s="5" t="n"/>
    </row>
    <row r="719">
      <c r="A719" s="2" t="inlineStr">
        <is>
          <t>EJ010925.TXT</t>
        </is>
      </c>
      <c r="B719" s="3" t="inlineStr">
        <is>
          <t>002107</t>
        </is>
      </c>
      <c r="C719" s="3" t="inlineStr">
        <is>
          <t>001326</t>
        </is>
      </c>
      <c r="D719" s="4" t="n">
        <v>45877</v>
      </c>
      <c r="E719" s="2" t="inlineStr">
        <is>
          <t>12:03</t>
        </is>
      </c>
      <c r="F719" s="5" t="n">
        <v>473.33</v>
      </c>
      <c r="G719" s="5" t="n"/>
      <c r="H719" s="5" t="n"/>
      <c r="I719" s="5" t="n"/>
      <c r="J719" s="5" t="n">
        <v>94.67</v>
      </c>
      <c r="K719" s="5" t="n"/>
      <c r="L719" s="5" t="n"/>
      <c r="M719" s="5" t="n"/>
      <c r="N719" s="5" t="n"/>
      <c r="O719" s="5" t="n">
        <v>568</v>
      </c>
      <c r="P719" s="5" t="n">
        <v>568</v>
      </c>
      <c r="Q719" s="5" t="n"/>
      <c r="R719" s="5" t="n"/>
    </row>
    <row r="720">
      <c r="A720" s="2" t="inlineStr">
        <is>
          <t>EJ010925.TXT</t>
        </is>
      </c>
      <c r="B720" s="3" t="inlineStr">
        <is>
          <t>002108</t>
        </is>
      </c>
      <c r="C720" s="3" t="inlineStr">
        <is>
          <t>001327</t>
        </is>
      </c>
      <c r="D720" s="4" t="n">
        <v>45891</v>
      </c>
      <c r="E720" s="2" t="inlineStr">
        <is>
          <t>16:41</t>
        </is>
      </c>
      <c r="F720" s="5" t="n">
        <v>329.17</v>
      </c>
      <c r="G720" s="5" t="n"/>
      <c r="H720" s="5" t="n"/>
      <c r="I720" s="5" t="n"/>
      <c r="J720" s="5" t="n">
        <v>65.83</v>
      </c>
      <c r="K720" s="5" t="n"/>
      <c r="L720" s="5" t="n"/>
      <c r="M720" s="5" t="n"/>
      <c r="N720" s="5" t="n"/>
      <c r="O720" s="5" t="n">
        <v>395</v>
      </c>
      <c r="P720" s="5" t="n"/>
      <c r="Q720" s="5" t="n">
        <v>395</v>
      </c>
      <c r="R720" s="5" t="n"/>
    </row>
    <row r="721">
      <c r="A721" s="2" t="inlineStr">
        <is>
          <t>EJ010925.TXT</t>
        </is>
      </c>
      <c r="B721" s="3" t="inlineStr">
        <is>
          <t>002109</t>
        </is>
      </c>
      <c r="C721" s="3" t="inlineStr">
        <is>
          <t>001328</t>
        </is>
      </c>
      <c r="D721" s="4" t="n">
        <v>45891</v>
      </c>
      <c r="E721" s="2" t="inlineStr">
        <is>
          <t>16:52</t>
        </is>
      </c>
      <c r="F721" s="5" t="n">
        <v>590</v>
      </c>
      <c r="G721" s="5" t="n"/>
      <c r="H721" s="5" t="n"/>
      <c r="I721" s="5" t="n"/>
      <c r="J721" s="5" t="n">
        <v>118</v>
      </c>
      <c r="K721" s="5" t="n"/>
      <c r="L721" s="5" t="n"/>
      <c r="M721" s="5" t="n"/>
      <c r="N721" s="5" t="n"/>
      <c r="O721" s="5" t="n">
        <v>708</v>
      </c>
      <c r="P721" s="5" t="n"/>
      <c r="Q721" s="5" t="n">
        <v>708</v>
      </c>
      <c r="R721" s="5" t="n"/>
    </row>
    <row r="722">
      <c r="A722" s="2" t="inlineStr">
        <is>
          <t>EJ010925.TXT</t>
        </is>
      </c>
      <c r="B722" s="3" t="inlineStr">
        <is>
          <t>002110</t>
        </is>
      </c>
      <c r="C722" s="3" t="inlineStr">
        <is>
          <t>001329</t>
        </is>
      </c>
      <c r="D722" s="4" t="n">
        <v>45892</v>
      </c>
      <c r="E722" s="2" t="inlineStr">
        <is>
          <t>14:18</t>
        </is>
      </c>
      <c r="F722" s="5" t="n">
        <v>274.17</v>
      </c>
      <c r="G722" s="5" t="n"/>
      <c r="H722" s="5" t="n"/>
      <c r="I722" s="5" t="n"/>
      <c r="J722" s="5" t="n">
        <v>54.83</v>
      </c>
      <c r="K722" s="5" t="n"/>
      <c r="L722" s="5" t="n"/>
      <c r="M722" s="5" t="n"/>
      <c r="N722" s="5" t="n"/>
      <c r="O722" s="5" t="n">
        <v>329</v>
      </c>
      <c r="P722" s="5" t="n"/>
      <c r="Q722" s="5" t="n">
        <v>329</v>
      </c>
      <c r="R722" s="5" t="n"/>
    </row>
    <row r="723">
      <c r="A723" s="2" t="inlineStr">
        <is>
          <t>EJ010925.TXT</t>
        </is>
      </c>
      <c r="B723" s="3" t="inlineStr">
        <is>
          <t>002113</t>
        </is>
      </c>
      <c r="C723" s="3" t="inlineStr">
        <is>
          <t>001330</t>
        </is>
      </c>
      <c r="D723" s="4" t="n">
        <v>45898</v>
      </c>
      <c r="E723" s="2" t="inlineStr">
        <is>
          <t>15:06</t>
        </is>
      </c>
      <c r="F723" s="5" t="n">
        <v>73.33</v>
      </c>
      <c r="G723" s="5" t="n"/>
      <c r="H723" s="5" t="n"/>
      <c r="I723" s="5" t="n"/>
      <c r="J723" s="5" t="n">
        <v>14.67</v>
      </c>
      <c r="K723" s="5" t="n"/>
      <c r="L723" s="5" t="n"/>
      <c r="M723" s="5" t="n"/>
      <c r="N723" s="5" t="n"/>
      <c r="O723" s="5" t="n">
        <v>88</v>
      </c>
      <c r="P723" s="5" t="n">
        <v>88</v>
      </c>
      <c r="Q723" s="5" t="n"/>
      <c r="R723" s="5" t="n"/>
    </row>
  </sheetData>
  <autoFilter ref="A1:R72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7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 ht="34" customHeight="1">
      <c r="A1" s="1" t="inlineStr">
        <is>
          <t>nomfichier</t>
        </is>
      </c>
      <c r="B1" s="1" t="inlineStr">
        <is>
          <t>E_NUM_INTERNE</t>
        </is>
      </c>
      <c r="C1" s="1" t="inlineStr">
        <is>
          <t>E_NUM_TICKET</t>
        </is>
      </c>
      <c r="D1" s="1" t="inlineStr">
        <is>
          <t>E_DATE_TICKET</t>
        </is>
      </c>
      <c r="E1" s="1" t="inlineStr">
        <is>
          <t>E_HEURE_TICKET</t>
        </is>
      </c>
      <c r="F1" s="1" t="inlineStr">
        <is>
          <t>E_HT1</t>
        </is>
      </c>
      <c r="G1" s="1" t="inlineStr">
        <is>
          <t>E_HT2</t>
        </is>
      </c>
      <c r="H1" s="1" t="inlineStr">
        <is>
          <t>E_HT3</t>
        </is>
      </c>
      <c r="I1" s="1" t="inlineStr">
        <is>
          <t>E_HT4</t>
        </is>
      </c>
      <c r="J1" s="1" t="inlineStr">
        <is>
          <t>E_TVA1</t>
        </is>
      </c>
      <c r="K1" s="1" t="inlineStr">
        <is>
          <t>E_TVA2</t>
        </is>
      </c>
      <c r="L1" s="1" t="inlineStr">
        <is>
          <t>E_TVA3</t>
        </is>
      </c>
      <c r="M1" s="1" t="inlineStr">
        <is>
          <t>E_TVA4</t>
        </is>
      </c>
      <c r="N1" s="1" t="inlineStr">
        <is>
          <t>E_HT_NON_TAXABLE</t>
        </is>
      </c>
      <c r="O1" s="1" t="inlineStr">
        <is>
          <t>E_TTC</t>
        </is>
      </c>
      <c r="P1" s="1" t="inlineStr">
        <is>
          <t>E_MDP_CB</t>
        </is>
      </c>
      <c r="Q1" s="1" t="inlineStr">
        <is>
          <t>E_MDP_ESPECES</t>
        </is>
      </c>
      <c r="R1" s="1" t="inlineStr">
        <is>
          <t>E_MDP_CHEQUES</t>
        </is>
      </c>
      <c r="S1" s="1" t="inlineStr">
        <is>
          <t>AJ_TVA1_CALCULE</t>
        </is>
      </c>
      <c r="T1" s="1" t="inlineStr">
        <is>
          <t>AJ_ECART_TVA1</t>
        </is>
      </c>
      <c r="U1" s="1" t="inlineStr">
        <is>
          <t>AJ_TTC_CALCULE</t>
        </is>
      </c>
      <c r="V1" s="1" t="inlineStr">
        <is>
          <t>AJ_ECART_TTC</t>
        </is>
      </c>
      <c r="W1" s="1" t="inlineStr">
        <is>
          <t>AJ_SOLDE_DU</t>
        </is>
      </c>
      <c r="X1" s="1" t="inlineStr">
        <is>
          <t>AJ_SOLDE_TOUS_MDP</t>
        </is>
      </c>
    </row>
    <row r="2">
      <c r="A2" s="2" t="inlineStr">
        <is>
          <t>EJ010223.TXT</t>
        </is>
      </c>
      <c r="B2" s="3" t="inlineStr">
        <is>
          <t>000977</t>
        </is>
      </c>
      <c r="C2" s="3" t="inlineStr">
        <is>
          <t>000609</t>
        </is>
      </c>
      <c r="D2" s="4" t="n">
        <v>44930</v>
      </c>
      <c r="E2" s="2" t="inlineStr">
        <is>
          <t>12:01</t>
        </is>
      </c>
      <c r="F2" s="5" t="n">
        <v>747.5</v>
      </c>
      <c r="G2" s="5" t="n"/>
      <c r="H2" s="5" t="n"/>
      <c r="I2" s="5" t="n"/>
      <c r="J2" s="5" t="n">
        <v>149.5</v>
      </c>
      <c r="K2" s="5" t="n"/>
      <c r="L2" s="5" t="n"/>
      <c r="M2" s="5" t="n"/>
      <c r="N2" s="5" t="n"/>
      <c r="O2" s="5" t="n">
        <v>897</v>
      </c>
      <c r="P2" s="5" t="n"/>
      <c r="Q2" s="5" t="n">
        <v>897</v>
      </c>
      <c r="R2" s="5" t="n"/>
      <c r="S2" s="5">
        <f>F2*20%</f>
        <v/>
      </c>
      <c r="T2" s="5">
        <f>J2-S2</f>
        <v/>
      </c>
      <c r="U2" s="5">
        <f>F2+J2</f>
        <v/>
      </c>
      <c r="V2" s="5">
        <f>O2-U2</f>
        <v/>
      </c>
      <c r="W2" s="5">
        <f>O2-(P2+R2)</f>
        <v/>
      </c>
      <c r="X2" s="5">
        <f>O2-(P2+Q2+R2)</f>
        <v/>
      </c>
    </row>
    <row r="3">
      <c r="A3" s="2" t="inlineStr">
        <is>
          <t>EJ010223.TXT</t>
        </is>
      </c>
      <c r="B3" s="3" t="inlineStr">
        <is>
          <t>000978</t>
        </is>
      </c>
      <c r="C3" s="3" t="inlineStr">
        <is>
          <t>000610</t>
        </is>
      </c>
      <c r="D3" s="4" t="n">
        <v>44932</v>
      </c>
      <c r="E3" s="2" t="inlineStr">
        <is>
          <t>11:30</t>
        </is>
      </c>
      <c r="F3" s="5" t="n">
        <v>498.33</v>
      </c>
      <c r="G3" s="5" t="n"/>
      <c r="H3" s="5" t="n"/>
      <c r="I3" s="5" t="n"/>
      <c r="J3" s="5" t="n">
        <v>99.67</v>
      </c>
      <c r="K3" s="5" t="n"/>
      <c r="L3" s="5" t="n"/>
      <c r="M3" s="5" t="n"/>
      <c r="N3" s="5" t="n"/>
      <c r="O3" s="5" t="n">
        <v>598</v>
      </c>
      <c r="P3" s="5" t="n">
        <v>598</v>
      </c>
      <c r="Q3" s="5" t="n"/>
      <c r="R3" s="5" t="n"/>
      <c r="S3" s="5">
        <f>F3*20%</f>
        <v/>
      </c>
      <c r="T3" s="5">
        <f>J3-S3</f>
        <v/>
      </c>
      <c r="U3" s="5">
        <f>F3+J3</f>
        <v/>
      </c>
      <c r="V3" s="5">
        <f>O3-U3</f>
        <v/>
      </c>
      <c r="W3" s="5">
        <f>O3-(P3+R3)</f>
        <v/>
      </c>
      <c r="X3" s="5">
        <f>O3-(P3+Q3+R3)</f>
        <v/>
      </c>
    </row>
    <row r="4">
      <c r="A4" s="2" t="inlineStr">
        <is>
          <t>EJ010223.TXT</t>
        </is>
      </c>
      <c r="B4" s="3" t="inlineStr">
        <is>
          <t>000979</t>
        </is>
      </c>
      <c r="C4" s="3" t="inlineStr">
        <is>
          <t>000611</t>
        </is>
      </c>
      <c r="D4" s="4" t="n">
        <v>44932</v>
      </c>
      <c r="E4" s="2" t="inlineStr">
        <is>
          <t>13:38</t>
        </is>
      </c>
      <c r="F4" s="5" t="n">
        <v>483.33</v>
      </c>
      <c r="G4" s="5" t="n"/>
      <c r="H4" s="5" t="n"/>
      <c r="I4" s="5" t="n"/>
      <c r="J4" s="5" t="n">
        <v>96.67</v>
      </c>
      <c r="K4" s="5" t="n"/>
      <c r="L4" s="5" t="n"/>
      <c r="M4" s="5" t="n"/>
      <c r="N4" s="5" t="n"/>
      <c r="O4" s="5" t="n">
        <v>580</v>
      </c>
      <c r="P4" s="5" t="n">
        <v>580</v>
      </c>
      <c r="Q4" s="5" t="n"/>
      <c r="R4" s="5" t="n"/>
      <c r="S4" s="5">
        <f>F4*20%</f>
        <v/>
      </c>
      <c r="T4" s="5">
        <f>J4-S4</f>
        <v/>
      </c>
      <c r="U4" s="5">
        <f>F4+J4</f>
        <v/>
      </c>
      <c r="V4" s="5">
        <f>O4-U4</f>
        <v/>
      </c>
      <c r="W4" s="5">
        <f>O4-(P4+R4)</f>
        <v/>
      </c>
      <c r="X4" s="5">
        <f>O4-(P4+Q4+R4)</f>
        <v/>
      </c>
    </row>
    <row r="5">
      <c r="A5" s="2" t="inlineStr">
        <is>
          <t>EJ010223.TXT</t>
        </is>
      </c>
      <c r="B5" s="3" t="inlineStr">
        <is>
          <t>000980</t>
        </is>
      </c>
      <c r="C5" s="3" t="inlineStr">
        <is>
          <t>000612</t>
        </is>
      </c>
      <c r="D5" s="4" t="n">
        <v>44932</v>
      </c>
      <c r="E5" s="2" t="inlineStr">
        <is>
          <t>13:38</t>
        </is>
      </c>
      <c r="F5" s="5" t="n">
        <v>1450</v>
      </c>
      <c r="G5" s="5" t="n"/>
      <c r="H5" s="5" t="n"/>
      <c r="I5" s="5" t="n"/>
      <c r="J5" s="5" t="n">
        <v>290</v>
      </c>
      <c r="K5" s="5" t="n"/>
      <c r="L5" s="5" t="n"/>
      <c r="M5" s="5" t="n"/>
      <c r="N5" s="5" t="n"/>
      <c r="O5" s="5" t="n">
        <v>1740</v>
      </c>
      <c r="P5" s="5" t="n">
        <v>1740</v>
      </c>
      <c r="Q5" s="5" t="n"/>
      <c r="R5" s="5" t="n"/>
      <c r="S5" s="5">
        <f>F5*20%</f>
        <v/>
      </c>
      <c r="T5" s="5">
        <f>J5-S5</f>
        <v/>
      </c>
      <c r="U5" s="5">
        <f>F5+J5</f>
        <v/>
      </c>
      <c r="V5" s="5">
        <f>O5-U5</f>
        <v/>
      </c>
      <c r="W5" s="5">
        <f>O5-(P5+R5)</f>
        <v/>
      </c>
      <c r="X5" s="5">
        <f>O5-(P5+Q5+R5)</f>
        <v/>
      </c>
    </row>
    <row r="6">
      <c r="A6" s="2" t="inlineStr">
        <is>
          <t>EJ010223.TXT</t>
        </is>
      </c>
      <c r="B6" s="3" t="inlineStr">
        <is>
          <t>000981</t>
        </is>
      </c>
      <c r="C6" s="3" t="inlineStr">
        <is>
          <t>000613</t>
        </is>
      </c>
      <c r="D6" s="4" t="n">
        <v>44932</v>
      </c>
      <c r="E6" s="2" t="inlineStr">
        <is>
          <t>13:58</t>
        </is>
      </c>
      <c r="F6" s="5" t="n">
        <v>1450</v>
      </c>
      <c r="G6" s="5" t="n"/>
      <c r="H6" s="5" t="n"/>
      <c r="I6" s="5" t="n"/>
      <c r="J6" s="5" t="n">
        <v>290</v>
      </c>
      <c r="K6" s="5" t="n"/>
      <c r="L6" s="5" t="n"/>
      <c r="M6" s="5" t="n"/>
      <c r="N6" s="5" t="n"/>
      <c r="O6" s="5" t="n">
        <v>1740</v>
      </c>
      <c r="P6" s="5" t="n">
        <v>1740</v>
      </c>
      <c r="Q6" s="5" t="n"/>
      <c r="R6" s="5" t="n"/>
      <c r="S6" s="5">
        <f>F6*20%</f>
        <v/>
      </c>
      <c r="T6" s="5">
        <f>J6-S6</f>
        <v/>
      </c>
      <c r="U6" s="5">
        <f>F6+J6</f>
        <v/>
      </c>
      <c r="V6" s="5">
        <f>O6-U6</f>
        <v/>
      </c>
      <c r="W6" s="5">
        <f>O6-(P6+R6)</f>
        <v/>
      </c>
      <c r="X6" s="5">
        <f>O6-(P6+Q6+R6)</f>
        <v/>
      </c>
    </row>
    <row r="7">
      <c r="A7" s="2" t="inlineStr">
        <is>
          <t>EJ010223.TXT</t>
        </is>
      </c>
      <c r="B7" s="3" t="inlineStr">
        <is>
          <t>000982</t>
        </is>
      </c>
      <c r="C7" s="3" t="inlineStr">
        <is>
          <t>000614</t>
        </is>
      </c>
      <c r="D7" s="4" t="n">
        <v>44932</v>
      </c>
      <c r="E7" s="2" t="inlineStr">
        <is>
          <t>13:59</t>
        </is>
      </c>
      <c r="F7" s="5" t="n">
        <v>2900</v>
      </c>
      <c r="G7" s="5" t="n"/>
      <c r="H7" s="5" t="n"/>
      <c r="I7" s="5" t="n"/>
      <c r="J7" s="5" t="n">
        <v>580</v>
      </c>
      <c r="K7" s="5" t="n"/>
      <c r="L7" s="5" t="n"/>
      <c r="M7" s="5" t="n"/>
      <c r="N7" s="5" t="n"/>
      <c r="O7" s="5" t="n">
        <v>3480</v>
      </c>
      <c r="P7" s="5" t="n">
        <v>3480</v>
      </c>
      <c r="Q7" s="5" t="n"/>
      <c r="R7" s="5" t="n"/>
      <c r="S7" s="5">
        <f>F7*20%</f>
        <v/>
      </c>
      <c r="T7" s="5">
        <f>J7-S7</f>
        <v/>
      </c>
      <c r="U7" s="5">
        <f>F7+J7</f>
        <v/>
      </c>
      <c r="V7" s="5">
        <f>O7-U7</f>
        <v/>
      </c>
      <c r="W7" s="5">
        <f>O7-(P7+R7)</f>
        <v/>
      </c>
      <c r="X7" s="5">
        <f>O7-(P7+Q7+R7)</f>
        <v/>
      </c>
    </row>
    <row r="8">
      <c r="A8" s="2" t="inlineStr">
        <is>
          <t>EJ010223.TXT</t>
        </is>
      </c>
      <c r="B8" s="3" t="inlineStr">
        <is>
          <t>000983</t>
        </is>
      </c>
      <c r="C8" s="3" t="inlineStr">
        <is>
          <t>000615</t>
        </is>
      </c>
      <c r="D8" s="4" t="n">
        <v>44937</v>
      </c>
      <c r="E8" s="2" t="inlineStr">
        <is>
          <t>12:38</t>
        </is>
      </c>
      <c r="F8" s="5" t="n">
        <v>73.33</v>
      </c>
      <c r="G8" s="5" t="n"/>
      <c r="H8" s="5" t="n"/>
      <c r="I8" s="5" t="n"/>
      <c r="J8" s="5" t="n">
        <v>14.67</v>
      </c>
      <c r="K8" s="5" t="n"/>
      <c r="L8" s="5" t="n"/>
      <c r="M8" s="5" t="n"/>
      <c r="N8" s="5" t="n"/>
      <c r="O8" s="5" t="n">
        <v>88</v>
      </c>
      <c r="P8" s="5" t="n">
        <v>88</v>
      </c>
      <c r="Q8" s="5" t="n"/>
      <c r="R8" s="5" t="n"/>
      <c r="S8" s="5">
        <f>F8*20%</f>
        <v/>
      </c>
      <c r="T8" s="5">
        <f>J8-S8</f>
        <v/>
      </c>
      <c r="U8" s="5">
        <f>F8+J8</f>
        <v/>
      </c>
      <c r="V8" s="5">
        <f>O8-U8</f>
        <v/>
      </c>
      <c r="W8" s="5">
        <f>O8-(P8+R8)</f>
        <v/>
      </c>
      <c r="X8" s="5">
        <f>O8-(P8+Q8+R8)</f>
        <v/>
      </c>
    </row>
    <row r="9">
      <c r="A9" s="2" t="inlineStr">
        <is>
          <t>EJ010223.TXT</t>
        </is>
      </c>
      <c r="B9" s="3" t="inlineStr">
        <is>
          <t>000984</t>
        </is>
      </c>
      <c r="C9" s="3" t="inlineStr">
        <is>
          <t>000616</t>
        </is>
      </c>
      <c r="D9" s="4" t="n">
        <v>44937</v>
      </c>
      <c r="E9" s="2" t="inlineStr">
        <is>
          <t>14:46</t>
        </is>
      </c>
      <c r="F9" s="5" t="n">
        <v>311.5</v>
      </c>
      <c r="G9" s="5" t="n"/>
      <c r="H9" s="5" t="n"/>
      <c r="I9" s="5" t="n"/>
      <c r="J9" s="5" t="n">
        <v>62.3</v>
      </c>
      <c r="K9" s="5" t="n"/>
      <c r="L9" s="5" t="n"/>
      <c r="M9" s="5" t="n"/>
      <c r="N9" s="5" t="n"/>
      <c r="O9" s="5" t="n">
        <v>373.8</v>
      </c>
      <c r="P9" s="5" t="n">
        <v>373.8</v>
      </c>
      <c r="Q9" s="5" t="n"/>
      <c r="R9" s="5" t="n"/>
      <c r="S9" s="5">
        <f>F9*20%</f>
        <v/>
      </c>
      <c r="T9" s="5">
        <f>J9-S9</f>
        <v/>
      </c>
      <c r="U9" s="5">
        <f>F9+J9</f>
        <v/>
      </c>
      <c r="V9" s="5">
        <f>O9-U9</f>
        <v/>
      </c>
      <c r="W9" s="5">
        <f>O9-(P9+R9)</f>
        <v/>
      </c>
      <c r="X9" s="5">
        <f>O9-(P9+Q9+R9)</f>
        <v/>
      </c>
    </row>
    <row r="10">
      <c r="A10" s="2" t="inlineStr">
        <is>
          <t>EJ010223.TXT</t>
        </is>
      </c>
      <c r="B10" s="3" t="inlineStr">
        <is>
          <t>000985</t>
        </is>
      </c>
      <c r="C10" s="3" t="inlineStr">
        <is>
          <t>000617</t>
        </is>
      </c>
      <c r="D10" s="4" t="n">
        <v>44939</v>
      </c>
      <c r="E10" s="2" t="inlineStr">
        <is>
          <t>10:27</t>
        </is>
      </c>
      <c r="F10" s="5" t="n">
        <v>249.17</v>
      </c>
      <c r="G10" s="5" t="n"/>
      <c r="H10" s="5" t="n"/>
      <c r="I10" s="5" t="n"/>
      <c r="J10" s="5" t="n">
        <v>49.83</v>
      </c>
      <c r="K10" s="5" t="n"/>
      <c r="L10" s="5" t="n"/>
      <c r="M10" s="5" t="n"/>
      <c r="N10" s="5" t="n"/>
      <c r="O10" s="5" t="n">
        <v>299</v>
      </c>
      <c r="P10" s="5" t="n">
        <v>299</v>
      </c>
      <c r="Q10" s="5" t="n"/>
      <c r="R10" s="5" t="n"/>
      <c r="S10" s="5">
        <f>F10*20%</f>
        <v/>
      </c>
      <c r="T10" s="5">
        <f>J10-S10</f>
        <v/>
      </c>
      <c r="U10" s="5">
        <f>F10+J10</f>
        <v/>
      </c>
      <c r="V10" s="5">
        <f>O10-U10</f>
        <v/>
      </c>
      <c r="W10" s="5">
        <f>O10-(P10+R10)</f>
        <v/>
      </c>
      <c r="X10" s="5">
        <f>O10-(P10+Q10+R10)</f>
        <v/>
      </c>
    </row>
    <row r="11">
      <c r="A11" s="2" t="inlineStr">
        <is>
          <t>EJ010223.TXT</t>
        </is>
      </c>
      <c r="B11" s="3" t="inlineStr">
        <is>
          <t>000986</t>
        </is>
      </c>
      <c r="C11" s="3" t="inlineStr">
        <is>
          <t>000618</t>
        </is>
      </c>
      <c r="D11" s="4" t="n">
        <v>44939</v>
      </c>
      <c r="E11" s="2" t="inlineStr">
        <is>
          <t>10:48</t>
        </is>
      </c>
      <c r="F11" s="5" t="n">
        <v>146.67</v>
      </c>
      <c r="G11" s="5" t="n"/>
      <c r="H11" s="5" t="n"/>
      <c r="I11" s="5" t="n"/>
      <c r="J11" s="5" t="n">
        <v>29.33</v>
      </c>
      <c r="K11" s="5" t="n"/>
      <c r="L11" s="5" t="n"/>
      <c r="M11" s="5" t="n"/>
      <c r="N11" s="5" t="n"/>
      <c r="O11" s="5" t="n">
        <v>176</v>
      </c>
      <c r="P11" s="5" t="n">
        <v>176</v>
      </c>
      <c r="Q11" s="5" t="n"/>
      <c r="R11" s="5" t="n"/>
      <c r="S11" s="5">
        <f>F11*20%</f>
        <v/>
      </c>
      <c r="T11" s="5">
        <f>J11-S11</f>
        <v/>
      </c>
      <c r="U11" s="5">
        <f>F11+J11</f>
        <v/>
      </c>
      <c r="V11" s="5">
        <f>O11-U11</f>
        <v/>
      </c>
      <c r="W11" s="5">
        <f>O11-(P11+R11)</f>
        <v/>
      </c>
      <c r="X11" s="5">
        <f>O11-(P11+Q11+R11)</f>
        <v/>
      </c>
    </row>
    <row r="12">
      <c r="A12" s="2" t="inlineStr">
        <is>
          <t>EJ010223.TXT</t>
        </is>
      </c>
      <c r="B12" s="3" t="inlineStr">
        <is>
          <t>000987</t>
        </is>
      </c>
      <c r="C12" s="3" t="inlineStr">
        <is>
          <t>000619</t>
        </is>
      </c>
      <c r="D12" s="4" t="n">
        <v>44939</v>
      </c>
      <c r="E12" s="2" t="inlineStr">
        <is>
          <t>13:05</t>
        </is>
      </c>
      <c r="F12" s="5" t="n">
        <v>498.33</v>
      </c>
      <c r="G12" s="5" t="n"/>
      <c r="H12" s="5" t="n"/>
      <c r="I12" s="5" t="n"/>
      <c r="J12" s="5" t="n">
        <v>99.67</v>
      </c>
      <c r="K12" s="5" t="n"/>
      <c r="L12" s="5" t="n"/>
      <c r="M12" s="5" t="n"/>
      <c r="N12" s="5" t="n"/>
      <c r="O12" s="5" t="n">
        <v>598</v>
      </c>
      <c r="P12" s="5" t="n">
        <v>598</v>
      </c>
      <c r="Q12" s="5" t="n"/>
      <c r="R12" s="5" t="n"/>
      <c r="S12" s="5">
        <f>F12*20%</f>
        <v/>
      </c>
      <c r="T12" s="5">
        <f>J12-S12</f>
        <v/>
      </c>
      <c r="U12" s="5">
        <f>F12+J12</f>
        <v/>
      </c>
      <c r="V12" s="5">
        <f>O12-U12</f>
        <v/>
      </c>
      <c r="W12" s="5">
        <f>O12-(P12+R12)</f>
        <v/>
      </c>
      <c r="X12" s="5">
        <f>O12-(P12+Q12+R12)</f>
        <v/>
      </c>
    </row>
    <row r="13">
      <c r="A13" s="2" t="inlineStr">
        <is>
          <t>EJ010223.TXT</t>
        </is>
      </c>
      <c r="B13" s="3" t="inlineStr">
        <is>
          <t>000988</t>
        </is>
      </c>
      <c r="C13" s="3" t="inlineStr">
        <is>
          <t>000620</t>
        </is>
      </c>
      <c r="D13" s="4" t="n">
        <v>44940</v>
      </c>
      <c r="E13" s="2" t="inlineStr">
        <is>
          <t>16:39</t>
        </is>
      </c>
      <c r="F13" s="5" t="n">
        <v>498.33</v>
      </c>
      <c r="G13" s="5" t="n"/>
      <c r="H13" s="5" t="n"/>
      <c r="I13" s="5" t="n"/>
      <c r="J13" s="5" t="n">
        <v>99.67</v>
      </c>
      <c r="K13" s="5" t="n"/>
      <c r="L13" s="5" t="n"/>
      <c r="M13" s="5" t="n"/>
      <c r="N13" s="5" t="n"/>
      <c r="O13" s="5" t="n">
        <v>598</v>
      </c>
      <c r="P13" s="5" t="n">
        <v>598</v>
      </c>
      <c r="Q13" s="5" t="n"/>
      <c r="R13" s="5" t="n"/>
      <c r="S13" s="5">
        <f>F13*20%</f>
        <v/>
      </c>
      <c r="T13" s="5">
        <f>J13-S13</f>
        <v/>
      </c>
      <c r="U13" s="5">
        <f>F13+J13</f>
        <v/>
      </c>
      <c r="V13" s="5">
        <f>O13-U13</f>
        <v/>
      </c>
      <c r="W13" s="5">
        <f>O13-(P13+R13)</f>
        <v/>
      </c>
      <c r="X13" s="5">
        <f>O13-(P13+Q13+R13)</f>
        <v/>
      </c>
    </row>
    <row r="14">
      <c r="A14" s="2" t="inlineStr">
        <is>
          <t>EJ010223.TXT</t>
        </is>
      </c>
      <c r="B14" s="3" t="inlineStr">
        <is>
          <t>000989</t>
        </is>
      </c>
      <c r="C14" s="3" t="inlineStr">
        <is>
          <t>000621</t>
        </is>
      </c>
      <c r="D14" s="4" t="n">
        <v>44940</v>
      </c>
      <c r="E14" s="2" t="inlineStr">
        <is>
          <t>16:53</t>
        </is>
      </c>
      <c r="F14" s="5" t="n">
        <v>288.33</v>
      </c>
      <c r="G14" s="5" t="n"/>
      <c r="H14" s="5" t="n"/>
      <c r="I14" s="5" t="n"/>
      <c r="J14" s="5" t="n">
        <v>57.67</v>
      </c>
      <c r="K14" s="5" t="n"/>
      <c r="L14" s="5" t="n"/>
      <c r="M14" s="5" t="n"/>
      <c r="N14" s="5" t="n"/>
      <c r="O14" s="5" t="n">
        <v>346</v>
      </c>
      <c r="P14" s="5" t="n">
        <v>346</v>
      </c>
      <c r="Q14" s="5" t="n"/>
      <c r="R14" s="5" t="n"/>
      <c r="S14" s="5">
        <f>F14*20%</f>
        <v/>
      </c>
      <c r="T14" s="5">
        <f>J14-S14</f>
        <v/>
      </c>
      <c r="U14" s="5">
        <f>F14+J14</f>
        <v/>
      </c>
      <c r="V14" s="5">
        <f>O14-U14</f>
        <v/>
      </c>
      <c r="W14" s="5">
        <f>O14-(P14+R14)</f>
        <v/>
      </c>
      <c r="X14" s="5">
        <f>O14-(P14+Q14+R14)</f>
        <v/>
      </c>
    </row>
    <row r="15">
      <c r="A15" s="2" t="inlineStr">
        <is>
          <t>EJ010223.TXT</t>
        </is>
      </c>
      <c r="B15" s="3" t="inlineStr">
        <is>
          <t>000990</t>
        </is>
      </c>
      <c r="C15" s="3" t="inlineStr">
        <is>
          <t>000622</t>
        </is>
      </c>
      <c r="D15" s="4" t="n">
        <v>44942</v>
      </c>
      <c r="E15" s="2" t="inlineStr">
        <is>
          <t>17:36</t>
        </is>
      </c>
      <c r="F15" s="5" t="n">
        <v>658.33</v>
      </c>
      <c r="G15" s="5" t="n"/>
      <c r="H15" s="5" t="n"/>
      <c r="I15" s="5" t="n"/>
      <c r="J15" s="5" t="n">
        <v>131.67</v>
      </c>
      <c r="K15" s="5" t="n"/>
      <c r="L15" s="5" t="n"/>
      <c r="M15" s="5" t="n"/>
      <c r="N15" s="5" t="n"/>
      <c r="O15" s="5" t="n">
        <v>790</v>
      </c>
      <c r="P15" s="5" t="n"/>
      <c r="Q15" s="5" t="n">
        <v>790</v>
      </c>
      <c r="R15" s="5" t="n"/>
      <c r="S15" s="5">
        <f>F15*20%</f>
        <v/>
      </c>
      <c r="T15" s="5">
        <f>J15-S15</f>
        <v/>
      </c>
      <c r="U15" s="5">
        <f>F15+J15</f>
        <v/>
      </c>
      <c r="V15" s="5">
        <f>O15-U15</f>
        <v/>
      </c>
      <c r="W15" s="5">
        <f>O15-(P15+R15)</f>
        <v/>
      </c>
      <c r="X15" s="5">
        <f>O15-(P15+Q15+R15)</f>
        <v/>
      </c>
    </row>
    <row r="16">
      <c r="A16" s="2" t="inlineStr">
        <is>
          <t>EJ010223.TXT</t>
        </is>
      </c>
      <c r="B16" s="3" t="inlineStr">
        <is>
          <t>000991</t>
        </is>
      </c>
      <c r="C16" s="3" t="inlineStr">
        <is>
          <t>000623</t>
        </is>
      </c>
      <c r="D16" s="4" t="n">
        <v>44942</v>
      </c>
      <c r="E16" s="2" t="inlineStr">
        <is>
          <t>17:44</t>
        </is>
      </c>
      <c r="F16" s="5" t="n">
        <v>241.67</v>
      </c>
      <c r="G16" s="5" t="n"/>
      <c r="H16" s="5" t="n"/>
      <c r="I16" s="5" t="n"/>
      <c r="J16" s="5" t="n">
        <v>48.33</v>
      </c>
      <c r="K16" s="5" t="n"/>
      <c r="L16" s="5" t="n"/>
      <c r="M16" s="5" t="n"/>
      <c r="N16" s="5" t="n"/>
      <c r="O16" s="5" t="n">
        <v>290</v>
      </c>
      <c r="P16" s="5" t="n"/>
      <c r="Q16" s="5" t="n">
        <v>290</v>
      </c>
      <c r="R16" s="5" t="n"/>
      <c r="S16" s="5">
        <f>F16*20%</f>
        <v/>
      </c>
      <c r="T16" s="5">
        <f>J16-S16</f>
        <v/>
      </c>
      <c r="U16" s="5">
        <f>F16+J16</f>
        <v/>
      </c>
      <c r="V16" s="5">
        <f>O16-U16</f>
        <v/>
      </c>
      <c r="W16" s="5">
        <f>O16-(P16+R16)</f>
        <v/>
      </c>
      <c r="X16" s="5">
        <f>O16-(P16+Q16+R16)</f>
        <v/>
      </c>
    </row>
    <row r="17">
      <c r="A17" s="2" t="inlineStr">
        <is>
          <t>EJ010223.TXT</t>
        </is>
      </c>
      <c r="B17" s="3" t="inlineStr">
        <is>
          <t>000992</t>
        </is>
      </c>
      <c r="C17" s="3" t="inlineStr">
        <is>
          <t>000624</t>
        </is>
      </c>
      <c r="D17" s="4" t="n">
        <v>44942</v>
      </c>
      <c r="E17" s="2" t="inlineStr">
        <is>
          <t>17:44</t>
        </is>
      </c>
      <c r="F17" s="5" t="n">
        <v>241.67</v>
      </c>
      <c r="G17" s="5" t="n"/>
      <c r="H17" s="5" t="n"/>
      <c r="I17" s="5" t="n"/>
      <c r="J17" s="5" t="n">
        <v>48.33</v>
      </c>
      <c r="K17" s="5" t="n"/>
      <c r="L17" s="5" t="n"/>
      <c r="M17" s="5" t="n"/>
      <c r="N17" s="5" t="n"/>
      <c r="O17" s="5" t="n">
        <v>290</v>
      </c>
      <c r="P17" s="5" t="n"/>
      <c r="Q17" s="5" t="n">
        <v>290</v>
      </c>
      <c r="R17" s="5" t="n"/>
      <c r="S17" s="5">
        <f>F17*20%</f>
        <v/>
      </c>
      <c r="T17" s="5">
        <f>J17-S17</f>
        <v/>
      </c>
      <c r="U17" s="5">
        <f>F17+J17</f>
        <v/>
      </c>
      <c r="V17" s="5">
        <f>O17-U17</f>
        <v/>
      </c>
      <c r="W17" s="5">
        <f>O17-(P17+R17)</f>
        <v/>
      </c>
      <c r="X17" s="5">
        <f>O17-(P17+Q17+R17)</f>
        <v/>
      </c>
    </row>
    <row r="18">
      <c r="A18" s="2" t="inlineStr">
        <is>
          <t>EJ010223.TXT</t>
        </is>
      </c>
      <c r="B18" s="3" t="inlineStr">
        <is>
          <t>000993</t>
        </is>
      </c>
      <c r="C18" s="3" t="inlineStr">
        <is>
          <t>000625</t>
        </is>
      </c>
      <c r="D18" s="4" t="n">
        <v>44942</v>
      </c>
      <c r="E18" s="2" t="inlineStr">
        <is>
          <t>17:44</t>
        </is>
      </c>
      <c r="F18" s="5" t="n">
        <v>241.67</v>
      </c>
      <c r="G18" s="5" t="n"/>
      <c r="H18" s="5" t="n"/>
      <c r="I18" s="5" t="n"/>
      <c r="J18" s="5" t="n">
        <v>48.33</v>
      </c>
      <c r="K18" s="5" t="n"/>
      <c r="L18" s="5" t="n"/>
      <c r="M18" s="5" t="n"/>
      <c r="N18" s="5" t="n"/>
      <c r="O18" s="5" t="n">
        <v>290</v>
      </c>
      <c r="P18" s="5" t="n"/>
      <c r="Q18" s="5" t="n">
        <v>290</v>
      </c>
      <c r="R18" s="5" t="n"/>
      <c r="S18" s="5">
        <f>F18*20%</f>
        <v/>
      </c>
      <c r="T18" s="5">
        <f>J18-S18</f>
        <v/>
      </c>
      <c r="U18" s="5">
        <f>F18+J18</f>
        <v/>
      </c>
      <c r="V18" s="5">
        <f>O18-U18</f>
        <v/>
      </c>
      <c r="W18" s="5">
        <f>O18-(P18+R18)</f>
        <v/>
      </c>
      <c r="X18" s="5">
        <f>O18-(P18+Q18+R18)</f>
        <v/>
      </c>
    </row>
    <row r="19">
      <c r="A19" s="2" t="inlineStr">
        <is>
          <t>EJ010223.TXT</t>
        </is>
      </c>
      <c r="B19" s="3" t="inlineStr">
        <is>
          <t>000994</t>
        </is>
      </c>
      <c r="C19" s="3" t="inlineStr">
        <is>
          <t>000626</t>
        </is>
      </c>
      <c r="D19" s="4" t="n">
        <v>44943</v>
      </c>
      <c r="E19" s="2" t="inlineStr">
        <is>
          <t>10:05</t>
        </is>
      </c>
      <c r="F19" s="5" t="n">
        <v>747.5</v>
      </c>
      <c r="G19" s="5" t="n"/>
      <c r="H19" s="5" t="n"/>
      <c r="I19" s="5" t="n"/>
      <c r="J19" s="5" t="n">
        <v>149.5</v>
      </c>
      <c r="K19" s="5" t="n"/>
      <c r="L19" s="5" t="n"/>
      <c r="M19" s="5" t="n"/>
      <c r="N19" s="5" t="n"/>
      <c r="O19" s="5" t="n">
        <v>897</v>
      </c>
      <c r="P19" s="5" t="n">
        <v>897</v>
      </c>
      <c r="Q19" s="5" t="n"/>
      <c r="R19" s="5" t="n"/>
      <c r="S19" s="5">
        <f>F19*20%</f>
        <v/>
      </c>
      <c r="T19" s="5">
        <f>J19-S19</f>
        <v/>
      </c>
      <c r="U19" s="5">
        <f>F19+J19</f>
        <v/>
      </c>
      <c r="V19" s="5">
        <f>O19-U19</f>
        <v/>
      </c>
      <c r="W19" s="5">
        <f>O19-(P19+R19)</f>
        <v/>
      </c>
      <c r="X19" s="5">
        <f>O19-(P19+Q19+R19)</f>
        <v/>
      </c>
    </row>
    <row r="20">
      <c r="A20" s="2" t="inlineStr">
        <is>
          <t>EJ010223.TXT</t>
        </is>
      </c>
      <c r="B20" s="3" t="inlineStr">
        <is>
          <t>000995</t>
        </is>
      </c>
      <c r="C20" s="3" t="inlineStr">
        <is>
          <t>000627</t>
        </is>
      </c>
      <c r="D20" s="4" t="n">
        <v>44943</v>
      </c>
      <c r="E20" s="2" t="inlineStr">
        <is>
          <t>11:17</t>
        </is>
      </c>
      <c r="F20" s="5" t="n">
        <v>115.83</v>
      </c>
      <c r="G20" s="5" t="n"/>
      <c r="H20" s="5" t="n"/>
      <c r="I20" s="5" t="n"/>
      <c r="J20" s="5" t="n">
        <v>23.17</v>
      </c>
      <c r="K20" s="5" t="n"/>
      <c r="L20" s="5" t="n"/>
      <c r="M20" s="5" t="n"/>
      <c r="N20" s="5" t="n"/>
      <c r="O20" s="5" t="n">
        <v>139</v>
      </c>
      <c r="P20" s="5" t="n">
        <v>139</v>
      </c>
      <c r="Q20" s="5" t="n"/>
      <c r="R20" s="5" t="n"/>
      <c r="S20" s="5">
        <f>F20*20%</f>
        <v/>
      </c>
      <c r="T20" s="5">
        <f>J20-S20</f>
        <v/>
      </c>
      <c r="U20" s="5">
        <f>F20+J20</f>
        <v/>
      </c>
      <c r="V20" s="5">
        <f>O20-U20</f>
        <v/>
      </c>
      <c r="W20" s="5">
        <f>O20-(P20+R20)</f>
        <v/>
      </c>
      <c r="X20" s="5">
        <f>O20-(P20+Q20+R20)</f>
        <v/>
      </c>
    </row>
    <row r="21">
      <c r="A21" s="2" t="inlineStr">
        <is>
          <t>EJ010223.TXT</t>
        </is>
      </c>
      <c r="B21" s="3" t="inlineStr">
        <is>
          <t>000996</t>
        </is>
      </c>
      <c r="C21" s="3" t="inlineStr">
        <is>
          <t>000628</t>
        </is>
      </c>
      <c r="D21" s="4" t="n">
        <v>44943</v>
      </c>
      <c r="E21" s="2" t="inlineStr">
        <is>
          <t>11:23</t>
        </is>
      </c>
      <c r="F21" s="5" t="n">
        <v>2900</v>
      </c>
      <c r="G21" s="5" t="n"/>
      <c r="H21" s="5" t="n"/>
      <c r="I21" s="5" t="n"/>
      <c r="J21" s="5" t="n">
        <v>580</v>
      </c>
      <c r="K21" s="5" t="n"/>
      <c r="L21" s="5" t="n"/>
      <c r="M21" s="5" t="n"/>
      <c r="N21" s="5" t="n"/>
      <c r="O21" s="5" t="n">
        <v>3480</v>
      </c>
      <c r="P21" s="5" t="n">
        <v>3480</v>
      </c>
      <c r="Q21" s="5" t="n"/>
      <c r="R21" s="5" t="n"/>
      <c r="S21" s="5">
        <f>F21*20%</f>
        <v/>
      </c>
      <c r="T21" s="5">
        <f>J21-S21</f>
        <v/>
      </c>
      <c r="U21" s="5">
        <f>F21+J21</f>
        <v/>
      </c>
      <c r="V21" s="5">
        <f>O21-U21</f>
        <v/>
      </c>
      <c r="W21" s="5">
        <f>O21-(P21+R21)</f>
        <v/>
      </c>
      <c r="X21" s="5">
        <f>O21-(P21+Q21+R21)</f>
        <v/>
      </c>
    </row>
    <row r="22">
      <c r="A22" s="2" t="inlineStr">
        <is>
          <t>EJ010223.TXT</t>
        </is>
      </c>
      <c r="B22" s="3" t="inlineStr">
        <is>
          <t>000997</t>
        </is>
      </c>
      <c r="C22" s="3" t="inlineStr">
        <is>
          <t>000629</t>
        </is>
      </c>
      <c r="D22" s="4" t="n">
        <v>44943</v>
      </c>
      <c r="E22" s="2" t="inlineStr">
        <is>
          <t>12:30</t>
        </is>
      </c>
      <c r="F22" s="5" t="n">
        <v>144.17</v>
      </c>
      <c r="G22" s="5" t="n"/>
      <c r="H22" s="5" t="n"/>
      <c r="I22" s="5" t="n"/>
      <c r="J22" s="5" t="n">
        <v>28.83</v>
      </c>
      <c r="K22" s="5" t="n"/>
      <c r="L22" s="5" t="n"/>
      <c r="M22" s="5" t="n"/>
      <c r="N22" s="5" t="n"/>
      <c r="O22" s="5" t="n">
        <v>173</v>
      </c>
      <c r="P22" s="5" t="n">
        <v>173</v>
      </c>
      <c r="Q22" s="5" t="n"/>
      <c r="R22" s="5" t="n"/>
      <c r="S22" s="5">
        <f>F22*20%</f>
        <v/>
      </c>
      <c r="T22" s="5">
        <f>J22-S22</f>
        <v/>
      </c>
      <c r="U22" s="5">
        <f>F22+J22</f>
        <v/>
      </c>
      <c r="V22" s="5">
        <f>O22-U22</f>
        <v/>
      </c>
      <c r="W22" s="5">
        <f>O22-(P22+R22)</f>
        <v/>
      </c>
      <c r="X22" s="5">
        <f>O22-(P22+Q22+R22)</f>
        <v/>
      </c>
    </row>
    <row r="23">
      <c r="A23" s="2" t="inlineStr">
        <is>
          <t>EJ010223.TXT</t>
        </is>
      </c>
      <c r="B23" s="3" t="inlineStr">
        <is>
          <t>000998</t>
        </is>
      </c>
      <c r="C23" s="3" t="inlineStr">
        <is>
          <t>000630</t>
        </is>
      </c>
      <c r="D23" s="4" t="n">
        <v>44943</v>
      </c>
      <c r="E23" s="2" t="inlineStr">
        <is>
          <t>13:47</t>
        </is>
      </c>
      <c r="F23" s="5" t="n">
        <v>498.33</v>
      </c>
      <c r="G23" s="5" t="n"/>
      <c r="H23" s="5" t="n"/>
      <c r="I23" s="5" t="n"/>
      <c r="J23" s="5" t="n">
        <v>99.67</v>
      </c>
      <c r="K23" s="5" t="n"/>
      <c r="L23" s="5" t="n"/>
      <c r="M23" s="5" t="n"/>
      <c r="N23" s="5" t="n"/>
      <c r="O23" s="5" t="n">
        <v>598</v>
      </c>
      <c r="P23" s="5" t="n"/>
      <c r="Q23" s="5" t="n">
        <v>598</v>
      </c>
      <c r="R23" s="5" t="n"/>
      <c r="S23" s="5">
        <f>F23*20%</f>
        <v/>
      </c>
      <c r="T23" s="5">
        <f>J23-S23</f>
        <v/>
      </c>
      <c r="U23" s="5">
        <f>F23+J23</f>
        <v/>
      </c>
      <c r="V23" s="5">
        <f>O23-U23</f>
        <v/>
      </c>
      <c r="W23" s="5">
        <f>O23-(P23+R23)</f>
        <v/>
      </c>
      <c r="X23" s="5">
        <f>O23-(P23+Q23+R23)</f>
        <v/>
      </c>
    </row>
    <row r="24">
      <c r="A24" s="2" t="inlineStr">
        <is>
          <t>EJ010223.TXT</t>
        </is>
      </c>
      <c r="B24" s="3" t="inlineStr">
        <is>
          <t>000999</t>
        </is>
      </c>
      <c r="C24" s="3" t="inlineStr">
        <is>
          <t>000631</t>
        </is>
      </c>
      <c r="D24" s="4" t="n">
        <v>44944</v>
      </c>
      <c r="E24" s="2" t="inlineStr">
        <is>
          <t>12:59</t>
        </is>
      </c>
      <c r="F24" s="5" t="n">
        <v>149</v>
      </c>
      <c r="G24" s="5" t="n"/>
      <c r="H24" s="5" t="n"/>
      <c r="I24" s="5" t="n"/>
      <c r="J24" s="5" t="n">
        <v>29.8</v>
      </c>
      <c r="K24" s="5" t="n"/>
      <c r="L24" s="5" t="n"/>
      <c r="M24" s="5" t="n"/>
      <c r="N24" s="5" t="n"/>
      <c r="O24" s="5" t="n">
        <v>178.8</v>
      </c>
      <c r="P24" s="5" t="n">
        <v>178.8</v>
      </c>
      <c r="Q24" s="5" t="n"/>
      <c r="R24" s="5" t="n"/>
      <c r="S24" s="5">
        <f>F24*20%</f>
        <v/>
      </c>
      <c r="T24" s="5">
        <f>J24-S24</f>
        <v/>
      </c>
      <c r="U24" s="5">
        <f>F24+J24</f>
        <v/>
      </c>
      <c r="V24" s="5">
        <f>O24-U24</f>
        <v/>
      </c>
      <c r="W24" s="5">
        <f>O24-(P24+R24)</f>
        <v/>
      </c>
      <c r="X24" s="5">
        <f>O24-(P24+Q24+R24)</f>
        <v/>
      </c>
    </row>
    <row r="25">
      <c r="A25" s="2" t="inlineStr">
        <is>
          <t>EJ010223.TXT</t>
        </is>
      </c>
      <c r="B25" s="3" t="inlineStr">
        <is>
          <t>001000</t>
        </is>
      </c>
      <c r="C25" s="3" t="inlineStr">
        <is>
          <t>000632</t>
        </is>
      </c>
      <c r="D25" s="4" t="n">
        <v>44944</v>
      </c>
      <c r="E25" s="2" t="inlineStr">
        <is>
          <t>17:24</t>
        </is>
      </c>
      <c r="F25" s="5" t="n">
        <v>73.33</v>
      </c>
      <c r="G25" s="5" t="n"/>
      <c r="H25" s="5" t="n"/>
      <c r="I25" s="5" t="n"/>
      <c r="J25" s="5" t="n">
        <v>14.67</v>
      </c>
      <c r="K25" s="5" t="n"/>
      <c r="L25" s="5" t="n"/>
      <c r="M25" s="5" t="n"/>
      <c r="N25" s="5" t="n"/>
      <c r="O25" s="5" t="n">
        <v>88</v>
      </c>
      <c r="P25" s="5" t="n">
        <v>88</v>
      </c>
      <c r="Q25" s="5" t="n"/>
      <c r="R25" s="5" t="n"/>
      <c r="S25" s="5">
        <f>F25*20%</f>
        <v/>
      </c>
      <c r="T25" s="5">
        <f>J25-S25</f>
        <v/>
      </c>
      <c r="U25" s="5">
        <f>F25+J25</f>
        <v/>
      </c>
      <c r="V25" s="5">
        <f>O25-U25</f>
        <v/>
      </c>
      <c r="W25" s="5">
        <f>O25-(P25+R25)</f>
        <v/>
      </c>
      <c r="X25" s="5">
        <f>O25-(P25+Q25+R25)</f>
        <v/>
      </c>
    </row>
    <row r="26">
      <c r="A26" s="2" t="inlineStr">
        <is>
          <t>EJ010223.TXT</t>
        </is>
      </c>
      <c r="B26" s="3" t="inlineStr">
        <is>
          <t>001001</t>
        </is>
      </c>
      <c r="C26" s="3" t="inlineStr">
        <is>
          <t>000633</t>
        </is>
      </c>
      <c r="D26" s="4" t="n">
        <v>44945</v>
      </c>
      <c r="E26" s="2" t="inlineStr">
        <is>
          <t>12:34</t>
        </is>
      </c>
      <c r="F26" s="5" t="n">
        <v>498.33</v>
      </c>
      <c r="G26" s="5" t="n"/>
      <c r="H26" s="5" t="n"/>
      <c r="I26" s="5" t="n"/>
      <c r="J26" s="5" t="n">
        <v>99.67</v>
      </c>
      <c r="K26" s="5" t="n"/>
      <c r="L26" s="5" t="n"/>
      <c r="M26" s="5" t="n"/>
      <c r="N26" s="5" t="n"/>
      <c r="O26" s="5" t="n">
        <v>598</v>
      </c>
      <c r="P26" s="5" t="n"/>
      <c r="Q26" s="5" t="n">
        <v>598</v>
      </c>
      <c r="R26" s="5" t="n"/>
      <c r="S26" s="5">
        <f>F26*20%</f>
        <v/>
      </c>
      <c r="T26" s="5">
        <f>J26-S26</f>
        <v/>
      </c>
      <c r="U26" s="5">
        <f>F26+J26</f>
        <v/>
      </c>
      <c r="V26" s="5">
        <f>O26-U26</f>
        <v/>
      </c>
      <c r="W26" s="5">
        <f>O26-(P26+R26)</f>
        <v/>
      </c>
      <c r="X26" s="5">
        <f>O26-(P26+Q26+R26)</f>
        <v/>
      </c>
    </row>
    <row r="27">
      <c r="A27" s="2" t="inlineStr">
        <is>
          <t>EJ010223.TXT</t>
        </is>
      </c>
      <c r="B27" s="3" t="inlineStr">
        <is>
          <t>001002</t>
        </is>
      </c>
      <c r="C27" s="3" t="inlineStr">
        <is>
          <t>000634</t>
        </is>
      </c>
      <c r="D27" s="4" t="n">
        <v>44947</v>
      </c>
      <c r="E27" s="2" t="inlineStr">
        <is>
          <t>14:43</t>
        </is>
      </c>
      <c r="F27" s="5" t="n">
        <v>498.33</v>
      </c>
      <c r="G27" s="5" t="n"/>
      <c r="H27" s="5" t="n"/>
      <c r="I27" s="5" t="n"/>
      <c r="J27" s="5" t="n">
        <v>99.67</v>
      </c>
      <c r="K27" s="5" t="n"/>
      <c r="L27" s="5" t="n"/>
      <c r="M27" s="5" t="n"/>
      <c r="N27" s="5" t="n"/>
      <c r="O27" s="5" t="n">
        <v>598</v>
      </c>
      <c r="P27" s="5" t="n">
        <v>598</v>
      </c>
      <c r="Q27" s="5" t="n"/>
      <c r="R27" s="5" t="n"/>
      <c r="S27" s="5">
        <f>F27*20%</f>
        <v/>
      </c>
      <c r="T27" s="5">
        <f>J27-S27</f>
        <v/>
      </c>
      <c r="U27" s="5">
        <f>F27+J27</f>
        <v/>
      </c>
      <c r="V27" s="5">
        <f>O27-U27</f>
        <v/>
      </c>
      <c r="W27" s="5">
        <f>O27-(P27+R27)</f>
        <v/>
      </c>
      <c r="X27" s="5">
        <f>O27-(P27+Q27+R27)</f>
        <v/>
      </c>
    </row>
    <row r="28">
      <c r="A28" s="2" t="inlineStr">
        <is>
          <t>EJ010223.TXT</t>
        </is>
      </c>
      <c r="B28" s="3" t="inlineStr">
        <is>
          <t>001003</t>
        </is>
      </c>
      <c r="C28" s="3" t="inlineStr">
        <is>
          <t>000635</t>
        </is>
      </c>
      <c r="D28" s="4" t="n">
        <v>44951</v>
      </c>
      <c r="E28" s="2" t="inlineStr">
        <is>
          <t>09:58</t>
        </is>
      </c>
      <c r="F28" s="5" t="n">
        <v>249.17</v>
      </c>
      <c r="G28" s="5" t="n"/>
      <c r="H28" s="5" t="n"/>
      <c r="I28" s="5" t="n"/>
      <c r="J28" s="5" t="n">
        <v>49.83</v>
      </c>
      <c r="K28" s="5" t="n"/>
      <c r="L28" s="5" t="n"/>
      <c r="M28" s="5" t="n"/>
      <c r="N28" s="5" t="n"/>
      <c r="O28" s="5" t="n">
        <v>299</v>
      </c>
      <c r="P28" s="5" t="n"/>
      <c r="Q28" s="5" t="n">
        <v>299</v>
      </c>
      <c r="R28" s="5" t="n"/>
      <c r="S28" s="5">
        <f>F28*20%</f>
        <v/>
      </c>
      <c r="T28" s="5">
        <f>J28-S28</f>
        <v/>
      </c>
      <c r="U28" s="5">
        <f>F28+J28</f>
        <v/>
      </c>
      <c r="V28" s="5">
        <f>O28-U28</f>
        <v/>
      </c>
      <c r="W28" s="5">
        <f>O28-(P28+R28)</f>
        <v/>
      </c>
      <c r="X28" s="5">
        <f>O28-(P28+Q28+R28)</f>
        <v/>
      </c>
    </row>
    <row r="29">
      <c r="A29" s="2" t="inlineStr">
        <is>
          <t>EJ010223.TXT</t>
        </is>
      </c>
      <c r="B29" s="3" t="inlineStr">
        <is>
          <t>001004</t>
        </is>
      </c>
      <c r="C29" s="3" t="inlineStr">
        <is>
          <t>000636</t>
        </is>
      </c>
      <c r="D29" s="4" t="n">
        <v>44951</v>
      </c>
      <c r="E29" s="2" t="inlineStr">
        <is>
          <t>16:08</t>
        </is>
      </c>
      <c r="F29" s="5" t="n">
        <v>498.33</v>
      </c>
      <c r="G29" s="5" t="n"/>
      <c r="H29" s="5" t="n"/>
      <c r="I29" s="5" t="n"/>
      <c r="J29" s="5" t="n">
        <v>99.67</v>
      </c>
      <c r="K29" s="5" t="n"/>
      <c r="L29" s="5" t="n"/>
      <c r="M29" s="5" t="n"/>
      <c r="N29" s="5" t="n"/>
      <c r="O29" s="5" t="n">
        <v>598</v>
      </c>
      <c r="P29" s="5" t="n">
        <v>598</v>
      </c>
      <c r="Q29" s="5" t="n"/>
      <c r="R29" s="5" t="n"/>
      <c r="S29" s="5">
        <f>F29*20%</f>
        <v/>
      </c>
      <c r="T29" s="5">
        <f>J29-S29</f>
        <v/>
      </c>
      <c r="U29" s="5">
        <f>F29+J29</f>
        <v/>
      </c>
      <c r="V29" s="5">
        <f>O29-U29</f>
        <v/>
      </c>
      <c r="W29" s="5">
        <f>O29-(P29+R29)</f>
        <v/>
      </c>
      <c r="X29" s="5">
        <f>O29-(P29+Q29+R29)</f>
        <v/>
      </c>
    </row>
    <row r="30">
      <c r="A30" s="2" t="inlineStr">
        <is>
          <t>EJ010223.TXT</t>
        </is>
      </c>
      <c r="B30" s="3" t="inlineStr">
        <is>
          <t>001005</t>
        </is>
      </c>
      <c r="C30" s="3" t="inlineStr">
        <is>
          <t>000637</t>
        </is>
      </c>
      <c r="D30" s="4" t="n">
        <v>44951</v>
      </c>
      <c r="E30" s="2" t="inlineStr">
        <is>
          <t>16:46</t>
        </is>
      </c>
      <c r="F30" s="5" t="n">
        <v>498.33</v>
      </c>
      <c r="G30" s="5" t="n"/>
      <c r="H30" s="5" t="n"/>
      <c r="I30" s="5" t="n"/>
      <c r="J30" s="5" t="n">
        <v>99.67</v>
      </c>
      <c r="K30" s="5" t="n"/>
      <c r="L30" s="5" t="n"/>
      <c r="M30" s="5" t="n"/>
      <c r="N30" s="5" t="n"/>
      <c r="O30" s="5" t="n">
        <v>598</v>
      </c>
      <c r="P30" s="5" t="n"/>
      <c r="Q30" s="5" t="n">
        <v>598</v>
      </c>
      <c r="R30" s="5" t="n"/>
      <c r="S30" s="5">
        <f>F30*20%</f>
        <v/>
      </c>
      <c r="T30" s="5">
        <f>J30-S30</f>
        <v/>
      </c>
      <c r="U30" s="5">
        <f>F30+J30</f>
        <v/>
      </c>
      <c r="V30" s="5">
        <f>O30-U30</f>
        <v/>
      </c>
      <c r="W30" s="5">
        <f>O30-(P30+R30)</f>
        <v/>
      </c>
      <c r="X30" s="5">
        <f>O30-(P30+Q30+R30)</f>
        <v/>
      </c>
    </row>
    <row r="31">
      <c r="A31" s="2" t="inlineStr">
        <is>
          <t>EJ010223.TXT</t>
        </is>
      </c>
      <c r="B31" s="3" t="inlineStr">
        <is>
          <t>001006</t>
        </is>
      </c>
      <c r="C31" s="3" t="inlineStr">
        <is>
          <t>000638</t>
        </is>
      </c>
      <c r="D31" s="4" t="n">
        <v>44952</v>
      </c>
      <c r="E31" s="2" t="inlineStr">
        <is>
          <t>16:05</t>
        </is>
      </c>
      <c r="F31" s="5" t="n">
        <v>498.33</v>
      </c>
      <c r="G31" s="5" t="n"/>
      <c r="H31" s="5" t="n"/>
      <c r="I31" s="5" t="n"/>
      <c r="J31" s="5" t="n">
        <v>99.67</v>
      </c>
      <c r="K31" s="5" t="n"/>
      <c r="L31" s="5" t="n"/>
      <c r="M31" s="5" t="n"/>
      <c r="N31" s="5" t="n"/>
      <c r="O31" s="5" t="n">
        <v>598</v>
      </c>
      <c r="P31" s="5" t="n"/>
      <c r="Q31" s="5" t="n">
        <v>598</v>
      </c>
      <c r="R31" s="5" t="n"/>
      <c r="S31" s="5">
        <f>F31*20%</f>
        <v/>
      </c>
      <c r="T31" s="5">
        <f>J31-S31</f>
        <v/>
      </c>
      <c r="U31" s="5">
        <f>F31+J31</f>
        <v/>
      </c>
      <c r="V31" s="5">
        <f>O31-U31</f>
        <v/>
      </c>
      <c r="W31" s="5">
        <f>O31-(P31+R31)</f>
        <v/>
      </c>
      <c r="X31" s="5">
        <f>O31-(P31+Q31+R31)</f>
        <v/>
      </c>
    </row>
    <row r="32">
      <c r="A32" s="2" t="inlineStr">
        <is>
          <t>EJ010223.TXT</t>
        </is>
      </c>
      <c r="B32" s="3" t="inlineStr">
        <is>
          <t>001007</t>
        </is>
      </c>
      <c r="C32" s="3" t="inlineStr">
        <is>
          <t>000639</t>
        </is>
      </c>
      <c r="D32" s="4" t="n">
        <v>44953</v>
      </c>
      <c r="E32" s="2" t="inlineStr">
        <is>
          <t>13:19</t>
        </is>
      </c>
      <c r="F32" s="5" t="n">
        <v>498.33</v>
      </c>
      <c r="G32" s="5" t="n"/>
      <c r="H32" s="5" t="n"/>
      <c r="I32" s="5" t="n"/>
      <c r="J32" s="5" t="n">
        <v>99.67</v>
      </c>
      <c r="K32" s="5" t="n"/>
      <c r="L32" s="5" t="n"/>
      <c r="M32" s="5" t="n"/>
      <c r="N32" s="5" t="n"/>
      <c r="O32" s="5" t="n">
        <v>598</v>
      </c>
      <c r="P32" s="5" t="n">
        <v>598</v>
      </c>
      <c r="Q32" s="5" t="n"/>
      <c r="R32" s="5" t="n"/>
      <c r="S32" s="5">
        <f>F32*20%</f>
        <v/>
      </c>
      <c r="T32" s="5">
        <f>J32-S32</f>
        <v/>
      </c>
      <c r="U32" s="5">
        <f>F32+J32</f>
        <v/>
      </c>
      <c r="V32" s="5">
        <f>O32-U32</f>
        <v/>
      </c>
      <c r="W32" s="5">
        <f>O32-(P32+R32)</f>
        <v/>
      </c>
      <c r="X32" s="5">
        <f>O32-(P32+Q32+R32)</f>
        <v/>
      </c>
    </row>
    <row r="33">
      <c r="A33" s="2" t="inlineStr">
        <is>
          <t>EJ010223.TXT</t>
        </is>
      </c>
      <c r="B33" s="3" t="inlineStr">
        <is>
          <t>001008</t>
        </is>
      </c>
      <c r="C33" s="3" t="inlineStr">
        <is>
          <t>000640</t>
        </is>
      </c>
      <c r="D33" s="4" t="n">
        <v>44953</v>
      </c>
      <c r="E33" s="2" t="inlineStr">
        <is>
          <t>17:19</t>
        </is>
      </c>
      <c r="F33" s="5" t="n">
        <v>498.33</v>
      </c>
      <c r="G33" s="5" t="n"/>
      <c r="H33" s="5" t="n"/>
      <c r="I33" s="5" t="n"/>
      <c r="J33" s="5" t="n">
        <v>99.67</v>
      </c>
      <c r="K33" s="5" t="n"/>
      <c r="L33" s="5" t="n"/>
      <c r="M33" s="5" t="n"/>
      <c r="N33" s="5" t="n"/>
      <c r="O33" s="5" t="n">
        <v>598</v>
      </c>
      <c r="P33" s="5" t="n">
        <v>598</v>
      </c>
      <c r="Q33" s="5" t="n"/>
      <c r="R33" s="5" t="n"/>
      <c r="S33" s="5">
        <f>F33*20%</f>
        <v/>
      </c>
      <c r="T33" s="5">
        <f>J33-S33</f>
        <v/>
      </c>
      <c r="U33" s="5">
        <f>F33+J33</f>
        <v/>
      </c>
      <c r="V33" s="5">
        <f>O33-U33</f>
        <v/>
      </c>
      <c r="W33" s="5">
        <f>O33-(P33+R33)</f>
        <v/>
      </c>
      <c r="X33" s="5">
        <f>O33-(P33+Q33+R33)</f>
        <v/>
      </c>
    </row>
    <row r="34">
      <c r="A34" s="2" t="inlineStr">
        <is>
          <t>EJ010323.TXT</t>
        </is>
      </c>
      <c r="B34" s="3" t="inlineStr">
        <is>
          <t>001015</t>
        </is>
      </c>
      <c r="C34" s="3" t="inlineStr">
        <is>
          <t>000641</t>
        </is>
      </c>
      <c r="D34" s="4" t="n">
        <v>44958</v>
      </c>
      <c r="E34" s="2" t="inlineStr">
        <is>
          <t>15:26</t>
        </is>
      </c>
      <c r="F34" s="5" t="n">
        <v>24.83</v>
      </c>
      <c r="G34" s="5" t="n"/>
      <c r="H34" s="5" t="n"/>
      <c r="I34" s="5" t="n"/>
      <c r="J34" s="5" t="n">
        <v>4.97</v>
      </c>
      <c r="K34" s="5" t="n"/>
      <c r="L34" s="5" t="n"/>
      <c r="M34" s="5" t="n"/>
      <c r="N34" s="5" t="n"/>
      <c r="O34" s="5" t="n">
        <v>29.8</v>
      </c>
      <c r="P34" s="5" t="n"/>
      <c r="Q34" s="5" t="n">
        <v>29.8</v>
      </c>
      <c r="R34" s="5" t="n"/>
      <c r="S34" s="5">
        <f>F34*20%</f>
        <v/>
      </c>
      <c r="T34" s="5">
        <f>J34-S34</f>
        <v/>
      </c>
      <c r="U34" s="5">
        <f>F34+J34</f>
        <v/>
      </c>
      <c r="V34" s="5">
        <f>O34-U34</f>
        <v/>
      </c>
      <c r="W34" s="5">
        <f>O34-(P34+R34)</f>
        <v/>
      </c>
      <c r="X34" s="5">
        <f>O34-(P34+Q34+R34)</f>
        <v/>
      </c>
    </row>
    <row r="35">
      <c r="A35" s="2" t="inlineStr">
        <is>
          <t>EJ010323.TXT</t>
        </is>
      </c>
      <c r="B35" s="3" t="inlineStr">
        <is>
          <t>001017</t>
        </is>
      </c>
      <c r="C35" s="3" t="inlineStr">
        <is>
          <t>000642</t>
        </is>
      </c>
      <c r="D35" s="4" t="n">
        <v>44959</v>
      </c>
      <c r="E35" s="2" t="inlineStr">
        <is>
          <t>12:55</t>
        </is>
      </c>
      <c r="F35" s="5" t="n">
        <v>274.17</v>
      </c>
      <c r="G35" s="5" t="n"/>
      <c r="H35" s="5" t="n"/>
      <c r="I35" s="5" t="n"/>
      <c r="J35" s="5" t="n">
        <v>54.83</v>
      </c>
      <c r="K35" s="5" t="n"/>
      <c r="L35" s="5" t="n"/>
      <c r="M35" s="5" t="n"/>
      <c r="N35" s="5" t="n"/>
      <c r="O35" s="5" t="n">
        <v>329</v>
      </c>
      <c r="P35" s="5" t="n">
        <v>329</v>
      </c>
      <c r="Q35" s="5" t="n"/>
      <c r="R35" s="5" t="n"/>
      <c r="S35" s="5">
        <f>F35*20%</f>
        <v/>
      </c>
      <c r="T35" s="5">
        <f>J35-S35</f>
        <v/>
      </c>
      <c r="U35" s="5">
        <f>F35+J35</f>
        <v/>
      </c>
      <c r="V35" s="5">
        <f>O35-U35</f>
        <v/>
      </c>
      <c r="W35" s="5">
        <f>O35-(P35+R35)</f>
        <v/>
      </c>
      <c r="X35" s="5">
        <f>O35-(P35+Q35+R35)</f>
        <v/>
      </c>
    </row>
    <row r="36">
      <c r="A36" s="2" t="inlineStr">
        <is>
          <t>EJ010323.TXT</t>
        </is>
      </c>
      <c r="B36" s="3" t="inlineStr">
        <is>
          <t>001020</t>
        </is>
      </c>
      <c r="C36" s="3" t="inlineStr">
        <is>
          <t>000643</t>
        </is>
      </c>
      <c r="D36" s="4" t="n">
        <v>44959</v>
      </c>
      <c r="E36" s="2" t="inlineStr">
        <is>
          <t>14:04</t>
        </is>
      </c>
      <c r="F36" s="5" t="n">
        <v>274.17</v>
      </c>
      <c r="G36" s="5" t="n"/>
      <c r="H36" s="5" t="n"/>
      <c r="I36" s="5" t="n"/>
      <c r="J36" s="5" t="n">
        <v>54.83</v>
      </c>
      <c r="K36" s="5" t="n"/>
      <c r="L36" s="5" t="n"/>
      <c r="M36" s="5" t="n"/>
      <c r="N36" s="5" t="n"/>
      <c r="O36" s="5" t="n">
        <v>329</v>
      </c>
      <c r="P36" s="5" t="n"/>
      <c r="Q36" s="5" t="n">
        <v>329</v>
      </c>
      <c r="R36" s="5" t="n"/>
      <c r="S36" s="5">
        <f>F36*20%</f>
        <v/>
      </c>
      <c r="T36" s="5">
        <f>J36-S36</f>
        <v/>
      </c>
      <c r="U36" s="5">
        <f>F36+J36</f>
        <v/>
      </c>
      <c r="V36" s="5">
        <f>O36-U36</f>
        <v/>
      </c>
      <c r="W36" s="5">
        <f>O36-(P36+R36)</f>
        <v/>
      </c>
      <c r="X36" s="5">
        <f>O36-(P36+Q36+R36)</f>
        <v/>
      </c>
    </row>
    <row r="37">
      <c r="A37" s="2" t="inlineStr">
        <is>
          <t>EJ010323.TXT</t>
        </is>
      </c>
      <c r="B37" s="3" t="inlineStr">
        <is>
          <t>001021</t>
        </is>
      </c>
      <c r="C37" s="3" t="inlineStr">
        <is>
          <t>000644</t>
        </is>
      </c>
      <c r="D37" s="4" t="n">
        <v>44961</v>
      </c>
      <c r="E37" s="2" t="inlineStr">
        <is>
          <t>15:31</t>
        </is>
      </c>
      <c r="F37" s="5" t="n">
        <v>548.33</v>
      </c>
      <c r="G37" s="5" t="n"/>
      <c r="H37" s="5" t="n"/>
      <c r="I37" s="5" t="n"/>
      <c r="J37" s="5" t="n">
        <v>109.67</v>
      </c>
      <c r="K37" s="5" t="n"/>
      <c r="L37" s="5" t="n"/>
      <c r="M37" s="5" t="n"/>
      <c r="N37" s="5" t="n"/>
      <c r="O37" s="5" t="n">
        <v>658</v>
      </c>
      <c r="P37" s="5" t="n"/>
      <c r="Q37" s="5" t="n">
        <v>658</v>
      </c>
      <c r="R37" s="5" t="n"/>
      <c r="S37" s="5">
        <f>F37*20%</f>
        <v/>
      </c>
      <c r="T37" s="5">
        <f>J37-S37</f>
        <v/>
      </c>
      <c r="U37" s="5">
        <f>F37+J37</f>
        <v/>
      </c>
      <c r="V37" s="5">
        <f>O37-U37</f>
        <v/>
      </c>
      <c r="W37" s="5">
        <f>O37-(P37+R37)</f>
        <v/>
      </c>
      <c r="X37" s="5">
        <f>O37-(P37+Q37+R37)</f>
        <v/>
      </c>
    </row>
    <row r="38">
      <c r="A38" s="2" t="inlineStr">
        <is>
          <t>EJ010323.TXT</t>
        </is>
      </c>
      <c r="B38" s="3" t="inlineStr">
        <is>
          <t>001022</t>
        </is>
      </c>
      <c r="C38" s="3" t="inlineStr">
        <is>
          <t>000645</t>
        </is>
      </c>
      <c r="D38" s="4" t="n">
        <v>44961</v>
      </c>
      <c r="E38" s="2" t="inlineStr">
        <is>
          <t>15:34</t>
        </is>
      </c>
      <c r="F38" s="5" t="n">
        <v>548.33</v>
      </c>
      <c r="G38" s="5" t="n"/>
      <c r="H38" s="5" t="n"/>
      <c r="I38" s="5" t="n"/>
      <c r="J38" s="5" t="n">
        <v>109.67</v>
      </c>
      <c r="K38" s="5" t="n"/>
      <c r="L38" s="5" t="n"/>
      <c r="M38" s="5" t="n"/>
      <c r="N38" s="5" t="n"/>
      <c r="O38" s="5" t="n">
        <v>658</v>
      </c>
      <c r="P38" s="5" t="n">
        <v>658</v>
      </c>
      <c r="Q38" s="5" t="n"/>
      <c r="R38" s="5" t="n"/>
      <c r="S38" s="5">
        <f>F38*20%</f>
        <v/>
      </c>
      <c r="T38" s="5">
        <f>J38-S38</f>
        <v/>
      </c>
      <c r="U38" s="5">
        <f>F38+J38</f>
        <v/>
      </c>
      <c r="V38" s="5">
        <f>O38-U38</f>
        <v/>
      </c>
      <c r="W38" s="5">
        <f>O38-(P38+R38)</f>
        <v/>
      </c>
      <c r="X38" s="5">
        <f>O38-(P38+Q38+R38)</f>
        <v/>
      </c>
    </row>
    <row r="39">
      <c r="A39" s="2" t="inlineStr">
        <is>
          <t>EJ010323.TXT</t>
        </is>
      </c>
      <c r="B39" s="3" t="inlineStr">
        <is>
          <t>001023</t>
        </is>
      </c>
      <c r="C39" s="3" t="inlineStr">
        <is>
          <t>000646</t>
        </is>
      </c>
      <c r="D39" s="4" t="n">
        <v>44961</v>
      </c>
      <c r="E39" s="2" t="inlineStr">
        <is>
          <t>16:26</t>
        </is>
      </c>
      <c r="F39" s="5" t="n">
        <v>822.5</v>
      </c>
      <c r="G39" s="5" t="n"/>
      <c r="H39" s="5" t="n"/>
      <c r="I39" s="5" t="n"/>
      <c r="J39" s="5" t="n">
        <v>164.5</v>
      </c>
      <c r="K39" s="5" t="n"/>
      <c r="L39" s="5" t="n"/>
      <c r="M39" s="5" t="n"/>
      <c r="N39" s="5" t="n"/>
      <c r="O39" s="5" t="n">
        <v>987</v>
      </c>
      <c r="P39" s="5" t="n"/>
      <c r="Q39" s="5" t="n">
        <v>987</v>
      </c>
      <c r="R39" s="5" t="n"/>
      <c r="S39" s="5">
        <f>F39*20%</f>
        <v/>
      </c>
      <c r="T39" s="5">
        <f>J39-S39</f>
        <v/>
      </c>
      <c r="U39" s="5">
        <f>F39+J39</f>
        <v/>
      </c>
      <c r="V39" s="5">
        <f>O39-U39</f>
        <v/>
      </c>
      <c r="W39" s="5">
        <f>O39-(P39+R39)</f>
        <v/>
      </c>
      <c r="X39" s="5">
        <f>O39-(P39+Q39+R39)</f>
        <v/>
      </c>
    </row>
    <row r="40">
      <c r="A40" s="2" t="inlineStr">
        <is>
          <t>EJ010323.TXT</t>
        </is>
      </c>
      <c r="B40" s="3" t="inlineStr">
        <is>
          <t>001024</t>
        </is>
      </c>
      <c r="C40" s="3" t="inlineStr">
        <is>
          <t>000647</t>
        </is>
      </c>
      <c r="D40" s="4" t="n">
        <v>44961</v>
      </c>
      <c r="E40" s="2" t="inlineStr">
        <is>
          <t>16:35</t>
        </is>
      </c>
      <c r="F40" s="5" t="n">
        <v>548.33</v>
      </c>
      <c r="G40" s="5" t="n"/>
      <c r="H40" s="5" t="n"/>
      <c r="I40" s="5" t="n"/>
      <c r="J40" s="5" t="n">
        <v>109.67</v>
      </c>
      <c r="K40" s="5" t="n"/>
      <c r="L40" s="5" t="n"/>
      <c r="M40" s="5" t="n"/>
      <c r="N40" s="5" t="n"/>
      <c r="O40" s="5" t="n">
        <v>658</v>
      </c>
      <c r="P40" s="5" t="n">
        <v>658</v>
      </c>
      <c r="Q40" s="5" t="n"/>
      <c r="R40" s="5" t="n"/>
      <c r="S40" s="5">
        <f>F40*20%</f>
        <v/>
      </c>
      <c r="T40" s="5">
        <f>J40-S40</f>
        <v/>
      </c>
      <c r="U40" s="5">
        <f>F40+J40</f>
        <v/>
      </c>
      <c r="V40" s="5">
        <f>O40-U40</f>
        <v/>
      </c>
      <c r="W40" s="5">
        <f>O40-(P40+R40)</f>
        <v/>
      </c>
      <c r="X40" s="5">
        <f>O40-(P40+Q40+R40)</f>
        <v/>
      </c>
    </row>
    <row r="41">
      <c r="A41" s="2" t="inlineStr">
        <is>
          <t>EJ010323.TXT</t>
        </is>
      </c>
      <c r="B41" s="3" t="inlineStr">
        <is>
          <t>001025</t>
        </is>
      </c>
      <c r="C41" s="3" t="inlineStr">
        <is>
          <t>000648</t>
        </is>
      </c>
      <c r="D41" s="4" t="n">
        <v>44963</v>
      </c>
      <c r="E41" s="2" t="inlineStr">
        <is>
          <t>13:29</t>
        </is>
      </c>
      <c r="F41" s="5" t="n">
        <v>1495</v>
      </c>
      <c r="G41" s="5" t="n"/>
      <c r="H41" s="5" t="n"/>
      <c r="I41" s="5" t="n"/>
      <c r="J41" s="5" t="n">
        <v>299</v>
      </c>
      <c r="K41" s="5" t="n"/>
      <c r="L41" s="5" t="n"/>
      <c r="M41" s="5" t="n"/>
      <c r="N41" s="5" t="n"/>
      <c r="O41" s="5" t="n">
        <v>1794</v>
      </c>
      <c r="P41" s="5" t="n">
        <v>1794</v>
      </c>
      <c r="Q41" s="5" t="n"/>
      <c r="R41" s="5" t="n"/>
      <c r="S41" s="5">
        <f>F41*20%</f>
        <v/>
      </c>
      <c r="T41" s="5">
        <f>J41-S41</f>
        <v/>
      </c>
      <c r="U41" s="5">
        <f>F41+J41</f>
        <v/>
      </c>
      <c r="V41" s="5">
        <f>O41-U41</f>
        <v/>
      </c>
      <c r="W41" s="5">
        <f>O41-(P41+R41)</f>
        <v/>
      </c>
      <c r="X41" s="5">
        <f>O41-(P41+Q41+R41)</f>
        <v/>
      </c>
    </row>
    <row r="42">
      <c r="A42" s="2" t="inlineStr">
        <is>
          <t>EJ010323.TXT</t>
        </is>
      </c>
      <c r="B42" s="3" t="inlineStr">
        <is>
          <t>001026</t>
        </is>
      </c>
      <c r="C42" s="3" t="inlineStr">
        <is>
          <t>000649</t>
        </is>
      </c>
      <c r="D42" s="4" t="n">
        <v>44963</v>
      </c>
      <c r="E42" s="2" t="inlineStr">
        <is>
          <t>17:56</t>
        </is>
      </c>
      <c r="F42" s="5" t="n">
        <v>897.5</v>
      </c>
      <c r="G42" s="5" t="n"/>
      <c r="H42" s="5" t="n"/>
      <c r="I42" s="5" t="n"/>
      <c r="J42" s="5" t="n">
        <v>179.5</v>
      </c>
      <c r="K42" s="5" t="n"/>
      <c r="L42" s="5" t="n"/>
      <c r="M42" s="5" t="n"/>
      <c r="N42" s="5" t="n"/>
      <c r="O42" s="5" t="n">
        <v>1077</v>
      </c>
      <c r="P42" s="5" t="n"/>
      <c r="Q42" s="5" t="n">
        <v>1077</v>
      </c>
      <c r="R42" s="5" t="n"/>
      <c r="S42" s="5">
        <f>F42*20%</f>
        <v/>
      </c>
      <c r="T42" s="5">
        <f>J42-S42</f>
        <v/>
      </c>
      <c r="U42" s="5">
        <f>F42+J42</f>
        <v/>
      </c>
      <c r="V42" s="5">
        <f>O42-U42</f>
        <v/>
      </c>
      <c r="W42" s="5">
        <f>O42-(P42+R42)</f>
        <v/>
      </c>
      <c r="X42" s="5">
        <f>O42-(P42+Q42+R42)</f>
        <v/>
      </c>
    </row>
    <row r="43">
      <c r="A43" s="2" t="inlineStr">
        <is>
          <t>EJ010323.TXT</t>
        </is>
      </c>
      <c r="B43" s="3" t="inlineStr">
        <is>
          <t>001027</t>
        </is>
      </c>
      <c r="C43" s="3" t="inlineStr">
        <is>
          <t>000650</t>
        </is>
      </c>
      <c r="D43" s="4" t="n">
        <v>44966</v>
      </c>
      <c r="E43" s="2" t="inlineStr">
        <is>
          <t>15:16</t>
        </is>
      </c>
      <c r="F43" s="5" t="n">
        <v>548.33</v>
      </c>
      <c r="G43" s="5" t="n"/>
      <c r="H43" s="5" t="n"/>
      <c r="I43" s="5" t="n"/>
      <c r="J43" s="5" t="n">
        <v>109.67</v>
      </c>
      <c r="K43" s="5" t="n"/>
      <c r="L43" s="5" t="n"/>
      <c r="M43" s="5" t="n"/>
      <c r="N43" s="5" t="n"/>
      <c r="O43" s="5" t="n">
        <v>658</v>
      </c>
      <c r="P43" s="5" t="n">
        <v>58</v>
      </c>
      <c r="Q43" s="5" t="n">
        <v>600</v>
      </c>
      <c r="R43" s="5" t="n"/>
      <c r="S43" s="5">
        <f>F43*20%</f>
        <v/>
      </c>
      <c r="T43" s="5">
        <f>J43-S43</f>
        <v/>
      </c>
      <c r="U43" s="5">
        <f>F43+J43</f>
        <v/>
      </c>
      <c r="V43" s="5">
        <f>O43-U43</f>
        <v/>
      </c>
      <c r="W43" s="5">
        <f>O43-(P43+R43)</f>
        <v/>
      </c>
      <c r="X43" s="5">
        <f>O43-(P43+Q43+R43)</f>
        <v/>
      </c>
    </row>
    <row r="44">
      <c r="A44" s="2" t="inlineStr">
        <is>
          <t>EJ010323.TXT</t>
        </is>
      </c>
      <c r="B44" s="3" t="inlineStr">
        <is>
          <t>001029</t>
        </is>
      </c>
      <c r="C44" s="3" t="inlineStr">
        <is>
          <t>000651</t>
        </is>
      </c>
      <c r="D44" s="4" t="n">
        <v>44967</v>
      </c>
      <c r="E44" s="2" t="inlineStr">
        <is>
          <t>17:03</t>
        </is>
      </c>
      <c r="F44" s="5" t="n">
        <v>1449.17</v>
      </c>
      <c r="G44" s="5" t="n"/>
      <c r="H44" s="5" t="n"/>
      <c r="I44" s="5" t="n"/>
      <c r="J44" s="5" t="n">
        <v>289.83</v>
      </c>
      <c r="K44" s="5" t="n"/>
      <c r="L44" s="5" t="n"/>
      <c r="M44" s="5" t="n"/>
      <c r="N44" s="5" t="n"/>
      <c r="O44" s="5" t="n">
        <v>1739</v>
      </c>
      <c r="P44" s="5" t="n">
        <v>1739</v>
      </c>
      <c r="Q44" s="5" t="n"/>
      <c r="R44" s="5" t="n"/>
      <c r="S44" s="5">
        <f>F44*20%</f>
        <v/>
      </c>
      <c r="T44" s="5">
        <f>J44-S44</f>
        <v/>
      </c>
      <c r="U44" s="5">
        <f>F44+J44</f>
        <v/>
      </c>
      <c r="V44" s="5">
        <f>O44-U44</f>
        <v/>
      </c>
      <c r="W44" s="5">
        <f>O44-(P44+R44)</f>
        <v/>
      </c>
      <c r="X44" s="5">
        <f>O44-(P44+Q44+R44)</f>
        <v/>
      </c>
    </row>
    <row r="45">
      <c r="A45" s="2" t="inlineStr">
        <is>
          <t>EJ010323.TXT</t>
        </is>
      </c>
      <c r="B45" s="3" t="inlineStr">
        <is>
          <t>001030</t>
        </is>
      </c>
      <c r="C45" s="3" t="inlineStr">
        <is>
          <t>000652</t>
        </is>
      </c>
      <c r="D45" s="4" t="n">
        <v>44970</v>
      </c>
      <c r="E45" s="2" t="inlineStr">
        <is>
          <t>11:49</t>
        </is>
      </c>
      <c r="F45" s="5" t="n">
        <v>646.67</v>
      </c>
      <c r="G45" s="5" t="n"/>
      <c r="H45" s="5" t="n"/>
      <c r="I45" s="5" t="n"/>
      <c r="J45" s="5" t="n">
        <v>129.33</v>
      </c>
      <c r="K45" s="5" t="n"/>
      <c r="L45" s="5" t="n"/>
      <c r="M45" s="5" t="n"/>
      <c r="N45" s="5" t="n"/>
      <c r="O45" s="5" t="n">
        <v>776</v>
      </c>
      <c r="P45" s="5" t="n"/>
      <c r="Q45" s="5" t="n">
        <v>776</v>
      </c>
      <c r="R45" s="5" t="n"/>
      <c r="S45" s="5">
        <f>F45*20%</f>
        <v/>
      </c>
      <c r="T45" s="5">
        <f>J45-S45</f>
        <v/>
      </c>
      <c r="U45" s="5">
        <f>F45+J45</f>
        <v/>
      </c>
      <c r="V45" s="5">
        <f>O45-U45</f>
        <v/>
      </c>
      <c r="W45" s="5">
        <f>O45-(P45+R45)</f>
        <v/>
      </c>
      <c r="X45" s="5">
        <f>O45-(P45+Q45+R45)</f>
        <v/>
      </c>
    </row>
    <row r="46">
      <c r="A46" s="2" t="inlineStr">
        <is>
          <t>EJ010323.TXT</t>
        </is>
      </c>
      <c r="B46" s="3" t="inlineStr">
        <is>
          <t>001031</t>
        </is>
      </c>
      <c r="C46" s="3" t="inlineStr">
        <is>
          <t>000653</t>
        </is>
      </c>
      <c r="D46" s="4" t="n">
        <v>44972</v>
      </c>
      <c r="E46" s="2" t="inlineStr">
        <is>
          <t>10:22</t>
        </is>
      </c>
      <c r="F46" s="5" t="n">
        <v>1600</v>
      </c>
      <c r="G46" s="5" t="n"/>
      <c r="H46" s="5" t="n"/>
      <c r="I46" s="5" t="n"/>
      <c r="J46" s="5" t="n">
        <v>320</v>
      </c>
      <c r="K46" s="5" t="n"/>
      <c r="L46" s="5" t="n"/>
      <c r="M46" s="5" t="n"/>
      <c r="N46" s="5" t="n"/>
      <c r="O46" s="5" t="n">
        <v>1920</v>
      </c>
      <c r="P46" s="5" t="n">
        <v>920</v>
      </c>
      <c r="Q46" s="5" t="n">
        <v>1000</v>
      </c>
      <c r="R46" s="5" t="n"/>
      <c r="S46" s="5">
        <f>F46*20%</f>
        <v/>
      </c>
      <c r="T46" s="5">
        <f>J46-S46</f>
        <v/>
      </c>
      <c r="U46" s="5">
        <f>F46+J46</f>
        <v/>
      </c>
      <c r="V46" s="5">
        <f>O46-U46</f>
        <v/>
      </c>
      <c r="W46" s="5">
        <f>O46-(P46+R46)</f>
        <v/>
      </c>
      <c r="X46" s="5">
        <f>O46-(P46+Q46+R46)</f>
        <v/>
      </c>
    </row>
    <row r="47">
      <c r="A47" s="2" t="inlineStr">
        <is>
          <t>EJ010323.TXT</t>
        </is>
      </c>
      <c r="B47" s="3" t="inlineStr">
        <is>
          <t>001033</t>
        </is>
      </c>
      <c r="C47" s="3" t="inlineStr">
        <is>
          <t>000654</t>
        </is>
      </c>
      <c r="D47" s="4" t="n">
        <v>44972</v>
      </c>
      <c r="E47" s="2" t="inlineStr">
        <is>
          <t>10:50</t>
        </is>
      </c>
      <c r="F47" s="5" t="n">
        <v>274.17</v>
      </c>
      <c r="G47" s="5" t="n"/>
      <c r="H47" s="5" t="n"/>
      <c r="I47" s="5" t="n"/>
      <c r="J47" s="5" t="n">
        <v>54.83</v>
      </c>
      <c r="K47" s="5" t="n"/>
      <c r="L47" s="5" t="n"/>
      <c r="M47" s="5" t="n"/>
      <c r="N47" s="5" t="n"/>
      <c r="O47" s="5" t="n">
        <v>329</v>
      </c>
      <c r="P47" s="5" t="n"/>
      <c r="Q47" s="5" t="n"/>
      <c r="R47" s="5" t="n">
        <v>329</v>
      </c>
      <c r="S47" s="5">
        <f>F47*20%</f>
        <v/>
      </c>
      <c r="T47" s="5">
        <f>J47-S47</f>
        <v/>
      </c>
      <c r="U47" s="5">
        <f>F47+J47</f>
        <v/>
      </c>
      <c r="V47" s="5">
        <f>O47-U47</f>
        <v/>
      </c>
      <c r="W47" s="5">
        <f>O47-(P47+R47)</f>
        <v/>
      </c>
      <c r="X47" s="5">
        <f>O47-(P47+Q47+R47)</f>
        <v/>
      </c>
    </row>
    <row r="48">
      <c r="A48" s="2" t="inlineStr">
        <is>
          <t>EJ010323.TXT</t>
        </is>
      </c>
      <c r="B48" s="3" t="inlineStr">
        <is>
          <t>001034</t>
        </is>
      </c>
      <c r="C48" s="3" t="inlineStr">
        <is>
          <t>000655</t>
        </is>
      </c>
      <c r="D48" s="4" t="n">
        <v>44972</v>
      </c>
      <c r="E48" s="2" t="inlineStr">
        <is>
          <t>13:58</t>
        </is>
      </c>
      <c r="F48" s="5" t="n">
        <v>465</v>
      </c>
      <c r="G48" s="5" t="n"/>
      <c r="H48" s="5" t="n"/>
      <c r="I48" s="5" t="n"/>
      <c r="J48" s="5" t="n">
        <v>93</v>
      </c>
      <c r="K48" s="5" t="n"/>
      <c r="L48" s="5" t="n"/>
      <c r="M48" s="5" t="n"/>
      <c r="N48" s="5" t="n"/>
      <c r="O48" s="5" t="n">
        <v>558</v>
      </c>
      <c r="P48" s="5" t="n">
        <v>558</v>
      </c>
      <c r="Q48" s="5" t="n"/>
      <c r="R48" s="5" t="n"/>
      <c r="S48" s="5">
        <f>F48*20%</f>
        <v/>
      </c>
      <c r="T48" s="5">
        <f>J48-S48</f>
        <v/>
      </c>
      <c r="U48" s="5">
        <f>F48+J48</f>
        <v/>
      </c>
      <c r="V48" s="5">
        <f>O48-U48</f>
        <v/>
      </c>
      <c r="W48" s="5">
        <f>O48-(P48+R48)</f>
        <v/>
      </c>
      <c r="X48" s="5">
        <f>O48-(P48+Q48+R48)</f>
        <v/>
      </c>
    </row>
    <row r="49">
      <c r="A49" s="2" t="inlineStr">
        <is>
          <t>EJ010323.TXT</t>
        </is>
      </c>
      <c r="B49" s="3" t="inlineStr">
        <is>
          <t>001035</t>
        </is>
      </c>
      <c r="C49" s="3" t="inlineStr">
        <is>
          <t>000656</t>
        </is>
      </c>
      <c r="D49" s="4" t="n">
        <v>44972</v>
      </c>
      <c r="E49" s="2" t="inlineStr">
        <is>
          <t>15:51</t>
        </is>
      </c>
      <c r="F49" s="5" t="n">
        <v>548.33</v>
      </c>
      <c r="G49" s="5" t="n"/>
      <c r="H49" s="5" t="n"/>
      <c r="I49" s="5" t="n"/>
      <c r="J49" s="5" t="n">
        <v>109.67</v>
      </c>
      <c r="K49" s="5" t="n"/>
      <c r="L49" s="5" t="n"/>
      <c r="M49" s="5" t="n"/>
      <c r="N49" s="5" t="n"/>
      <c r="O49" s="5" t="n">
        <v>658</v>
      </c>
      <c r="P49" s="5" t="n">
        <v>158</v>
      </c>
      <c r="Q49" s="5" t="n">
        <v>500</v>
      </c>
      <c r="R49" s="5" t="n"/>
      <c r="S49" s="5">
        <f>F49*20%</f>
        <v/>
      </c>
      <c r="T49" s="5">
        <f>J49-S49</f>
        <v/>
      </c>
      <c r="U49" s="5">
        <f>F49+J49</f>
        <v/>
      </c>
      <c r="V49" s="5">
        <f>O49-U49</f>
        <v/>
      </c>
      <c r="W49" s="5">
        <f>O49-(P49+R49)</f>
        <v/>
      </c>
      <c r="X49" s="5">
        <f>O49-(P49+Q49+R49)</f>
        <v/>
      </c>
    </row>
    <row r="50">
      <c r="A50" s="2" t="inlineStr">
        <is>
          <t>EJ010323.TXT</t>
        </is>
      </c>
      <c r="B50" s="3" t="inlineStr">
        <is>
          <t>001038</t>
        </is>
      </c>
      <c r="C50" s="3" t="inlineStr">
        <is>
          <t>000657</t>
        </is>
      </c>
      <c r="D50" s="4" t="n">
        <v>44974</v>
      </c>
      <c r="E50" s="2" t="inlineStr">
        <is>
          <t>13:43</t>
        </is>
      </c>
      <c r="F50" s="5" t="n">
        <v>548.33</v>
      </c>
      <c r="G50" s="5" t="n"/>
      <c r="H50" s="5" t="n"/>
      <c r="I50" s="5" t="n"/>
      <c r="J50" s="5" t="n">
        <v>109.67</v>
      </c>
      <c r="K50" s="5" t="n"/>
      <c r="L50" s="5" t="n"/>
      <c r="M50" s="5" t="n"/>
      <c r="N50" s="5" t="n"/>
      <c r="O50" s="5" t="n">
        <v>658</v>
      </c>
      <c r="P50" s="5" t="n"/>
      <c r="Q50" s="5" t="n">
        <v>658</v>
      </c>
      <c r="R50" s="5" t="n"/>
      <c r="S50" s="5">
        <f>F50*20%</f>
        <v/>
      </c>
      <c r="T50" s="5">
        <f>J50-S50</f>
        <v/>
      </c>
      <c r="U50" s="5">
        <f>F50+J50</f>
        <v/>
      </c>
      <c r="V50" s="5">
        <f>O50-U50</f>
        <v/>
      </c>
      <c r="W50" s="5">
        <f>O50-(P50+R50)</f>
        <v/>
      </c>
      <c r="X50" s="5">
        <f>O50-(P50+Q50+R50)</f>
        <v/>
      </c>
    </row>
    <row r="51">
      <c r="A51" s="2" t="inlineStr">
        <is>
          <t>EJ010323.TXT</t>
        </is>
      </c>
      <c r="B51" s="3" t="inlineStr">
        <is>
          <t>001039</t>
        </is>
      </c>
      <c r="C51" s="3" t="inlineStr">
        <is>
          <t>000658</t>
        </is>
      </c>
      <c r="D51" s="4" t="n">
        <v>44974</v>
      </c>
      <c r="E51" s="2" t="inlineStr">
        <is>
          <t>13:43</t>
        </is>
      </c>
      <c r="F51" s="5" t="n">
        <v>548.33</v>
      </c>
      <c r="G51" s="5" t="n"/>
      <c r="H51" s="5" t="n"/>
      <c r="I51" s="5" t="n"/>
      <c r="J51" s="5" t="n">
        <v>109.67</v>
      </c>
      <c r="K51" s="5" t="n"/>
      <c r="L51" s="5" t="n"/>
      <c r="M51" s="5" t="n"/>
      <c r="N51" s="5" t="n"/>
      <c r="O51" s="5" t="n">
        <v>658</v>
      </c>
      <c r="P51" s="5" t="n"/>
      <c r="Q51" s="5" t="n">
        <v>658</v>
      </c>
      <c r="R51" s="5" t="n"/>
      <c r="S51" s="5">
        <f>F51*20%</f>
        <v/>
      </c>
      <c r="T51" s="5">
        <f>J51-S51</f>
        <v/>
      </c>
      <c r="U51" s="5">
        <f>F51+J51</f>
        <v/>
      </c>
      <c r="V51" s="5">
        <f>O51-U51</f>
        <v/>
      </c>
      <c r="W51" s="5">
        <f>O51-(P51+R51)</f>
        <v/>
      </c>
      <c r="X51" s="5">
        <f>O51-(P51+Q51+R51)</f>
        <v/>
      </c>
    </row>
    <row r="52">
      <c r="A52" s="2" t="inlineStr">
        <is>
          <t>EJ010323.TXT</t>
        </is>
      </c>
      <c r="B52" s="3" t="inlineStr">
        <is>
          <t>001040</t>
        </is>
      </c>
      <c r="C52" s="3" t="inlineStr">
        <is>
          <t>000659</t>
        </is>
      </c>
      <c r="D52" s="4" t="n">
        <v>44975</v>
      </c>
      <c r="E52" s="2" t="inlineStr">
        <is>
          <t>17:47</t>
        </is>
      </c>
      <c r="F52" s="5" t="n">
        <v>533.33</v>
      </c>
      <c r="G52" s="5" t="n"/>
      <c r="H52" s="5" t="n"/>
      <c r="I52" s="5" t="n"/>
      <c r="J52" s="5" t="n">
        <v>106.67</v>
      </c>
      <c r="K52" s="5" t="n"/>
      <c r="L52" s="5" t="n"/>
      <c r="M52" s="5" t="n"/>
      <c r="N52" s="5" t="n"/>
      <c r="O52" s="5" t="n">
        <v>640</v>
      </c>
      <c r="P52" s="5" t="n"/>
      <c r="Q52" s="5" t="n">
        <v>640</v>
      </c>
      <c r="R52" s="5" t="n"/>
      <c r="S52" s="5">
        <f>F52*20%</f>
        <v/>
      </c>
      <c r="T52" s="5">
        <f>J52-S52</f>
        <v/>
      </c>
      <c r="U52" s="5">
        <f>F52+J52</f>
        <v/>
      </c>
      <c r="V52" s="5">
        <f>O52-U52</f>
        <v/>
      </c>
      <c r="W52" s="5">
        <f>O52-(P52+R52)</f>
        <v/>
      </c>
      <c r="X52" s="5">
        <f>O52-(P52+Q52+R52)</f>
        <v/>
      </c>
    </row>
    <row r="53">
      <c r="A53" s="2" t="inlineStr">
        <is>
          <t>EJ010323.TXT</t>
        </is>
      </c>
      <c r="B53" s="3" t="inlineStr">
        <is>
          <t>001041</t>
        </is>
      </c>
      <c r="C53" s="3" t="inlineStr">
        <is>
          <t>000660</t>
        </is>
      </c>
      <c r="D53" s="4" t="n">
        <v>44978</v>
      </c>
      <c r="E53" s="2" t="inlineStr">
        <is>
          <t>11:02</t>
        </is>
      </c>
      <c r="F53" s="5" t="n">
        <v>548.33</v>
      </c>
      <c r="G53" s="5" t="n"/>
      <c r="H53" s="5" t="n"/>
      <c r="I53" s="5" t="n"/>
      <c r="J53" s="5" t="n">
        <v>109.67</v>
      </c>
      <c r="K53" s="5" t="n"/>
      <c r="L53" s="5" t="n"/>
      <c r="M53" s="5" t="n"/>
      <c r="N53" s="5" t="n"/>
      <c r="O53" s="5" t="n">
        <v>658</v>
      </c>
      <c r="P53" s="5" t="n">
        <v>658</v>
      </c>
      <c r="Q53" s="5" t="n"/>
      <c r="R53" s="5" t="n"/>
      <c r="S53" s="5">
        <f>F53*20%</f>
        <v/>
      </c>
      <c r="T53" s="5">
        <f>J53-S53</f>
        <v/>
      </c>
      <c r="U53" s="5">
        <f>F53+J53</f>
        <v/>
      </c>
      <c r="V53" s="5">
        <f>O53-U53</f>
        <v/>
      </c>
      <c r="W53" s="5">
        <f>O53-(P53+R53)</f>
        <v/>
      </c>
      <c r="X53" s="5">
        <f>O53-(P53+Q53+R53)</f>
        <v/>
      </c>
    </row>
    <row r="54">
      <c r="A54" s="2" t="inlineStr">
        <is>
          <t>EJ010323.TXT</t>
        </is>
      </c>
      <c r="B54" s="3" t="inlineStr">
        <is>
          <t>001042</t>
        </is>
      </c>
      <c r="C54" s="3" t="inlineStr">
        <is>
          <t>000661</t>
        </is>
      </c>
      <c r="D54" s="4" t="n">
        <v>44978</v>
      </c>
      <c r="E54" s="2" t="inlineStr">
        <is>
          <t>11:03</t>
        </is>
      </c>
      <c r="F54" s="5" t="n">
        <v>548.33</v>
      </c>
      <c r="G54" s="5" t="n"/>
      <c r="H54" s="5" t="n"/>
      <c r="I54" s="5" t="n"/>
      <c r="J54" s="5" t="n">
        <v>109.67</v>
      </c>
      <c r="K54" s="5" t="n"/>
      <c r="L54" s="5" t="n"/>
      <c r="M54" s="5" t="n"/>
      <c r="N54" s="5" t="n"/>
      <c r="O54" s="5" t="n">
        <v>658</v>
      </c>
      <c r="P54" s="5" t="n">
        <v>658</v>
      </c>
      <c r="Q54" s="5" t="n"/>
      <c r="R54" s="5" t="n"/>
      <c r="S54" s="5">
        <f>F54*20%</f>
        <v/>
      </c>
      <c r="T54" s="5">
        <f>J54-S54</f>
        <v/>
      </c>
      <c r="U54" s="5">
        <f>F54+J54</f>
        <v/>
      </c>
      <c r="V54" s="5">
        <f>O54-U54</f>
        <v/>
      </c>
      <c r="W54" s="5">
        <f>O54-(P54+R54)</f>
        <v/>
      </c>
      <c r="X54" s="5">
        <f>O54-(P54+Q54+R54)</f>
        <v/>
      </c>
    </row>
    <row r="55">
      <c r="A55" s="2" t="inlineStr">
        <is>
          <t>EJ010323.TXT</t>
        </is>
      </c>
      <c r="B55" s="3" t="inlineStr">
        <is>
          <t>001043</t>
        </is>
      </c>
      <c r="C55" s="3" t="inlineStr">
        <is>
          <t>000662</t>
        </is>
      </c>
      <c r="D55" s="4" t="n">
        <v>44978</v>
      </c>
      <c r="E55" s="2" t="inlineStr">
        <is>
          <t>11:09</t>
        </is>
      </c>
      <c r="F55" s="5" t="n">
        <v>274.17</v>
      </c>
      <c r="G55" s="5" t="n"/>
      <c r="H55" s="5" t="n"/>
      <c r="I55" s="5" t="n"/>
      <c r="J55" s="5" t="n">
        <v>54.83</v>
      </c>
      <c r="K55" s="5" t="n"/>
      <c r="L55" s="5" t="n"/>
      <c r="M55" s="5" t="n"/>
      <c r="N55" s="5" t="n"/>
      <c r="O55" s="5" t="n">
        <v>329</v>
      </c>
      <c r="P55" s="5" t="n">
        <v>329</v>
      </c>
      <c r="Q55" s="5" t="n"/>
      <c r="R55" s="5" t="n"/>
      <c r="S55" s="5">
        <f>F55*20%</f>
        <v/>
      </c>
      <c r="T55" s="5">
        <f>J55-S55</f>
        <v/>
      </c>
      <c r="U55" s="5">
        <f>F55+J55</f>
        <v/>
      </c>
      <c r="V55" s="5">
        <f>O55-U55</f>
        <v/>
      </c>
      <c r="W55" s="5">
        <f>O55-(P55+R55)</f>
        <v/>
      </c>
      <c r="X55" s="5">
        <f>O55-(P55+Q55+R55)</f>
        <v/>
      </c>
    </row>
    <row r="56">
      <c r="A56" s="2" t="inlineStr">
        <is>
          <t>EJ010323.TXT</t>
        </is>
      </c>
      <c r="B56" s="3" t="inlineStr">
        <is>
          <t>001044</t>
        </is>
      </c>
      <c r="C56" s="3" t="inlineStr">
        <is>
          <t>000663</t>
        </is>
      </c>
      <c r="D56" s="4" t="n">
        <v>44978</v>
      </c>
      <c r="E56" s="2" t="inlineStr">
        <is>
          <t>13:53</t>
        </is>
      </c>
      <c r="F56" s="5" t="n">
        <v>2466.67</v>
      </c>
      <c r="G56" s="5" t="n"/>
      <c r="H56" s="5" t="n"/>
      <c r="I56" s="5" t="n"/>
      <c r="J56" s="5" t="n">
        <v>493.33</v>
      </c>
      <c r="K56" s="5" t="n"/>
      <c r="L56" s="5" t="n"/>
      <c r="M56" s="5" t="n"/>
      <c r="N56" s="5" t="n"/>
      <c r="O56" s="5" t="n">
        <v>2960</v>
      </c>
      <c r="P56" s="5" t="n">
        <v>2960</v>
      </c>
      <c r="Q56" s="5" t="n"/>
      <c r="R56" s="5" t="n"/>
      <c r="S56" s="5">
        <f>F56*20%</f>
        <v/>
      </c>
      <c r="T56" s="5">
        <f>J56-S56</f>
        <v/>
      </c>
      <c r="U56" s="5">
        <f>F56+J56</f>
        <v/>
      </c>
      <c r="V56" s="5">
        <f>O56-U56</f>
        <v/>
      </c>
      <c r="W56" s="5">
        <f>O56-(P56+R56)</f>
        <v/>
      </c>
      <c r="X56" s="5">
        <f>O56-(P56+Q56+R56)</f>
        <v/>
      </c>
    </row>
    <row r="57">
      <c r="A57" s="2" t="inlineStr">
        <is>
          <t>EJ010323.TXT</t>
        </is>
      </c>
      <c r="B57" s="3" t="inlineStr">
        <is>
          <t>001045</t>
        </is>
      </c>
      <c r="C57" s="3" t="inlineStr">
        <is>
          <t>000664</t>
        </is>
      </c>
      <c r="D57" s="4" t="n">
        <v>44982</v>
      </c>
      <c r="E57" s="2" t="inlineStr">
        <is>
          <t>15:57</t>
        </is>
      </c>
      <c r="F57" s="5" t="n">
        <v>274.17</v>
      </c>
      <c r="G57" s="5" t="n"/>
      <c r="H57" s="5" t="n"/>
      <c r="I57" s="5" t="n"/>
      <c r="J57" s="5" t="n">
        <v>54.83</v>
      </c>
      <c r="K57" s="5" t="n"/>
      <c r="L57" s="5" t="n"/>
      <c r="M57" s="5" t="n"/>
      <c r="N57" s="5" t="n"/>
      <c r="O57" s="5" t="n">
        <v>329</v>
      </c>
      <c r="P57" s="5" t="n"/>
      <c r="Q57" s="5" t="n">
        <v>329</v>
      </c>
      <c r="R57" s="5" t="n"/>
      <c r="S57" s="5">
        <f>F57*20%</f>
        <v/>
      </c>
      <c r="T57" s="5">
        <f>J57-S57</f>
        <v/>
      </c>
      <c r="U57" s="5">
        <f>F57+J57</f>
        <v/>
      </c>
      <c r="V57" s="5">
        <f>O57-U57</f>
        <v/>
      </c>
      <c r="W57" s="5">
        <f>O57-(P57+R57)</f>
        <v/>
      </c>
      <c r="X57" s="5">
        <f>O57-(P57+Q57+R57)</f>
        <v/>
      </c>
    </row>
    <row r="58">
      <c r="A58" s="2" t="inlineStr">
        <is>
          <t>EJ010323.TXT</t>
        </is>
      </c>
      <c r="B58" s="3" t="inlineStr">
        <is>
          <t>001046</t>
        </is>
      </c>
      <c r="C58" s="3" t="inlineStr">
        <is>
          <t>000665</t>
        </is>
      </c>
      <c r="D58" s="4" t="n">
        <v>44982</v>
      </c>
      <c r="E58" s="2" t="inlineStr">
        <is>
          <t>15:58</t>
        </is>
      </c>
      <c r="F58" s="5" t="n">
        <v>274.17</v>
      </c>
      <c r="G58" s="5" t="n"/>
      <c r="H58" s="5" t="n"/>
      <c r="I58" s="5" t="n"/>
      <c r="J58" s="5" t="n">
        <v>54.83</v>
      </c>
      <c r="K58" s="5" t="n"/>
      <c r="L58" s="5" t="n"/>
      <c r="M58" s="5" t="n"/>
      <c r="N58" s="5" t="n"/>
      <c r="O58" s="5" t="n">
        <v>329</v>
      </c>
      <c r="P58" s="5" t="n"/>
      <c r="Q58" s="5" t="n">
        <v>329</v>
      </c>
      <c r="R58" s="5" t="n"/>
      <c r="S58" s="5">
        <f>F58*20%</f>
        <v/>
      </c>
      <c r="T58" s="5">
        <f>J58-S58</f>
        <v/>
      </c>
      <c r="U58" s="5">
        <f>F58+J58</f>
        <v/>
      </c>
      <c r="V58" s="5">
        <f>O58-U58</f>
        <v/>
      </c>
      <c r="W58" s="5">
        <f>O58-(P58+R58)</f>
        <v/>
      </c>
      <c r="X58" s="5">
        <f>O58-(P58+Q58+R58)</f>
        <v/>
      </c>
    </row>
    <row r="59">
      <c r="A59" s="2" t="inlineStr">
        <is>
          <t>EJ010423.TXT</t>
        </is>
      </c>
      <c r="B59" s="3" t="inlineStr">
        <is>
          <t>001055</t>
        </is>
      </c>
      <c r="C59" s="3" t="inlineStr">
        <is>
          <t>000666</t>
        </is>
      </c>
      <c r="D59" s="4" t="n">
        <v>44988</v>
      </c>
      <c r="E59" s="2" t="inlineStr">
        <is>
          <t>15:04</t>
        </is>
      </c>
      <c r="F59" s="5" t="n">
        <v>329.17</v>
      </c>
      <c r="G59" s="5" t="n"/>
      <c r="H59" s="5" t="n"/>
      <c r="I59" s="5" t="n"/>
      <c r="J59" s="5" t="n">
        <v>65.83</v>
      </c>
      <c r="K59" s="5" t="n"/>
      <c r="L59" s="5" t="n"/>
      <c r="M59" s="5" t="n"/>
      <c r="N59" s="5" t="n"/>
      <c r="O59" s="5" t="n">
        <v>395</v>
      </c>
      <c r="P59" s="5" t="n">
        <v>395</v>
      </c>
      <c r="Q59" s="5" t="n"/>
      <c r="R59" s="5" t="n"/>
      <c r="S59" s="5">
        <f>F59*20%</f>
        <v/>
      </c>
      <c r="T59" s="5">
        <f>J59-S59</f>
        <v/>
      </c>
      <c r="U59" s="5">
        <f>F59+J59</f>
        <v/>
      </c>
      <c r="V59" s="5">
        <f>O59-U59</f>
        <v/>
      </c>
      <c r="W59" s="5">
        <f>O59-(P59+R59)</f>
        <v/>
      </c>
      <c r="X59" s="5">
        <f>O59-(P59+Q59+R59)</f>
        <v/>
      </c>
    </row>
    <row r="60">
      <c r="A60" s="2" t="inlineStr">
        <is>
          <t>EJ010423.TXT</t>
        </is>
      </c>
      <c r="B60" s="3" t="inlineStr">
        <is>
          <t>001056</t>
        </is>
      </c>
      <c r="C60" s="3" t="inlineStr">
        <is>
          <t>000667</t>
        </is>
      </c>
      <c r="D60" s="4" t="n">
        <v>44988</v>
      </c>
      <c r="E60" s="2" t="inlineStr">
        <is>
          <t>16:02</t>
        </is>
      </c>
      <c r="F60" s="5" t="n">
        <v>274.17</v>
      </c>
      <c r="G60" s="5" t="n"/>
      <c r="H60" s="5" t="n"/>
      <c r="I60" s="5" t="n"/>
      <c r="J60" s="5" t="n">
        <v>54.83</v>
      </c>
      <c r="K60" s="5" t="n"/>
      <c r="L60" s="5" t="n"/>
      <c r="M60" s="5" t="n"/>
      <c r="N60" s="5" t="n"/>
      <c r="O60" s="5" t="n">
        <v>329</v>
      </c>
      <c r="P60" s="5" t="n">
        <v>329</v>
      </c>
      <c r="Q60" s="5" t="n"/>
      <c r="R60" s="5" t="n"/>
      <c r="S60" s="5">
        <f>F60*20%</f>
        <v/>
      </c>
      <c r="T60" s="5">
        <f>J60-S60</f>
        <v/>
      </c>
      <c r="U60" s="5">
        <f>F60+J60</f>
        <v/>
      </c>
      <c r="V60" s="5">
        <f>O60-U60</f>
        <v/>
      </c>
      <c r="W60" s="5">
        <f>O60-(P60+R60)</f>
        <v/>
      </c>
      <c r="X60" s="5">
        <f>O60-(P60+Q60+R60)</f>
        <v/>
      </c>
    </row>
    <row r="61">
      <c r="A61" s="2" t="inlineStr">
        <is>
          <t>EJ010423.TXT</t>
        </is>
      </c>
      <c r="B61" s="3" t="inlineStr">
        <is>
          <t>001057</t>
        </is>
      </c>
      <c r="C61" s="3" t="inlineStr">
        <is>
          <t>000668</t>
        </is>
      </c>
      <c r="D61" s="4" t="n">
        <v>44991</v>
      </c>
      <c r="E61" s="2" t="inlineStr">
        <is>
          <t>17:27</t>
        </is>
      </c>
      <c r="F61" s="5" t="n">
        <v>274.17</v>
      </c>
      <c r="G61" s="5" t="n"/>
      <c r="H61" s="5" t="n"/>
      <c r="I61" s="5" t="n"/>
      <c r="J61" s="5" t="n">
        <v>54.83</v>
      </c>
      <c r="K61" s="5" t="n"/>
      <c r="L61" s="5" t="n"/>
      <c r="M61" s="5" t="n"/>
      <c r="N61" s="5" t="n"/>
      <c r="O61" s="5" t="n">
        <v>329</v>
      </c>
      <c r="P61" s="5" t="n"/>
      <c r="Q61" s="5" t="n">
        <v>329</v>
      </c>
      <c r="R61" s="5" t="n"/>
      <c r="S61" s="5">
        <f>F61*20%</f>
        <v/>
      </c>
      <c r="T61" s="5">
        <f>J61-S61</f>
        <v/>
      </c>
      <c r="U61" s="5">
        <f>F61+J61</f>
        <v/>
      </c>
      <c r="V61" s="5">
        <f>O61-U61</f>
        <v/>
      </c>
      <c r="W61" s="5">
        <f>O61-(P61+R61)</f>
        <v/>
      </c>
      <c r="X61" s="5">
        <f>O61-(P61+Q61+R61)</f>
        <v/>
      </c>
    </row>
    <row r="62">
      <c r="A62" s="2" t="inlineStr">
        <is>
          <t>EJ010423.TXT</t>
        </is>
      </c>
      <c r="B62" s="3" t="inlineStr">
        <is>
          <t>001058</t>
        </is>
      </c>
      <c r="C62" s="3" t="inlineStr">
        <is>
          <t>000669</t>
        </is>
      </c>
      <c r="D62" s="4" t="n">
        <v>44993</v>
      </c>
      <c r="E62" s="2" t="inlineStr">
        <is>
          <t>10:18</t>
        </is>
      </c>
      <c r="F62" s="5" t="n">
        <v>548.33</v>
      </c>
      <c r="G62" s="5" t="n"/>
      <c r="H62" s="5" t="n"/>
      <c r="I62" s="5" t="n"/>
      <c r="J62" s="5" t="n">
        <v>109.67</v>
      </c>
      <c r="K62" s="5" t="n"/>
      <c r="L62" s="5" t="n"/>
      <c r="M62" s="5" t="n"/>
      <c r="N62" s="5" t="n"/>
      <c r="O62" s="5" t="n">
        <v>658</v>
      </c>
      <c r="P62" s="5" t="n"/>
      <c r="Q62" s="5" t="n">
        <v>658</v>
      </c>
      <c r="R62" s="5" t="n"/>
      <c r="S62" s="5">
        <f>F62*20%</f>
        <v/>
      </c>
      <c r="T62" s="5">
        <f>J62-S62</f>
        <v/>
      </c>
      <c r="U62" s="5">
        <f>F62+J62</f>
        <v/>
      </c>
      <c r="V62" s="5">
        <f>O62-U62</f>
        <v/>
      </c>
      <c r="W62" s="5">
        <f>O62-(P62+R62)</f>
        <v/>
      </c>
      <c r="X62" s="5">
        <f>O62-(P62+Q62+R62)</f>
        <v/>
      </c>
    </row>
    <row r="63">
      <c r="A63" s="2" t="inlineStr">
        <is>
          <t>EJ010423.TXT</t>
        </is>
      </c>
      <c r="B63" s="3" t="inlineStr">
        <is>
          <t>001059</t>
        </is>
      </c>
      <c r="C63" s="3" t="inlineStr">
        <is>
          <t>000670</t>
        </is>
      </c>
      <c r="D63" s="4" t="n">
        <v>44996</v>
      </c>
      <c r="E63" s="2" t="inlineStr">
        <is>
          <t>17:07</t>
        </is>
      </c>
      <c r="F63" s="5" t="n">
        <v>199.17</v>
      </c>
      <c r="G63" s="5" t="n"/>
      <c r="H63" s="5" t="n"/>
      <c r="I63" s="5" t="n"/>
      <c r="J63" s="5" t="n">
        <v>39.83</v>
      </c>
      <c r="K63" s="5" t="n"/>
      <c r="L63" s="5" t="n"/>
      <c r="M63" s="5" t="n"/>
      <c r="N63" s="5" t="n"/>
      <c r="O63" s="5" t="n">
        <v>239</v>
      </c>
      <c r="P63" s="5" t="n"/>
      <c r="Q63" s="5" t="n">
        <v>239</v>
      </c>
      <c r="R63" s="5" t="n"/>
      <c r="S63" s="5">
        <f>F63*20%</f>
        <v/>
      </c>
      <c r="T63" s="5">
        <f>J63-S63</f>
        <v/>
      </c>
      <c r="U63" s="5">
        <f>F63+J63</f>
        <v/>
      </c>
      <c r="V63" s="5">
        <f>O63-U63</f>
        <v/>
      </c>
      <c r="W63" s="5">
        <f>O63-(P63+R63)</f>
        <v/>
      </c>
      <c r="X63" s="5">
        <f>O63-(P63+Q63+R63)</f>
        <v/>
      </c>
    </row>
    <row r="64">
      <c r="A64" s="2" t="inlineStr">
        <is>
          <t>EJ010423.TXT</t>
        </is>
      </c>
      <c r="B64" s="3" t="inlineStr">
        <is>
          <t>001060</t>
        </is>
      </c>
      <c r="C64" s="3" t="inlineStr">
        <is>
          <t>000671</t>
        </is>
      </c>
      <c r="D64" s="4" t="n">
        <v>45001</v>
      </c>
      <c r="E64" s="2" t="inlineStr">
        <is>
          <t>11:14</t>
        </is>
      </c>
      <c r="F64" s="5" t="n">
        <v>548.33</v>
      </c>
      <c r="G64" s="5" t="n"/>
      <c r="H64" s="5" t="n"/>
      <c r="I64" s="5" t="n"/>
      <c r="J64" s="5" t="n">
        <v>109.67</v>
      </c>
      <c r="K64" s="5" t="n"/>
      <c r="L64" s="5" t="n"/>
      <c r="M64" s="5" t="n"/>
      <c r="N64" s="5" t="n"/>
      <c r="O64" s="5" t="n">
        <v>658</v>
      </c>
      <c r="P64" s="5" t="n">
        <v>8</v>
      </c>
      <c r="Q64" s="5" t="n">
        <v>650</v>
      </c>
      <c r="R64" s="5" t="n"/>
      <c r="S64" s="5">
        <f>F64*20%</f>
        <v/>
      </c>
      <c r="T64" s="5">
        <f>J64-S64</f>
        <v/>
      </c>
      <c r="U64" s="5">
        <f>F64+J64</f>
        <v/>
      </c>
      <c r="V64" s="5">
        <f>O64-U64</f>
        <v/>
      </c>
      <c r="W64" s="5">
        <f>O64-(P64+R64)</f>
        <v/>
      </c>
      <c r="X64" s="5">
        <f>O64-(P64+Q64+R64)</f>
        <v/>
      </c>
    </row>
    <row r="65">
      <c r="A65" s="2" t="inlineStr">
        <is>
          <t>EJ010423.TXT</t>
        </is>
      </c>
      <c r="B65" s="3" t="inlineStr">
        <is>
          <t>001062</t>
        </is>
      </c>
      <c r="C65" s="3" t="inlineStr">
        <is>
          <t>000672</t>
        </is>
      </c>
      <c r="D65" s="4" t="n">
        <v>45001</v>
      </c>
      <c r="E65" s="2" t="inlineStr">
        <is>
          <t>11:24</t>
        </is>
      </c>
      <c r="F65" s="5" t="n">
        <v>822.5</v>
      </c>
      <c r="G65" s="5" t="n"/>
      <c r="H65" s="5" t="n"/>
      <c r="I65" s="5" t="n"/>
      <c r="J65" s="5" t="n">
        <v>164.5</v>
      </c>
      <c r="K65" s="5" t="n"/>
      <c r="L65" s="5" t="n"/>
      <c r="M65" s="5" t="n"/>
      <c r="N65" s="5" t="n"/>
      <c r="O65" s="5" t="n">
        <v>987</v>
      </c>
      <c r="P65" s="5" t="n">
        <v>987</v>
      </c>
      <c r="Q65" s="5" t="n"/>
      <c r="R65" s="5" t="n"/>
      <c r="S65" s="5">
        <f>F65*20%</f>
        <v/>
      </c>
      <c r="T65" s="5">
        <f>J65-S65</f>
        <v/>
      </c>
      <c r="U65" s="5">
        <f>F65+J65</f>
        <v/>
      </c>
      <c r="V65" s="5">
        <f>O65-U65</f>
        <v/>
      </c>
      <c r="W65" s="5">
        <f>O65-(P65+R65)</f>
        <v/>
      </c>
      <c r="X65" s="5">
        <f>O65-(P65+Q65+R65)</f>
        <v/>
      </c>
    </row>
    <row r="66">
      <c r="A66" s="2" t="inlineStr">
        <is>
          <t>EJ010423.TXT</t>
        </is>
      </c>
      <c r="B66" s="3" t="inlineStr">
        <is>
          <t>001063</t>
        </is>
      </c>
      <c r="C66" s="3" t="inlineStr">
        <is>
          <t>000673</t>
        </is>
      </c>
      <c r="D66" s="4" t="n">
        <v>45002</v>
      </c>
      <c r="E66" s="2" t="inlineStr">
        <is>
          <t>17:35</t>
        </is>
      </c>
      <c r="F66" s="5" t="n">
        <v>3200</v>
      </c>
      <c r="G66" s="5" t="n"/>
      <c r="H66" s="5" t="n"/>
      <c r="I66" s="5" t="n"/>
      <c r="J66" s="5" t="n">
        <v>640</v>
      </c>
      <c r="K66" s="5" t="n"/>
      <c r="L66" s="5" t="n"/>
      <c r="M66" s="5" t="n"/>
      <c r="N66" s="5" t="n"/>
      <c r="O66" s="5" t="n">
        <v>3840</v>
      </c>
      <c r="P66" s="5" t="n">
        <v>3840</v>
      </c>
      <c r="Q66" s="5" t="n"/>
      <c r="R66" s="5" t="n"/>
      <c r="S66" s="5">
        <f>F66*20%</f>
        <v/>
      </c>
      <c r="T66" s="5">
        <f>J66-S66</f>
        <v/>
      </c>
      <c r="U66" s="5">
        <f>F66+J66</f>
        <v/>
      </c>
      <c r="V66" s="5">
        <f>O66-U66</f>
        <v/>
      </c>
      <c r="W66" s="5">
        <f>O66-(P66+R66)</f>
        <v/>
      </c>
      <c r="X66" s="5">
        <f>O66-(P66+Q66+R66)</f>
        <v/>
      </c>
    </row>
    <row r="67">
      <c r="A67" s="2" t="inlineStr">
        <is>
          <t>EJ010423.TXT</t>
        </is>
      </c>
      <c r="B67" s="3" t="inlineStr">
        <is>
          <t>001064</t>
        </is>
      </c>
      <c r="C67" s="3" t="inlineStr">
        <is>
          <t>000674</t>
        </is>
      </c>
      <c r="D67" s="4" t="n">
        <v>45003</v>
      </c>
      <c r="E67" s="2" t="inlineStr">
        <is>
          <t>14:58</t>
        </is>
      </c>
      <c r="F67" s="5" t="n">
        <v>548.33</v>
      </c>
      <c r="G67" s="5" t="n"/>
      <c r="H67" s="5" t="n"/>
      <c r="I67" s="5" t="n"/>
      <c r="J67" s="5" t="n">
        <v>109.67</v>
      </c>
      <c r="K67" s="5" t="n"/>
      <c r="L67" s="5" t="n"/>
      <c r="M67" s="5" t="n"/>
      <c r="N67" s="5" t="n"/>
      <c r="O67" s="5" t="n">
        <v>658</v>
      </c>
      <c r="P67" s="5" t="n">
        <v>58</v>
      </c>
      <c r="Q67" s="5" t="n">
        <v>600</v>
      </c>
      <c r="R67" s="5" t="n"/>
      <c r="S67" s="5">
        <f>F67*20%</f>
        <v/>
      </c>
      <c r="T67" s="5">
        <f>J67-S67</f>
        <v/>
      </c>
      <c r="U67" s="5">
        <f>F67+J67</f>
        <v/>
      </c>
      <c r="V67" s="5">
        <f>O67-U67</f>
        <v/>
      </c>
      <c r="W67" s="5">
        <f>O67-(P67+R67)</f>
        <v/>
      </c>
      <c r="X67" s="5">
        <f>O67-(P67+Q67+R67)</f>
        <v/>
      </c>
    </row>
    <row r="68">
      <c r="A68" s="2" t="inlineStr">
        <is>
          <t>EJ010423.TXT</t>
        </is>
      </c>
      <c r="B68" s="3" t="inlineStr">
        <is>
          <t>001066</t>
        </is>
      </c>
      <c r="C68" s="3" t="inlineStr">
        <is>
          <t>000675</t>
        </is>
      </c>
      <c r="D68" s="4" t="n">
        <v>45003</v>
      </c>
      <c r="E68" s="2" t="inlineStr">
        <is>
          <t>16:53</t>
        </is>
      </c>
      <c r="F68" s="5" t="n">
        <v>1770</v>
      </c>
      <c r="G68" s="5" t="n"/>
      <c r="H68" s="5" t="n"/>
      <c r="I68" s="5" t="n"/>
      <c r="J68" s="5" t="n">
        <v>354</v>
      </c>
      <c r="K68" s="5" t="n"/>
      <c r="L68" s="5" t="n"/>
      <c r="M68" s="5" t="n"/>
      <c r="N68" s="5" t="n"/>
      <c r="O68" s="5" t="n">
        <v>2124</v>
      </c>
      <c r="P68" s="5" t="n">
        <v>2124</v>
      </c>
      <c r="Q68" s="5" t="n"/>
      <c r="R68" s="5" t="n"/>
      <c r="S68" s="5">
        <f>F68*20%</f>
        <v/>
      </c>
      <c r="T68" s="5">
        <f>J68-S68</f>
        <v/>
      </c>
      <c r="U68" s="5">
        <f>F68+J68</f>
        <v/>
      </c>
      <c r="V68" s="5">
        <f>O68-U68</f>
        <v/>
      </c>
      <c r="W68" s="5">
        <f>O68-(P68+R68)</f>
        <v/>
      </c>
      <c r="X68" s="5">
        <f>O68-(P68+Q68+R68)</f>
        <v/>
      </c>
    </row>
    <row r="69">
      <c r="A69" s="2" t="inlineStr">
        <is>
          <t>EJ010423.TXT</t>
        </is>
      </c>
      <c r="B69" s="3" t="inlineStr">
        <is>
          <t>001067</t>
        </is>
      </c>
      <c r="C69" s="3" t="inlineStr">
        <is>
          <t>000676</t>
        </is>
      </c>
      <c r="D69" s="4" t="n">
        <v>45005</v>
      </c>
      <c r="E69" s="2" t="inlineStr">
        <is>
          <t>13:47</t>
        </is>
      </c>
      <c r="F69" s="5" t="n">
        <v>548.33</v>
      </c>
      <c r="G69" s="5" t="n"/>
      <c r="H69" s="5" t="n"/>
      <c r="I69" s="5" t="n"/>
      <c r="J69" s="5" t="n">
        <v>109.67</v>
      </c>
      <c r="K69" s="5" t="n"/>
      <c r="L69" s="5" t="n"/>
      <c r="M69" s="5" t="n"/>
      <c r="N69" s="5" t="n"/>
      <c r="O69" s="5" t="n">
        <v>658</v>
      </c>
      <c r="P69" s="5" t="n"/>
      <c r="Q69" s="5" t="n">
        <v>658</v>
      </c>
      <c r="R69" s="5" t="n"/>
      <c r="S69" s="5">
        <f>F69*20%</f>
        <v/>
      </c>
      <c r="T69" s="5">
        <f>J69-S69</f>
        <v/>
      </c>
      <c r="U69" s="5">
        <f>F69+J69</f>
        <v/>
      </c>
      <c r="V69" s="5">
        <f>O69-U69</f>
        <v/>
      </c>
      <c r="W69" s="5">
        <f>O69-(P69+R69)</f>
        <v/>
      </c>
      <c r="X69" s="5">
        <f>O69-(P69+Q69+R69)</f>
        <v/>
      </c>
    </row>
    <row r="70">
      <c r="A70" s="2" t="inlineStr">
        <is>
          <t>EJ010423.TXT</t>
        </is>
      </c>
      <c r="B70" s="3" t="inlineStr">
        <is>
          <t>001070</t>
        </is>
      </c>
      <c r="C70" s="3" t="inlineStr">
        <is>
          <t>000677</t>
        </is>
      </c>
      <c r="D70" s="4" t="n">
        <v>45010</v>
      </c>
      <c r="E70" s="2" t="inlineStr">
        <is>
          <t>14:47</t>
        </is>
      </c>
      <c r="F70" s="5" t="n">
        <v>797.5</v>
      </c>
      <c r="G70" s="5" t="n"/>
      <c r="H70" s="5" t="n"/>
      <c r="I70" s="5" t="n"/>
      <c r="J70" s="5" t="n">
        <v>159.5</v>
      </c>
      <c r="K70" s="5" t="n"/>
      <c r="L70" s="5" t="n"/>
      <c r="M70" s="5" t="n"/>
      <c r="N70" s="5" t="n"/>
      <c r="O70" s="5" t="n">
        <v>957</v>
      </c>
      <c r="P70" s="5" t="n"/>
      <c r="Q70" s="5" t="n">
        <v>957</v>
      </c>
      <c r="R70" s="5" t="n"/>
      <c r="S70" s="5">
        <f>F70*20%</f>
        <v/>
      </c>
      <c r="T70" s="5">
        <f>J70-S70</f>
        <v/>
      </c>
      <c r="U70" s="5">
        <f>F70+J70</f>
        <v/>
      </c>
      <c r="V70" s="5">
        <f>O70-U70</f>
        <v/>
      </c>
      <c r="W70" s="5">
        <f>O70-(P70+R70)</f>
        <v/>
      </c>
      <c r="X70" s="5">
        <f>O70-(P70+Q70+R70)</f>
        <v/>
      </c>
    </row>
    <row r="71">
      <c r="A71" s="2" t="inlineStr">
        <is>
          <t>EJ010423.TXT</t>
        </is>
      </c>
      <c r="B71" s="3" t="inlineStr">
        <is>
          <t>001071</t>
        </is>
      </c>
      <c r="C71" s="3" t="inlineStr">
        <is>
          <t>000678</t>
        </is>
      </c>
      <c r="D71" s="4" t="n">
        <v>45010</v>
      </c>
      <c r="E71" s="2" t="inlineStr">
        <is>
          <t>15:18</t>
        </is>
      </c>
      <c r="F71" s="5" t="n">
        <v>797.5</v>
      </c>
      <c r="G71" s="5" t="n"/>
      <c r="H71" s="5" t="n"/>
      <c r="I71" s="5" t="n"/>
      <c r="J71" s="5" t="n">
        <v>159.5</v>
      </c>
      <c r="K71" s="5" t="n"/>
      <c r="L71" s="5" t="n"/>
      <c r="M71" s="5" t="n"/>
      <c r="N71" s="5" t="n"/>
      <c r="O71" s="5" t="n">
        <v>957</v>
      </c>
      <c r="P71" s="5" t="n"/>
      <c r="Q71" s="5" t="n">
        <v>957</v>
      </c>
      <c r="R71" s="5" t="n"/>
      <c r="S71" s="5">
        <f>F71*20%</f>
        <v/>
      </c>
      <c r="T71" s="5">
        <f>J71-S71</f>
        <v/>
      </c>
      <c r="U71" s="5">
        <f>F71+J71</f>
        <v/>
      </c>
      <c r="V71" s="5">
        <f>O71-U71</f>
        <v/>
      </c>
      <c r="W71" s="5">
        <f>O71-(P71+R71)</f>
        <v/>
      </c>
      <c r="X71" s="5">
        <f>O71-(P71+Q71+R71)</f>
        <v/>
      </c>
    </row>
    <row r="72">
      <c r="A72" s="2" t="inlineStr">
        <is>
          <t>EJ010423.TXT</t>
        </is>
      </c>
      <c r="B72" s="3" t="inlineStr">
        <is>
          <t>001072</t>
        </is>
      </c>
      <c r="C72" s="3" t="inlineStr">
        <is>
          <t>000679</t>
        </is>
      </c>
      <c r="D72" s="4" t="n">
        <v>45010</v>
      </c>
      <c r="E72" s="2" t="inlineStr">
        <is>
          <t>15:26</t>
        </is>
      </c>
      <c r="F72" s="5" t="n">
        <v>800</v>
      </c>
      <c r="G72" s="5" t="n"/>
      <c r="H72" s="5" t="n"/>
      <c r="I72" s="5" t="n"/>
      <c r="J72" s="5" t="n">
        <v>160</v>
      </c>
      <c r="K72" s="5" t="n"/>
      <c r="L72" s="5" t="n"/>
      <c r="M72" s="5" t="n"/>
      <c r="N72" s="5" t="n"/>
      <c r="O72" s="5" t="n">
        <v>960</v>
      </c>
      <c r="P72" s="5" t="n"/>
      <c r="Q72" s="5" t="n">
        <v>960</v>
      </c>
      <c r="R72" s="5" t="n"/>
      <c r="S72" s="5">
        <f>F72*20%</f>
        <v/>
      </c>
      <c r="T72" s="5">
        <f>J72-S72</f>
        <v/>
      </c>
      <c r="U72" s="5">
        <f>F72+J72</f>
        <v/>
      </c>
      <c r="V72" s="5">
        <f>O72-U72</f>
        <v/>
      </c>
      <c r="W72" s="5">
        <f>O72-(P72+R72)</f>
        <v/>
      </c>
      <c r="X72" s="5">
        <f>O72-(P72+Q72+R72)</f>
        <v/>
      </c>
    </row>
    <row r="73">
      <c r="A73" s="2" t="inlineStr">
        <is>
          <t>EJ010423.TXT</t>
        </is>
      </c>
      <c r="B73" s="3" t="inlineStr">
        <is>
          <t>001074</t>
        </is>
      </c>
      <c r="C73" s="3" t="inlineStr">
        <is>
          <t>000680</t>
        </is>
      </c>
      <c r="D73" s="4" t="n">
        <v>45010</v>
      </c>
      <c r="E73" s="2" t="inlineStr">
        <is>
          <t>15:31</t>
        </is>
      </c>
      <c r="F73" s="5" t="n">
        <v>2400</v>
      </c>
      <c r="G73" s="5" t="n"/>
      <c r="H73" s="5" t="n"/>
      <c r="I73" s="5" t="n"/>
      <c r="J73" s="5" t="n">
        <v>480</v>
      </c>
      <c r="K73" s="5" t="n"/>
      <c r="L73" s="5" t="n"/>
      <c r="M73" s="5" t="n"/>
      <c r="N73" s="5" t="n"/>
      <c r="O73" s="5" t="n">
        <v>2880</v>
      </c>
      <c r="P73" s="5" t="n">
        <v>2880</v>
      </c>
      <c r="Q73" s="5" t="n"/>
      <c r="R73" s="5" t="n"/>
      <c r="S73" s="5">
        <f>F73*20%</f>
        <v/>
      </c>
      <c r="T73" s="5">
        <f>J73-S73</f>
        <v/>
      </c>
      <c r="U73" s="5">
        <f>F73+J73</f>
        <v/>
      </c>
      <c r="V73" s="5">
        <f>O73-U73</f>
        <v/>
      </c>
      <c r="W73" s="5">
        <f>O73-(P73+R73)</f>
        <v/>
      </c>
      <c r="X73" s="5">
        <f>O73-(P73+Q73+R73)</f>
        <v/>
      </c>
    </row>
    <row r="74">
      <c r="A74" s="2" t="inlineStr">
        <is>
          <t>EJ010423.TXT</t>
        </is>
      </c>
      <c r="B74" s="3" t="inlineStr">
        <is>
          <t>001075</t>
        </is>
      </c>
      <c r="C74" s="3" t="inlineStr">
        <is>
          <t>000681</t>
        </is>
      </c>
      <c r="D74" s="4" t="n">
        <v>45010</v>
      </c>
      <c r="E74" s="2" t="inlineStr">
        <is>
          <t>15:41</t>
        </is>
      </c>
      <c r="F74" s="5" t="n">
        <v>548.33</v>
      </c>
      <c r="G74" s="5" t="n"/>
      <c r="H74" s="5" t="n"/>
      <c r="I74" s="5" t="n"/>
      <c r="J74" s="5" t="n">
        <v>109.67</v>
      </c>
      <c r="K74" s="5" t="n"/>
      <c r="L74" s="5" t="n"/>
      <c r="M74" s="5" t="n"/>
      <c r="N74" s="5" t="n"/>
      <c r="O74" s="5" t="n">
        <v>658</v>
      </c>
      <c r="P74" s="5" t="n">
        <v>658</v>
      </c>
      <c r="Q74" s="5" t="n"/>
      <c r="R74" s="5" t="n"/>
      <c r="S74" s="5">
        <f>F74*20%</f>
        <v/>
      </c>
      <c r="T74" s="5">
        <f>J74-S74</f>
        <v/>
      </c>
      <c r="U74" s="5">
        <f>F74+J74</f>
        <v/>
      </c>
      <c r="V74" s="5">
        <f>O74-U74</f>
        <v/>
      </c>
      <c r="W74" s="5">
        <f>O74-(P74+R74)</f>
        <v/>
      </c>
      <c r="X74" s="5">
        <f>O74-(P74+Q74+R74)</f>
        <v/>
      </c>
    </row>
    <row r="75">
      <c r="A75" s="2" t="inlineStr">
        <is>
          <t>EJ010423.TXT</t>
        </is>
      </c>
      <c r="B75" s="3" t="inlineStr">
        <is>
          <t>001076</t>
        </is>
      </c>
      <c r="C75" s="3" t="inlineStr">
        <is>
          <t>000682</t>
        </is>
      </c>
      <c r="D75" s="4" t="n">
        <v>45010</v>
      </c>
      <c r="E75" s="2" t="inlineStr">
        <is>
          <t>16:05</t>
        </is>
      </c>
      <c r="F75" s="5" t="n">
        <v>797.5</v>
      </c>
      <c r="G75" s="5" t="n"/>
      <c r="H75" s="5" t="n"/>
      <c r="I75" s="5" t="n"/>
      <c r="J75" s="5" t="n">
        <v>159.5</v>
      </c>
      <c r="K75" s="5" t="n"/>
      <c r="L75" s="5" t="n"/>
      <c r="M75" s="5" t="n"/>
      <c r="N75" s="5" t="n"/>
      <c r="O75" s="5" t="n">
        <v>957</v>
      </c>
      <c r="P75" s="5" t="n"/>
      <c r="Q75" s="5" t="n">
        <v>957</v>
      </c>
      <c r="R75" s="5" t="n"/>
      <c r="S75" s="5">
        <f>F75*20%</f>
        <v/>
      </c>
      <c r="T75" s="5">
        <f>J75-S75</f>
        <v/>
      </c>
      <c r="U75" s="5">
        <f>F75+J75</f>
        <v/>
      </c>
      <c r="V75" s="5">
        <f>O75-U75</f>
        <v/>
      </c>
      <c r="W75" s="5">
        <f>O75-(P75+R75)</f>
        <v/>
      </c>
      <c r="X75" s="5">
        <f>O75-(P75+Q75+R75)</f>
        <v/>
      </c>
    </row>
    <row r="76">
      <c r="A76" s="2" t="inlineStr">
        <is>
          <t>EJ010423.TXT</t>
        </is>
      </c>
      <c r="B76" s="3" t="inlineStr">
        <is>
          <t>001077</t>
        </is>
      </c>
      <c r="C76" s="3" t="inlineStr">
        <is>
          <t>000683</t>
        </is>
      </c>
      <c r="D76" s="4" t="n">
        <v>45010</v>
      </c>
      <c r="E76" s="2" t="inlineStr">
        <is>
          <t>16:06</t>
        </is>
      </c>
      <c r="F76" s="5" t="n">
        <v>797.5</v>
      </c>
      <c r="G76" s="5" t="n"/>
      <c r="H76" s="5" t="n"/>
      <c r="I76" s="5" t="n"/>
      <c r="J76" s="5" t="n">
        <v>159.5</v>
      </c>
      <c r="K76" s="5" t="n"/>
      <c r="L76" s="5" t="n"/>
      <c r="M76" s="5" t="n"/>
      <c r="N76" s="5" t="n"/>
      <c r="O76" s="5" t="n">
        <v>957</v>
      </c>
      <c r="P76" s="5" t="n"/>
      <c r="Q76" s="5" t="n">
        <v>957</v>
      </c>
      <c r="R76" s="5" t="n"/>
      <c r="S76" s="5">
        <f>F76*20%</f>
        <v/>
      </c>
      <c r="T76" s="5">
        <f>J76-S76</f>
        <v/>
      </c>
      <c r="U76" s="5">
        <f>F76+J76</f>
        <v/>
      </c>
      <c r="V76" s="5">
        <f>O76-U76</f>
        <v/>
      </c>
      <c r="W76" s="5">
        <f>O76-(P76+R76)</f>
        <v/>
      </c>
      <c r="X76" s="5">
        <f>O76-(P76+Q76+R76)</f>
        <v/>
      </c>
    </row>
    <row r="77">
      <c r="A77" s="2" t="inlineStr">
        <is>
          <t>EJ010423.TXT</t>
        </is>
      </c>
      <c r="B77" s="3" t="inlineStr">
        <is>
          <t>001078</t>
        </is>
      </c>
      <c r="C77" s="3" t="inlineStr">
        <is>
          <t>000684</t>
        </is>
      </c>
      <c r="D77" s="4" t="n">
        <v>45010</v>
      </c>
      <c r="E77" s="2" t="inlineStr">
        <is>
          <t>16:09</t>
        </is>
      </c>
      <c r="F77" s="5" t="n">
        <v>274.17</v>
      </c>
      <c r="G77" s="5" t="n"/>
      <c r="H77" s="5" t="n"/>
      <c r="I77" s="5" t="n"/>
      <c r="J77" s="5" t="n">
        <v>54.83</v>
      </c>
      <c r="K77" s="5" t="n"/>
      <c r="L77" s="5" t="n"/>
      <c r="M77" s="5" t="n"/>
      <c r="N77" s="5" t="n"/>
      <c r="O77" s="5" t="n">
        <v>329</v>
      </c>
      <c r="P77" s="5" t="n">
        <v>329</v>
      </c>
      <c r="Q77" s="5" t="n"/>
      <c r="R77" s="5" t="n"/>
      <c r="S77" s="5">
        <f>F77*20%</f>
        <v/>
      </c>
      <c r="T77" s="5">
        <f>J77-S77</f>
        <v/>
      </c>
      <c r="U77" s="5">
        <f>F77+J77</f>
        <v/>
      </c>
      <c r="V77" s="5">
        <f>O77-U77</f>
        <v/>
      </c>
      <c r="W77" s="5">
        <f>O77-(P77+R77)</f>
        <v/>
      </c>
      <c r="X77" s="5">
        <f>O77-(P77+Q77+R77)</f>
        <v/>
      </c>
    </row>
    <row r="78">
      <c r="A78" s="2" t="inlineStr">
        <is>
          <t>EJ010423.TXT</t>
        </is>
      </c>
      <c r="B78" s="3" t="inlineStr">
        <is>
          <t>001079</t>
        </is>
      </c>
      <c r="C78" s="3" t="inlineStr">
        <is>
          <t>000685</t>
        </is>
      </c>
      <c r="D78" s="4" t="n">
        <v>45010</v>
      </c>
      <c r="E78" s="2" t="inlineStr">
        <is>
          <t>16:19</t>
        </is>
      </c>
      <c r="F78" s="5" t="n">
        <v>531.67</v>
      </c>
      <c r="G78" s="5" t="n"/>
      <c r="H78" s="5" t="n"/>
      <c r="I78" s="5" t="n"/>
      <c r="J78" s="5" t="n">
        <v>106.33</v>
      </c>
      <c r="K78" s="5" t="n"/>
      <c r="L78" s="5" t="n"/>
      <c r="M78" s="5" t="n"/>
      <c r="N78" s="5" t="n"/>
      <c r="O78" s="5" t="n">
        <v>638</v>
      </c>
      <c r="P78" s="5" t="n">
        <v>638</v>
      </c>
      <c r="Q78" s="5" t="n"/>
      <c r="R78" s="5" t="n"/>
      <c r="S78" s="5">
        <f>F78*20%</f>
        <v/>
      </c>
      <c r="T78" s="5">
        <f>J78-S78</f>
        <v/>
      </c>
      <c r="U78" s="5">
        <f>F78+J78</f>
        <v/>
      </c>
      <c r="V78" s="5">
        <f>O78-U78</f>
        <v/>
      </c>
      <c r="W78" s="5">
        <f>O78-(P78+R78)</f>
        <v/>
      </c>
      <c r="X78" s="5">
        <f>O78-(P78+Q78+R78)</f>
        <v/>
      </c>
    </row>
    <row r="79">
      <c r="A79" s="2" t="inlineStr">
        <is>
          <t>EJ010423.TXT</t>
        </is>
      </c>
      <c r="B79" s="3" t="inlineStr">
        <is>
          <t>001080</t>
        </is>
      </c>
      <c r="C79" s="3" t="inlineStr">
        <is>
          <t>000686</t>
        </is>
      </c>
      <c r="D79" s="4" t="n">
        <v>45011</v>
      </c>
      <c r="E79" s="2" t="inlineStr">
        <is>
          <t>17:15</t>
        </is>
      </c>
      <c r="F79" s="5" t="n">
        <v>797.5</v>
      </c>
      <c r="G79" s="5" t="n"/>
      <c r="H79" s="5" t="n"/>
      <c r="I79" s="5" t="n"/>
      <c r="J79" s="5" t="n">
        <v>159.5</v>
      </c>
      <c r="K79" s="5" t="n"/>
      <c r="L79" s="5" t="n"/>
      <c r="M79" s="5" t="n"/>
      <c r="N79" s="5" t="n"/>
      <c r="O79" s="5" t="n">
        <v>957</v>
      </c>
      <c r="P79" s="5" t="n"/>
      <c r="Q79" s="5" t="n">
        <v>957</v>
      </c>
      <c r="R79" s="5" t="n"/>
      <c r="S79" s="5">
        <f>F79*20%</f>
        <v/>
      </c>
      <c r="T79" s="5">
        <f>J79-S79</f>
        <v/>
      </c>
      <c r="U79" s="5">
        <f>F79+J79</f>
        <v/>
      </c>
      <c r="V79" s="5">
        <f>O79-U79</f>
        <v/>
      </c>
      <c r="W79" s="5">
        <f>O79-(P79+R79)</f>
        <v/>
      </c>
      <c r="X79" s="5">
        <f>O79-(P79+Q79+R79)</f>
        <v/>
      </c>
    </row>
    <row r="80">
      <c r="A80" s="2" t="inlineStr">
        <is>
          <t>EJ010423.TXT</t>
        </is>
      </c>
      <c r="B80" s="3" t="inlineStr">
        <is>
          <t>001081</t>
        </is>
      </c>
      <c r="C80" s="3" t="inlineStr">
        <is>
          <t>000687</t>
        </is>
      </c>
      <c r="D80" s="4" t="n">
        <v>45011</v>
      </c>
      <c r="E80" s="2" t="inlineStr">
        <is>
          <t>17:18</t>
        </is>
      </c>
      <c r="F80" s="5" t="n">
        <v>797.5</v>
      </c>
      <c r="G80" s="5" t="n"/>
      <c r="H80" s="5" t="n"/>
      <c r="I80" s="5" t="n"/>
      <c r="J80" s="5" t="n">
        <v>159.5</v>
      </c>
      <c r="K80" s="5" t="n"/>
      <c r="L80" s="5" t="n"/>
      <c r="M80" s="5" t="n"/>
      <c r="N80" s="5" t="n"/>
      <c r="O80" s="5" t="n">
        <v>957</v>
      </c>
      <c r="P80" s="5" t="n"/>
      <c r="Q80" s="5" t="n">
        <v>957</v>
      </c>
      <c r="R80" s="5" t="n"/>
      <c r="S80" s="5">
        <f>F80*20%</f>
        <v/>
      </c>
      <c r="T80" s="5">
        <f>J80-S80</f>
        <v/>
      </c>
      <c r="U80" s="5">
        <f>F80+J80</f>
        <v/>
      </c>
      <c r="V80" s="5">
        <f>O80-U80</f>
        <v/>
      </c>
      <c r="W80" s="5">
        <f>O80-(P80+R80)</f>
        <v/>
      </c>
      <c r="X80" s="5">
        <f>O80-(P80+Q80+R80)</f>
        <v/>
      </c>
    </row>
    <row r="81">
      <c r="A81" s="2" t="inlineStr">
        <is>
          <t>EJ010423.TXT</t>
        </is>
      </c>
      <c r="B81" s="3" t="inlineStr">
        <is>
          <t>001082</t>
        </is>
      </c>
      <c r="C81" s="3" t="inlineStr">
        <is>
          <t>000688</t>
        </is>
      </c>
      <c r="D81" s="4" t="n">
        <v>45013</v>
      </c>
      <c r="E81" s="2" t="inlineStr">
        <is>
          <t>09:40</t>
        </is>
      </c>
      <c r="F81" s="5" t="n">
        <v>548.33</v>
      </c>
      <c r="G81" s="5" t="n"/>
      <c r="H81" s="5" t="n"/>
      <c r="I81" s="5" t="n"/>
      <c r="J81" s="5" t="n">
        <v>109.67</v>
      </c>
      <c r="K81" s="5" t="n"/>
      <c r="L81" s="5" t="n"/>
      <c r="M81" s="5" t="n"/>
      <c r="N81" s="5" t="n"/>
      <c r="O81" s="5" t="n">
        <v>658</v>
      </c>
      <c r="P81" s="5" t="n">
        <v>658</v>
      </c>
      <c r="Q81" s="5" t="n"/>
      <c r="R81" s="5" t="n"/>
      <c r="S81" s="5">
        <f>F81*20%</f>
        <v/>
      </c>
      <c r="T81" s="5">
        <f>J81-S81</f>
        <v/>
      </c>
      <c r="U81" s="5">
        <f>F81+J81</f>
        <v/>
      </c>
      <c r="V81" s="5">
        <f>O81-U81</f>
        <v/>
      </c>
      <c r="W81" s="5">
        <f>O81-(P81+R81)</f>
        <v/>
      </c>
      <c r="X81" s="5">
        <f>O81-(P81+Q81+R81)</f>
        <v/>
      </c>
    </row>
    <row r="82">
      <c r="A82" s="2" t="inlineStr">
        <is>
          <t>EJ010423.TXT</t>
        </is>
      </c>
      <c r="B82" s="3" t="inlineStr">
        <is>
          <t>001083</t>
        </is>
      </c>
      <c r="C82" s="3" t="inlineStr">
        <is>
          <t>000689</t>
        </is>
      </c>
      <c r="D82" s="4" t="n">
        <v>45014</v>
      </c>
      <c r="E82" s="2" t="inlineStr">
        <is>
          <t>11:47</t>
        </is>
      </c>
      <c r="F82" s="5" t="n">
        <v>548.33</v>
      </c>
      <c r="G82" s="5" t="n"/>
      <c r="H82" s="5" t="n"/>
      <c r="I82" s="5" t="n"/>
      <c r="J82" s="5" t="n">
        <v>109.67</v>
      </c>
      <c r="K82" s="5" t="n"/>
      <c r="L82" s="5" t="n"/>
      <c r="M82" s="5" t="n"/>
      <c r="N82" s="5" t="n"/>
      <c r="O82" s="5" t="n">
        <v>658</v>
      </c>
      <c r="P82" s="5" t="n">
        <v>658</v>
      </c>
      <c r="Q82" s="5" t="n"/>
      <c r="R82" s="5" t="n"/>
      <c r="S82" s="5">
        <f>F82*20%</f>
        <v/>
      </c>
      <c r="T82" s="5">
        <f>J82-S82</f>
        <v/>
      </c>
      <c r="U82" s="5">
        <f>F82+J82</f>
        <v/>
      </c>
      <c r="V82" s="5">
        <f>O82-U82</f>
        <v/>
      </c>
      <c r="W82" s="5">
        <f>O82-(P82+R82)</f>
        <v/>
      </c>
      <c r="X82" s="5">
        <f>O82-(P82+Q82+R82)</f>
        <v/>
      </c>
    </row>
    <row r="83">
      <c r="A83" s="2" t="inlineStr">
        <is>
          <t>EJ010423.TXT</t>
        </is>
      </c>
      <c r="B83" s="3" t="inlineStr">
        <is>
          <t>001084</t>
        </is>
      </c>
      <c r="C83" s="3" t="inlineStr">
        <is>
          <t>000690</t>
        </is>
      </c>
      <c r="D83" s="4" t="n">
        <v>45016</v>
      </c>
      <c r="E83" s="2" t="inlineStr">
        <is>
          <t>08:58</t>
        </is>
      </c>
      <c r="F83" s="5" t="n">
        <v>1645</v>
      </c>
      <c r="G83" s="5" t="n"/>
      <c r="H83" s="5" t="n"/>
      <c r="I83" s="5" t="n"/>
      <c r="J83" s="5" t="n">
        <v>329</v>
      </c>
      <c r="K83" s="5" t="n"/>
      <c r="L83" s="5" t="n"/>
      <c r="M83" s="5" t="n"/>
      <c r="N83" s="5" t="n"/>
      <c r="O83" s="5" t="n">
        <v>1974</v>
      </c>
      <c r="P83" s="5" t="n">
        <v>1974</v>
      </c>
      <c r="Q83" s="5" t="n"/>
      <c r="R83" s="5" t="n"/>
      <c r="S83" s="5">
        <f>F83*20%</f>
        <v/>
      </c>
      <c r="T83" s="5">
        <f>J83-S83</f>
        <v/>
      </c>
      <c r="U83" s="5">
        <f>F83+J83</f>
        <v/>
      </c>
      <c r="V83" s="5">
        <f>O83-U83</f>
        <v/>
      </c>
      <c r="W83" s="5">
        <f>O83-(P83+R83)</f>
        <v/>
      </c>
      <c r="X83" s="5">
        <f>O83-(P83+Q83+R83)</f>
        <v/>
      </c>
    </row>
    <row r="84">
      <c r="A84" s="2" t="inlineStr">
        <is>
          <t>EJ020523.TXT</t>
        </is>
      </c>
      <c r="B84" s="3" t="inlineStr">
        <is>
          <t>001092</t>
        </is>
      </c>
      <c r="C84" s="3" t="inlineStr">
        <is>
          <t>000691</t>
        </is>
      </c>
      <c r="D84" s="4" t="n">
        <v>45020</v>
      </c>
      <c r="E84" s="2" t="inlineStr">
        <is>
          <t>12:37</t>
        </is>
      </c>
      <c r="F84" s="5" t="n">
        <v>398.33</v>
      </c>
      <c r="G84" s="5" t="n"/>
      <c r="H84" s="5" t="n"/>
      <c r="I84" s="5" t="n"/>
      <c r="J84" s="5" t="n">
        <v>79.67</v>
      </c>
      <c r="K84" s="5" t="n"/>
      <c r="L84" s="5" t="n"/>
      <c r="M84" s="5" t="n"/>
      <c r="N84" s="5" t="n"/>
      <c r="O84" s="5" t="n">
        <v>478</v>
      </c>
      <c r="P84" s="5" t="n">
        <v>478</v>
      </c>
      <c r="Q84" s="5" t="n"/>
      <c r="R84" s="5" t="n"/>
      <c r="S84" s="5">
        <f>F84*20%</f>
        <v/>
      </c>
      <c r="T84" s="5">
        <f>J84-S84</f>
        <v/>
      </c>
      <c r="U84" s="5">
        <f>F84+J84</f>
        <v/>
      </c>
      <c r="V84" s="5">
        <f>O84-U84</f>
        <v/>
      </c>
      <c r="W84" s="5">
        <f>O84-(P84+R84)</f>
        <v/>
      </c>
      <c r="X84" s="5">
        <f>O84-(P84+Q84+R84)</f>
        <v/>
      </c>
    </row>
    <row r="85">
      <c r="A85" s="2" t="inlineStr">
        <is>
          <t>EJ020523.TXT</t>
        </is>
      </c>
      <c r="B85" s="3" t="inlineStr">
        <is>
          <t>001098</t>
        </is>
      </c>
      <c r="C85" s="3" t="inlineStr">
        <is>
          <t>000692</t>
        </is>
      </c>
      <c r="D85" s="4" t="n">
        <v>45023</v>
      </c>
      <c r="E85" s="2" t="inlineStr">
        <is>
          <t>12:24</t>
        </is>
      </c>
      <c r="F85" s="5" t="n">
        <v>548.33</v>
      </c>
      <c r="G85" s="5" t="n"/>
      <c r="H85" s="5" t="n"/>
      <c r="I85" s="5" t="n"/>
      <c r="J85" s="5" t="n">
        <v>109.67</v>
      </c>
      <c r="K85" s="5" t="n"/>
      <c r="L85" s="5" t="n"/>
      <c r="M85" s="5" t="n"/>
      <c r="N85" s="5" t="n"/>
      <c r="O85" s="5" t="n">
        <v>658</v>
      </c>
      <c r="P85" s="5" t="n">
        <v>658</v>
      </c>
      <c r="Q85" s="5" t="n"/>
      <c r="R85" s="5" t="n"/>
      <c r="S85" s="5">
        <f>F85*20%</f>
        <v/>
      </c>
      <c r="T85" s="5">
        <f>J85-S85</f>
        <v/>
      </c>
      <c r="U85" s="5">
        <f>F85+J85</f>
        <v/>
      </c>
      <c r="V85" s="5">
        <f>O85-U85</f>
        <v/>
      </c>
      <c r="W85" s="5">
        <f>O85-(P85+R85)</f>
        <v/>
      </c>
      <c r="X85" s="5">
        <f>O85-(P85+Q85+R85)</f>
        <v/>
      </c>
    </row>
    <row r="86">
      <c r="A86" s="2" t="inlineStr">
        <is>
          <t>EJ020523.TXT</t>
        </is>
      </c>
      <c r="B86" s="3" t="inlineStr">
        <is>
          <t>001099</t>
        </is>
      </c>
      <c r="C86" s="3" t="inlineStr">
        <is>
          <t>000693</t>
        </is>
      </c>
      <c r="D86" s="4" t="n">
        <v>45028</v>
      </c>
      <c r="E86" s="2" t="inlineStr">
        <is>
          <t>12:43</t>
        </is>
      </c>
      <c r="F86" s="5" t="n">
        <v>274.17</v>
      </c>
      <c r="G86" s="5" t="n"/>
      <c r="H86" s="5" t="n"/>
      <c r="I86" s="5" t="n"/>
      <c r="J86" s="5" t="n">
        <v>54.83</v>
      </c>
      <c r="K86" s="5" t="n"/>
      <c r="L86" s="5" t="n"/>
      <c r="M86" s="5" t="n"/>
      <c r="N86" s="5" t="n"/>
      <c r="O86" s="5" t="n">
        <v>329</v>
      </c>
      <c r="P86" s="5" t="n">
        <v>329</v>
      </c>
      <c r="Q86" s="5" t="n"/>
      <c r="R86" s="5" t="n"/>
      <c r="S86" s="5">
        <f>F86*20%</f>
        <v/>
      </c>
      <c r="T86" s="5">
        <f>J86-S86</f>
        <v/>
      </c>
      <c r="U86" s="5">
        <f>F86+J86</f>
        <v/>
      </c>
      <c r="V86" s="5">
        <f>O86-U86</f>
        <v/>
      </c>
      <c r="W86" s="5">
        <f>O86-(P86+R86)</f>
        <v/>
      </c>
      <c r="X86" s="5">
        <f>O86-(P86+Q86+R86)</f>
        <v/>
      </c>
    </row>
    <row r="87">
      <c r="A87" s="2" t="inlineStr">
        <is>
          <t>EJ020523.TXT</t>
        </is>
      </c>
      <c r="B87" s="3" t="inlineStr">
        <is>
          <t>001100</t>
        </is>
      </c>
      <c r="C87" s="3" t="inlineStr">
        <is>
          <t>000694</t>
        </is>
      </c>
      <c r="D87" s="4" t="n">
        <v>45030</v>
      </c>
      <c r="E87" s="2" t="inlineStr">
        <is>
          <t>12:11</t>
        </is>
      </c>
      <c r="F87" s="5" t="n">
        <v>73.33</v>
      </c>
      <c r="G87" s="5" t="n"/>
      <c r="H87" s="5" t="n"/>
      <c r="I87" s="5" t="n"/>
      <c r="J87" s="5" t="n">
        <v>14.67</v>
      </c>
      <c r="K87" s="5" t="n"/>
      <c r="L87" s="5" t="n"/>
      <c r="M87" s="5" t="n"/>
      <c r="N87" s="5" t="n"/>
      <c r="O87" s="5" t="n">
        <v>88</v>
      </c>
      <c r="P87" s="5" t="n"/>
      <c r="Q87" s="5" t="n">
        <v>88</v>
      </c>
      <c r="R87" s="5" t="n"/>
      <c r="S87" s="5">
        <f>F87*20%</f>
        <v/>
      </c>
      <c r="T87" s="5">
        <f>J87-S87</f>
        <v/>
      </c>
      <c r="U87" s="5">
        <f>F87+J87</f>
        <v/>
      </c>
      <c r="V87" s="5">
        <f>O87-U87</f>
        <v/>
      </c>
      <c r="W87" s="5">
        <f>O87-(P87+R87)</f>
        <v/>
      </c>
      <c r="X87" s="5">
        <f>O87-(P87+Q87+R87)</f>
        <v/>
      </c>
    </row>
    <row r="88">
      <c r="A88" s="2" t="inlineStr">
        <is>
          <t>EJ020523.TXT</t>
        </is>
      </c>
      <c r="B88" s="3" t="inlineStr">
        <is>
          <t>001107</t>
        </is>
      </c>
      <c r="C88" s="3" t="inlineStr">
        <is>
          <t>000695</t>
        </is>
      </c>
      <c r="D88" s="4" t="n">
        <v>45038</v>
      </c>
      <c r="E88" s="2" t="inlineStr">
        <is>
          <t>15:55</t>
        </is>
      </c>
      <c r="F88" s="5" t="n">
        <v>548.33</v>
      </c>
      <c r="G88" s="5" t="n"/>
      <c r="H88" s="5" t="n"/>
      <c r="I88" s="5" t="n"/>
      <c r="J88" s="5" t="n">
        <v>109.67</v>
      </c>
      <c r="K88" s="5" t="n"/>
      <c r="L88" s="5" t="n"/>
      <c r="M88" s="5" t="n"/>
      <c r="N88" s="5" t="n"/>
      <c r="O88" s="5" t="n">
        <v>658</v>
      </c>
      <c r="P88" s="5" t="n">
        <v>658</v>
      </c>
      <c r="Q88" s="5" t="n"/>
      <c r="R88" s="5" t="n"/>
      <c r="S88" s="5">
        <f>F88*20%</f>
        <v/>
      </c>
      <c r="T88" s="5">
        <f>J88-S88</f>
        <v/>
      </c>
      <c r="U88" s="5">
        <f>F88+J88</f>
        <v/>
      </c>
      <c r="V88" s="5">
        <f>O88-U88</f>
        <v/>
      </c>
      <c r="W88" s="5">
        <f>O88-(P88+R88)</f>
        <v/>
      </c>
      <c r="X88" s="5">
        <f>O88-(P88+Q88+R88)</f>
        <v/>
      </c>
    </row>
    <row r="89">
      <c r="A89" s="2" t="inlineStr">
        <is>
          <t>EJ020523.TXT</t>
        </is>
      </c>
      <c r="B89" s="3" t="inlineStr">
        <is>
          <t>001109</t>
        </is>
      </c>
      <c r="C89" s="3" t="inlineStr">
        <is>
          <t>000696</t>
        </is>
      </c>
      <c r="D89" s="4" t="n">
        <v>45041</v>
      </c>
      <c r="E89" s="2" t="inlineStr">
        <is>
          <t>15:17</t>
        </is>
      </c>
      <c r="F89" s="5" t="n">
        <v>73.33</v>
      </c>
      <c r="G89" s="5" t="n"/>
      <c r="H89" s="5" t="n"/>
      <c r="I89" s="5" t="n"/>
      <c r="J89" s="5" t="n">
        <v>14.67</v>
      </c>
      <c r="K89" s="5" t="n"/>
      <c r="L89" s="5" t="n"/>
      <c r="M89" s="5" t="n"/>
      <c r="N89" s="5" t="n"/>
      <c r="O89" s="5" t="n">
        <v>88</v>
      </c>
      <c r="P89" s="5" t="n"/>
      <c r="Q89" s="5" t="n">
        <v>88</v>
      </c>
      <c r="R89" s="5" t="n"/>
      <c r="S89" s="5">
        <f>F89*20%</f>
        <v/>
      </c>
      <c r="T89" s="5">
        <f>J89-S89</f>
        <v/>
      </c>
      <c r="U89" s="5">
        <f>F89+J89</f>
        <v/>
      </c>
      <c r="V89" s="5">
        <f>O89-U89</f>
        <v/>
      </c>
      <c r="W89" s="5">
        <f>O89-(P89+R89)</f>
        <v/>
      </c>
      <c r="X89" s="5">
        <f>O89-(P89+Q89+R89)</f>
        <v/>
      </c>
    </row>
    <row r="90">
      <c r="A90" s="2" t="inlineStr">
        <is>
          <t>EJ020523.TXT</t>
        </is>
      </c>
      <c r="B90" s="3" t="inlineStr">
        <is>
          <t>001110</t>
        </is>
      </c>
      <c r="C90" s="3" t="inlineStr">
        <is>
          <t>000697</t>
        </is>
      </c>
      <c r="D90" s="4" t="n">
        <v>45041</v>
      </c>
      <c r="E90" s="2" t="inlineStr">
        <is>
          <t>15:48</t>
        </is>
      </c>
      <c r="F90" s="5" t="n">
        <v>822.5</v>
      </c>
      <c r="G90" s="5" t="n"/>
      <c r="H90" s="5" t="n"/>
      <c r="I90" s="5" t="n"/>
      <c r="J90" s="5" t="n">
        <v>164.5</v>
      </c>
      <c r="K90" s="5" t="n"/>
      <c r="L90" s="5" t="n"/>
      <c r="M90" s="5" t="n"/>
      <c r="N90" s="5" t="n"/>
      <c r="O90" s="5" t="n">
        <v>987</v>
      </c>
      <c r="P90" s="5" t="n"/>
      <c r="Q90" s="5" t="n">
        <v>987</v>
      </c>
      <c r="R90" s="5" t="n"/>
      <c r="S90" s="5">
        <f>F90*20%</f>
        <v/>
      </c>
      <c r="T90" s="5">
        <f>J90-S90</f>
        <v/>
      </c>
      <c r="U90" s="5">
        <f>F90+J90</f>
        <v/>
      </c>
      <c r="V90" s="5">
        <f>O90-U90</f>
        <v/>
      </c>
      <c r="W90" s="5">
        <f>O90-(P90+R90)</f>
        <v/>
      </c>
      <c r="X90" s="5">
        <f>O90-(P90+Q90+R90)</f>
        <v/>
      </c>
    </row>
    <row r="91">
      <c r="A91" s="2" t="inlineStr">
        <is>
          <t>EJ020523.TXT</t>
        </is>
      </c>
      <c r="B91" s="3" t="inlineStr">
        <is>
          <t>001111</t>
        </is>
      </c>
      <c r="C91" s="3" t="inlineStr">
        <is>
          <t>000698</t>
        </is>
      </c>
      <c r="D91" s="4" t="n">
        <v>45041</v>
      </c>
      <c r="E91" s="2" t="inlineStr">
        <is>
          <t>15:57</t>
        </is>
      </c>
      <c r="F91" s="5" t="n">
        <v>822.5</v>
      </c>
      <c r="G91" s="5" t="n"/>
      <c r="H91" s="5" t="n"/>
      <c r="I91" s="5" t="n"/>
      <c r="J91" s="5" t="n">
        <v>164.5</v>
      </c>
      <c r="K91" s="5" t="n"/>
      <c r="L91" s="5" t="n"/>
      <c r="M91" s="5" t="n"/>
      <c r="N91" s="5" t="n"/>
      <c r="O91" s="5" t="n">
        <v>987</v>
      </c>
      <c r="P91" s="5" t="n"/>
      <c r="Q91" s="5" t="n">
        <v>987</v>
      </c>
      <c r="R91" s="5" t="n"/>
      <c r="S91" s="5">
        <f>F91*20%</f>
        <v/>
      </c>
      <c r="T91" s="5">
        <f>J91-S91</f>
        <v/>
      </c>
      <c r="U91" s="5">
        <f>F91+J91</f>
        <v/>
      </c>
      <c r="V91" s="5">
        <f>O91-U91</f>
        <v/>
      </c>
      <c r="W91" s="5">
        <f>O91-(P91+R91)</f>
        <v/>
      </c>
      <c r="X91" s="5">
        <f>O91-(P91+Q91+R91)</f>
        <v/>
      </c>
    </row>
    <row r="92">
      <c r="A92" s="2" t="inlineStr">
        <is>
          <t>EJ020523.TXT</t>
        </is>
      </c>
      <c r="B92" s="3" t="inlineStr">
        <is>
          <t>001112</t>
        </is>
      </c>
      <c r="C92" s="3" t="inlineStr">
        <is>
          <t>000699</t>
        </is>
      </c>
      <c r="D92" s="4" t="n">
        <v>45041</v>
      </c>
      <c r="E92" s="2" t="inlineStr">
        <is>
          <t>17:02</t>
        </is>
      </c>
      <c r="F92" s="5" t="n">
        <v>5298.33</v>
      </c>
      <c r="G92" s="5" t="n"/>
      <c r="H92" s="5" t="n"/>
      <c r="I92" s="5" t="n"/>
      <c r="J92" s="5" t="n">
        <v>1059.67</v>
      </c>
      <c r="K92" s="5" t="n"/>
      <c r="L92" s="5" t="n"/>
      <c r="M92" s="5" t="n"/>
      <c r="N92" s="5" t="n"/>
      <c r="O92" s="5" t="n">
        <v>6358</v>
      </c>
      <c r="P92" s="5" t="n">
        <v>6358</v>
      </c>
      <c r="Q92" s="5" t="n"/>
      <c r="R92" s="5" t="n"/>
      <c r="S92" s="5">
        <f>F92*20%</f>
        <v/>
      </c>
      <c r="T92" s="5">
        <f>J92-S92</f>
        <v/>
      </c>
      <c r="U92" s="5">
        <f>F92+J92</f>
        <v/>
      </c>
      <c r="V92" s="5">
        <f>O92-U92</f>
        <v/>
      </c>
      <c r="W92" s="5">
        <f>O92-(P92+R92)</f>
        <v/>
      </c>
      <c r="X92" s="5">
        <f>O92-(P92+Q92+R92)</f>
        <v/>
      </c>
    </row>
    <row r="93">
      <c r="A93" s="2" t="inlineStr">
        <is>
          <t>EJ020523.TXT</t>
        </is>
      </c>
      <c r="B93" s="3" t="inlineStr">
        <is>
          <t>001114</t>
        </is>
      </c>
      <c r="C93" s="3" t="inlineStr">
        <is>
          <t>000700</t>
        </is>
      </c>
      <c r="D93" s="4" t="n">
        <v>45042</v>
      </c>
      <c r="E93" s="2" t="inlineStr">
        <is>
          <t>09:36</t>
        </is>
      </c>
      <c r="F93" s="5" t="n">
        <v>548.33</v>
      </c>
      <c r="G93" s="5" t="n"/>
      <c r="H93" s="5" t="n"/>
      <c r="I93" s="5" t="n"/>
      <c r="J93" s="5" t="n">
        <v>109.67</v>
      </c>
      <c r="K93" s="5" t="n"/>
      <c r="L93" s="5" t="n"/>
      <c r="M93" s="5" t="n"/>
      <c r="N93" s="5" t="n"/>
      <c r="O93" s="5" t="n">
        <v>658</v>
      </c>
      <c r="P93" s="5" t="n"/>
      <c r="Q93" s="5" t="n">
        <v>658</v>
      </c>
      <c r="R93" s="5" t="n"/>
      <c r="S93" s="5">
        <f>F93*20%</f>
        <v/>
      </c>
      <c r="T93" s="5">
        <f>J93-S93</f>
        <v/>
      </c>
      <c r="U93" s="5">
        <f>F93+J93</f>
        <v/>
      </c>
      <c r="V93" s="5">
        <f>O93-U93</f>
        <v/>
      </c>
      <c r="W93" s="5">
        <f>O93-(P93+R93)</f>
        <v/>
      </c>
      <c r="X93" s="5">
        <f>O93-(P93+Q93+R93)</f>
        <v/>
      </c>
    </row>
    <row r="94">
      <c r="A94" s="2" t="inlineStr">
        <is>
          <t>EJ020523.TXT</t>
        </is>
      </c>
      <c r="B94" s="3" t="inlineStr">
        <is>
          <t>001115</t>
        </is>
      </c>
      <c r="C94" s="3" t="inlineStr">
        <is>
          <t>000701</t>
        </is>
      </c>
      <c r="D94" s="4" t="n">
        <v>45042</v>
      </c>
      <c r="E94" s="2" t="inlineStr">
        <is>
          <t>09:50</t>
        </is>
      </c>
      <c r="F94" s="5" t="n">
        <v>146.67</v>
      </c>
      <c r="G94" s="5" t="n"/>
      <c r="H94" s="5" t="n"/>
      <c r="I94" s="5" t="n"/>
      <c r="J94" s="5" t="n">
        <v>29.33</v>
      </c>
      <c r="K94" s="5" t="n"/>
      <c r="L94" s="5" t="n"/>
      <c r="M94" s="5" t="n"/>
      <c r="N94" s="5" t="n"/>
      <c r="O94" s="5" t="n">
        <v>176</v>
      </c>
      <c r="P94" s="5" t="n"/>
      <c r="Q94" s="5" t="n">
        <v>176</v>
      </c>
      <c r="R94" s="5" t="n"/>
      <c r="S94" s="5">
        <f>F94*20%</f>
        <v/>
      </c>
      <c r="T94" s="5">
        <f>J94-S94</f>
        <v/>
      </c>
      <c r="U94" s="5">
        <f>F94+J94</f>
        <v/>
      </c>
      <c r="V94" s="5">
        <f>O94-U94</f>
        <v/>
      </c>
      <c r="W94" s="5">
        <f>O94-(P94+R94)</f>
        <v/>
      </c>
      <c r="X94" s="5">
        <f>O94-(P94+Q94+R94)</f>
        <v/>
      </c>
    </row>
    <row r="95">
      <c r="A95" s="2" t="inlineStr">
        <is>
          <t>EJ020523.TXT</t>
        </is>
      </c>
      <c r="B95" s="3" t="inlineStr">
        <is>
          <t>001119</t>
        </is>
      </c>
      <c r="C95" s="3" t="inlineStr">
        <is>
          <t>000702</t>
        </is>
      </c>
      <c r="D95" s="4" t="n">
        <v>45043</v>
      </c>
      <c r="E95" s="2" t="inlineStr">
        <is>
          <t>12:23</t>
        </is>
      </c>
      <c r="F95" s="5" t="n">
        <v>49.17</v>
      </c>
      <c r="G95" s="5" t="n"/>
      <c r="H95" s="5" t="n"/>
      <c r="I95" s="5" t="n"/>
      <c r="J95" s="5" t="n">
        <v>9.83</v>
      </c>
      <c r="K95" s="5" t="n"/>
      <c r="L95" s="5" t="n"/>
      <c r="M95" s="5" t="n"/>
      <c r="N95" s="5" t="n"/>
      <c r="O95" s="5" t="n">
        <v>59</v>
      </c>
      <c r="P95" s="5" t="n">
        <v>59</v>
      </c>
      <c r="Q95" s="5" t="n"/>
      <c r="R95" s="5" t="n"/>
      <c r="S95" s="5">
        <f>F95*20%</f>
        <v/>
      </c>
      <c r="T95" s="5">
        <f>J95-S95</f>
        <v/>
      </c>
      <c r="U95" s="5">
        <f>F95+J95</f>
        <v/>
      </c>
      <c r="V95" s="5">
        <f>O95-U95</f>
        <v/>
      </c>
      <c r="W95" s="5">
        <f>O95-(P95+R95)</f>
        <v/>
      </c>
      <c r="X95" s="5">
        <f>O95-(P95+Q95+R95)</f>
        <v/>
      </c>
    </row>
    <row r="96">
      <c r="A96" s="2" t="inlineStr">
        <is>
          <t>EJ020523.TXT</t>
        </is>
      </c>
      <c r="B96" s="3" t="inlineStr">
        <is>
          <t>001120</t>
        </is>
      </c>
      <c r="C96" s="3" t="inlineStr">
        <is>
          <t>000703</t>
        </is>
      </c>
      <c r="D96" s="4" t="n">
        <v>45043</v>
      </c>
      <c r="E96" s="2" t="inlineStr">
        <is>
          <t>16:00</t>
        </is>
      </c>
      <c r="F96" s="5" t="n">
        <v>615</v>
      </c>
      <c r="G96" s="5" t="n"/>
      <c r="H96" s="5" t="n"/>
      <c r="I96" s="5" t="n"/>
      <c r="J96" s="5" t="n">
        <v>123</v>
      </c>
      <c r="K96" s="5" t="n"/>
      <c r="L96" s="5" t="n"/>
      <c r="M96" s="5" t="n"/>
      <c r="N96" s="5" t="n"/>
      <c r="O96" s="5" t="n">
        <v>738</v>
      </c>
      <c r="P96" s="5" t="n">
        <v>738</v>
      </c>
      <c r="Q96" s="5" t="n"/>
      <c r="R96" s="5" t="n"/>
      <c r="S96" s="5">
        <f>F96*20%</f>
        <v/>
      </c>
      <c r="T96" s="5">
        <f>J96-S96</f>
        <v/>
      </c>
      <c r="U96" s="5">
        <f>F96+J96</f>
        <v/>
      </c>
      <c r="V96" s="5">
        <f>O96-U96</f>
        <v/>
      </c>
      <c r="W96" s="5">
        <f>O96-(P96+R96)</f>
        <v/>
      </c>
      <c r="X96" s="5">
        <f>O96-(P96+Q96+R96)</f>
        <v/>
      </c>
    </row>
    <row r="97">
      <c r="A97" s="2" t="inlineStr">
        <is>
          <t>EJ020523.TXT</t>
        </is>
      </c>
      <c r="B97" s="3" t="inlineStr">
        <is>
          <t>001122</t>
        </is>
      </c>
      <c r="C97" s="3" t="inlineStr">
        <is>
          <t>000704</t>
        </is>
      </c>
      <c r="D97" s="4" t="n">
        <v>45045</v>
      </c>
      <c r="E97" s="2" t="inlineStr">
        <is>
          <t>16:12</t>
        </is>
      </c>
      <c r="F97" s="5" t="n">
        <v>597.5</v>
      </c>
      <c r="G97" s="5" t="n"/>
      <c r="H97" s="5" t="n"/>
      <c r="I97" s="5" t="n"/>
      <c r="J97" s="5" t="n">
        <v>119.5</v>
      </c>
      <c r="K97" s="5" t="n"/>
      <c r="L97" s="5" t="n"/>
      <c r="M97" s="5" t="n"/>
      <c r="N97" s="5" t="n"/>
      <c r="O97" s="5" t="n">
        <v>717</v>
      </c>
      <c r="P97" s="5" t="n">
        <v>717</v>
      </c>
      <c r="Q97" s="5" t="n"/>
      <c r="R97" s="5" t="n"/>
      <c r="S97" s="5">
        <f>F97*20%</f>
        <v/>
      </c>
      <c r="T97" s="5">
        <f>J97-S97</f>
        <v/>
      </c>
      <c r="U97" s="5">
        <f>F97+J97</f>
        <v/>
      </c>
      <c r="V97" s="5">
        <f>O97-U97</f>
        <v/>
      </c>
      <c r="W97" s="5">
        <f>O97-(P97+R97)</f>
        <v/>
      </c>
      <c r="X97" s="5">
        <f>O97-(P97+Q97+R97)</f>
        <v/>
      </c>
    </row>
    <row r="98">
      <c r="A98" s="2" t="inlineStr">
        <is>
          <t>EJ020523.TXT</t>
        </is>
      </c>
      <c r="B98" s="3" t="inlineStr">
        <is>
          <t>001123</t>
        </is>
      </c>
      <c r="C98" s="3" t="inlineStr">
        <is>
          <t>000705</t>
        </is>
      </c>
      <c r="D98" s="4" t="n">
        <v>45045</v>
      </c>
      <c r="E98" s="2" t="inlineStr">
        <is>
          <t>16:55</t>
        </is>
      </c>
      <c r="F98" s="5" t="n">
        <v>381.67</v>
      </c>
      <c r="G98" s="5" t="n"/>
      <c r="H98" s="5" t="n"/>
      <c r="I98" s="5" t="n"/>
      <c r="J98" s="5" t="n">
        <v>76.33</v>
      </c>
      <c r="K98" s="5" t="n"/>
      <c r="L98" s="5" t="n"/>
      <c r="M98" s="5" t="n"/>
      <c r="N98" s="5" t="n"/>
      <c r="O98" s="5" t="n">
        <v>458</v>
      </c>
      <c r="P98" s="5" t="n"/>
      <c r="Q98" s="5" t="n">
        <v>458</v>
      </c>
      <c r="R98" s="5" t="n"/>
      <c r="S98" s="5">
        <f>F98*20%</f>
        <v/>
      </c>
      <c r="T98" s="5">
        <f>J98-S98</f>
        <v/>
      </c>
      <c r="U98" s="5">
        <f>F98+J98</f>
        <v/>
      </c>
      <c r="V98" s="5">
        <f>O98-U98</f>
        <v/>
      </c>
      <c r="W98" s="5">
        <f>O98-(P98+R98)</f>
        <v/>
      </c>
      <c r="X98" s="5">
        <f>O98-(P98+Q98+R98)</f>
        <v/>
      </c>
    </row>
    <row r="99">
      <c r="A99" s="2" t="inlineStr">
        <is>
          <t>EJ010623.TXT</t>
        </is>
      </c>
      <c r="B99" s="3" t="inlineStr">
        <is>
          <t>001130</t>
        </is>
      </c>
      <c r="C99" s="3" t="inlineStr">
        <is>
          <t>000706</t>
        </is>
      </c>
      <c r="D99" s="4" t="n">
        <v>45048</v>
      </c>
      <c r="E99" s="2" t="inlineStr">
        <is>
          <t>12:22</t>
        </is>
      </c>
      <c r="F99" s="5" t="n">
        <v>548.33</v>
      </c>
      <c r="G99" s="5" t="n"/>
      <c r="H99" s="5" t="n"/>
      <c r="I99" s="5" t="n"/>
      <c r="J99" s="5" t="n">
        <v>109.67</v>
      </c>
      <c r="K99" s="5" t="n"/>
      <c r="L99" s="5" t="n"/>
      <c r="M99" s="5" t="n"/>
      <c r="N99" s="5" t="n"/>
      <c r="O99" s="5" t="n">
        <v>658</v>
      </c>
      <c r="P99" s="5" t="n">
        <v>658</v>
      </c>
      <c r="Q99" s="5" t="n"/>
      <c r="R99" s="5" t="n"/>
      <c r="S99" s="5">
        <f>F99*20%</f>
        <v/>
      </c>
      <c r="T99" s="5">
        <f>J99-S99</f>
        <v/>
      </c>
      <c r="U99" s="5">
        <f>F99+J99</f>
        <v/>
      </c>
      <c r="V99" s="5">
        <f>O99-U99</f>
        <v/>
      </c>
      <c r="W99" s="5">
        <f>O99-(P99+R99)</f>
        <v/>
      </c>
      <c r="X99" s="5">
        <f>O99-(P99+Q99+R99)</f>
        <v/>
      </c>
    </row>
    <row r="100">
      <c r="A100" s="2" t="inlineStr">
        <is>
          <t>EJ010623.TXT</t>
        </is>
      </c>
      <c r="B100" s="3" t="inlineStr">
        <is>
          <t>001131</t>
        </is>
      </c>
      <c r="C100" s="3" t="inlineStr">
        <is>
          <t>000707</t>
        </is>
      </c>
      <c r="D100" s="4" t="n">
        <v>45048</v>
      </c>
      <c r="E100" s="2" t="inlineStr">
        <is>
          <t>13:04</t>
        </is>
      </c>
      <c r="F100" s="5" t="n">
        <v>581.67</v>
      </c>
      <c r="G100" s="5" t="n"/>
      <c r="H100" s="5" t="n"/>
      <c r="I100" s="5" t="n"/>
      <c r="J100" s="5" t="n">
        <v>116.33</v>
      </c>
      <c r="K100" s="5" t="n"/>
      <c r="L100" s="5" t="n"/>
      <c r="M100" s="5" t="n"/>
      <c r="N100" s="5" t="n"/>
      <c r="O100" s="5" t="n">
        <v>698</v>
      </c>
      <c r="P100" s="5" t="n">
        <v>698</v>
      </c>
      <c r="Q100" s="5" t="n"/>
      <c r="R100" s="5" t="n"/>
      <c r="S100" s="5">
        <f>F100*20%</f>
        <v/>
      </c>
      <c r="T100" s="5">
        <f>J100-S100</f>
        <v/>
      </c>
      <c r="U100" s="5">
        <f>F100+J100</f>
        <v/>
      </c>
      <c r="V100" s="5">
        <f>O100-U100</f>
        <v/>
      </c>
      <c r="W100" s="5">
        <f>O100-(P100+R100)</f>
        <v/>
      </c>
      <c r="X100" s="5">
        <f>O100-(P100+Q100+R100)</f>
        <v/>
      </c>
    </row>
    <row r="101">
      <c r="A101" s="2" t="inlineStr">
        <is>
          <t>EJ010623.TXT</t>
        </is>
      </c>
      <c r="B101" s="3" t="inlineStr">
        <is>
          <t>001132</t>
        </is>
      </c>
      <c r="C101" s="3" t="inlineStr">
        <is>
          <t>000708</t>
        </is>
      </c>
      <c r="D101" s="4" t="n">
        <v>45049</v>
      </c>
      <c r="E101" s="2" t="inlineStr">
        <is>
          <t>12:24</t>
        </is>
      </c>
      <c r="F101" s="5" t="n">
        <v>274.17</v>
      </c>
      <c r="G101" s="5" t="n"/>
      <c r="H101" s="5" t="n"/>
      <c r="I101" s="5" t="n"/>
      <c r="J101" s="5" t="n">
        <v>54.83</v>
      </c>
      <c r="K101" s="5" t="n"/>
      <c r="L101" s="5" t="n"/>
      <c r="M101" s="5" t="n"/>
      <c r="N101" s="5" t="n"/>
      <c r="O101" s="5" t="n">
        <v>329</v>
      </c>
      <c r="P101" s="5" t="n">
        <v>329</v>
      </c>
      <c r="Q101" s="5" t="n"/>
      <c r="R101" s="5" t="n"/>
      <c r="S101" s="5">
        <f>F101*20%</f>
        <v/>
      </c>
      <c r="T101" s="5">
        <f>J101-S101</f>
        <v/>
      </c>
      <c r="U101" s="5">
        <f>F101+J101</f>
        <v/>
      </c>
      <c r="V101" s="5">
        <f>O101-U101</f>
        <v/>
      </c>
      <c r="W101" s="5">
        <f>O101-(P101+R101)</f>
        <v/>
      </c>
      <c r="X101" s="5">
        <f>O101-(P101+Q101+R101)</f>
        <v/>
      </c>
    </row>
    <row r="102">
      <c r="A102" s="2" t="inlineStr">
        <is>
          <t>EJ010623.TXT</t>
        </is>
      </c>
      <c r="B102" s="3" t="inlineStr">
        <is>
          <t>001134</t>
        </is>
      </c>
      <c r="C102" s="3" t="inlineStr">
        <is>
          <t>000709</t>
        </is>
      </c>
      <c r="D102" s="4" t="n">
        <v>45050</v>
      </c>
      <c r="E102" s="2" t="inlineStr">
        <is>
          <t>14:46</t>
        </is>
      </c>
      <c r="F102" s="5" t="n">
        <v>548.33</v>
      </c>
      <c r="G102" s="5" t="n"/>
      <c r="H102" s="5" t="n"/>
      <c r="I102" s="5" t="n"/>
      <c r="J102" s="5" t="n">
        <v>109.67</v>
      </c>
      <c r="K102" s="5" t="n"/>
      <c r="L102" s="5" t="n"/>
      <c r="M102" s="5" t="n"/>
      <c r="N102" s="5" t="n"/>
      <c r="O102" s="5" t="n">
        <v>658</v>
      </c>
      <c r="P102" s="5" t="n">
        <v>658</v>
      </c>
      <c r="Q102" s="5" t="n"/>
      <c r="R102" s="5" t="n"/>
      <c r="S102" s="5">
        <f>F102*20%</f>
        <v/>
      </c>
      <c r="T102" s="5">
        <f>J102-S102</f>
        <v/>
      </c>
      <c r="U102" s="5">
        <f>F102+J102</f>
        <v/>
      </c>
      <c r="V102" s="5">
        <f>O102-U102</f>
        <v/>
      </c>
      <c r="W102" s="5">
        <f>O102-(P102+R102)</f>
        <v/>
      </c>
      <c r="X102" s="5">
        <f>O102-(P102+Q102+R102)</f>
        <v/>
      </c>
    </row>
    <row r="103">
      <c r="A103" s="2" t="inlineStr">
        <is>
          <t>EJ010623.TXT</t>
        </is>
      </c>
      <c r="B103" s="3" t="inlineStr">
        <is>
          <t>001136</t>
        </is>
      </c>
      <c r="C103" s="3" t="inlineStr">
        <is>
          <t>000710</t>
        </is>
      </c>
      <c r="D103" s="4" t="n">
        <v>45058</v>
      </c>
      <c r="E103" s="2" t="inlineStr">
        <is>
          <t>14:37</t>
        </is>
      </c>
      <c r="F103" s="5" t="n">
        <v>115</v>
      </c>
      <c r="G103" s="5" t="n"/>
      <c r="H103" s="5" t="n"/>
      <c r="I103" s="5" t="n"/>
      <c r="J103" s="5" t="n">
        <v>23</v>
      </c>
      <c r="K103" s="5" t="n"/>
      <c r="L103" s="5" t="n"/>
      <c r="M103" s="5" t="n"/>
      <c r="N103" s="5" t="n"/>
      <c r="O103" s="5" t="n">
        <v>138</v>
      </c>
      <c r="P103" s="5" t="n">
        <v>138</v>
      </c>
      <c r="Q103" s="5" t="n"/>
      <c r="R103" s="5" t="n"/>
      <c r="S103" s="5">
        <f>F103*20%</f>
        <v/>
      </c>
      <c r="T103" s="5">
        <f>J103-S103</f>
        <v/>
      </c>
      <c r="U103" s="5">
        <f>F103+J103</f>
        <v/>
      </c>
      <c r="V103" s="5">
        <f>O103-U103</f>
        <v/>
      </c>
      <c r="W103" s="5">
        <f>O103-(P103+R103)</f>
        <v/>
      </c>
      <c r="X103" s="5">
        <f>O103-(P103+Q103+R103)</f>
        <v/>
      </c>
    </row>
    <row r="104">
      <c r="A104" s="2" t="inlineStr">
        <is>
          <t>EJ010623.TXT</t>
        </is>
      </c>
      <c r="B104" s="3" t="inlineStr">
        <is>
          <t>001137</t>
        </is>
      </c>
      <c r="C104" s="3" t="inlineStr">
        <is>
          <t>000711</t>
        </is>
      </c>
      <c r="D104" s="4" t="n">
        <v>45058</v>
      </c>
      <c r="E104" s="2" t="inlineStr">
        <is>
          <t>16:20</t>
        </is>
      </c>
      <c r="F104" s="5" t="n">
        <v>1645</v>
      </c>
      <c r="G104" s="5" t="n"/>
      <c r="H104" s="5" t="n"/>
      <c r="I104" s="5" t="n"/>
      <c r="J104" s="5" t="n">
        <v>329</v>
      </c>
      <c r="K104" s="5" t="n"/>
      <c r="L104" s="5" t="n"/>
      <c r="M104" s="5" t="n"/>
      <c r="N104" s="5" t="n"/>
      <c r="O104" s="5" t="n">
        <v>1974</v>
      </c>
      <c r="P104" s="5" t="n">
        <v>1974</v>
      </c>
      <c r="Q104" s="5" t="n"/>
      <c r="R104" s="5" t="n"/>
      <c r="S104" s="5">
        <f>F104*20%</f>
        <v/>
      </c>
      <c r="T104" s="5">
        <f>J104-S104</f>
        <v/>
      </c>
      <c r="U104" s="5">
        <f>F104+J104</f>
        <v/>
      </c>
      <c r="V104" s="5">
        <f>O104-U104</f>
        <v/>
      </c>
      <c r="W104" s="5">
        <f>O104-(P104+R104)</f>
        <v/>
      </c>
      <c r="X104" s="5">
        <f>O104-(P104+Q104+R104)</f>
        <v/>
      </c>
    </row>
    <row r="105">
      <c r="A105" s="2" t="inlineStr">
        <is>
          <t>EJ010623.TXT</t>
        </is>
      </c>
      <c r="B105" s="3" t="inlineStr">
        <is>
          <t>001138</t>
        </is>
      </c>
      <c r="C105" s="3" t="inlineStr">
        <is>
          <t>000712</t>
        </is>
      </c>
      <c r="D105" s="4" t="n">
        <v>45059</v>
      </c>
      <c r="E105" s="2" t="inlineStr">
        <is>
          <t>13:45</t>
        </is>
      </c>
      <c r="F105" s="5" t="n">
        <v>548.33</v>
      </c>
      <c r="G105" s="5" t="n"/>
      <c r="H105" s="5" t="n"/>
      <c r="I105" s="5" t="n"/>
      <c r="J105" s="5" t="n">
        <v>109.67</v>
      </c>
      <c r="K105" s="5" t="n"/>
      <c r="L105" s="5" t="n"/>
      <c r="M105" s="5" t="n"/>
      <c r="N105" s="5" t="n"/>
      <c r="O105" s="5" t="n">
        <v>658</v>
      </c>
      <c r="P105" s="5" t="n">
        <v>658</v>
      </c>
      <c r="Q105" s="5" t="n"/>
      <c r="R105" s="5" t="n"/>
      <c r="S105" s="5">
        <f>F105*20%</f>
        <v/>
      </c>
      <c r="T105" s="5">
        <f>J105-S105</f>
        <v/>
      </c>
      <c r="U105" s="5">
        <f>F105+J105</f>
        <v/>
      </c>
      <c r="V105" s="5">
        <f>O105-U105</f>
        <v/>
      </c>
      <c r="W105" s="5">
        <f>O105-(P105+R105)</f>
        <v/>
      </c>
      <c r="X105" s="5">
        <f>O105-(P105+Q105+R105)</f>
        <v/>
      </c>
    </row>
    <row r="106">
      <c r="A106" s="2" t="inlineStr">
        <is>
          <t>EJ010623.TXT</t>
        </is>
      </c>
      <c r="B106" s="3" t="inlineStr">
        <is>
          <t>001139</t>
        </is>
      </c>
      <c r="C106" s="3" t="inlineStr">
        <is>
          <t>000713</t>
        </is>
      </c>
      <c r="D106" s="4" t="n">
        <v>45059</v>
      </c>
      <c r="E106" s="2" t="inlineStr">
        <is>
          <t>14:04</t>
        </is>
      </c>
      <c r="F106" s="5" t="n">
        <v>548.33</v>
      </c>
      <c r="G106" s="5" t="n"/>
      <c r="H106" s="5" t="n"/>
      <c r="I106" s="5" t="n"/>
      <c r="J106" s="5" t="n">
        <v>109.67</v>
      </c>
      <c r="K106" s="5" t="n"/>
      <c r="L106" s="5" t="n"/>
      <c r="M106" s="5" t="n"/>
      <c r="N106" s="5" t="n"/>
      <c r="O106" s="5" t="n">
        <v>658</v>
      </c>
      <c r="P106" s="5" t="n"/>
      <c r="Q106" s="5" t="n">
        <v>658</v>
      </c>
      <c r="R106" s="5" t="n"/>
      <c r="S106" s="5">
        <f>F106*20%</f>
        <v/>
      </c>
      <c r="T106" s="5">
        <f>J106-S106</f>
        <v/>
      </c>
      <c r="U106" s="5">
        <f>F106+J106</f>
        <v/>
      </c>
      <c r="V106" s="5">
        <f>O106-U106</f>
        <v/>
      </c>
      <c r="W106" s="5">
        <f>O106-(P106+R106)</f>
        <v/>
      </c>
      <c r="X106" s="5">
        <f>O106-(P106+Q106+R106)</f>
        <v/>
      </c>
    </row>
    <row r="107">
      <c r="A107" s="2" t="inlineStr">
        <is>
          <t>EJ010623.TXT</t>
        </is>
      </c>
      <c r="B107" s="3" t="inlineStr">
        <is>
          <t>001140</t>
        </is>
      </c>
      <c r="C107" s="3" t="inlineStr">
        <is>
          <t>000714</t>
        </is>
      </c>
      <c r="D107" s="4" t="n">
        <v>45059</v>
      </c>
      <c r="E107" s="2" t="inlineStr">
        <is>
          <t>14:43</t>
        </is>
      </c>
      <c r="F107" s="5" t="n">
        <v>266.67</v>
      </c>
      <c r="G107" s="5" t="n"/>
      <c r="H107" s="5" t="n"/>
      <c r="I107" s="5" t="n"/>
      <c r="J107" s="5" t="n">
        <v>53.33</v>
      </c>
      <c r="K107" s="5" t="n"/>
      <c r="L107" s="5" t="n"/>
      <c r="M107" s="5" t="n"/>
      <c r="N107" s="5" t="n"/>
      <c r="O107" s="5" t="n">
        <v>320</v>
      </c>
      <c r="P107" s="5" t="n">
        <v>320</v>
      </c>
      <c r="Q107" s="5" t="n"/>
      <c r="R107" s="5" t="n"/>
      <c r="S107" s="5">
        <f>F107*20%</f>
        <v/>
      </c>
      <c r="T107" s="5">
        <f>J107-S107</f>
        <v/>
      </c>
      <c r="U107" s="5">
        <f>F107+J107</f>
        <v/>
      </c>
      <c r="V107" s="5">
        <f>O107-U107</f>
        <v/>
      </c>
      <c r="W107" s="5">
        <f>O107-(P107+R107)</f>
        <v/>
      </c>
      <c r="X107" s="5">
        <f>O107-(P107+Q107+R107)</f>
        <v/>
      </c>
    </row>
    <row r="108">
      <c r="A108" s="2" t="inlineStr">
        <is>
          <t>EJ010623.TXT</t>
        </is>
      </c>
      <c r="B108" s="3" t="inlineStr">
        <is>
          <t>001141</t>
        </is>
      </c>
      <c r="C108" s="3" t="inlineStr">
        <is>
          <t>000715</t>
        </is>
      </c>
      <c r="D108" s="4" t="n">
        <v>45059</v>
      </c>
      <c r="E108" s="2" t="inlineStr">
        <is>
          <t>15:13</t>
        </is>
      </c>
      <c r="F108" s="5" t="n">
        <v>65.83</v>
      </c>
      <c r="G108" s="5" t="n"/>
      <c r="H108" s="5" t="n"/>
      <c r="I108" s="5" t="n"/>
      <c r="J108" s="5" t="n">
        <v>13.17</v>
      </c>
      <c r="K108" s="5" t="n"/>
      <c r="L108" s="5" t="n"/>
      <c r="M108" s="5" t="n"/>
      <c r="N108" s="5" t="n"/>
      <c r="O108" s="5" t="n">
        <v>79</v>
      </c>
      <c r="P108" s="5" t="n">
        <v>79</v>
      </c>
      <c r="Q108" s="5" t="n"/>
      <c r="R108" s="5" t="n"/>
      <c r="S108" s="5">
        <f>F108*20%</f>
        <v/>
      </c>
      <c r="T108" s="5">
        <f>J108-S108</f>
        <v/>
      </c>
      <c r="U108" s="5">
        <f>F108+J108</f>
        <v/>
      </c>
      <c r="V108" s="5">
        <f>O108-U108</f>
        <v/>
      </c>
      <c r="W108" s="5">
        <f>O108-(P108+R108)</f>
        <v/>
      </c>
      <c r="X108" s="5">
        <f>O108-(P108+Q108+R108)</f>
        <v/>
      </c>
    </row>
    <row r="109">
      <c r="A109" s="2" t="inlineStr">
        <is>
          <t>EJ010623.TXT</t>
        </is>
      </c>
      <c r="B109" s="3" t="inlineStr">
        <is>
          <t>001142</t>
        </is>
      </c>
      <c r="C109" s="3" t="inlineStr">
        <is>
          <t>000716</t>
        </is>
      </c>
      <c r="D109" s="4" t="n">
        <v>45062</v>
      </c>
      <c r="E109" s="2" t="inlineStr">
        <is>
          <t>13:26</t>
        </is>
      </c>
      <c r="F109" s="5" t="n">
        <v>548.33</v>
      </c>
      <c r="G109" s="5" t="n"/>
      <c r="H109" s="5" t="n"/>
      <c r="I109" s="5" t="n"/>
      <c r="J109" s="5" t="n">
        <v>109.67</v>
      </c>
      <c r="K109" s="5" t="n"/>
      <c r="L109" s="5" t="n"/>
      <c r="M109" s="5" t="n"/>
      <c r="N109" s="5" t="n"/>
      <c r="O109" s="5" t="n">
        <v>658</v>
      </c>
      <c r="P109" s="5" t="n"/>
      <c r="Q109" s="5" t="n">
        <v>658</v>
      </c>
      <c r="R109" s="5" t="n"/>
      <c r="S109" s="5">
        <f>F109*20%</f>
        <v/>
      </c>
      <c r="T109" s="5">
        <f>J109-S109</f>
        <v/>
      </c>
      <c r="U109" s="5">
        <f>F109+J109</f>
        <v/>
      </c>
      <c r="V109" s="5">
        <f>O109-U109</f>
        <v/>
      </c>
      <c r="W109" s="5">
        <f>O109-(P109+R109)</f>
        <v/>
      </c>
      <c r="X109" s="5">
        <f>O109-(P109+Q109+R109)</f>
        <v/>
      </c>
    </row>
    <row r="110">
      <c r="A110" s="2" t="inlineStr">
        <is>
          <t>EJ010623.TXT</t>
        </is>
      </c>
      <c r="B110" s="3" t="inlineStr">
        <is>
          <t>001144</t>
        </is>
      </c>
      <c r="C110" s="3" t="inlineStr">
        <is>
          <t>000717</t>
        </is>
      </c>
      <c r="D110" s="4" t="n">
        <v>45065</v>
      </c>
      <c r="E110" s="2" t="inlineStr">
        <is>
          <t>09:52</t>
        </is>
      </c>
      <c r="F110" s="5" t="n">
        <v>1733.33</v>
      </c>
      <c r="G110" s="5" t="n"/>
      <c r="H110" s="5" t="n"/>
      <c r="I110" s="5" t="n"/>
      <c r="J110" s="5" t="n">
        <v>346.67</v>
      </c>
      <c r="K110" s="5" t="n"/>
      <c r="L110" s="5" t="n"/>
      <c r="M110" s="5" t="n"/>
      <c r="N110" s="5" t="n"/>
      <c r="O110" s="5" t="n">
        <v>2080</v>
      </c>
      <c r="P110" s="5" t="n">
        <v>2080</v>
      </c>
      <c r="Q110" s="5" t="n"/>
      <c r="R110" s="5" t="n"/>
      <c r="S110" s="5">
        <f>F110*20%</f>
        <v/>
      </c>
      <c r="T110" s="5">
        <f>J110-S110</f>
        <v/>
      </c>
      <c r="U110" s="5">
        <f>F110+J110</f>
        <v/>
      </c>
      <c r="V110" s="5">
        <f>O110-U110</f>
        <v/>
      </c>
      <c r="W110" s="5">
        <f>O110-(P110+R110)</f>
        <v/>
      </c>
      <c r="X110" s="5">
        <f>O110-(P110+Q110+R110)</f>
        <v/>
      </c>
    </row>
    <row r="111">
      <c r="A111" s="2" t="inlineStr">
        <is>
          <t>EJ010623.TXT</t>
        </is>
      </c>
      <c r="B111" s="3" t="inlineStr">
        <is>
          <t>001145</t>
        </is>
      </c>
      <c r="C111" s="3" t="inlineStr">
        <is>
          <t>000718</t>
        </is>
      </c>
      <c r="D111" s="4" t="n">
        <v>45065</v>
      </c>
      <c r="E111" s="2" t="inlineStr">
        <is>
          <t>11:25</t>
        </is>
      </c>
      <c r="F111" s="5" t="n">
        <v>822.5</v>
      </c>
      <c r="G111" s="5" t="n"/>
      <c r="H111" s="5" t="n"/>
      <c r="I111" s="5" t="n"/>
      <c r="J111" s="5" t="n">
        <v>164.5</v>
      </c>
      <c r="K111" s="5" t="n"/>
      <c r="L111" s="5" t="n"/>
      <c r="M111" s="5" t="n"/>
      <c r="N111" s="5" t="n"/>
      <c r="O111" s="5" t="n">
        <v>987</v>
      </c>
      <c r="P111" s="5" t="n"/>
      <c r="Q111" s="5" t="n">
        <v>987</v>
      </c>
      <c r="R111" s="5" t="n"/>
      <c r="S111" s="5">
        <f>F111*20%</f>
        <v/>
      </c>
      <c r="T111" s="5">
        <f>J111-S111</f>
        <v/>
      </c>
      <c r="U111" s="5">
        <f>F111+J111</f>
        <v/>
      </c>
      <c r="V111" s="5">
        <f>O111-U111</f>
        <v/>
      </c>
      <c r="W111" s="5">
        <f>O111-(P111+R111)</f>
        <v/>
      </c>
      <c r="X111" s="5">
        <f>O111-(P111+Q111+R111)</f>
        <v/>
      </c>
    </row>
    <row r="112">
      <c r="A112" s="2" t="inlineStr">
        <is>
          <t>EJ010623.TXT</t>
        </is>
      </c>
      <c r="B112" s="3" t="inlineStr">
        <is>
          <t>001146</t>
        </is>
      </c>
      <c r="C112" s="3" t="inlineStr">
        <is>
          <t>000719</t>
        </is>
      </c>
      <c r="D112" s="4" t="n">
        <v>45065</v>
      </c>
      <c r="E112" s="2" t="inlineStr">
        <is>
          <t>15:19</t>
        </is>
      </c>
      <c r="F112" s="5" t="n">
        <v>274.17</v>
      </c>
      <c r="G112" s="5" t="n"/>
      <c r="H112" s="5" t="n"/>
      <c r="I112" s="5" t="n"/>
      <c r="J112" s="5" t="n">
        <v>54.83</v>
      </c>
      <c r="K112" s="5" t="n"/>
      <c r="L112" s="5" t="n"/>
      <c r="M112" s="5" t="n"/>
      <c r="N112" s="5" t="n"/>
      <c r="O112" s="5" t="n">
        <v>329</v>
      </c>
      <c r="P112" s="5" t="n">
        <v>329</v>
      </c>
      <c r="Q112" s="5" t="n"/>
      <c r="R112" s="5" t="n"/>
      <c r="S112" s="5">
        <f>F112*20%</f>
        <v/>
      </c>
      <c r="T112" s="5">
        <f>J112-S112</f>
        <v/>
      </c>
      <c r="U112" s="5">
        <f>F112+J112</f>
        <v/>
      </c>
      <c r="V112" s="5">
        <f>O112-U112</f>
        <v/>
      </c>
      <c r="W112" s="5">
        <f>O112-(P112+R112)</f>
        <v/>
      </c>
      <c r="X112" s="5">
        <f>O112-(P112+Q112+R112)</f>
        <v/>
      </c>
    </row>
    <row r="113">
      <c r="A113" s="2" t="inlineStr">
        <is>
          <t>EJ010623.TXT</t>
        </is>
      </c>
      <c r="B113" s="3" t="inlineStr">
        <is>
          <t>001147</t>
        </is>
      </c>
      <c r="C113" s="3" t="inlineStr">
        <is>
          <t>000720</t>
        </is>
      </c>
      <c r="D113" s="4" t="n">
        <v>45066</v>
      </c>
      <c r="E113" s="2" t="inlineStr">
        <is>
          <t>15:12</t>
        </is>
      </c>
      <c r="F113" s="5" t="n">
        <v>548.33</v>
      </c>
      <c r="G113" s="5" t="n"/>
      <c r="H113" s="5" t="n"/>
      <c r="I113" s="5" t="n"/>
      <c r="J113" s="5" t="n">
        <v>109.67</v>
      </c>
      <c r="K113" s="5" t="n"/>
      <c r="L113" s="5" t="n"/>
      <c r="M113" s="5" t="n"/>
      <c r="N113" s="5" t="n"/>
      <c r="O113" s="5" t="n">
        <v>658</v>
      </c>
      <c r="P113" s="5" t="n">
        <v>658</v>
      </c>
      <c r="Q113" s="5" t="n"/>
      <c r="R113" s="5" t="n"/>
      <c r="S113" s="5">
        <f>F113*20%</f>
        <v/>
      </c>
      <c r="T113" s="5">
        <f>J113-S113</f>
        <v/>
      </c>
      <c r="U113" s="5">
        <f>F113+J113</f>
        <v/>
      </c>
      <c r="V113" s="5">
        <f>O113-U113</f>
        <v/>
      </c>
      <c r="W113" s="5">
        <f>O113-(P113+R113)</f>
        <v/>
      </c>
      <c r="X113" s="5">
        <f>O113-(P113+Q113+R113)</f>
        <v/>
      </c>
    </row>
    <row r="114">
      <c r="A114" s="2" t="inlineStr">
        <is>
          <t>EJ010623.TXT</t>
        </is>
      </c>
      <c r="B114" s="3" t="inlineStr">
        <is>
          <t>001148</t>
        </is>
      </c>
      <c r="C114" s="3" t="inlineStr">
        <is>
          <t>000721</t>
        </is>
      </c>
      <c r="D114" s="4" t="n">
        <v>45068</v>
      </c>
      <c r="E114" s="2" t="inlineStr">
        <is>
          <t>13:01</t>
        </is>
      </c>
      <c r="F114" s="5" t="n">
        <v>82.5</v>
      </c>
      <c r="G114" s="5" t="n"/>
      <c r="H114" s="5" t="n"/>
      <c r="I114" s="5" t="n"/>
      <c r="J114" s="5" t="n">
        <v>16.5</v>
      </c>
      <c r="K114" s="5" t="n"/>
      <c r="L114" s="5" t="n"/>
      <c r="M114" s="5" t="n"/>
      <c r="N114" s="5" t="n"/>
      <c r="O114" s="5" t="n">
        <v>99</v>
      </c>
      <c r="P114" s="5" t="n">
        <v>99</v>
      </c>
      <c r="Q114" s="5" t="n"/>
      <c r="R114" s="5" t="n"/>
      <c r="S114" s="5">
        <f>F114*20%</f>
        <v/>
      </c>
      <c r="T114" s="5">
        <f>J114-S114</f>
        <v/>
      </c>
      <c r="U114" s="5">
        <f>F114+J114</f>
        <v/>
      </c>
      <c r="V114" s="5">
        <f>O114-U114</f>
        <v/>
      </c>
      <c r="W114" s="5">
        <f>O114-(P114+R114)</f>
        <v/>
      </c>
      <c r="X114" s="5">
        <f>O114-(P114+Q114+R114)</f>
        <v/>
      </c>
    </row>
    <row r="115">
      <c r="A115" s="2" t="inlineStr">
        <is>
          <t>EJ010623.TXT</t>
        </is>
      </c>
      <c r="B115" s="3" t="inlineStr">
        <is>
          <t>001149</t>
        </is>
      </c>
      <c r="C115" s="3" t="inlineStr">
        <is>
          <t>000722</t>
        </is>
      </c>
      <c r="D115" s="4" t="n">
        <v>45069</v>
      </c>
      <c r="E115" s="2" t="inlineStr">
        <is>
          <t>13:58</t>
        </is>
      </c>
      <c r="F115" s="5" t="n">
        <v>199.17</v>
      </c>
      <c r="G115" s="5" t="n"/>
      <c r="H115" s="5" t="n"/>
      <c r="I115" s="5" t="n"/>
      <c r="J115" s="5" t="n">
        <v>39.83</v>
      </c>
      <c r="K115" s="5" t="n"/>
      <c r="L115" s="5" t="n"/>
      <c r="M115" s="5" t="n"/>
      <c r="N115" s="5" t="n"/>
      <c r="O115" s="5" t="n">
        <v>239</v>
      </c>
      <c r="P115" s="5" t="n">
        <v>239</v>
      </c>
      <c r="Q115" s="5" t="n"/>
      <c r="R115" s="5" t="n"/>
      <c r="S115" s="5">
        <f>F115*20%</f>
        <v/>
      </c>
      <c r="T115" s="5">
        <f>J115-S115</f>
        <v/>
      </c>
      <c r="U115" s="5">
        <f>F115+J115</f>
        <v/>
      </c>
      <c r="V115" s="5">
        <f>O115-U115</f>
        <v/>
      </c>
      <c r="W115" s="5">
        <f>O115-(P115+R115)</f>
        <v/>
      </c>
      <c r="X115" s="5">
        <f>O115-(P115+Q115+R115)</f>
        <v/>
      </c>
    </row>
    <row r="116">
      <c r="A116" s="2" t="inlineStr">
        <is>
          <t>EJ010623.TXT</t>
        </is>
      </c>
      <c r="B116" s="3" t="inlineStr">
        <is>
          <t>001150</t>
        </is>
      </c>
      <c r="C116" s="3" t="inlineStr">
        <is>
          <t>000723</t>
        </is>
      </c>
      <c r="D116" s="4" t="n">
        <v>45073</v>
      </c>
      <c r="E116" s="2" t="inlineStr">
        <is>
          <t>13:56</t>
        </is>
      </c>
      <c r="F116" s="5" t="n">
        <v>548.33</v>
      </c>
      <c r="G116" s="5" t="n"/>
      <c r="H116" s="5" t="n"/>
      <c r="I116" s="5" t="n"/>
      <c r="J116" s="5" t="n">
        <v>109.67</v>
      </c>
      <c r="K116" s="5" t="n"/>
      <c r="L116" s="5" t="n"/>
      <c r="M116" s="5" t="n"/>
      <c r="N116" s="5" t="n"/>
      <c r="O116" s="5" t="n">
        <v>658</v>
      </c>
      <c r="P116" s="5" t="n"/>
      <c r="Q116" s="5" t="n">
        <v>658</v>
      </c>
      <c r="R116" s="5" t="n"/>
      <c r="S116" s="5">
        <f>F116*20%</f>
        <v/>
      </c>
      <c r="T116" s="5">
        <f>J116-S116</f>
        <v/>
      </c>
      <c r="U116" s="5">
        <f>F116+J116</f>
        <v/>
      </c>
      <c r="V116" s="5">
        <f>O116-U116</f>
        <v/>
      </c>
      <c r="W116" s="5">
        <f>O116-(P116+R116)</f>
        <v/>
      </c>
      <c r="X116" s="5">
        <f>O116-(P116+Q116+R116)</f>
        <v/>
      </c>
    </row>
    <row r="117">
      <c r="A117" s="2" t="inlineStr">
        <is>
          <t>EJ010623.TXT</t>
        </is>
      </c>
      <c r="B117" s="3" t="inlineStr">
        <is>
          <t>001152</t>
        </is>
      </c>
      <c r="C117" s="3" t="inlineStr">
        <is>
          <t>000724</t>
        </is>
      </c>
      <c r="D117" s="4" t="n">
        <v>45073</v>
      </c>
      <c r="E117" s="2" t="inlineStr">
        <is>
          <t>14:45</t>
        </is>
      </c>
      <c r="F117" s="5" t="n">
        <v>1769.17</v>
      </c>
      <c r="G117" s="5" t="n"/>
      <c r="H117" s="5" t="n"/>
      <c r="I117" s="5" t="n"/>
      <c r="J117" s="5" t="n">
        <v>353.83</v>
      </c>
      <c r="K117" s="5" t="n"/>
      <c r="L117" s="5" t="n"/>
      <c r="M117" s="5" t="n"/>
      <c r="N117" s="5" t="n"/>
      <c r="O117" s="5" t="n">
        <v>2123</v>
      </c>
      <c r="P117" s="5" t="n">
        <v>2123</v>
      </c>
      <c r="Q117" s="5" t="n"/>
      <c r="R117" s="5" t="n"/>
      <c r="S117" s="5">
        <f>F117*20%</f>
        <v/>
      </c>
      <c r="T117" s="5">
        <f>J117-S117</f>
        <v/>
      </c>
      <c r="U117" s="5">
        <f>F117+J117</f>
        <v/>
      </c>
      <c r="V117" s="5">
        <f>O117-U117</f>
        <v/>
      </c>
      <c r="W117" s="5">
        <f>O117-(P117+R117)</f>
        <v/>
      </c>
      <c r="X117" s="5">
        <f>O117-(P117+Q117+R117)</f>
        <v/>
      </c>
    </row>
    <row r="118">
      <c r="A118" s="2" t="inlineStr">
        <is>
          <t>EJ010623.TXT</t>
        </is>
      </c>
      <c r="B118" s="3" t="inlineStr">
        <is>
          <t>001153</t>
        </is>
      </c>
      <c r="C118" s="3" t="inlineStr">
        <is>
          <t>000725</t>
        </is>
      </c>
      <c r="D118" s="4" t="n">
        <v>45073</v>
      </c>
      <c r="E118" s="2" t="inlineStr">
        <is>
          <t>14:51</t>
        </is>
      </c>
      <c r="F118" s="5" t="n">
        <v>124.17</v>
      </c>
      <c r="G118" s="5" t="n"/>
      <c r="H118" s="5" t="n"/>
      <c r="I118" s="5" t="n"/>
      <c r="J118" s="5" t="n">
        <v>24.83</v>
      </c>
      <c r="K118" s="5" t="n"/>
      <c r="L118" s="5" t="n"/>
      <c r="M118" s="5" t="n"/>
      <c r="N118" s="5" t="n"/>
      <c r="O118" s="5" t="n">
        <v>149</v>
      </c>
      <c r="P118" s="5" t="n">
        <v>149</v>
      </c>
      <c r="Q118" s="5" t="n"/>
      <c r="R118" s="5" t="n"/>
      <c r="S118" s="5">
        <f>F118*20%</f>
        <v/>
      </c>
      <c r="T118" s="5">
        <f>J118-S118</f>
        <v/>
      </c>
      <c r="U118" s="5">
        <f>F118+J118</f>
        <v/>
      </c>
      <c r="V118" s="5">
        <f>O118-U118</f>
        <v/>
      </c>
      <c r="W118" s="5">
        <f>O118-(P118+R118)</f>
        <v/>
      </c>
      <c r="X118" s="5">
        <f>O118-(P118+Q118+R118)</f>
        <v/>
      </c>
    </row>
    <row r="119">
      <c r="A119" s="2" t="inlineStr">
        <is>
          <t>EJ010623.TXT</t>
        </is>
      </c>
      <c r="B119" s="3" t="inlineStr">
        <is>
          <t>001154</t>
        </is>
      </c>
      <c r="C119" s="3" t="inlineStr">
        <is>
          <t>000726</t>
        </is>
      </c>
      <c r="D119" s="4" t="n">
        <v>45073</v>
      </c>
      <c r="E119" s="2" t="inlineStr">
        <is>
          <t>15:50</t>
        </is>
      </c>
      <c r="F119" s="5" t="n">
        <v>548.33</v>
      </c>
      <c r="G119" s="5" t="n"/>
      <c r="H119" s="5" t="n"/>
      <c r="I119" s="5" t="n"/>
      <c r="J119" s="5" t="n">
        <v>109.67</v>
      </c>
      <c r="K119" s="5" t="n"/>
      <c r="L119" s="5" t="n"/>
      <c r="M119" s="5" t="n"/>
      <c r="N119" s="5" t="n"/>
      <c r="O119" s="5" t="n">
        <v>658</v>
      </c>
      <c r="P119" s="5" t="n">
        <v>658</v>
      </c>
      <c r="Q119" s="5" t="n"/>
      <c r="R119" s="5" t="n"/>
      <c r="S119" s="5">
        <f>F119*20%</f>
        <v/>
      </c>
      <c r="T119" s="5">
        <f>J119-S119</f>
        <v/>
      </c>
      <c r="U119" s="5">
        <f>F119+J119</f>
        <v/>
      </c>
      <c r="V119" s="5">
        <f>O119-U119</f>
        <v/>
      </c>
      <c r="W119" s="5">
        <f>O119-(P119+R119)</f>
        <v/>
      </c>
      <c r="X119" s="5">
        <f>O119-(P119+Q119+R119)</f>
        <v/>
      </c>
    </row>
    <row r="120">
      <c r="A120" s="2" t="inlineStr">
        <is>
          <t>EJ010623.TXT</t>
        </is>
      </c>
      <c r="B120" s="3" t="inlineStr">
        <is>
          <t>001155</t>
        </is>
      </c>
      <c r="C120" s="3" t="inlineStr">
        <is>
          <t>000727</t>
        </is>
      </c>
      <c r="D120" s="4" t="n">
        <v>45073</v>
      </c>
      <c r="E120" s="2" t="inlineStr">
        <is>
          <t>16:21</t>
        </is>
      </c>
      <c r="F120" s="5" t="n">
        <v>199.17</v>
      </c>
      <c r="G120" s="5" t="n"/>
      <c r="H120" s="5" t="n"/>
      <c r="I120" s="5" t="n"/>
      <c r="J120" s="5" t="n">
        <v>39.83</v>
      </c>
      <c r="K120" s="5" t="n"/>
      <c r="L120" s="5" t="n"/>
      <c r="M120" s="5" t="n"/>
      <c r="N120" s="5" t="n"/>
      <c r="O120" s="5" t="n">
        <v>239</v>
      </c>
      <c r="P120" s="5" t="n">
        <v>239</v>
      </c>
      <c r="Q120" s="5" t="n"/>
      <c r="R120" s="5" t="n"/>
      <c r="S120" s="5">
        <f>F120*20%</f>
        <v/>
      </c>
      <c r="T120" s="5">
        <f>J120-S120</f>
        <v/>
      </c>
      <c r="U120" s="5">
        <f>F120+J120</f>
        <v/>
      </c>
      <c r="V120" s="5">
        <f>O120-U120</f>
        <v/>
      </c>
      <c r="W120" s="5">
        <f>O120-(P120+R120)</f>
        <v/>
      </c>
      <c r="X120" s="5">
        <f>O120-(P120+Q120+R120)</f>
        <v/>
      </c>
    </row>
    <row r="121">
      <c r="A121" s="2" t="inlineStr">
        <is>
          <t>EJ010623.TXT</t>
        </is>
      </c>
      <c r="B121" s="3" t="inlineStr">
        <is>
          <t>001156</t>
        </is>
      </c>
      <c r="C121" s="3" t="inlineStr">
        <is>
          <t>000728</t>
        </is>
      </c>
      <c r="D121" s="4" t="n">
        <v>45075</v>
      </c>
      <c r="E121" s="2" t="inlineStr">
        <is>
          <t>12:21</t>
        </is>
      </c>
      <c r="F121" s="5" t="n">
        <v>65.83</v>
      </c>
      <c r="G121" s="5" t="n"/>
      <c r="H121" s="5" t="n"/>
      <c r="I121" s="5" t="n"/>
      <c r="J121" s="5" t="n">
        <v>13.17</v>
      </c>
      <c r="K121" s="5" t="n"/>
      <c r="L121" s="5" t="n"/>
      <c r="M121" s="5" t="n"/>
      <c r="N121" s="5" t="n"/>
      <c r="O121" s="5" t="n">
        <v>79</v>
      </c>
      <c r="P121" s="5" t="n">
        <v>79</v>
      </c>
      <c r="Q121" s="5" t="n"/>
      <c r="R121" s="5" t="n"/>
      <c r="S121" s="5">
        <f>F121*20%</f>
        <v/>
      </c>
      <c r="T121" s="5">
        <f>J121-S121</f>
        <v/>
      </c>
      <c r="U121" s="5">
        <f>F121+J121</f>
        <v/>
      </c>
      <c r="V121" s="5">
        <f>O121-U121</f>
        <v/>
      </c>
      <c r="W121" s="5">
        <f>O121-(P121+R121)</f>
        <v/>
      </c>
      <c r="X121" s="5">
        <f>O121-(P121+Q121+R121)</f>
        <v/>
      </c>
    </row>
    <row r="122">
      <c r="A122" s="2" t="inlineStr">
        <is>
          <t>EJ010623.TXT</t>
        </is>
      </c>
      <c r="B122" s="3" t="inlineStr">
        <is>
          <t>001157</t>
        </is>
      </c>
      <c r="C122" s="3" t="inlineStr">
        <is>
          <t>000729</t>
        </is>
      </c>
      <c r="D122" s="4" t="n">
        <v>45076</v>
      </c>
      <c r="E122" s="2" t="inlineStr">
        <is>
          <t>14:56</t>
        </is>
      </c>
      <c r="F122" s="5" t="n">
        <v>350</v>
      </c>
      <c r="G122" s="5" t="n"/>
      <c r="H122" s="5" t="n"/>
      <c r="I122" s="5" t="n"/>
      <c r="J122" s="5" t="n">
        <v>70</v>
      </c>
      <c r="K122" s="5" t="n"/>
      <c r="L122" s="5" t="n"/>
      <c r="M122" s="5" t="n"/>
      <c r="N122" s="5" t="n"/>
      <c r="O122" s="5" t="n">
        <v>420</v>
      </c>
      <c r="P122" s="5" t="n">
        <v>420</v>
      </c>
      <c r="Q122" s="5" t="n"/>
      <c r="R122" s="5" t="n"/>
      <c r="S122" s="5">
        <f>F122*20%</f>
        <v/>
      </c>
      <c r="T122" s="5">
        <f>J122-S122</f>
        <v/>
      </c>
      <c r="U122" s="5">
        <f>F122+J122</f>
        <v/>
      </c>
      <c r="V122" s="5">
        <f>O122-U122</f>
        <v/>
      </c>
      <c r="W122" s="5">
        <f>O122-(P122+R122)</f>
        <v/>
      </c>
      <c r="X122" s="5">
        <f>O122-(P122+Q122+R122)</f>
        <v/>
      </c>
    </row>
    <row r="123">
      <c r="A123" s="2" t="inlineStr">
        <is>
          <t>EJ010723.TXT</t>
        </is>
      </c>
      <c r="B123" s="3" t="inlineStr">
        <is>
          <t>001162</t>
        </is>
      </c>
      <c r="C123" s="3" t="inlineStr">
        <is>
          <t>000730</t>
        </is>
      </c>
      <c r="D123" s="4" t="n">
        <v>45079</v>
      </c>
      <c r="E123" s="2" t="inlineStr">
        <is>
          <t>10:37</t>
        </is>
      </c>
      <c r="F123" s="5" t="n">
        <v>3200</v>
      </c>
      <c r="G123" s="5" t="n"/>
      <c r="H123" s="5" t="n"/>
      <c r="I123" s="5" t="n"/>
      <c r="J123" s="5" t="n">
        <v>640</v>
      </c>
      <c r="K123" s="5" t="n"/>
      <c r="L123" s="5" t="n"/>
      <c r="M123" s="5" t="n"/>
      <c r="N123" s="5" t="n"/>
      <c r="O123" s="5" t="n">
        <v>3840</v>
      </c>
      <c r="P123" s="5" t="n">
        <v>3840</v>
      </c>
      <c r="Q123" s="5" t="n"/>
      <c r="R123" s="5" t="n"/>
      <c r="S123" s="5">
        <f>F123*20%</f>
        <v/>
      </c>
      <c r="T123" s="5">
        <f>J123-S123</f>
        <v/>
      </c>
      <c r="U123" s="5">
        <f>F123+J123</f>
        <v/>
      </c>
      <c r="V123" s="5">
        <f>O123-U123</f>
        <v/>
      </c>
      <c r="W123" s="5">
        <f>O123-(P123+R123)</f>
        <v/>
      </c>
      <c r="X123" s="5">
        <f>O123-(P123+Q123+R123)</f>
        <v/>
      </c>
    </row>
    <row r="124">
      <c r="A124" s="2" t="inlineStr">
        <is>
          <t>EJ010723.TXT</t>
        </is>
      </c>
      <c r="B124" s="3" t="inlineStr">
        <is>
          <t>001164</t>
        </is>
      </c>
      <c r="C124" s="3" t="inlineStr">
        <is>
          <t>000731</t>
        </is>
      </c>
      <c r="D124" s="4" t="n">
        <v>45079</v>
      </c>
      <c r="E124" s="2" t="inlineStr">
        <is>
          <t>16:54</t>
        </is>
      </c>
      <c r="F124" s="5" t="n">
        <v>274.17</v>
      </c>
      <c r="G124" s="5" t="n"/>
      <c r="H124" s="5" t="n"/>
      <c r="I124" s="5" t="n"/>
      <c r="J124" s="5" t="n">
        <v>54.83</v>
      </c>
      <c r="K124" s="5" t="n"/>
      <c r="L124" s="5" t="n"/>
      <c r="M124" s="5" t="n"/>
      <c r="N124" s="5" t="n"/>
      <c r="O124" s="5" t="n">
        <v>329</v>
      </c>
      <c r="P124" s="5" t="n">
        <v>329</v>
      </c>
      <c r="Q124" s="5" t="n"/>
      <c r="R124" s="5" t="n"/>
      <c r="S124" s="5">
        <f>F124*20%</f>
        <v/>
      </c>
      <c r="T124" s="5">
        <f>J124-S124</f>
        <v/>
      </c>
      <c r="U124" s="5">
        <f>F124+J124</f>
        <v/>
      </c>
      <c r="V124" s="5">
        <f>O124-U124</f>
        <v/>
      </c>
      <c r="W124" s="5">
        <f>O124-(P124+R124)</f>
        <v/>
      </c>
      <c r="X124" s="5">
        <f>O124-(P124+Q124+R124)</f>
        <v/>
      </c>
    </row>
    <row r="125">
      <c r="A125" s="2" t="inlineStr">
        <is>
          <t>EJ010723.TXT</t>
        </is>
      </c>
      <c r="B125" s="3" t="inlineStr">
        <is>
          <t>001165</t>
        </is>
      </c>
      <c r="C125" s="3" t="inlineStr">
        <is>
          <t>000732</t>
        </is>
      </c>
      <c r="D125" s="4" t="n">
        <v>45079</v>
      </c>
      <c r="E125" s="2" t="inlineStr">
        <is>
          <t>16:59</t>
        </is>
      </c>
      <c r="F125" s="5" t="n">
        <v>65.83</v>
      </c>
      <c r="G125" s="5" t="n"/>
      <c r="H125" s="5" t="n"/>
      <c r="I125" s="5" t="n"/>
      <c r="J125" s="5" t="n">
        <v>13.17</v>
      </c>
      <c r="K125" s="5" t="n"/>
      <c r="L125" s="5" t="n"/>
      <c r="M125" s="5" t="n"/>
      <c r="N125" s="5" t="n"/>
      <c r="O125" s="5" t="n">
        <v>79</v>
      </c>
      <c r="P125" s="5" t="n">
        <v>79</v>
      </c>
      <c r="Q125" s="5" t="n"/>
      <c r="R125" s="5" t="n"/>
      <c r="S125" s="5">
        <f>F125*20%</f>
        <v/>
      </c>
      <c r="T125" s="5">
        <f>J125-S125</f>
        <v/>
      </c>
      <c r="U125" s="5">
        <f>F125+J125</f>
        <v/>
      </c>
      <c r="V125" s="5">
        <f>O125-U125</f>
        <v/>
      </c>
      <c r="W125" s="5">
        <f>O125-(P125+R125)</f>
        <v/>
      </c>
      <c r="X125" s="5">
        <f>O125-(P125+Q125+R125)</f>
        <v/>
      </c>
    </row>
    <row r="126">
      <c r="A126" s="2" t="inlineStr">
        <is>
          <t>EJ010723.TXT</t>
        </is>
      </c>
      <c r="B126" s="3" t="inlineStr">
        <is>
          <t>001166</t>
        </is>
      </c>
      <c r="C126" s="3" t="inlineStr">
        <is>
          <t>000733</t>
        </is>
      </c>
      <c r="D126" s="4" t="n">
        <v>45080</v>
      </c>
      <c r="E126" s="2" t="inlineStr">
        <is>
          <t>13:47</t>
        </is>
      </c>
      <c r="F126" s="5" t="n">
        <v>307.5</v>
      </c>
      <c r="G126" s="5" t="n"/>
      <c r="H126" s="5" t="n"/>
      <c r="I126" s="5" t="n"/>
      <c r="J126" s="5" t="n">
        <v>61.5</v>
      </c>
      <c r="K126" s="5" t="n"/>
      <c r="L126" s="5" t="n"/>
      <c r="M126" s="5" t="n"/>
      <c r="N126" s="5" t="n"/>
      <c r="O126" s="5" t="n">
        <v>369</v>
      </c>
      <c r="P126" s="5" t="n">
        <v>369</v>
      </c>
      <c r="Q126" s="5" t="n"/>
      <c r="R126" s="5" t="n"/>
      <c r="S126" s="5">
        <f>F126*20%</f>
        <v/>
      </c>
      <c r="T126" s="5">
        <f>J126-S126</f>
        <v/>
      </c>
      <c r="U126" s="5">
        <f>F126+J126</f>
        <v/>
      </c>
      <c r="V126" s="5">
        <f>O126-U126</f>
        <v/>
      </c>
      <c r="W126" s="5">
        <f>O126-(P126+R126)</f>
        <v/>
      </c>
      <c r="X126" s="5">
        <f>O126-(P126+Q126+R126)</f>
        <v/>
      </c>
    </row>
    <row r="127">
      <c r="A127" s="2" t="inlineStr">
        <is>
          <t>EJ010723.TXT</t>
        </is>
      </c>
      <c r="B127" s="3" t="inlineStr">
        <is>
          <t>001167</t>
        </is>
      </c>
      <c r="C127" s="3" t="inlineStr">
        <is>
          <t>000734</t>
        </is>
      </c>
      <c r="D127" s="4" t="n">
        <v>45082</v>
      </c>
      <c r="E127" s="2" t="inlineStr">
        <is>
          <t>13:43</t>
        </is>
      </c>
      <c r="F127" s="5" t="n">
        <v>49.17</v>
      </c>
      <c r="G127" s="5" t="n"/>
      <c r="H127" s="5" t="n"/>
      <c r="I127" s="5" t="n"/>
      <c r="J127" s="5" t="n">
        <v>9.83</v>
      </c>
      <c r="K127" s="5" t="n"/>
      <c r="L127" s="5" t="n"/>
      <c r="M127" s="5" t="n"/>
      <c r="N127" s="5" t="n"/>
      <c r="O127" s="5" t="n">
        <v>59</v>
      </c>
      <c r="P127" s="5" t="n">
        <v>59</v>
      </c>
      <c r="Q127" s="5" t="n"/>
      <c r="R127" s="5" t="n"/>
      <c r="S127" s="5">
        <f>F127*20%</f>
        <v/>
      </c>
      <c r="T127" s="5">
        <f>J127-S127</f>
        <v/>
      </c>
      <c r="U127" s="5">
        <f>F127+J127</f>
        <v/>
      </c>
      <c r="V127" s="5">
        <f>O127-U127</f>
        <v/>
      </c>
      <c r="W127" s="5">
        <f>O127-(P127+R127)</f>
        <v/>
      </c>
      <c r="X127" s="5">
        <f>O127-(P127+Q127+R127)</f>
        <v/>
      </c>
    </row>
    <row r="128">
      <c r="A128" s="2" t="inlineStr">
        <is>
          <t>EJ010723.TXT</t>
        </is>
      </c>
      <c r="B128" s="3" t="inlineStr">
        <is>
          <t>001168</t>
        </is>
      </c>
      <c r="C128" s="3" t="inlineStr">
        <is>
          <t>000735</t>
        </is>
      </c>
      <c r="D128" s="4" t="n">
        <v>45085</v>
      </c>
      <c r="E128" s="2" t="inlineStr">
        <is>
          <t>09:45</t>
        </is>
      </c>
      <c r="F128" s="5" t="n">
        <v>822.5</v>
      </c>
      <c r="G128" s="5" t="n"/>
      <c r="H128" s="5" t="n"/>
      <c r="I128" s="5" t="n"/>
      <c r="J128" s="5" t="n">
        <v>164.5</v>
      </c>
      <c r="K128" s="5" t="n"/>
      <c r="L128" s="5" t="n"/>
      <c r="M128" s="5" t="n"/>
      <c r="N128" s="5" t="n"/>
      <c r="O128" s="5" t="n">
        <v>987</v>
      </c>
      <c r="P128" s="5" t="n">
        <v>987</v>
      </c>
      <c r="Q128" s="5" t="n"/>
      <c r="R128" s="5" t="n"/>
      <c r="S128" s="5">
        <f>F128*20%</f>
        <v/>
      </c>
      <c r="T128" s="5">
        <f>J128-S128</f>
        <v/>
      </c>
      <c r="U128" s="5">
        <f>F128+J128</f>
        <v/>
      </c>
      <c r="V128" s="5">
        <f>O128-U128</f>
        <v/>
      </c>
      <c r="W128" s="5">
        <f>O128-(P128+R128)</f>
        <v/>
      </c>
      <c r="X128" s="5">
        <f>O128-(P128+Q128+R128)</f>
        <v/>
      </c>
    </row>
    <row r="129">
      <c r="A129" s="2" t="inlineStr">
        <is>
          <t>EJ010723.TXT</t>
        </is>
      </c>
      <c r="B129" s="3" t="inlineStr">
        <is>
          <t>001169</t>
        </is>
      </c>
      <c r="C129" s="3" t="inlineStr">
        <is>
          <t>000736</t>
        </is>
      </c>
      <c r="D129" s="4" t="n">
        <v>45085</v>
      </c>
      <c r="E129" s="2" t="inlineStr">
        <is>
          <t>09:51</t>
        </is>
      </c>
      <c r="F129" s="5" t="n">
        <v>822.5</v>
      </c>
      <c r="G129" s="5" t="n"/>
      <c r="H129" s="5" t="n"/>
      <c r="I129" s="5" t="n"/>
      <c r="J129" s="5" t="n">
        <v>164.5</v>
      </c>
      <c r="K129" s="5" t="n"/>
      <c r="L129" s="5" t="n"/>
      <c r="M129" s="5" t="n"/>
      <c r="N129" s="5" t="n"/>
      <c r="O129" s="5" t="n">
        <v>987</v>
      </c>
      <c r="P129" s="5" t="n">
        <v>987</v>
      </c>
      <c r="Q129" s="5" t="n"/>
      <c r="R129" s="5" t="n"/>
      <c r="S129" s="5">
        <f>F129*20%</f>
        <v/>
      </c>
      <c r="T129" s="5">
        <f>J129-S129</f>
        <v/>
      </c>
      <c r="U129" s="5">
        <f>F129+J129</f>
        <v/>
      </c>
      <c r="V129" s="5">
        <f>O129-U129</f>
        <v/>
      </c>
      <c r="W129" s="5">
        <f>O129-(P129+R129)</f>
        <v/>
      </c>
      <c r="X129" s="5">
        <f>O129-(P129+Q129+R129)</f>
        <v/>
      </c>
    </row>
    <row r="130">
      <c r="A130" s="2" t="inlineStr">
        <is>
          <t>EJ010723.TXT</t>
        </is>
      </c>
      <c r="B130" s="3" t="inlineStr">
        <is>
          <t>001170</t>
        </is>
      </c>
      <c r="C130" s="3" t="inlineStr">
        <is>
          <t>000737</t>
        </is>
      </c>
      <c r="D130" s="4" t="n">
        <v>45085</v>
      </c>
      <c r="E130" s="2" t="inlineStr">
        <is>
          <t>14:06</t>
        </is>
      </c>
      <c r="F130" s="5" t="n">
        <v>274.17</v>
      </c>
      <c r="G130" s="5" t="n"/>
      <c r="H130" s="5" t="n"/>
      <c r="I130" s="5" t="n"/>
      <c r="J130" s="5" t="n">
        <v>54.83</v>
      </c>
      <c r="K130" s="5" t="n"/>
      <c r="L130" s="5" t="n"/>
      <c r="M130" s="5" t="n"/>
      <c r="N130" s="5" t="n"/>
      <c r="O130" s="5" t="n">
        <v>329</v>
      </c>
      <c r="P130" s="5" t="n">
        <v>329</v>
      </c>
      <c r="Q130" s="5" t="n"/>
      <c r="R130" s="5" t="n"/>
      <c r="S130" s="5">
        <f>F130*20%</f>
        <v/>
      </c>
      <c r="T130" s="5">
        <f>J130-S130</f>
        <v/>
      </c>
      <c r="U130" s="5">
        <f>F130+J130</f>
        <v/>
      </c>
      <c r="V130" s="5">
        <f>O130-U130</f>
        <v/>
      </c>
      <c r="W130" s="5">
        <f>O130-(P130+R130)</f>
        <v/>
      </c>
      <c r="X130" s="5">
        <f>O130-(P130+Q130+R130)</f>
        <v/>
      </c>
    </row>
    <row r="131">
      <c r="A131" s="2" t="inlineStr">
        <is>
          <t>EJ010723.TXT</t>
        </is>
      </c>
      <c r="B131" s="3" t="inlineStr">
        <is>
          <t>001171</t>
        </is>
      </c>
      <c r="C131" s="3" t="inlineStr">
        <is>
          <t>000738</t>
        </is>
      </c>
      <c r="D131" s="4" t="n">
        <v>45086</v>
      </c>
      <c r="E131" s="2" t="inlineStr">
        <is>
          <t>13:15</t>
        </is>
      </c>
      <c r="F131" s="5" t="n">
        <v>2.74</v>
      </c>
      <c r="G131" s="5" t="n"/>
      <c r="H131" s="5" t="n"/>
      <c r="I131" s="5" t="n"/>
      <c r="J131" s="5" t="n">
        <v>0.55</v>
      </c>
      <c r="K131" s="5" t="n"/>
      <c r="L131" s="5" t="n"/>
      <c r="M131" s="5" t="n"/>
      <c r="N131" s="5" t="n"/>
      <c r="O131" s="5" t="n">
        <v>3.29</v>
      </c>
      <c r="P131" s="5" t="n"/>
      <c r="Q131" s="5" t="n">
        <v>3.29</v>
      </c>
      <c r="R131" s="5" t="n"/>
      <c r="S131" s="5">
        <f>F131*20%</f>
        <v/>
      </c>
      <c r="T131" s="5">
        <f>J131-S131</f>
        <v/>
      </c>
      <c r="U131" s="5">
        <f>F131+J131</f>
        <v/>
      </c>
      <c r="V131" s="5">
        <f>O131-U131</f>
        <v/>
      </c>
      <c r="W131" s="5">
        <f>O131-(P131+R131)</f>
        <v/>
      </c>
      <c r="X131" s="5">
        <f>O131-(P131+Q131+R131)</f>
        <v/>
      </c>
    </row>
    <row r="132">
      <c r="A132" s="2" t="inlineStr">
        <is>
          <t>EJ010723.TXT</t>
        </is>
      </c>
      <c r="B132" s="3" t="inlineStr">
        <is>
          <t>001172</t>
        </is>
      </c>
      <c r="C132" s="3" t="inlineStr">
        <is>
          <t>000739</t>
        </is>
      </c>
      <c r="D132" s="4" t="n">
        <v>45086</v>
      </c>
      <c r="E132" s="2" t="inlineStr">
        <is>
          <t>13:16</t>
        </is>
      </c>
      <c r="F132" s="5" t="n">
        <v>274.17</v>
      </c>
      <c r="G132" s="5" t="n"/>
      <c r="H132" s="5" t="n"/>
      <c r="I132" s="5" t="n"/>
      <c r="J132" s="5" t="n">
        <v>54.83</v>
      </c>
      <c r="K132" s="5" t="n"/>
      <c r="L132" s="5" t="n"/>
      <c r="M132" s="5" t="n"/>
      <c r="N132" s="5" t="n"/>
      <c r="O132" s="5" t="n">
        <v>329</v>
      </c>
      <c r="P132" s="5" t="n"/>
      <c r="Q132" s="5" t="n">
        <v>329</v>
      </c>
      <c r="R132" s="5" t="n"/>
      <c r="S132" s="5">
        <f>F132*20%</f>
        <v/>
      </c>
      <c r="T132" s="5">
        <f>J132-S132</f>
        <v/>
      </c>
      <c r="U132" s="5">
        <f>F132+J132</f>
        <v/>
      </c>
      <c r="V132" s="5">
        <f>O132-U132</f>
        <v/>
      </c>
      <c r="W132" s="5">
        <f>O132-(P132+R132)</f>
        <v/>
      </c>
      <c r="X132" s="5">
        <f>O132-(P132+Q132+R132)</f>
        <v/>
      </c>
    </row>
    <row r="133">
      <c r="A133" s="2" t="inlineStr">
        <is>
          <t>EJ010723.TXT</t>
        </is>
      </c>
      <c r="B133" s="3" t="inlineStr">
        <is>
          <t>001174</t>
        </is>
      </c>
      <c r="C133" s="3" t="inlineStr">
        <is>
          <t>000740</t>
        </is>
      </c>
      <c r="D133" s="4" t="n">
        <v>45086</v>
      </c>
      <c r="E133" s="2" t="inlineStr">
        <is>
          <t>15:11</t>
        </is>
      </c>
      <c r="F133" s="5" t="n">
        <v>1656.65</v>
      </c>
      <c r="G133" s="5" t="n"/>
      <c r="H133" s="5" t="n"/>
      <c r="I133" s="5" t="n"/>
      <c r="J133" s="5" t="n">
        <v>331.33</v>
      </c>
      <c r="K133" s="5" t="n"/>
      <c r="L133" s="5" t="n"/>
      <c r="M133" s="5" t="n"/>
      <c r="N133" s="5" t="n"/>
      <c r="O133" s="5" t="n">
        <v>1987.98</v>
      </c>
      <c r="P133" s="5" t="n">
        <v>1987.98</v>
      </c>
      <c r="Q133" s="5" t="n"/>
      <c r="R133" s="5" t="n"/>
      <c r="S133" s="5">
        <f>F133*20%</f>
        <v/>
      </c>
      <c r="T133" s="5">
        <f>J133-S133</f>
        <v/>
      </c>
      <c r="U133" s="5">
        <f>F133+J133</f>
        <v/>
      </c>
      <c r="V133" s="5">
        <f>O133-U133</f>
        <v/>
      </c>
      <c r="W133" s="5">
        <f>O133-(P133+R133)</f>
        <v/>
      </c>
      <c r="X133" s="5">
        <f>O133-(P133+Q133+R133)</f>
        <v/>
      </c>
    </row>
    <row r="134">
      <c r="A134" s="2" t="inlineStr">
        <is>
          <t>EJ010723.TXT</t>
        </is>
      </c>
      <c r="B134" s="3" t="inlineStr">
        <is>
          <t>001175</t>
        </is>
      </c>
      <c r="C134" s="3" t="inlineStr">
        <is>
          <t>000741</t>
        </is>
      </c>
      <c r="D134" s="4" t="n">
        <v>45086</v>
      </c>
      <c r="E134" s="2" t="inlineStr">
        <is>
          <t>15:17</t>
        </is>
      </c>
      <c r="F134" s="5" t="n">
        <v>1165</v>
      </c>
      <c r="G134" s="5" t="n"/>
      <c r="H134" s="5" t="n"/>
      <c r="I134" s="5" t="n"/>
      <c r="J134" s="5" t="n">
        <v>233</v>
      </c>
      <c r="K134" s="5" t="n"/>
      <c r="L134" s="5" t="n"/>
      <c r="M134" s="5" t="n"/>
      <c r="N134" s="5" t="n"/>
      <c r="O134" s="5" t="n">
        <v>1398</v>
      </c>
      <c r="P134" s="5" t="n">
        <v>1398</v>
      </c>
      <c r="Q134" s="5" t="n"/>
      <c r="R134" s="5" t="n"/>
      <c r="S134" s="5">
        <f>F134*20%</f>
        <v/>
      </c>
      <c r="T134" s="5">
        <f>J134-S134</f>
        <v/>
      </c>
      <c r="U134" s="5">
        <f>F134+J134</f>
        <v/>
      </c>
      <c r="V134" s="5">
        <f>O134-U134</f>
        <v/>
      </c>
      <c r="W134" s="5">
        <f>O134-(P134+R134)</f>
        <v/>
      </c>
      <c r="X134" s="5">
        <f>O134-(P134+Q134+R134)</f>
        <v/>
      </c>
    </row>
    <row r="135">
      <c r="A135" s="2" t="inlineStr">
        <is>
          <t>EJ010723.TXT</t>
        </is>
      </c>
      <c r="B135" s="3" t="inlineStr">
        <is>
          <t>001176</t>
        </is>
      </c>
      <c r="C135" s="3" t="inlineStr">
        <is>
          <t>000742</t>
        </is>
      </c>
      <c r="D135" s="4" t="n">
        <v>45086</v>
      </c>
      <c r="E135" s="2" t="inlineStr">
        <is>
          <t>15:19</t>
        </is>
      </c>
      <c r="F135" s="5" t="n">
        <v>1645</v>
      </c>
      <c r="G135" s="5" t="n"/>
      <c r="H135" s="5" t="n"/>
      <c r="I135" s="5" t="n"/>
      <c r="J135" s="5" t="n">
        <v>329</v>
      </c>
      <c r="K135" s="5" t="n"/>
      <c r="L135" s="5" t="n"/>
      <c r="M135" s="5" t="n"/>
      <c r="N135" s="5" t="n"/>
      <c r="O135" s="5" t="n">
        <v>1974</v>
      </c>
      <c r="P135" s="5" t="n">
        <v>1974</v>
      </c>
      <c r="Q135" s="5" t="n"/>
      <c r="R135" s="5" t="n"/>
      <c r="S135" s="5">
        <f>F135*20%</f>
        <v/>
      </c>
      <c r="T135" s="5">
        <f>J135-S135</f>
        <v/>
      </c>
      <c r="U135" s="5">
        <f>F135+J135</f>
        <v/>
      </c>
      <c r="V135" s="5">
        <f>O135-U135</f>
        <v/>
      </c>
      <c r="W135" s="5">
        <f>O135-(P135+R135)</f>
        <v/>
      </c>
      <c r="X135" s="5">
        <f>O135-(P135+Q135+R135)</f>
        <v/>
      </c>
    </row>
    <row r="136">
      <c r="A136" s="2" t="inlineStr">
        <is>
          <t>EJ010723.TXT</t>
        </is>
      </c>
      <c r="B136" s="3" t="inlineStr">
        <is>
          <t>001177</t>
        </is>
      </c>
      <c r="C136" s="3" t="inlineStr">
        <is>
          <t>000743</t>
        </is>
      </c>
      <c r="D136" s="4" t="n">
        <v>45086</v>
      </c>
      <c r="E136" s="2" t="inlineStr">
        <is>
          <t>15:29</t>
        </is>
      </c>
      <c r="F136" s="5" t="n">
        <v>615</v>
      </c>
      <c r="G136" s="5" t="n"/>
      <c r="H136" s="5" t="n"/>
      <c r="I136" s="5" t="n"/>
      <c r="J136" s="5" t="n">
        <v>123</v>
      </c>
      <c r="K136" s="5" t="n"/>
      <c r="L136" s="5" t="n"/>
      <c r="M136" s="5" t="n"/>
      <c r="N136" s="5" t="n"/>
      <c r="O136" s="5" t="n">
        <v>738</v>
      </c>
      <c r="P136" s="5" t="n">
        <v>738</v>
      </c>
      <c r="Q136" s="5" t="n"/>
      <c r="R136" s="5" t="n"/>
      <c r="S136" s="5">
        <f>F136*20%</f>
        <v/>
      </c>
      <c r="T136" s="5">
        <f>J136-S136</f>
        <v/>
      </c>
      <c r="U136" s="5">
        <f>F136+J136</f>
        <v/>
      </c>
      <c r="V136" s="5">
        <f>O136-U136</f>
        <v/>
      </c>
      <c r="W136" s="5">
        <f>O136-(P136+R136)</f>
        <v/>
      </c>
      <c r="X136" s="5">
        <f>O136-(P136+Q136+R136)</f>
        <v/>
      </c>
    </row>
    <row r="137">
      <c r="A137" s="2" t="inlineStr">
        <is>
          <t>EJ010723.TXT</t>
        </is>
      </c>
      <c r="B137" s="3" t="inlineStr">
        <is>
          <t>001178</t>
        </is>
      </c>
      <c r="C137" s="3" t="inlineStr">
        <is>
          <t>000744</t>
        </is>
      </c>
      <c r="D137" s="4" t="n">
        <v>45090</v>
      </c>
      <c r="E137" s="2" t="inlineStr">
        <is>
          <t>13:37</t>
        </is>
      </c>
      <c r="F137" s="5" t="n">
        <v>1747.5</v>
      </c>
      <c r="G137" s="5" t="n"/>
      <c r="H137" s="5" t="n"/>
      <c r="I137" s="5" t="n"/>
      <c r="J137" s="5" t="n">
        <v>349.5</v>
      </c>
      <c r="K137" s="5" t="n"/>
      <c r="L137" s="5" t="n"/>
      <c r="M137" s="5" t="n"/>
      <c r="N137" s="5" t="n"/>
      <c r="O137" s="5" t="n">
        <v>2097</v>
      </c>
      <c r="P137" s="5" t="n">
        <v>2097</v>
      </c>
      <c r="Q137" s="5" t="n"/>
      <c r="R137" s="5" t="n"/>
      <c r="S137" s="5">
        <f>F137*20%</f>
        <v/>
      </c>
      <c r="T137" s="5">
        <f>J137-S137</f>
        <v/>
      </c>
      <c r="U137" s="5">
        <f>F137+J137</f>
        <v/>
      </c>
      <c r="V137" s="5">
        <f>O137-U137</f>
        <v/>
      </c>
      <c r="W137" s="5">
        <f>O137-(P137+R137)</f>
        <v/>
      </c>
      <c r="X137" s="5">
        <f>O137-(P137+Q137+R137)</f>
        <v/>
      </c>
    </row>
    <row r="138">
      <c r="A138" s="2" t="inlineStr">
        <is>
          <t>EJ010723.TXT</t>
        </is>
      </c>
      <c r="B138" s="3" t="inlineStr">
        <is>
          <t>001179</t>
        </is>
      </c>
      <c r="C138" s="3" t="inlineStr">
        <is>
          <t>000745</t>
        </is>
      </c>
      <c r="D138" s="4" t="n">
        <v>45091</v>
      </c>
      <c r="E138" s="2" t="inlineStr">
        <is>
          <t>14:56</t>
        </is>
      </c>
      <c r="F138" s="5" t="n">
        <v>331.67</v>
      </c>
      <c r="G138" s="5" t="n"/>
      <c r="H138" s="5" t="n"/>
      <c r="I138" s="5" t="n"/>
      <c r="J138" s="5" t="n">
        <v>66.33</v>
      </c>
      <c r="K138" s="5" t="n"/>
      <c r="L138" s="5" t="n"/>
      <c r="M138" s="5" t="n"/>
      <c r="N138" s="5" t="n"/>
      <c r="O138" s="5" t="n">
        <v>398</v>
      </c>
      <c r="P138" s="5" t="n"/>
      <c r="Q138" s="5" t="n">
        <v>398</v>
      </c>
      <c r="R138" s="5" t="n"/>
      <c r="S138" s="5">
        <f>F138*20%</f>
        <v/>
      </c>
      <c r="T138" s="5">
        <f>J138-S138</f>
        <v/>
      </c>
      <c r="U138" s="5">
        <f>F138+J138</f>
        <v/>
      </c>
      <c r="V138" s="5">
        <f>O138-U138</f>
        <v/>
      </c>
      <c r="W138" s="5">
        <f>O138-(P138+R138)</f>
        <v/>
      </c>
      <c r="X138" s="5">
        <f>O138-(P138+Q138+R138)</f>
        <v/>
      </c>
    </row>
    <row r="139">
      <c r="A139" s="2" t="inlineStr">
        <is>
          <t>EJ010723.TXT</t>
        </is>
      </c>
      <c r="B139" s="3" t="inlineStr">
        <is>
          <t>001180</t>
        </is>
      </c>
      <c r="C139" s="3" t="inlineStr">
        <is>
          <t>000746</t>
        </is>
      </c>
      <c r="D139" s="4" t="n">
        <v>45091</v>
      </c>
      <c r="E139" s="2" t="inlineStr">
        <is>
          <t>16:43</t>
        </is>
      </c>
      <c r="F139" s="5" t="n">
        <v>548.33</v>
      </c>
      <c r="G139" s="5" t="n"/>
      <c r="H139" s="5" t="n"/>
      <c r="I139" s="5" t="n"/>
      <c r="J139" s="5" t="n">
        <v>109.67</v>
      </c>
      <c r="K139" s="5" t="n"/>
      <c r="L139" s="5" t="n"/>
      <c r="M139" s="5" t="n"/>
      <c r="N139" s="5" t="n"/>
      <c r="O139" s="5" t="n">
        <v>658</v>
      </c>
      <c r="P139" s="5" t="n">
        <v>658</v>
      </c>
      <c r="Q139" s="5" t="n"/>
      <c r="R139" s="5" t="n"/>
      <c r="S139" s="5">
        <f>F139*20%</f>
        <v/>
      </c>
      <c r="T139" s="5">
        <f>J139-S139</f>
        <v/>
      </c>
      <c r="U139" s="5">
        <f>F139+J139</f>
        <v/>
      </c>
      <c r="V139" s="5">
        <f>O139-U139</f>
        <v/>
      </c>
      <c r="W139" s="5">
        <f>O139-(P139+R139)</f>
        <v/>
      </c>
      <c r="X139" s="5">
        <f>O139-(P139+Q139+R139)</f>
        <v/>
      </c>
    </row>
    <row r="140">
      <c r="A140" s="2" t="inlineStr">
        <is>
          <t>EJ010723.TXT</t>
        </is>
      </c>
      <c r="B140" s="3" t="inlineStr">
        <is>
          <t>001181</t>
        </is>
      </c>
      <c r="C140" s="3" t="inlineStr">
        <is>
          <t>000747</t>
        </is>
      </c>
      <c r="D140" s="4" t="n">
        <v>45093</v>
      </c>
      <c r="E140" s="2" t="inlineStr">
        <is>
          <t>14:32</t>
        </is>
      </c>
      <c r="F140" s="5" t="n">
        <v>548.33</v>
      </c>
      <c r="G140" s="5" t="n"/>
      <c r="H140" s="5" t="n"/>
      <c r="I140" s="5" t="n"/>
      <c r="J140" s="5" t="n">
        <v>109.67</v>
      </c>
      <c r="K140" s="5" t="n"/>
      <c r="L140" s="5" t="n"/>
      <c r="M140" s="5" t="n"/>
      <c r="N140" s="5" t="n"/>
      <c r="O140" s="5" t="n">
        <v>658</v>
      </c>
      <c r="P140" s="5" t="n">
        <v>658</v>
      </c>
      <c r="Q140" s="5" t="n"/>
      <c r="R140" s="5" t="n"/>
      <c r="S140" s="5">
        <f>F140*20%</f>
        <v/>
      </c>
      <c r="T140" s="5">
        <f>J140-S140</f>
        <v/>
      </c>
      <c r="U140" s="5">
        <f>F140+J140</f>
        <v/>
      </c>
      <c r="V140" s="5">
        <f>O140-U140</f>
        <v/>
      </c>
      <c r="W140" s="5">
        <f>O140-(P140+R140)</f>
        <v/>
      </c>
      <c r="X140" s="5">
        <f>O140-(P140+Q140+R140)</f>
        <v/>
      </c>
    </row>
    <row r="141">
      <c r="A141" s="2" t="inlineStr">
        <is>
          <t>EJ010723.TXT</t>
        </is>
      </c>
      <c r="B141" s="3" t="inlineStr">
        <is>
          <t>001182</t>
        </is>
      </c>
      <c r="C141" s="3" t="inlineStr">
        <is>
          <t>000748</t>
        </is>
      </c>
      <c r="D141" s="4" t="n">
        <v>45094</v>
      </c>
      <c r="E141" s="2" t="inlineStr">
        <is>
          <t>13:56</t>
        </is>
      </c>
      <c r="F141" s="5" t="n">
        <v>3290</v>
      </c>
      <c r="G141" s="5" t="n"/>
      <c r="H141" s="5" t="n"/>
      <c r="I141" s="5" t="n"/>
      <c r="J141" s="5" t="n">
        <v>658</v>
      </c>
      <c r="K141" s="5" t="n"/>
      <c r="L141" s="5" t="n"/>
      <c r="M141" s="5" t="n"/>
      <c r="N141" s="5" t="n"/>
      <c r="O141" s="5" t="n">
        <v>3948</v>
      </c>
      <c r="P141" s="5" t="n">
        <v>2948</v>
      </c>
      <c r="Q141" s="5" t="n">
        <v>1000</v>
      </c>
      <c r="R141" s="5" t="n"/>
      <c r="S141" s="5">
        <f>F141*20%</f>
        <v/>
      </c>
      <c r="T141" s="5">
        <f>J141-S141</f>
        <v/>
      </c>
      <c r="U141" s="5">
        <f>F141+J141</f>
        <v/>
      </c>
      <c r="V141" s="5">
        <f>O141-U141</f>
        <v/>
      </c>
      <c r="W141" s="5">
        <f>O141-(P141+R141)</f>
        <v/>
      </c>
      <c r="X141" s="5">
        <f>O141-(P141+Q141+R141)</f>
        <v/>
      </c>
    </row>
    <row r="142">
      <c r="A142" s="2" t="inlineStr">
        <is>
          <t>EJ010723.TXT</t>
        </is>
      </c>
      <c r="B142" s="3" t="inlineStr">
        <is>
          <t>001184</t>
        </is>
      </c>
      <c r="C142" s="3" t="inlineStr">
        <is>
          <t>000749</t>
        </is>
      </c>
      <c r="D142" s="4" t="n">
        <v>45096</v>
      </c>
      <c r="E142" s="2" t="inlineStr">
        <is>
          <t>12:10</t>
        </is>
      </c>
      <c r="F142" s="5" t="n">
        <v>548.33</v>
      </c>
      <c r="G142" s="5" t="n"/>
      <c r="H142" s="5" t="n"/>
      <c r="I142" s="5" t="n"/>
      <c r="J142" s="5" t="n">
        <v>109.67</v>
      </c>
      <c r="K142" s="5" t="n"/>
      <c r="L142" s="5" t="n"/>
      <c r="M142" s="5" t="n"/>
      <c r="N142" s="5" t="n"/>
      <c r="O142" s="5" t="n">
        <v>658</v>
      </c>
      <c r="P142" s="5" t="n">
        <v>658</v>
      </c>
      <c r="Q142" s="5" t="n"/>
      <c r="R142" s="5" t="n"/>
      <c r="S142" s="5">
        <f>F142*20%</f>
        <v/>
      </c>
      <c r="T142" s="5">
        <f>J142-S142</f>
        <v/>
      </c>
      <c r="U142" s="5">
        <f>F142+J142</f>
        <v/>
      </c>
      <c r="V142" s="5">
        <f>O142-U142</f>
        <v/>
      </c>
      <c r="W142" s="5">
        <f>O142-(P142+R142)</f>
        <v/>
      </c>
      <c r="X142" s="5">
        <f>O142-(P142+Q142+R142)</f>
        <v/>
      </c>
    </row>
    <row r="143">
      <c r="A143" s="2" t="inlineStr">
        <is>
          <t>EJ010723.TXT</t>
        </is>
      </c>
      <c r="B143" s="3" t="inlineStr">
        <is>
          <t>001186</t>
        </is>
      </c>
      <c r="C143" s="3" t="inlineStr">
        <is>
          <t>000750</t>
        </is>
      </c>
      <c r="D143" s="4" t="n">
        <v>45101</v>
      </c>
      <c r="E143" s="2" t="inlineStr">
        <is>
          <t>15:57</t>
        </is>
      </c>
      <c r="F143" s="5" t="n">
        <v>274.17</v>
      </c>
      <c r="G143" s="5" t="n"/>
      <c r="H143" s="5" t="n"/>
      <c r="I143" s="5" t="n"/>
      <c r="J143" s="5" t="n">
        <v>54.83</v>
      </c>
      <c r="K143" s="5" t="n"/>
      <c r="L143" s="5" t="n"/>
      <c r="M143" s="5" t="n"/>
      <c r="N143" s="5" t="n"/>
      <c r="O143" s="5" t="n">
        <v>329</v>
      </c>
      <c r="P143" s="5" t="n">
        <v>329</v>
      </c>
      <c r="Q143" s="5" t="n"/>
      <c r="R143" s="5" t="n"/>
      <c r="S143" s="5">
        <f>F143*20%</f>
        <v/>
      </c>
      <c r="T143" s="5">
        <f>J143-S143</f>
        <v/>
      </c>
      <c r="U143" s="5">
        <f>F143+J143</f>
        <v/>
      </c>
      <c r="V143" s="5">
        <f>O143-U143</f>
        <v/>
      </c>
      <c r="W143" s="5">
        <f>O143-(P143+R143)</f>
        <v/>
      </c>
      <c r="X143" s="5">
        <f>O143-(P143+Q143+R143)</f>
        <v/>
      </c>
    </row>
    <row r="144">
      <c r="A144" s="2" t="inlineStr">
        <is>
          <t>EJ010723.TXT</t>
        </is>
      </c>
      <c r="B144" s="3" t="inlineStr">
        <is>
          <t>001187</t>
        </is>
      </c>
      <c r="C144" s="3" t="inlineStr">
        <is>
          <t>000751</t>
        </is>
      </c>
      <c r="D144" s="4" t="n">
        <v>45104</v>
      </c>
      <c r="E144" s="2" t="inlineStr">
        <is>
          <t>14:36</t>
        </is>
      </c>
      <c r="F144" s="5" t="n">
        <v>1713.33</v>
      </c>
      <c r="G144" s="5" t="n"/>
      <c r="H144" s="5" t="n"/>
      <c r="I144" s="5" t="n"/>
      <c r="J144" s="5" t="n">
        <v>342.67</v>
      </c>
      <c r="K144" s="5" t="n"/>
      <c r="L144" s="5" t="n"/>
      <c r="M144" s="5" t="n"/>
      <c r="N144" s="5" t="n"/>
      <c r="O144" s="5" t="n">
        <v>2056</v>
      </c>
      <c r="P144" s="5" t="n">
        <v>2056</v>
      </c>
      <c r="Q144" s="5" t="n"/>
      <c r="R144" s="5" t="n"/>
      <c r="S144" s="5">
        <f>F144*20%</f>
        <v/>
      </c>
      <c r="T144" s="5">
        <f>J144-S144</f>
        <v/>
      </c>
      <c r="U144" s="5">
        <f>F144+J144</f>
        <v/>
      </c>
      <c r="V144" s="5">
        <f>O144-U144</f>
        <v/>
      </c>
      <c r="W144" s="5">
        <f>O144-(P144+R144)</f>
        <v/>
      </c>
      <c r="X144" s="5">
        <f>O144-(P144+Q144+R144)</f>
        <v/>
      </c>
    </row>
    <row r="145">
      <c r="A145" s="2" t="inlineStr">
        <is>
          <t>EJ010723.TXT</t>
        </is>
      </c>
      <c r="B145" s="3" t="inlineStr">
        <is>
          <t>001188</t>
        </is>
      </c>
      <c r="C145" s="3" t="inlineStr">
        <is>
          <t>000752</t>
        </is>
      </c>
      <c r="D145" s="4" t="n">
        <v>45104</v>
      </c>
      <c r="E145" s="2" t="inlineStr">
        <is>
          <t>14:46</t>
        </is>
      </c>
      <c r="F145" s="5" t="n">
        <v>1165</v>
      </c>
      <c r="G145" s="5" t="n"/>
      <c r="H145" s="5" t="n"/>
      <c r="I145" s="5" t="n"/>
      <c r="J145" s="5" t="n">
        <v>233</v>
      </c>
      <c r="K145" s="5" t="n"/>
      <c r="L145" s="5" t="n"/>
      <c r="M145" s="5" t="n"/>
      <c r="N145" s="5" t="n"/>
      <c r="O145" s="5" t="n">
        <v>1398</v>
      </c>
      <c r="P145" s="5" t="n">
        <v>1398</v>
      </c>
      <c r="Q145" s="5" t="n"/>
      <c r="R145" s="5" t="n"/>
      <c r="S145" s="5">
        <f>F145*20%</f>
        <v/>
      </c>
      <c r="T145" s="5">
        <f>J145-S145</f>
        <v/>
      </c>
      <c r="U145" s="5">
        <f>F145+J145</f>
        <v/>
      </c>
      <c r="V145" s="5">
        <f>O145-U145</f>
        <v/>
      </c>
      <c r="W145" s="5">
        <f>O145-(P145+R145)</f>
        <v/>
      </c>
      <c r="X145" s="5">
        <f>O145-(P145+Q145+R145)</f>
        <v/>
      </c>
    </row>
    <row r="146">
      <c r="A146" s="2" t="inlineStr">
        <is>
          <t>EJ010723.TXT</t>
        </is>
      </c>
      <c r="B146" s="3" t="inlineStr">
        <is>
          <t>001189</t>
        </is>
      </c>
      <c r="C146" s="3" t="inlineStr">
        <is>
          <t>000753</t>
        </is>
      </c>
      <c r="D146" s="4" t="n">
        <v>45105</v>
      </c>
      <c r="E146" s="2" t="inlineStr">
        <is>
          <t>15:03</t>
        </is>
      </c>
      <c r="F146" s="5" t="n">
        <v>2481.67</v>
      </c>
      <c r="G146" s="5" t="n"/>
      <c r="H146" s="5" t="n"/>
      <c r="I146" s="5" t="n"/>
      <c r="J146" s="5" t="n">
        <v>496.33</v>
      </c>
      <c r="K146" s="5" t="n"/>
      <c r="L146" s="5" t="n"/>
      <c r="M146" s="5" t="n"/>
      <c r="N146" s="5" t="n"/>
      <c r="O146" s="5" t="n">
        <v>2978</v>
      </c>
      <c r="P146" s="5" t="n">
        <v>2978</v>
      </c>
      <c r="Q146" s="5" t="n"/>
      <c r="R146" s="5" t="n"/>
      <c r="S146" s="5">
        <f>F146*20%</f>
        <v/>
      </c>
      <c r="T146" s="5">
        <f>J146-S146</f>
        <v/>
      </c>
      <c r="U146" s="5">
        <f>F146+J146</f>
        <v/>
      </c>
      <c r="V146" s="5">
        <f>O146-U146</f>
        <v/>
      </c>
      <c r="W146" s="5">
        <f>O146-(P146+R146)</f>
        <v/>
      </c>
      <c r="X146" s="5">
        <f>O146-(P146+Q146+R146)</f>
        <v/>
      </c>
    </row>
    <row r="147">
      <c r="A147" s="2" t="inlineStr">
        <is>
          <t>EJ010723.TXT</t>
        </is>
      </c>
      <c r="B147" s="3" t="inlineStr">
        <is>
          <t>001190</t>
        </is>
      </c>
      <c r="C147" s="3" t="inlineStr">
        <is>
          <t>000754</t>
        </is>
      </c>
      <c r="D147" s="4" t="n">
        <v>45107</v>
      </c>
      <c r="E147" s="2" t="inlineStr">
        <is>
          <t>09:08</t>
        </is>
      </c>
      <c r="F147" s="5" t="n">
        <v>274.17</v>
      </c>
      <c r="G147" s="5" t="n"/>
      <c r="H147" s="5" t="n"/>
      <c r="I147" s="5" t="n"/>
      <c r="J147" s="5" t="n">
        <v>54.83</v>
      </c>
      <c r="K147" s="5" t="n"/>
      <c r="L147" s="5" t="n"/>
      <c r="M147" s="5" t="n"/>
      <c r="N147" s="5" t="n"/>
      <c r="O147" s="5" t="n">
        <v>329</v>
      </c>
      <c r="P147" s="5" t="n">
        <v>329</v>
      </c>
      <c r="Q147" s="5" t="n"/>
      <c r="R147" s="5" t="n"/>
      <c r="S147" s="5">
        <f>F147*20%</f>
        <v/>
      </c>
      <c r="T147" s="5">
        <f>J147-S147</f>
        <v/>
      </c>
      <c r="U147" s="5">
        <f>F147+J147</f>
        <v/>
      </c>
      <c r="V147" s="5">
        <f>O147-U147</f>
        <v/>
      </c>
      <c r="W147" s="5">
        <f>O147-(P147+R147)</f>
        <v/>
      </c>
      <c r="X147" s="5">
        <f>O147-(P147+Q147+R147)</f>
        <v/>
      </c>
    </row>
    <row r="148">
      <c r="A148" s="2" t="inlineStr">
        <is>
          <t>EJ010823.TXT</t>
        </is>
      </c>
      <c r="B148" s="3" t="inlineStr">
        <is>
          <t>001194</t>
        </is>
      </c>
      <c r="C148" s="3" t="inlineStr">
        <is>
          <t>000755</t>
        </is>
      </c>
      <c r="D148" s="4" t="n">
        <v>45108</v>
      </c>
      <c r="E148" s="2" t="inlineStr">
        <is>
          <t>13:41</t>
        </is>
      </c>
      <c r="F148" s="5" t="n">
        <v>2370</v>
      </c>
      <c r="G148" s="5" t="n"/>
      <c r="H148" s="5" t="n"/>
      <c r="I148" s="5" t="n"/>
      <c r="J148" s="5" t="n">
        <v>474</v>
      </c>
      <c r="K148" s="5" t="n"/>
      <c r="L148" s="5" t="n"/>
      <c r="M148" s="5" t="n"/>
      <c r="N148" s="5" t="n"/>
      <c r="O148" s="5" t="n">
        <v>2844</v>
      </c>
      <c r="P148" s="5" t="n">
        <v>2844</v>
      </c>
      <c r="Q148" s="5" t="n"/>
      <c r="R148" s="5" t="n"/>
      <c r="S148" s="5">
        <f>F148*20%</f>
        <v/>
      </c>
      <c r="T148" s="5">
        <f>J148-S148</f>
        <v/>
      </c>
      <c r="U148" s="5">
        <f>F148+J148</f>
        <v/>
      </c>
      <c r="V148" s="5">
        <f>O148-U148</f>
        <v/>
      </c>
      <c r="W148" s="5">
        <f>O148-(P148+R148)</f>
        <v/>
      </c>
      <c r="X148" s="5">
        <f>O148-(P148+Q148+R148)</f>
        <v/>
      </c>
    </row>
    <row r="149">
      <c r="A149" s="2" t="inlineStr">
        <is>
          <t>EJ010823.TXT</t>
        </is>
      </c>
      <c r="B149" s="3" t="inlineStr">
        <is>
          <t>001195</t>
        </is>
      </c>
      <c r="C149" s="3" t="inlineStr">
        <is>
          <t>000756</t>
        </is>
      </c>
      <c r="D149" s="4" t="n">
        <v>45108</v>
      </c>
      <c r="E149" s="2" t="inlineStr">
        <is>
          <t>14:04</t>
        </is>
      </c>
      <c r="F149" s="5" t="n">
        <v>548.33</v>
      </c>
      <c r="G149" s="5" t="n"/>
      <c r="H149" s="5" t="n"/>
      <c r="I149" s="5" t="n"/>
      <c r="J149" s="5" t="n">
        <v>109.67</v>
      </c>
      <c r="K149" s="5" t="n"/>
      <c r="L149" s="5" t="n"/>
      <c r="M149" s="5" t="n"/>
      <c r="N149" s="5" t="n"/>
      <c r="O149" s="5" t="n">
        <v>658</v>
      </c>
      <c r="P149" s="5" t="n">
        <v>658</v>
      </c>
      <c r="Q149" s="5" t="n"/>
      <c r="R149" s="5" t="n"/>
      <c r="S149" s="5">
        <f>F149*20%</f>
        <v/>
      </c>
      <c r="T149" s="5">
        <f>J149-S149</f>
        <v/>
      </c>
      <c r="U149" s="5">
        <f>F149+J149</f>
        <v/>
      </c>
      <c r="V149" s="5">
        <f>O149-U149</f>
        <v/>
      </c>
      <c r="W149" s="5">
        <f>O149-(P149+R149)</f>
        <v/>
      </c>
      <c r="X149" s="5">
        <f>O149-(P149+Q149+R149)</f>
        <v/>
      </c>
    </row>
    <row r="150">
      <c r="A150" s="2" t="inlineStr">
        <is>
          <t>EJ010823.TXT</t>
        </is>
      </c>
      <c r="B150" s="3" t="inlineStr">
        <is>
          <t>001196</t>
        </is>
      </c>
      <c r="C150" s="3" t="inlineStr">
        <is>
          <t>000757</t>
        </is>
      </c>
      <c r="D150" s="4" t="n">
        <v>45108</v>
      </c>
      <c r="E150" s="2" t="inlineStr">
        <is>
          <t>14:05</t>
        </is>
      </c>
      <c r="F150" s="5" t="n">
        <v>274.17</v>
      </c>
      <c r="G150" s="5" t="n"/>
      <c r="H150" s="5" t="n"/>
      <c r="I150" s="5" t="n"/>
      <c r="J150" s="5" t="n">
        <v>54.83</v>
      </c>
      <c r="K150" s="5" t="n"/>
      <c r="L150" s="5" t="n"/>
      <c r="M150" s="5" t="n"/>
      <c r="N150" s="5" t="n"/>
      <c r="O150" s="5" t="n">
        <v>329</v>
      </c>
      <c r="P150" s="5" t="n">
        <v>329</v>
      </c>
      <c r="Q150" s="5" t="n"/>
      <c r="R150" s="5" t="n"/>
      <c r="S150" s="5">
        <f>F150*20%</f>
        <v/>
      </c>
      <c r="T150" s="5">
        <f>J150-S150</f>
        <v/>
      </c>
      <c r="U150" s="5">
        <f>F150+J150</f>
        <v/>
      </c>
      <c r="V150" s="5">
        <f>O150-U150</f>
        <v/>
      </c>
      <c r="W150" s="5">
        <f>O150-(P150+R150)</f>
        <v/>
      </c>
      <c r="X150" s="5">
        <f>O150-(P150+Q150+R150)</f>
        <v/>
      </c>
    </row>
    <row r="151">
      <c r="A151" s="2" t="inlineStr">
        <is>
          <t>EJ010823.TXT</t>
        </is>
      </c>
      <c r="B151" s="3" t="inlineStr">
        <is>
          <t>001197</t>
        </is>
      </c>
      <c r="C151" s="3" t="inlineStr">
        <is>
          <t>000758</t>
        </is>
      </c>
      <c r="D151" s="4" t="n">
        <v>45108</v>
      </c>
      <c r="E151" s="2" t="inlineStr">
        <is>
          <t>15:09</t>
        </is>
      </c>
      <c r="F151" s="5" t="n">
        <v>548.33</v>
      </c>
      <c r="G151" s="5" t="n"/>
      <c r="H151" s="5" t="n"/>
      <c r="I151" s="5" t="n"/>
      <c r="J151" s="5" t="n">
        <v>109.67</v>
      </c>
      <c r="K151" s="5" t="n"/>
      <c r="L151" s="5" t="n"/>
      <c r="M151" s="5" t="n"/>
      <c r="N151" s="5" t="n"/>
      <c r="O151" s="5" t="n">
        <v>658</v>
      </c>
      <c r="P151" s="5" t="n">
        <v>658</v>
      </c>
      <c r="Q151" s="5" t="n"/>
      <c r="R151" s="5" t="n"/>
      <c r="S151" s="5">
        <f>F151*20%</f>
        <v/>
      </c>
      <c r="T151" s="5">
        <f>J151-S151</f>
        <v/>
      </c>
      <c r="U151" s="5">
        <f>F151+J151</f>
        <v/>
      </c>
      <c r="V151" s="5">
        <f>O151-U151</f>
        <v/>
      </c>
      <c r="W151" s="5">
        <f>O151-(P151+R151)</f>
        <v/>
      </c>
      <c r="X151" s="5">
        <f>O151-(P151+Q151+R151)</f>
        <v/>
      </c>
    </row>
    <row r="152">
      <c r="A152" s="2" t="inlineStr">
        <is>
          <t>EJ010823.TXT</t>
        </is>
      </c>
      <c r="B152" s="3" t="inlineStr">
        <is>
          <t>001198</t>
        </is>
      </c>
      <c r="C152" s="3" t="inlineStr">
        <is>
          <t>000759</t>
        </is>
      </c>
      <c r="D152" s="4" t="n">
        <v>45108</v>
      </c>
      <c r="E152" s="2" t="inlineStr">
        <is>
          <t>15:10</t>
        </is>
      </c>
      <c r="F152" s="5" t="n">
        <v>395</v>
      </c>
      <c r="G152" s="5" t="n"/>
      <c r="H152" s="5" t="n"/>
      <c r="I152" s="5" t="n"/>
      <c r="J152" s="5" t="n">
        <v>79</v>
      </c>
      <c r="K152" s="5" t="n"/>
      <c r="L152" s="5" t="n"/>
      <c r="M152" s="5" t="n"/>
      <c r="N152" s="5" t="n"/>
      <c r="O152" s="5" t="n">
        <v>474</v>
      </c>
      <c r="P152" s="5" t="n">
        <v>474</v>
      </c>
      <c r="Q152" s="5" t="n"/>
      <c r="R152" s="5" t="n"/>
      <c r="S152" s="5">
        <f>F152*20%</f>
        <v/>
      </c>
      <c r="T152" s="5">
        <f>J152-S152</f>
        <v/>
      </c>
      <c r="U152" s="5">
        <f>F152+J152</f>
        <v/>
      </c>
      <c r="V152" s="5">
        <f>O152-U152</f>
        <v/>
      </c>
      <c r="W152" s="5">
        <f>O152-(P152+R152)</f>
        <v/>
      </c>
      <c r="X152" s="5">
        <f>O152-(P152+Q152+R152)</f>
        <v/>
      </c>
    </row>
    <row r="153">
      <c r="A153" s="2" t="inlineStr">
        <is>
          <t>EJ010823.TXT</t>
        </is>
      </c>
      <c r="B153" s="3" t="inlineStr">
        <is>
          <t>001202</t>
        </is>
      </c>
      <c r="C153" s="3" t="inlineStr">
        <is>
          <t>000760</t>
        </is>
      </c>
      <c r="D153" s="4" t="n">
        <v>45110</v>
      </c>
      <c r="E153" s="2" t="inlineStr">
        <is>
          <t>15:57</t>
        </is>
      </c>
      <c r="F153" s="5" t="n">
        <v>1645</v>
      </c>
      <c r="G153" s="5" t="n"/>
      <c r="H153" s="5" t="n"/>
      <c r="I153" s="5" t="n"/>
      <c r="J153" s="5" t="n">
        <v>329</v>
      </c>
      <c r="K153" s="5" t="n"/>
      <c r="L153" s="5" t="n"/>
      <c r="M153" s="5" t="n"/>
      <c r="N153" s="5" t="n"/>
      <c r="O153" s="5" t="n">
        <v>1974</v>
      </c>
      <c r="P153" s="5" t="n">
        <v>1974</v>
      </c>
      <c r="Q153" s="5" t="n"/>
      <c r="R153" s="5" t="n"/>
      <c r="S153" s="5">
        <f>F153*20%</f>
        <v/>
      </c>
      <c r="T153" s="5">
        <f>J153-S153</f>
        <v/>
      </c>
      <c r="U153" s="5">
        <f>F153+J153</f>
        <v/>
      </c>
      <c r="V153" s="5">
        <f>O153-U153</f>
        <v/>
      </c>
      <c r="W153" s="5">
        <f>O153-(P153+R153)</f>
        <v/>
      </c>
      <c r="X153" s="5">
        <f>O153-(P153+Q153+R153)</f>
        <v/>
      </c>
    </row>
    <row r="154">
      <c r="A154" s="2" t="inlineStr">
        <is>
          <t>EJ010823.TXT</t>
        </is>
      </c>
      <c r="B154" s="3" t="inlineStr">
        <is>
          <t>001203</t>
        </is>
      </c>
      <c r="C154" s="3" t="inlineStr">
        <is>
          <t>000761</t>
        </is>
      </c>
      <c r="D154" s="4" t="n">
        <v>45111</v>
      </c>
      <c r="E154" s="2" t="inlineStr">
        <is>
          <t>12:07</t>
        </is>
      </c>
      <c r="F154" s="5" t="n">
        <v>548.33</v>
      </c>
      <c r="G154" s="5" t="n"/>
      <c r="H154" s="5" t="n"/>
      <c r="I154" s="5" t="n"/>
      <c r="J154" s="5" t="n">
        <v>109.67</v>
      </c>
      <c r="K154" s="5" t="n"/>
      <c r="L154" s="5" t="n"/>
      <c r="M154" s="5" t="n"/>
      <c r="N154" s="5" t="n"/>
      <c r="O154" s="5" t="n">
        <v>658</v>
      </c>
      <c r="P154" s="5" t="n">
        <v>658</v>
      </c>
      <c r="Q154" s="5" t="n"/>
      <c r="R154" s="5" t="n"/>
      <c r="S154" s="5">
        <f>F154*20%</f>
        <v/>
      </c>
      <c r="T154" s="5">
        <f>J154-S154</f>
        <v/>
      </c>
      <c r="U154" s="5">
        <f>F154+J154</f>
        <v/>
      </c>
      <c r="V154" s="5">
        <f>O154-U154</f>
        <v/>
      </c>
      <c r="W154" s="5">
        <f>O154-(P154+R154)</f>
        <v/>
      </c>
      <c r="X154" s="5">
        <f>O154-(P154+Q154+R154)</f>
        <v/>
      </c>
    </row>
    <row r="155">
      <c r="A155" s="2" t="inlineStr">
        <is>
          <t>EJ010823.TXT</t>
        </is>
      </c>
      <c r="B155" s="3" t="inlineStr">
        <is>
          <t>001204</t>
        </is>
      </c>
      <c r="C155" s="3" t="inlineStr">
        <is>
          <t>000762</t>
        </is>
      </c>
      <c r="D155" s="4" t="n">
        <v>45112</v>
      </c>
      <c r="E155" s="2" t="inlineStr">
        <is>
          <t>15:23</t>
        </is>
      </c>
      <c r="F155" s="5" t="n">
        <v>548.33</v>
      </c>
      <c r="G155" s="5" t="n"/>
      <c r="H155" s="5" t="n"/>
      <c r="I155" s="5" t="n"/>
      <c r="J155" s="5" t="n">
        <v>109.67</v>
      </c>
      <c r="K155" s="5" t="n"/>
      <c r="L155" s="5" t="n"/>
      <c r="M155" s="5" t="n"/>
      <c r="N155" s="5" t="n"/>
      <c r="O155" s="5" t="n">
        <v>658</v>
      </c>
      <c r="P155" s="5" t="n">
        <v>658</v>
      </c>
      <c r="Q155" s="5" t="n"/>
      <c r="R155" s="5" t="n"/>
      <c r="S155" s="5">
        <f>F155*20%</f>
        <v/>
      </c>
      <c r="T155" s="5">
        <f>J155-S155</f>
        <v/>
      </c>
      <c r="U155" s="5">
        <f>F155+J155</f>
        <v/>
      </c>
      <c r="V155" s="5">
        <f>O155-U155</f>
        <v/>
      </c>
      <c r="W155" s="5">
        <f>O155-(P155+R155)</f>
        <v/>
      </c>
      <c r="X155" s="5">
        <f>O155-(P155+Q155+R155)</f>
        <v/>
      </c>
    </row>
    <row r="156">
      <c r="A156" s="2" t="inlineStr">
        <is>
          <t>EJ010823.TXT</t>
        </is>
      </c>
      <c r="B156" s="3" t="inlineStr">
        <is>
          <t>001205</t>
        </is>
      </c>
      <c r="C156" s="3" t="inlineStr">
        <is>
          <t>000763</t>
        </is>
      </c>
      <c r="D156" s="4" t="n">
        <v>45112</v>
      </c>
      <c r="E156" s="2" t="inlineStr">
        <is>
          <t>16:19</t>
        </is>
      </c>
      <c r="F156" s="5" t="n">
        <v>124.17</v>
      </c>
      <c r="G156" s="5" t="n"/>
      <c r="H156" s="5" t="n"/>
      <c r="I156" s="5" t="n"/>
      <c r="J156" s="5" t="n">
        <v>24.83</v>
      </c>
      <c r="K156" s="5" t="n"/>
      <c r="L156" s="5" t="n"/>
      <c r="M156" s="5" t="n"/>
      <c r="N156" s="5" t="n"/>
      <c r="O156" s="5" t="n">
        <v>149</v>
      </c>
      <c r="P156" s="5" t="n">
        <v>149</v>
      </c>
      <c r="Q156" s="5" t="n"/>
      <c r="R156" s="5" t="n"/>
      <c r="S156" s="5">
        <f>F156*20%</f>
        <v/>
      </c>
      <c r="T156" s="5">
        <f>J156-S156</f>
        <v/>
      </c>
      <c r="U156" s="5">
        <f>F156+J156</f>
        <v/>
      </c>
      <c r="V156" s="5">
        <f>O156-U156</f>
        <v/>
      </c>
      <c r="W156" s="5">
        <f>O156-(P156+R156)</f>
        <v/>
      </c>
      <c r="X156" s="5">
        <f>O156-(P156+Q156+R156)</f>
        <v/>
      </c>
    </row>
    <row r="157">
      <c r="A157" s="2" t="inlineStr">
        <is>
          <t>EJ010823.TXT</t>
        </is>
      </c>
      <c r="B157" s="3" t="inlineStr">
        <is>
          <t>001206</t>
        </is>
      </c>
      <c r="C157" s="3" t="inlineStr">
        <is>
          <t>000764</t>
        </is>
      </c>
      <c r="D157" s="4" t="n">
        <v>45113</v>
      </c>
      <c r="E157" s="2" t="inlineStr">
        <is>
          <t>13:21</t>
        </is>
      </c>
      <c r="F157" s="5" t="n">
        <v>1123.33</v>
      </c>
      <c r="G157" s="5" t="n"/>
      <c r="H157" s="5" t="n"/>
      <c r="I157" s="5" t="n"/>
      <c r="J157" s="5" t="n">
        <v>224.67</v>
      </c>
      <c r="K157" s="5" t="n"/>
      <c r="L157" s="5" t="n"/>
      <c r="M157" s="5" t="n"/>
      <c r="N157" s="5" t="n"/>
      <c r="O157" s="5" t="n">
        <v>1348</v>
      </c>
      <c r="P157" s="5" t="n">
        <v>1348</v>
      </c>
      <c r="Q157" s="5" t="n"/>
      <c r="R157" s="5" t="n"/>
      <c r="S157" s="5">
        <f>F157*20%</f>
        <v/>
      </c>
      <c r="T157" s="5">
        <f>J157-S157</f>
        <v/>
      </c>
      <c r="U157" s="5">
        <f>F157+J157</f>
        <v/>
      </c>
      <c r="V157" s="5">
        <f>O157-U157</f>
        <v/>
      </c>
      <c r="W157" s="5">
        <f>O157-(P157+R157)</f>
        <v/>
      </c>
      <c r="X157" s="5">
        <f>O157-(P157+Q157+R157)</f>
        <v/>
      </c>
    </row>
    <row r="158">
      <c r="A158" s="2" t="inlineStr">
        <is>
          <t>EJ010823.TXT</t>
        </is>
      </c>
      <c r="B158" s="3" t="inlineStr">
        <is>
          <t>001207</t>
        </is>
      </c>
      <c r="C158" s="3" t="inlineStr">
        <is>
          <t>000765</t>
        </is>
      </c>
      <c r="D158" s="4" t="n">
        <v>45114</v>
      </c>
      <c r="E158" s="2" t="inlineStr">
        <is>
          <t>12:06</t>
        </is>
      </c>
      <c r="F158" s="5" t="n">
        <v>274.17</v>
      </c>
      <c r="G158" s="5" t="n"/>
      <c r="H158" s="5" t="n"/>
      <c r="I158" s="5" t="n"/>
      <c r="J158" s="5" t="n">
        <v>54.83</v>
      </c>
      <c r="K158" s="5" t="n"/>
      <c r="L158" s="5" t="n"/>
      <c r="M158" s="5" t="n"/>
      <c r="N158" s="5" t="n"/>
      <c r="O158" s="5" t="n">
        <v>329</v>
      </c>
      <c r="P158" s="5" t="n">
        <v>329</v>
      </c>
      <c r="Q158" s="5" t="n"/>
      <c r="R158" s="5" t="n"/>
      <c r="S158" s="5">
        <f>F158*20%</f>
        <v/>
      </c>
      <c r="T158" s="5">
        <f>J158-S158</f>
        <v/>
      </c>
      <c r="U158" s="5">
        <f>F158+J158</f>
        <v/>
      </c>
      <c r="V158" s="5">
        <f>O158-U158</f>
        <v/>
      </c>
      <c r="W158" s="5">
        <f>O158-(P158+R158)</f>
        <v/>
      </c>
      <c r="X158" s="5">
        <f>O158-(P158+Q158+R158)</f>
        <v/>
      </c>
    </row>
    <row r="159">
      <c r="A159" s="2" t="inlineStr">
        <is>
          <t>EJ010823.TXT</t>
        </is>
      </c>
      <c r="B159" s="3" t="inlineStr">
        <is>
          <t>001208</t>
        </is>
      </c>
      <c r="C159" s="3" t="inlineStr">
        <is>
          <t>000766</t>
        </is>
      </c>
      <c r="D159" s="4" t="n">
        <v>45114</v>
      </c>
      <c r="E159" s="2" t="inlineStr">
        <is>
          <t>15:20</t>
        </is>
      </c>
      <c r="F159" s="5" t="n">
        <v>199.17</v>
      </c>
      <c r="G159" s="5" t="n"/>
      <c r="H159" s="5" t="n"/>
      <c r="I159" s="5" t="n"/>
      <c r="J159" s="5" t="n">
        <v>39.83</v>
      </c>
      <c r="K159" s="5" t="n"/>
      <c r="L159" s="5" t="n"/>
      <c r="M159" s="5" t="n"/>
      <c r="N159" s="5" t="n"/>
      <c r="O159" s="5" t="n">
        <v>239</v>
      </c>
      <c r="P159" s="5" t="n">
        <v>239</v>
      </c>
      <c r="Q159" s="5" t="n"/>
      <c r="R159" s="5" t="n"/>
      <c r="S159" s="5">
        <f>F159*20%</f>
        <v/>
      </c>
      <c r="T159" s="5">
        <f>J159-S159</f>
        <v/>
      </c>
      <c r="U159" s="5">
        <f>F159+J159</f>
        <v/>
      </c>
      <c r="V159" s="5">
        <f>O159-U159</f>
        <v/>
      </c>
      <c r="W159" s="5">
        <f>O159-(P159+R159)</f>
        <v/>
      </c>
      <c r="X159" s="5">
        <f>O159-(P159+Q159+R159)</f>
        <v/>
      </c>
    </row>
    <row r="160">
      <c r="A160" s="2" t="inlineStr">
        <is>
          <t>EJ010823.TXT</t>
        </is>
      </c>
      <c r="B160" s="3" t="inlineStr">
        <is>
          <t>001209</t>
        </is>
      </c>
      <c r="C160" s="3" t="inlineStr">
        <is>
          <t>000767</t>
        </is>
      </c>
      <c r="D160" s="4" t="n">
        <v>45114</v>
      </c>
      <c r="E160" s="2" t="inlineStr">
        <is>
          <t>16:42</t>
        </is>
      </c>
      <c r="F160" s="5" t="n">
        <v>548.33</v>
      </c>
      <c r="G160" s="5" t="n"/>
      <c r="H160" s="5" t="n"/>
      <c r="I160" s="5" t="n"/>
      <c r="J160" s="5" t="n">
        <v>109.67</v>
      </c>
      <c r="K160" s="5" t="n"/>
      <c r="L160" s="5" t="n"/>
      <c r="M160" s="5" t="n"/>
      <c r="N160" s="5" t="n"/>
      <c r="O160" s="5" t="n">
        <v>658</v>
      </c>
      <c r="P160" s="5" t="n">
        <v>658</v>
      </c>
      <c r="Q160" s="5" t="n"/>
      <c r="R160" s="5" t="n"/>
      <c r="S160" s="5">
        <f>F160*20%</f>
        <v/>
      </c>
      <c r="T160" s="5">
        <f>J160-S160</f>
        <v/>
      </c>
      <c r="U160" s="5">
        <f>F160+J160</f>
        <v/>
      </c>
      <c r="V160" s="5">
        <f>O160-U160</f>
        <v/>
      </c>
      <c r="W160" s="5">
        <f>O160-(P160+R160)</f>
        <v/>
      </c>
      <c r="X160" s="5">
        <f>O160-(P160+Q160+R160)</f>
        <v/>
      </c>
    </row>
    <row r="161">
      <c r="A161" s="2" t="inlineStr">
        <is>
          <t>EJ010823.TXT</t>
        </is>
      </c>
      <c r="B161" s="3" t="inlineStr">
        <is>
          <t>001210</t>
        </is>
      </c>
      <c r="C161" s="3" t="inlineStr">
        <is>
          <t>000768</t>
        </is>
      </c>
      <c r="D161" s="4" t="n">
        <v>45114</v>
      </c>
      <c r="E161" s="2" t="inlineStr">
        <is>
          <t>16:57</t>
        </is>
      </c>
      <c r="F161" s="5" t="n">
        <v>365.83</v>
      </c>
      <c r="G161" s="5" t="n"/>
      <c r="H161" s="5" t="n"/>
      <c r="I161" s="5" t="n"/>
      <c r="J161" s="5" t="n">
        <v>73.17</v>
      </c>
      <c r="K161" s="5" t="n"/>
      <c r="L161" s="5" t="n"/>
      <c r="M161" s="5" t="n"/>
      <c r="N161" s="5" t="n"/>
      <c r="O161" s="5" t="n">
        <v>439</v>
      </c>
      <c r="P161" s="5" t="n">
        <v>439</v>
      </c>
      <c r="Q161" s="5" t="n"/>
      <c r="R161" s="5" t="n"/>
      <c r="S161" s="5">
        <f>F161*20%</f>
        <v/>
      </c>
      <c r="T161" s="5">
        <f>J161-S161</f>
        <v/>
      </c>
      <c r="U161" s="5">
        <f>F161+J161</f>
        <v/>
      </c>
      <c r="V161" s="5">
        <f>O161-U161</f>
        <v/>
      </c>
      <c r="W161" s="5">
        <f>O161-(P161+R161)</f>
        <v/>
      </c>
      <c r="X161" s="5">
        <f>O161-(P161+Q161+R161)</f>
        <v/>
      </c>
    </row>
    <row r="162">
      <c r="A162" s="2" t="inlineStr">
        <is>
          <t>EJ010823.TXT</t>
        </is>
      </c>
      <c r="B162" s="3" t="inlineStr">
        <is>
          <t>001211</t>
        </is>
      </c>
      <c r="C162" s="3" t="inlineStr">
        <is>
          <t>000769</t>
        </is>
      </c>
      <c r="D162" s="4" t="n">
        <v>45115</v>
      </c>
      <c r="E162" s="2" t="inlineStr">
        <is>
          <t>12:46</t>
        </is>
      </c>
      <c r="F162" s="5" t="n">
        <v>199.17</v>
      </c>
      <c r="G162" s="5" t="n"/>
      <c r="H162" s="5" t="n"/>
      <c r="I162" s="5" t="n"/>
      <c r="J162" s="5" t="n">
        <v>39.83</v>
      </c>
      <c r="K162" s="5" t="n"/>
      <c r="L162" s="5" t="n"/>
      <c r="M162" s="5" t="n"/>
      <c r="N162" s="5" t="n"/>
      <c r="O162" s="5" t="n">
        <v>239</v>
      </c>
      <c r="P162" s="5" t="n"/>
      <c r="Q162" s="5" t="n">
        <v>239</v>
      </c>
      <c r="R162" s="5" t="n"/>
      <c r="S162" s="5">
        <f>F162*20%</f>
        <v/>
      </c>
      <c r="T162" s="5">
        <f>J162-S162</f>
        <v/>
      </c>
      <c r="U162" s="5">
        <f>F162+J162</f>
        <v/>
      </c>
      <c r="V162" s="5">
        <f>O162-U162</f>
        <v/>
      </c>
      <c r="W162" s="5">
        <f>O162-(P162+R162)</f>
        <v/>
      </c>
      <c r="X162" s="5">
        <f>O162-(P162+Q162+R162)</f>
        <v/>
      </c>
    </row>
    <row r="163">
      <c r="A163" s="2" t="inlineStr">
        <is>
          <t>EJ010823.TXT</t>
        </is>
      </c>
      <c r="B163" s="3" t="inlineStr">
        <is>
          <t>001212</t>
        </is>
      </c>
      <c r="C163" s="3" t="inlineStr">
        <is>
          <t>000770</t>
        </is>
      </c>
      <c r="D163" s="4" t="n">
        <v>45115</v>
      </c>
      <c r="E163" s="2" t="inlineStr">
        <is>
          <t>15:26</t>
        </is>
      </c>
      <c r="F163" s="5" t="n">
        <v>199.17</v>
      </c>
      <c r="G163" s="5" t="n"/>
      <c r="H163" s="5" t="n"/>
      <c r="I163" s="5" t="n"/>
      <c r="J163" s="5" t="n">
        <v>39.83</v>
      </c>
      <c r="K163" s="5" t="n"/>
      <c r="L163" s="5" t="n"/>
      <c r="M163" s="5" t="n"/>
      <c r="N163" s="5" t="n"/>
      <c r="O163" s="5" t="n">
        <v>239</v>
      </c>
      <c r="P163" s="5" t="n">
        <v>239</v>
      </c>
      <c r="Q163" s="5" t="n"/>
      <c r="R163" s="5" t="n"/>
      <c r="S163" s="5">
        <f>F163*20%</f>
        <v/>
      </c>
      <c r="T163" s="5">
        <f>J163-S163</f>
        <v/>
      </c>
      <c r="U163" s="5">
        <f>F163+J163</f>
        <v/>
      </c>
      <c r="V163" s="5">
        <f>O163-U163</f>
        <v/>
      </c>
      <c r="W163" s="5">
        <f>O163-(P163+R163)</f>
        <v/>
      </c>
      <c r="X163" s="5">
        <f>O163-(P163+Q163+R163)</f>
        <v/>
      </c>
    </row>
    <row r="164">
      <c r="A164" s="2" t="inlineStr">
        <is>
          <t>EJ010823.TXT</t>
        </is>
      </c>
      <c r="B164" s="3" t="inlineStr">
        <is>
          <t>001213</t>
        </is>
      </c>
      <c r="C164" s="3" t="inlineStr">
        <is>
          <t>000771</t>
        </is>
      </c>
      <c r="D164" s="4" t="n">
        <v>45119</v>
      </c>
      <c r="E164" s="2" t="inlineStr">
        <is>
          <t>11:51</t>
        </is>
      </c>
      <c r="F164" s="5" t="n">
        <v>398.33</v>
      </c>
      <c r="G164" s="5" t="n"/>
      <c r="H164" s="5" t="n"/>
      <c r="I164" s="5" t="n"/>
      <c r="J164" s="5" t="n">
        <v>79.67</v>
      </c>
      <c r="K164" s="5" t="n"/>
      <c r="L164" s="5" t="n"/>
      <c r="M164" s="5" t="n"/>
      <c r="N164" s="5" t="n"/>
      <c r="O164" s="5" t="n">
        <v>478</v>
      </c>
      <c r="P164" s="5" t="n">
        <v>478</v>
      </c>
      <c r="Q164" s="5" t="n"/>
      <c r="R164" s="5" t="n"/>
      <c r="S164" s="5">
        <f>F164*20%</f>
        <v/>
      </c>
      <c r="T164" s="5">
        <f>J164-S164</f>
        <v/>
      </c>
      <c r="U164" s="5">
        <f>F164+J164</f>
        <v/>
      </c>
      <c r="V164" s="5">
        <f>O164-U164</f>
        <v/>
      </c>
      <c r="W164" s="5">
        <f>O164-(P164+R164)</f>
        <v/>
      </c>
      <c r="X164" s="5">
        <f>O164-(P164+Q164+R164)</f>
        <v/>
      </c>
    </row>
    <row r="165">
      <c r="A165" s="2" t="inlineStr">
        <is>
          <t>EJ010823.TXT</t>
        </is>
      </c>
      <c r="B165" s="3" t="inlineStr">
        <is>
          <t>001214</t>
        </is>
      </c>
      <c r="C165" s="3" t="inlineStr">
        <is>
          <t>000772</t>
        </is>
      </c>
      <c r="D165" s="4" t="n">
        <v>45119</v>
      </c>
      <c r="E165" s="2" t="inlineStr">
        <is>
          <t>13:37</t>
        </is>
      </c>
      <c r="F165" s="5" t="n">
        <v>274.17</v>
      </c>
      <c r="G165" s="5" t="n"/>
      <c r="H165" s="5" t="n"/>
      <c r="I165" s="5" t="n"/>
      <c r="J165" s="5" t="n">
        <v>54.83</v>
      </c>
      <c r="K165" s="5" t="n"/>
      <c r="L165" s="5" t="n"/>
      <c r="M165" s="5" t="n"/>
      <c r="N165" s="5" t="n"/>
      <c r="O165" s="5" t="n">
        <v>329</v>
      </c>
      <c r="P165" s="5" t="n">
        <v>329</v>
      </c>
      <c r="Q165" s="5" t="n"/>
      <c r="R165" s="5" t="n"/>
      <c r="S165" s="5">
        <f>F165*20%</f>
        <v/>
      </c>
      <c r="T165" s="5">
        <f>J165-S165</f>
        <v/>
      </c>
      <c r="U165" s="5">
        <f>F165+J165</f>
        <v/>
      </c>
      <c r="V165" s="5">
        <f>O165-U165</f>
        <v/>
      </c>
      <c r="W165" s="5">
        <f>O165-(P165+R165)</f>
        <v/>
      </c>
      <c r="X165" s="5">
        <f>O165-(P165+Q165+R165)</f>
        <v/>
      </c>
    </row>
    <row r="166">
      <c r="A166" s="2" t="inlineStr">
        <is>
          <t>EJ010823.TXT</t>
        </is>
      </c>
      <c r="B166" s="3" t="inlineStr">
        <is>
          <t>001215</t>
        </is>
      </c>
      <c r="C166" s="3" t="inlineStr">
        <is>
          <t>000773</t>
        </is>
      </c>
      <c r="D166" s="4" t="n">
        <v>45122</v>
      </c>
      <c r="E166" s="2" t="inlineStr">
        <is>
          <t>13:55</t>
        </is>
      </c>
      <c r="F166" s="5" t="n">
        <v>274.17</v>
      </c>
      <c r="G166" s="5" t="n"/>
      <c r="H166" s="5" t="n"/>
      <c r="I166" s="5" t="n"/>
      <c r="J166" s="5" t="n">
        <v>54.83</v>
      </c>
      <c r="K166" s="5" t="n"/>
      <c r="L166" s="5" t="n"/>
      <c r="M166" s="5" t="n"/>
      <c r="N166" s="5" t="n"/>
      <c r="O166" s="5" t="n">
        <v>329</v>
      </c>
      <c r="P166" s="5" t="n">
        <v>329</v>
      </c>
      <c r="Q166" s="5" t="n"/>
      <c r="R166" s="5" t="n"/>
      <c r="S166" s="5">
        <f>F166*20%</f>
        <v/>
      </c>
      <c r="T166" s="5">
        <f>J166-S166</f>
        <v/>
      </c>
      <c r="U166" s="5">
        <f>F166+J166</f>
        <v/>
      </c>
      <c r="V166" s="5">
        <f>O166-U166</f>
        <v/>
      </c>
      <c r="W166" s="5">
        <f>O166-(P166+R166)</f>
        <v/>
      </c>
      <c r="X166" s="5">
        <f>O166-(P166+Q166+R166)</f>
        <v/>
      </c>
    </row>
    <row r="167">
      <c r="A167" s="2" t="inlineStr">
        <is>
          <t>EJ010823.TXT</t>
        </is>
      </c>
      <c r="B167" s="3" t="inlineStr">
        <is>
          <t>001216</t>
        </is>
      </c>
      <c r="C167" s="3" t="inlineStr">
        <is>
          <t>000774</t>
        </is>
      </c>
      <c r="D167" s="4" t="n">
        <v>45122</v>
      </c>
      <c r="E167" s="2" t="inlineStr">
        <is>
          <t>14:25</t>
        </is>
      </c>
      <c r="F167" s="5" t="n">
        <v>395</v>
      </c>
      <c r="G167" s="5" t="n"/>
      <c r="H167" s="5" t="n"/>
      <c r="I167" s="5" t="n"/>
      <c r="J167" s="5" t="n">
        <v>79</v>
      </c>
      <c r="K167" s="5" t="n"/>
      <c r="L167" s="5" t="n"/>
      <c r="M167" s="5" t="n"/>
      <c r="N167" s="5" t="n"/>
      <c r="O167" s="5" t="n">
        <v>474</v>
      </c>
      <c r="P167" s="5" t="n">
        <v>474</v>
      </c>
      <c r="Q167" s="5" t="n"/>
      <c r="R167" s="5" t="n"/>
      <c r="S167" s="5">
        <f>F167*20%</f>
        <v/>
      </c>
      <c r="T167" s="5">
        <f>J167-S167</f>
        <v/>
      </c>
      <c r="U167" s="5">
        <f>F167+J167</f>
        <v/>
      </c>
      <c r="V167" s="5">
        <f>O167-U167</f>
        <v/>
      </c>
      <c r="W167" s="5">
        <f>O167-(P167+R167)</f>
        <v/>
      </c>
      <c r="X167" s="5">
        <f>O167-(P167+Q167+R167)</f>
        <v/>
      </c>
    </row>
    <row r="168">
      <c r="A168" s="2" t="inlineStr">
        <is>
          <t>EJ010823.TXT</t>
        </is>
      </c>
      <c r="B168" s="3" t="inlineStr">
        <is>
          <t>001217</t>
        </is>
      </c>
      <c r="C168" s="3" t="inlineStr">
        <is>
          <t>000775</t>
        </is>
      </c>
      <c r="D168" s="4" t="n">
        <v>45122</v>
      </c>
      <c r="E168" s="2" t="inlineStr">
        <is>
          <t>15:40</t>
        </is>
      </c>
      <c r="F168" s="5" t="n">
        <v>1733.33</v>
      </c>
      <c r="G168" s="5" t="n"/>
      <c r="H168" s="5" t="n"/>
      <c r="I168" s="5" t="n"/>
      <c r="J168" s="5" t="n">
        <v>346.67</v>
      </c>
      <c r="K168" s="5" t="n"/>
      <c r="L168" s="5" t="n"/>
      <c r="M168" s="5" t="n"/>
      <c r="N168" s="5" t="n"/>
      <c r="O168" s="5" t="n">
        <v>2080</v>
      </c>
      <c r="P168" s="5" t="n">
        <v>2080</v>
      </c>
      <c r="Q168" s="5" t="n"/>
      <c r="R168" s="5" t="n"/>
      <c r="S168" s="5">
        <f>F168*20%</f>
        <v/>
      </c>
      <c r="T168" s="5">
        <f>J168-S168</f>
        <v/>
      </c>
      <c r="U168" s="5">
        <f>F168+J168</f>
        <v/>
      </c>
      <c r="V168" s="5">
        <f>O168-U168</f>
        <v/>
      </c>
      <c r="W168" s="5">
        <f>O168-(P168+R168)</f>
        <v/>
      </c>
      <c r="X168" s="5">
        <f>O168-(P168+Q168+R168)</f>
        <v/>
      </c>
    </row>
    <row r="169">
      <c r="A169" s="2" t="inlineStr">
        <is>
          <t>EJ010823.TXT</t>
        </is>
      </c>
      <c r="B169" s="3" t="inlineStr">
        <is>
          <t>001218</t>
        </is>
      </c>
      <c r="C169" s="3" t="inlineStr">
        <is>
          <t>000776</t>
        </is>
      </c>
      <c r="D169" s="4" t="n">
        <v>45122</v>
      </c>
      <c r="E169" s="2" t="inlineStr">
        <is>
          <t>15:40</t>
        </is>
      </c>
      <c r="F169" s="5" t="n">
        <v>866.67</v>
      </c>
      <c r="G169" s="5" t="n"/>
      <c r="H169" s="5" t="n"/>
      <c r="I169" s="5" t="n"/>
      <c r="J169" s="5" t="n">
        <v>173.33</v>
      </c>
      <c r="K169" s="5" t="n"/>
      <c r="L169" s="5" t="n"/>
      <c r="M169" s="5" t="n"/>
      <c r="N169" s="5" t="n"/>
      <c r="O169" s="5" t="n">
        <v>1040</v>
      </c>
      <c r="P169" s="5" t="n">
        <v>1040</v>
      </c>
      <c r="Q169" s="5" t="n"/>
      <c r="R169" s="5" t="n"/>
      <c r="S169" s="5">
        <f>F169*20%</f>
        <v/>
      </c>
      <c r="T169" s="5">
        <f>J169-S169</f>
        <v/>
      </c>
      <c r="U169" s="5">
        <f>F169+J169</f>
        <v/>
      </c>
      <c r="V169" s="5">
        <f>O169-U169</f>
        <v/>
      </c>
      <c r="W169" s="5">
        <f>O169-(P169+R169)</f>
        <v/>
      </c>
      <c r="X169" s="5">
        <f>O169-(P169+Q169+R169)</f>
        <v/>
      </c>
    </row>
    <row r="170">
      <c r="A170" s="2" t="inlineStr">
        <is>
          <t>EJ010823.TXT</t>
        </is>
      </c>
      <c r="B170" s="3" t="inlineStr">
        <is>
          <t>001219</t>
        </is>
      </c>
      <c r="C170" s="3" t="inlineStr">
        <is>
          <t>000777</t>
        </is>
      </c>
      <c r="D170" s="4" t="n">
        <v>45122</v>
      </c>
      <c r="E170" s="2" t="inlineStr">
        <is>
          <t>16:46</t>
        </is>
      </c>
      <c r="F170" s="5" t="n">
        <v>1096.67</v>
      </c>
      <c r="G170" s="5" t="n"/>
      <c r="H170" s="5" t="n"/>
      <c r="I170" s="5" t="n"/>
      <c r="J170" s="5" t="n">
        <v>219.33</v>
      </c>
      <c r="K170" s="5" t="n"/>
      <c r="L170" s="5" t="n"/>
      <c r="M170" s="5" t="n"/>
      <c r="N170" s="5" t="n"/>
      <c r="O170" s="5" t="n">
        <v>1316</v>
      </c>
      <c r="P170" s="5" t="n">
        <v>1316</v>
      </c>
      <c r="Q170" s="5" t="n"/>
      <c r="R170" s="5" t="n"/>
      <c r="S170" s="5">
        <f>F170*20%</f>
        <v/>
      </c>
      <c r="T170" s="5">
        <f>J170-S170</f>
        <v/>
      </c>
      <c r="U170" s="5">
        <f>F170+J170</f>
        <v/>
      </c>
      <c r="V170" s="5">
        <f>O170-U170</f>
        <v/>
      </c>
      <c r="W170" s="5">
        <f>O170-(P170+R170)</f>
        <v/>
      </c>
      <c r="X170" s="5">
        <f>O170-(P170+Q170+R170)</f>
        <v/>
      </c>
    </row>
    <row r="171">
      <c r="A171" s="2" t="inlineStr">
        <is>
          <t>EJ010823.TXT</t>
        </is>
      </c>
      <c r="B171" s="3" t="inlineStr">
        <is>
          <t>001220</t>
        </is>
      </c>
      <c r="C171" s="3" t="inlineStr">
        <is>
          <t>000778</t>
        </is>
      </c>
      <c r="D171" s="4" t="n">
        <v>45126</v>
      </c>
      <c r="E171" s="2" t="inlineStr">
        <is>
          <t>16:31</t>
        </is>
      </c>
      <c r="F171" s="5" t="n">
        <v>199.17</v>
      </c>
      <c r="G171" s="5" t="n"/>
      <c r="H171" s="5" t="n"/>
      <c r="I171" s="5" t="n"/>
      <c r="J171" s="5" t="n">
        <v>39.83</v>
      </c>
      <c r="K171" s="5" t="n"/>
      <c r="L171" s="5" t="n"/>
      <c r="M171" s="5" t="n"/>
      <c r="N171" s="5" t="n"/>
      <c r="O171" s="5" t="n">
        <v>239</v>
      </c>
      <c r="P171" s="5" t="n"/>
      <c r="Q171" s="5" t="n">
        <v>239</v>
      </c>
      <c r="R171" s="5" t="n"/>
      <c r="S171" s="5">
        <f>F171*20%</f>
        <v/>
      </c>
      <c r="T171" s="5">
        <f>J171-S171</f>
        <v/>
      </c>
      <c r="U171" s="5">
        <f>F171+J171</f>
        <v/>
      </c>
      <c r="V171" s="5">
        <f>O171-U171</f>
        <v/>
      </c>
      <c r="W171" s="5">
        <f>O171-(P171+R171)</f>
        <v/>
      </c>
      <c r="X171" s="5">
        <f>O171-(P171+Q171+R171)</f>
        <v/>
      </c>
    </row>
    <row r="172">
      <c r="A172" s="2" t="inlineStr">
        <is>
          <t>EJ010823.TXT</t>
        </is>
      </c>
      <c r="B172" s="3" t="inlineStr">
        <is>
          <t>001222</t>
        </is>
      </c>
      <c r="C172" s="3" t="inlineStr">
        <is>
          <t>000779</t>
        </is>
      </c>
      <c r="D172" s="4" t="n">
        <v>45127</v>
      </c>
      <c r="E172" s="2" t="inlineStr">
        <is>
          <t>09:36</t>
        </is>
      </c>
      <c r="F172" s="5" t="n">
        <v>274.17</v>
      </c>
      <c r="G172" s="5" t="n"/>
      <c r="H172" s="5" t="n"/>
      <c r="I172" s="5" t="n"/>
      <c r="J172" s="5" t="n">
        <v>54.83</v>
      </c>
      <c r="K172" s="5" t="n"/>
      <c r="L172" s="5" t="n"/>
      <c r="M172" s="5" t="n"/>
      <c r="N172" s="5" t="n"/>
      <c r="O172" s="5" t="n">
        <v>329</v>
      </c>
      <c r="P172" s="5" t="n">
        <v>329</v>
      </c>
      <c r="Q172" s="5" t="n"/>
      <c r="R172" s="5" t="n"/>
      <c r="S172" s="5">
        <f>F172*20%</f>
        <v/>
      </c>
      <c r="T172" s="5">
        <f>J172-S172</f>
        <v/>
      </c>
      <c r="U172" s="5">
        <f>F172+J172</f>
        <v/>
      </c>
      <c r="V172" s="5">
        <f>O172-U172</f>
        <v/>
      </c>
      <c r="W172" s="5">
        <f>O172-(P172+R172)</f>
        <v/>
      </c>
      <c r="X172" s="5">
        <f>O172-(P172+Q172+R172)</f>
        <v/>
      </c>
    </row>
    <row r="173">
      <c r="A173" s="2" t="inlineStr">
        <is>
          <t>EJ010823.TXT</t>
        </is>
      </c>
      <c r="B173" s="3" t="inlineStr">
        <is>
          <t>001223</t>
        </is>
      </c>
      <c r="C173" s="3" t="inlineStr">
        <is>
          <t>000780</t>
        </is>
      </c>
      <c r="D173" s="4" t="n">
        <v>45128</v>
      </c>
      <c r="E173" s="2" t="inlineStr">
        <is>
          <t>16:41</t>
        </is>
      </c>
      <c r="F173" s="5" t="n">
        <v>2830</v>
      </c>
      <c r="G173" s="5" t="n"/>
      <c r="H173" s="5" t="n"/>
      <c r="I173" s="5" t="n"/>
      <c r="J173" s="5" t="n">
        <v>566</v>
      </c>
      <c r="K173" s="5" t="n"/>
      <c r="L173" s="5" t="n"/>
      <c r="M173" s="5" t="n"/>
      <c r="N173" s="5" t="n"/>
      <c r="O173" s="5" t="n">
        <v>3396</v>
      </c>
      <c r="P173" s="5" t="n">
        <v>3396</v>
      </c>
      <c r="Q173" s="5" t="n"/>
      <c r="R173" s="5" t="n"/>
      <c r="S173" s="5">
        <f>F173*20%</f>
        <v/>
      </c>
      <c r="T173" s="5">
        <f>J173-S173</f>
        <v/>
      </c>
      <c r="U173" s="5">
        <f>F173+J173</f>
        <v/>
      </c>
      <c r="V173" s="5">
        <f>O173-U173</f>
        <v/>
      </c>
      <c r="W173" s="5">
        <f>O173-(P173+R173)</f>
        <v/>
      </c>
      <c r="X173" s="5">
        <f>O173-(P173+Q173+R173)</f>
        <v/>
      </c>
    </row>
    <row r="174">
      <c r="A174" s="2" t="inlineStr">
        <is>
          <t>EJ010823.TXT</t>
        </is>
      </c>
      <c r="B174" s="3" t="inlineStr">
        <is>
          <t>001224</t>
        </is>
      </c>
      <c r="C174" s="3" t="inlineStr">
        <is>
          <t>000781</t>
        </is>
      </c>
      <c r="D174" s="4" t="n">
        <v>45128</v>
      </c>
      <c r="E174" s="2" t="inlineStr">
        <is>
          <t>16:45</t>
        </is>
      </c>
      <c r="F174" s="5" t="n">
        <v>274.17</v>
      </c>
      <c r="G174" s="5" t="n"/>
      <c r="H174" s="5" t="n"/>
      <c r="I174" s="5" t="n"/>
      <c r="J174" s="5" t="n">
        <v>54.83</v>
      </c>
      <c r="K174" s="5" t="n"/>
      <c r="L174" s="5" t="n"/>
      <c r="M174" s="5" t="n"/>
      <c r="N174" s="5" t="n"/>
      <c r="O174" s="5" t="n">
        <v>329</v>
      </c>
      <c r="P174" s="5" t="n">
        <v>329</v>
      </c>
      <c r="Q174" s="5" t="n"/>
      <c r="R174" s="5" t="n"/>
      <c r="S174" s="5">
        <f>F174*20%</f>
        <v/>
      </c>
      <c r="T174" s="5">
        <f>J174-S174</f>
        <v/>
      </c>
      <c r="U174" s="5">
        <f>F174+J174</f>
        <v/>
      </c>
      <c r="V174" s="5">
        <f>O174-U174</f>
        <v/>
      </c>
      <c r="W174" s="5">
        <f>O174-(P174+R174)</f>
        <v/>
      </c>
      <c r="X174" s="5">
        <f>O174-(P174+Q174+R174)</f>
        <v/>
      </c>
    </row>
    <row r="175">
      <c r="A175" s="2" t="inlineStr">
        <is>
          <t>EJ010823.TXT</t>
        </is>
      </c>
      <c r="B175" s="3" t="inlineStr">
        <is>
          <t>001225</t>
        </is>
      </c>
      <c r="C175" s="3" t="inlineStr">
        <is>
          <t>000782</t>
        </is>
      </c>
      <c r="D175" s="4" t="n">
        <v>45129</v>
      </c>
      <c r="E175" s="2" t="inlineStr">
        <is>
          <t>13:27</t>
        </is>
      </c>
      <c r="F175" s="5" t="n">
        <v>733.33</v>
      </c>
      <c r="G175" s="5" t="n"/>
      <c r="H175" s="5" t="n"/>
      <c r="I175" s="5" t="n"/>
      <c r="J175" s="5" t="n">
        <v>146.67</v>
      </c>
      <c r="K175" s="5" t="n"/>
      <c r="L175" s="5" t="n"/>
      <c r="M175" s="5" t="n"/>
      <c r="N175" s="5" t="n"/>
      <c r="O175" s="5" t="n">
        <v>880</v>
      </c>
      <c r="P175" s="5" t="n">
        <v>880</v>
      </c>
      <c r="Q175" s="5" t="n"/>
      <c r="R175" s="5" t="n"/>
      <c r="S175" s="5">
        <f>F175*20%</f>
        <v/>
      </c>
      <c r="T175" s="5">
        <f>J175-S175</f>
        <v/>
      </c>
      <c r="U175" s="5">
        <f>F175+J175</f>
        <v/>
      </c>
      <c r="V175" s="5">
        <f>O175-U175</f>
        <v/>
      </c>
      <c r="W175" s="5">
        <f>O175-(P175+R175)</f>
        <v/>
      </c>
      <c r="X175" s="5">
        <f>O175-(P175+Q175+R175)</f>
        <v/>
      </c>
    </row>
    <row r="176">
      <c r="A176" s="2" t="inlineStr">
        <is>
          <t>EJ010823.TXT</t>
        </is>
      </c>
      <c r="B176" s="3" t="inlineStr">
        <is>
          <t>001226</t>
        </is>
      </c>
      <c r="C176" s="3" t="inlineStr">
        <is>
          <t>000783</t>
        </is>
      </c>
      <c r="D176" s="4" t="n">
        <v>45129</v>
      </c>
      <c r="E176" s="2" t="inlineStr">
        <is>
          <t>14:42</t>
        </is>
      </c>
      <c r="F176" s="5" t="n">
        <v>548.33</v>
      </c>
      <c r="G176" s="5" t="n"/>
      <c r="H176" s="5" t="n"/>
      <c r="I176" s="5" t="n"/>
      <c r="J176" s="5" t="n">
        <v>109.67</v>
      </c>
      <c r="K176" s="5" t="n"/>
      <c r="L176" s="5" t="n"/>
      <c r="M176" s="5" t="n"/>
      <c r="N176" s="5" t="n"/>
      <c r="O176" s="5" t="n">
        <v>658</v>
      </c>
      <c r="P176" s="5" t="n">
        <v>658</v>
      </c>
      <c r="Q176" s="5" t="n"/>
      <c r="R176" s="5" t="n"/>
      <c r="S176" s="5">
        <f>F176*20%</f>
        <v/>
      </c>
      <c r="T176" s="5">
        <f>J176-S176</f>
        <v/>
      </c>
      <c r="U176" s="5">
        <f>F176+J176</f>
        <v/>
      </c>
      <c r="V176" s="5">
        <f>O176-U176</f>
        <v/>
      </c>
      <c r="W176" s="5">
        <f>O176-(P176+R176)</f>
        <v/>
      </c>
      <c r="X176" s="5">
        <f>O176-(P176+Q176+R176)</f>
        <v/>
      </c>
    </row>
    <row r="177">
      <c r="A177" s="2" t="inlineStr">
        <is>
          <t>EJ010823.TXT</t>
        </is>
      </c>
      <c r="B177" s="3" t="inlineStr">
        <is>
          <t>001228</t>
        </is>
      </c>
      <c r="C177" s="3" t="inlineStr">
        <is>
          <t>000784</t>
        </is>
      </c>
      <c r="D177" s="4" t="n">
        <v>45132</v>
      </c>
      <c r="E177" s="2" t="inlineStr">
        <is>
          <t>13:52</t>
        </is>
      </c>
      <c r="F177" s="5" t="n">
        <v>474.17</v>
      </c>
      <c r="G177" s="5" t="n"/>
      <c r="H177" s="5" t="n"/>
      <c r="I177" s="5" t="n"/>
      <c r="J177" s="5" t="n">
        <v>94.83</v>
      </c>
      <c r="K177" s="5" t="n"/>
      <c r="L177" s="5" t="n"/>
      <c r="M177" s="5" t="n"/>
      <c r="N177" s="5" t="n"/>
      <c r="O177" s="5" t="n">
        <v>569</v>
      </c>
      <c r="P177" s="5" t="n"/>
      <c r="Q177" s="5" t="n">
        <v>569</v>
      </c>
      <c r="R177" s="5" t="n"/>
      <c r="S177" s="5">
        <f>F177*20%</f>
        <v/>
      </c>
      <c r="T177" s="5">
        <f>J177-S177</f>
        <v/>
      </c>
      <c r="U177" s="5">
        <f>F177+J177</f>
        <v/>
      </c>
      <c r="V177" s="5">
        <f>O177-U177</f>
        <v/>
      </c>
      <c r="W177" s="5">
        <f>O177-(P177+R177)</f>
        <v/>
      </c>
      <c r="X177" s="5">
        <f>O177-(P177+Q177+R177)</f>
        <v/>
      </c>
    </row>
    <row r="178">
      <c r="A178" s="2" t="inlineStr">
        <is>
          <t>EJ010823.TXT</t>
        </is>
      </c>
      <c r="B178" s="3" t="inlineStr">
        <is>
          <t>001229</t>
        </is>
      </c>
      <c r="C178" s="3" t="inlineStr">
        <is>
          <t>000785</t>
        </is>
      </c>
      <c r="D178" s="4" t="n">
        <v>45132</v>
      </c>
      <c r="E178" s="2" t="inlineStr">
        <is>
          <t>14:04</t>
        </is>
      </c>
      <c r="F178" s="5" t="n">
        <v>274.17</v>
      </c>
      <c r="G178" s="5" t="n"/>
      <c r="H178" s="5" t="n"/>
      <c r="I178" s="5" t="n"/>
      <c r="J178" s="5" t="n">
        <v>54.83</v>
      </c>
      <c r="K178" s="5" t="n"/>
      <c r="L178" s="5" t="n"/>
      <c r="M178" s="5" t="n"/>
      <c r="N178" s="5" t="n"/>
      <c r="O178" s="5" t="n">
        <v>329</v>
      </c>
      <c r="P178" s="5" t="n">
        <v>329</v>
      </c>
      <c r="Q178" s="5" t="n"/>
      <c r="R178" s="5" t="n"/>
      <c r="S178" s="5">
        <f>F178*20%</f>
        <v/>
      </c>
      <c r="T178" s="5">
        <f>J178-S178</f>
        <v/>
      </c>
      <c r="U178" s="5">
        <f>F178+J178</f>
        <v/>
      </c>
      <c r="V178" s="5">
        <f>O178-U178</f>
        <v/>
      </c>
      <c r="W178" s="5">
        <f>O178-(P178+R178)</f>
        <v/>
      </c>
      <c r="X178" s="5">
        <f>O178-(P178+Q178+R178)</f>
        <v/>
      </c>
    </row>
    <row r="179">
      <c r="A179" s="2" t="inlineStr">
        <is>
          <t>EJ010823.TXT</t>
        </is>
      </c>
      <c r="B179" s="3" t="inlineStr">
        <is>
          <t>001230</t>
        </is>
      </c>
      <c r="C179" s="3" t="inlineStr">
        <is>
          <t>000786</t>
        </is>
      </c>
      <c r="D179" s="4" t="n">
        <v>45133</v>
      </c>
      <c r="E179" s="2" t="inlineStr">
        <is>
          <t>09:34</t>
        </is>
      </c>
      <c r="F179" s="5" t="n">
        <v>582.5</v>
      </c>
      <c r="G179" s="5" t="n"/>
      <c r="H179" s="5" t="n"/>
      <c r="I179" s="5" t="n"/>
      <c r="J179" s="5" t="n">
        <v>116.5</v>
      </c>
      <c r="K179" s="5" t="n"/>
      <c r="L179" s="5" t="n"/>
      <c r="M179" s="5" t="n"/>
      <c r="N179" s="5" t="n"/>
      <c r="O179" s="5" t="n">
        <v>699</v>
      </c>
      <c r="P179" s="5" t="n">
        <v>699</v>
      </c>
      <c r="Q179" s="5" t="n"/>
      <c r="R179" s="5" t="n"/>
      <c r="S179" s="5">
        <f>F179*20%</f>
        <v/>
      </c>
      <c r="T179" s="5">
        <f>J179-S179</f>
        <v/>
      </c>
      <c r="U179" s="5">
        <f>F179+J179</f>
        <v/>
      </c>
      <c r="V179" s="5">
        <f>O179-U179</f>
        <v/>
      </c>
      <c r="W179" s="5">
        <f>O179-(P179+R179)</f>
        <v/>
      </c>
      <c r="X179" s="5">
        <f>O179-(P179+Q179+R179)</f>
        <v/>
      </c>
    </row>
    <row r="180">
      <c r="A180" s="2" t="inlineStr">
        <is>
          <t>EJ010823.TXT</t>
        </is>
      </c>
      <c r="B180" s="3" t="inlineStr">
        <is>
          <t>001234</t>
        </is>
      </c>
      <c r="C180" s="3" t="inlineStr">
        <is>
          <t>000787</t>
        </is>
      </c>
      <c r="D180" s="4" t="n">
        <v>45133</v>
      </c>
      <c r="E180" s="2" t="inlineStr">
        <is>
          <t>13:22</t>
        </is>
      </c>
      <c r="F180" s="5" t="n">
        <v>548.33</v>
      </c>
      <c r="G180" s="5" t="n"/>
      <c r="H180" s="5" t="n"/>
      <c r="I180" s="5" t="n"/>
      <c r="J180" s="5" t="n">
        <v>109.67</v>
      </c>
      <c r="K180" s="5" t="n"/>
      <c r="L180" s="5" t="n"/>
      <c r="M180" s="5" t="n"/>
      <c r="N180" s="5" t="n"/>
      <c r="O180" s="5" t="n">
        <v>658</v>
      </c>
      <c r="P180" s="5" t="n"/>
      <c r="Q180" s="5" t="n">
        <v>658</v>
      </c>
      <c r="R180" s="5" t="n"/>
      <c r="S180" s="5">
        <f>F180*20%</f>
        <v/>
      </c>
      <c r="T180" s="5">
        <f>J180-S180</f>
        <v/>
      </c>
      <c r="U180" s="5">
        <f>F180+J180</f>
        <v/>
      </c>
      <c r="V180" s="5">
        <f>O180-U180</f>
        <v/>
      </c>
      <c r="W180" s="5">
        <f>O180-(P180+R180)</f>
        <v/>
      </c>
      <c r="X180" s="5">
        <f>O180-(P180+Q180+R180)</f>
        <v/>
      </c>
    </row>
    <row r="181">
      <c r="A181" s="2" t="inlineStr">
        <is>
          <t>EJ010823.TXT</t>
        </is>
      </c>
      <c r="B181" s="3" t="inlineStr">
        <is>
          <t>001235</t>
        </is>
      </c>
      <c r="C181" s="3" t="inlineStr">
        <is>
          <t>000788</t>
        </is>
      </c>
      <c r="D181" s="4" t="n">
        <v>45134</v>
      </c>
      <c r="E181" s="2" t="inlineStr">
        <is>
          <t>15:29</t>
        </is>
      </c>
      <c r="F181" s="5" t="n">
        <v>548.33</v>
      </c>
      <c r="G181" s="5" t="n"/>
      <c r="H181" s="5" t="n"/>
      <c r="I181" s="5" t="n"/>
      <c r="J181" s="5" t="n">
        <v>109.67</v>
      </c>
      <c r="K181" s="5" t="n"/>
      <c r="L181" s="5" t="n"/>
      <c r="M181" s="5" t="n"/>
      <c r="N181" s="5" t="n"/>
      <c r="O181" s="5" t="n">
        <v>658</v>
      </c>
      <c r="P181" s="5" t="n">
        <v>658</v>
      </c>
      <c r="Q181" s="5" t="n"/>
      <c r="R181" s="5" t="n"/>
      <c r="S181" s="5">
        <f>F181*20%</f>
        <v/>
      </c>
      <c r="T181" s="5">
        <f>J181-S181</f>
        <v/>
      </c>
      <c r="U181" s="5">
        <f>F181+J181</f>
        <v/>
      </c>
      <c r="V181" s="5">
        <f>O181-U181</f>
        <v/>
      </c>
      <c r="W181" s="5">
        <f>O181-(P181+R181)</f>
        <v/>
      </c>
      <c r="X181" s="5">
        <f>O181-(P181+Q181+R181)</f>
        <v/>
      </c>
    </row>
    <row r="182">
      <c r="A182" s="2" t="inlineStr">
        <is>
          <t>EJ010823.TXT</t>
        </is>
      </c>
      <c r="B182" s="3" t="inlineStr">
        <is>
          <t>001236</t>
        </is>
      </c>
      <c r="C182" s="3" t="inlineStr">
        <is>
          <t>000789</t>
        </is>
      </c>
      <c r="D182" s="4" t="n">
        <v>45134</v>
      </c>
      <c r="E182" s="2" t="inlineStr">
        <is>
          <t>15:33</t>
        </is>
      </c>
      <c r="F182" s="5" t="n">
        <v>548.33</v>
      </c>
      <c r="G182" s="5" t="n"/>
      <c r="H182" s="5" t="n"/>
      <c r="I182" s="5" t="n"/>
      <c r="J182" s="5" t="n">
        <v>109.67</v>
      </c>
      <c r="K182" s="5" t="n"/>
      <c r="L182" s="5" t="n"/>
      <c r="M182" s="5" t="n"/>
      <c r="N182" s="5" t="n"/>
      <c r="O182" s="5" t="n">
        <v>658</v>
      </c>
      <c r="P182" s="5" t="n">
        <v>658</v>
      </c>
      <c r="Q182" s="5" t="n"/>
      <c r="R182" s="5" t="n"/>
      <c r="S182" s="5">
        <f>F182*20%</f>
        <v/>
      </c>
      <c r="T182" s="5">
        <f>J182-S182</f>
        <v/>
      </c>
      <c r="U182" s="5">
        <f>F182+J182</f>
        <v/>
      </c>
      <c r="V182" s="5">
        <f>O182-U182</f>
        <v/>
      </c>
      <c r="W182" s="5">
        <f>O182-(P182+R182)</f>
        <v/>
      </c>
      <c r="X182" s="5">
        <f>O182-(P182+Q182+R182)</f>
        <v/>
      </c>
    </row>
    <row r="183">
      <c r="A183" s="2" t="inlineStr">
        <is>
          <t>EJ010823.TXT</t>
        </is>
      </c>
      <c r="B183" s="3" t="inlineStr">
        <is>
          <t>001237</t>
        </is>
      </c>
      <c r="C183" s="3" t="inlineStr">
        <is>
          <t>000790</t>
        </is>
      </c>
      <c r="D183" s="4" t="n">
        <v>45134</v>
      </c>
      <c r="E183" s="2" t="inlineStr">
        <is>
          <t>15:35</t>
        </is>
      </c>
      <c r="F183" s="5" t="n">
        <v>548.33</v>
      </c>
      <c r="G183" s="5" t="n"/>
      <c r="H183" s="5" t="n"/>
      <c r="I183" s="5" t="n"/>
      <c r="J183" s="5" t="n">
        <v>109.67</v>
      </c>
      <c r="K183" s="5" t="n"/>
      <c r="L183" s="5" t="n"/>
      <c r="M183" s="5" t="n"/>
      <c r="N183" s="5" t="n"/>
      <c r="O183" s="5" t="n">
        <v>658</v>
      </c>
      <c r="P183" s="5" t="n">
        <v>658</v>
      </c>
      <c r="Q183" s="5" t="n"/>
      <c r="R183" s="5" t="n"/>
      <c r="S183" s="5">
        <f>F183*20%</f>
        <v/>
      </c>
      <c r="T183" s="5">
        <f>J183-S183</f>
        <v/>
      </c>
      <c r="U183" s="5">
        <f>F183+J183</f>
        <v/>
      </c>
      <c r="V183" s="5">
        <f>O183-U183</f>
        <v/>
      </c>
      <c r="W183" s="5">
        <f>O183-(P183+R183)</f>
        <v/>
      </c>
      <c r="X183" s="5">
        <f>O183-(P183+Q183+R183)</f>
        <v/>
      </c>
    </row>
    <row r="184">
      <c r="A184" s="2" t="inlineStr">
        <is>
          <t>EJ010823.TXT</t>
        </is>
      </c>
      <c r="B184" s="3" t="inlineStr">
        <is>
          <t>001238</t>
        </is>
      </c>
      <c r="C184" s="3" t="inlineStr">
        <is>
          <t>000791</t>
        </is>
      </c>
      <c r="D184" s="4" t="n">
        <v>45134</v>
      </c>
      <c r="E184" s="2" t="inlineStr">
        <is>
          <t>15:37</t>
        </is>
      </c>
      <c r="F184" s="5" t="n">
        <v>548.33</v>
      </c>
      <c r="G184" s="5" t="n"/>
      <c r="H184" s="5" t="n"/>
      <c r="I184" s="5" t="n"/>
      <c r="J184" s="5" t="n">
        <v>109.67</v>
      </c>
      <c r="K184" s="5" t="n"/>
      <c r="L184" s="5" t="n"/>
      <c r="M184" s="5" t="n"/>
      <c r="N184" s="5" t="n"/>
      <c r="O184" s="5" t="n">
        <v>658</v>
      </c>
      <c r="P184" s="5" t="n">
        <v>658</v>
      </c>
      <c r="Q184" s="5" t="n"/>
      <c r="R184" s="5" t="n"/>
      <c r="S184" s="5">
        <f>F184*20%</f>
        <v/>
      </c>
      <c r="T184" s="5">
        <f>J184-S184</f>
        <v/>
      </c>
      <c r="U184" s="5">
        <f>F184+J184</f>
        <v/>
      </c>
      <c r="V184" s="5">
        <f>O184-U184</f>
        <v/>
      </c>
      <c r="W184" s="5">
        <f>O184-(P184+R184)</f>
        <v/>
      </c>
      <c r="X184" s="5">
        <f>O184-(P184+Q184+R184)</f>
        <v/>
      </c>
    </row>
    <row r="185">
      <c r="A185" s="2" t="inlineStr">
        <is>
          <t>EJ010823.TXT</t>
        </is>
      </c>
      <c r="B185" s="3" t="inlineStr">
        <is>
          <t>001239</t>
        </is>
      </c>
      <c r="C185" s="3" t="inlineStr">
        <is>
          <t>000792</t>
        </is>
      </c>
      <c r="D185" s="4" t="n">
        <v>45136</v>
      </c>
      <c r="E185" s="2" t="inlineStr">
        <is>
          <t>14:30</t>
        </is>
      </c>
      <c r="F185" s="5" t="n">
        <v>131.67</v>
      </c>
      <c r="G185" s="5" t="n"/>
      <c r="H185" s="5" t="n"/>
      <c r="I185" s="5" t="n"/>
      <c r="J185" s="5" t="n">
        <v>26.33</v>
      </c>
      <c r="K185" s="5" t="n"/>
      <c r="L185" s="5" t="n"/>
      <c r="M185" s="5" t="n"/>
      <c r="N185" s="5" t="n"/>
      <c r="O185" s="5" t="n">
        <v>158</v>
      </c>
      <c r="P185" s="5" t="n">
        <v>158</v>
      </c>
      <c r="Q185" s="5" t="n"/>
      <c r="R185" s="5" t="n"/>
      <c r="S185" s="5">
        <f>F185*20%</f>
        <v/>
      </c>
      <c r="T185" s="5">
        <f>J185-S185</f>
        <v/>
      </c>
      <c r="U185" s="5">
        <f>F185+J185</f>
        <v/>
      </c>
      <c r="V185" s="5">
        <f>O185-U185</f>
        <v/>
      </c>
      <c r="W185" s="5">
        <f>O185-(P185+R185)</f>
        <v/>
      </c>
      <c r="X185" s="5">
        <f>O185-(P185+Q185+R185)</f>
        <v/>
      </c>
    </row>
    <row r="186">
      <c r="A186" s="2" t="inlineStr">
        <is>
          <t>EJ010823.TXT</t>
        </is>
      </c>
      <c r="B186" s="3" t="inlineStr">
        <is>
          <t>001240</t>
        </is>
      </c>
      <c r="C186" s="3" t="inlineStr">
        <is>
          <t>000793</t>
        </is>
      </c>
      <c r="D186" s="4" t="n">
        <v>45136</v>
      </c>
      <c r="E186" s="2" t="inlineStr">
        <is>
          <t>15:41</t>
        </is>
      </c>
      <c r="F186" s="5" t="n">
        <v>548.33</v>
      </c>
      <c r="G186" s="5" t="n"/>
      <c r="H186" s="5" t="n"/>
      <c r="I186" s="5" t="n"/>
      <c r="J186" s="5" t="n">
        <v>109.67</v>
      </c>
      <c r="K186" s="5" t="n"/>
      <c r="L186" s="5" t="n"/>
      <c r="M186" s="5" t="n"/>
      <c r="N186" s="5" t="n"/>
      <c r="O186" s="5" t="n">
        <v>658</v>
      </c>
      <c r="P186" s="5" t="n">
        <v>658</v>
      </c>
      <c r="Q186" s="5" t="n"/>
      <c r="R186" s="5" t="n"/>
      <c r="S186" s="5">
        <f>F186*20%</f>
        <v/>
      </c>
      <c r="T186" s="5">
        <f>J186-S186</f>
        <v/>
      </c>
      <c r="U186" s="5">
        <f>F186+J186</f>
        <v/>
      </c>
      <c r="V186" s="5">
        <f>O186-U186</f>
        <v/>
      </c>
      <c r="W186" s="5">
        <f>O186-(P186+R186)</f>
        <v/>
      </c>
      <c r="X186" s="5">
        <f>O186-(P186+Q186+R186)</f>
        <v/>
      </c>
    </row>
    <row r="187">
      <c r="A187" s="2" t="inlineStr">
        <is>
          <t>EJ010823.TXT</t>
        </is>
      </c>
      <c r="B187" s="3" t="inlineStr">
        <is>
          <t>001246</t>
        </is>
      </c>
      <c r="C187" s="3" t="inlineStr">
        <is>
          <t>000794</t>
        </is>
      </c>
      <c r="D187" s="4" t="n">
        <v>45136</v>
      </c>
      <c r="E187" s="2" t="inlineStr">
        <is>
          <t>15:56</t>
        </is>
      </c>
      <c r="F187" s="5" t="n">
        <v>548.33</v>
      </c>
      <c r="G187" s="5" t="n"/>
      <c r="H187" s="5" t="n"/>
      <c r="I187" s="5" t="n"/>
      <c r="J187" s="5" t="n">
        <v>109.67</v>
      </c>
      <c r="K187" s="5" t="n"/>
      <c r="L187" s="5" t="n"/>
      <c r="M187" s="5" t="n"/>
      <c r="N187" s="5" t="n"/>
      <c r="O187" s="5" t="n">
        <v>658</v>
      </c>
      <c r="P187" s="5" t="n">
        <v>658</v>
      </c>
      <c r="Q187" s="5" t="n"/>
      <c r="R187" s="5" t="n"/>
      <c r="S187" s="5">
        <f>F187*20%</f>
        <v/>
      </c>
      <c r="T187" s="5">
        <f>J187-S187</f>
        <v/>
      </c>
      <c r="U187" s="5">
        <f>F187+J187</f>
        <v/>
      </c>
      <c r="V187" s="5">
        <f>O187-U187</f>
        <v/>
      </c>
      <c r="W187" s="5">
        <f>O187-(P187+R187)</f>
        <v/>
      </c>
      <c r="X187" s="5">
        <f>O187-(P187+Q187+R187)</f>
        <v/>
      </c>
    </row>
    <row r="188">
      <c r="A188" s="2" t="inlineStr">
        <is>
          <t>EJ010823.TXT</t>
        </is>
      </c>
      <c r="B188" s="3" t="inlineStr">
        <is>
          <t>001249</t>
        </is>
      </c>
      <c r="C188" s="3" t="inlineStr">
        <is>
          <t>000795</t>
        </is>
      </c>
      <c r="D188" s="4" t="n">
        <v>45138</v>
      </c>
      <c r="E188" s="2" t="inlineStr">
        <is>
          <t>12:34</t>
        </is>
      </c>
      <c r="F188" s="5" t="n">
        <v>822.5</v>
      </c>
      <c r="G188" s="5" t="n"/>
      <c r="H188" s="5" t="n"/>
      <c r="I188" s="5" t="n"/>
      <c r="J188" s="5" t="n">
        <v>164.5</v>
      </c>
      <c r="K188" s="5" t="n"/>
      <c r="L188" s="5" t="n"/>
      <c r="M188" s="5" t="n"/>
      <c r="N188" s="5" t="n"/>
      <c r="O188" s="5" t="n">
        <v>987</v>
      </c>
      <c r="P188" s="5" t="n">
        <v>987</v>
      </c>
      <c r="Q188" s="5" t="n"/>
      <c r="R188" s="5" t="n"/>
      <c r="S188" s="5">
        <f>F188*20%</f>
        <v/>
      </c>
      <c r="T188" s="5">
        <f>J188-S188</f>
        <v/>
      </c>
      <c r="U188" s="5">
        <f>F188+J188</f>
        <v/>
      </c>
      <c r="V188" s="5">
        <f>O188-U188</f>
        <v/>
      </c>
      <c r="W188" s="5">
        <f>O188-(P188+R188)</f>
        <v/>
      </c>
      <c r="X188" s="5">
        <f>O188-(P188+Q188+R188)</f>
        <v/>
      </c>
    </row>
    <row r="189">
      <c r="A189" s="2" t="inlineStr">
        <is>
          <t>EJ010923.TXT</t>
        </is>
      </c>
      <c r="B189" s="3" t="inlineStr">
        <is>
          <t>001260</t>
        </is>
      </c>
      <c r="C189" s="3" t="inlineStr">
        <is>
          <t>000796</t>
        </is>
      </c>
      <c r="D189" s="4" t="n">
        <v>45140</v>
      </c>
      <c r="E189" s="2" t="inlineStr">
        <is>
          <t>10:14</t>
        </is>
      </c>
      <c r="F189" s="5" t="n">
        <v>274.17</v>
      </c>
      <c r="G189" s="5" t="n"/>
      <c r="H189" s="5" t="n"/>
      <c r="I189" s="5" t="n"/>
      <c r="J189" s="5" t="n">
        <v>54.83</v>
      </c>
      <c r="K189" s="5" t="n"/>
      <c r="L189" s="5" t="n"/>
      <c r="M189" s="5" t="n"/>
      <c r="N189" s="5" t="n"/>
      <c r="O189" s="5" t="n">
        <v>329</v>
      </c>
      <c r="P189" s="5" t="n">
        <v>329</v>
      </c>
      <c r="Q189" s="5" t="n"/>
      <c r="R189" s="5" t="n"/>
      <c r="S189" s="5">
        <f>F189*20%</f>
        <v/>
      </c>
      <c r="T189" s="5">
        <f>J189-S189</f>
        <v/>
      </c>
      <c r="U189" s="5">
        <f>F189+J189</f>
        <v/>
      </c>
      <c r="V189" s="5">
        <f>O189-U189</f>
        <v/>
      </c>
      <c r="W189" s="5">
        <f>O189-(P189+R189)</f>
        <v/>
      </c>
      <c r="X189" s="5">
        <f>O189-(P189+Q189+R189)</f>
        <v/>
      </c>
    </row>
    <row r="190">
      <c r="A190" s="2" t="inlineStr">
        <is>
          <t>EJ010923.TXT</t>
        </is>
      </c>
      <c r="B190" s="3" t="inlineStr">
        <is>
          <t>001261</t>
        </is>
      </c>
      <c r="C190" s="3" t="inlineStr">
        <is>
          <t>000797</t>
        </is>
      </c>
      <c r="D190" s="4" t="n">
        <v>45142</v>
      </c>
      <c r="E190" s="2" t="inlineStr">
        <is>
          <t>14:28</t>
        </is>
      </c>
      <c r="F190" s="5" t="n">
        <v>1096.67</v>
      </c>
      <c r="G190" s="5" t="n"/>
      <c r="H190" s="5" t="n"/>
      <c r="I190" s="5" t="n"/>
      <c r="J190" s="5" t="n">
        <v>219.33</v>
      </c>
      <c r="K190" s="5" t="n"/>
      <c r="L190" s="5" t="n"/>
      <c r="M190" s="5" t="n"/>
      <c r="N190" s="5" t="n"/>
      <c r="O190" s="5" t="n">
        <v>1316</v>
      </c>
      <c r="P190" s="5" t="n">
        <v>1316</v>
      </c>
      <c r="Q190" s="5" t="n"/>
      <c r="R190" s="5" t="n"/>
      <c r="S190" s="5">
        <f>F190*20%</f>
        <v/>
      </c>
      <c r="T190" s="5">
        <f>J190-S190</f>
        <v/>
      </c>
      <c r="U190" s="5">
        <f>F190+J190</f>
        <v/>
      </c>
      <c r="V190" s="5">
        <f>O190-U190</f>
        <v/>
      </c>
      <c r="W190" s="5">
        <f>O190-(P190+R190)</f>
        <v/>
      </c>
      <c r="X190" s="5">
        <f>O190-(P190+Q190+R190)</f>
        <v/>
      </c>
    </row>
    <row r="191">
      <c r="A191" s="2" t="inlineStr">
        <is>
          <t>EJ010923.TXT</t>
        </is>
      </c>
      <c r="B191" s="3" t="inlineStr">
        <is>
          <t>001262</t>
        </is>
      </c>
      <c r="C191" s="3" t="inlineStr">
        <is>
          <t>000798</t>
        </is>
      </c>
      <c r="D191" s="4" t="n">
        <v>45143</v>
      </c>
      <c r="E191" s="2" t="inlineStr">
        <is>
          <t>14:05</t>
        </is>
      </c>
      <c r="F191" s="5" t="n">
        <v>548.33</v>
      </c>
      <c r="G191" s="5" t="n"/>
      <c r="H191" s="5" t="n"/>
      <c r="I191" s="5" t="n"/>
      <c r="J191" s="5" t="n">
        <v>109.67</v>
      </c>
      <c r="K191" s="5" t="n"/>
      <c r="L191" s="5" t="n"/>
      <c r="M191" s="5" t="n"/>
      <c r="N191" s="5" t="n"/>
      <c r="O191" s="5" t="n">
        <v>658</v>
      </c>
      <c r="P191" s="5" t="n">
        <v>658</v>
      </c>
      <c r="Q191" s="5" t="n"/>
      <c r="R191" s="5" t="n"/>
      <c r="S191" s="5">
        <f>F191*20%</f>
        <v/>
      </c>
      <c r="T191" s="5">
        <f>J191-S191</f>
        <v/>
      </c>
      <c r="U191" s="5">
        <f>F191+J191</f>
        <v/>
      </c>
      <c r="V191" s="5">
        <f>O191-U191</f>
        <v/>
      </c>
      <c r="W191" s="5">
        <f>O191-(P191+R191)</f>
        <v/>
      </c>
      <c r="X191" s="5">
        <f>O191-(P191+Q191+R191)</f>
        <v/>
      </c>
    </row>
    <row r="192">
      <c r="A192" s="2" t="inlineStr">
        <is>
          <t>EJ010923.TXT</t>
        </is>
      </c>
      <c r="B192" s="3" t="inlineStr">
        <is>
          <t>001263</t>
        </is>
      </c>
      <c r="C192" s="3" t="inlineStr">
        <is>
          <t>000799</t>
        </is>
      </c>
      <c r="D192" s="4" t="n">
        <v>45143</v>
      </c>
      <c r="E192" s="2" t="inlineStr">
        <is>
          <t>15:38</t>
        </is>
      </c>
      <c r="F192" s="5" t="n">
        <v>1096.67</v>
      </c>
      <c r="G192" s="5" t="n"/>
      <c r="H192" s="5" t="n"/>
      <c r="I192" s="5" t="n"/>
      <c r="J192" s="5" t="n">
        <v>219.33</v>
      </c>
      <c r="K192" s="5" t="n"/>
      <c r="L192" s="5" t="n"/>
      <c r="M192" s="5" t="n"/>
      <c r="N192" s="5" t="n"/>
      <c r="O192" s="5" t="n">
        <v>1316</v>
      </c>
      <c r="P192" s="5" t="n">
        <v>1316</v>
      </c>
      <c r="Q192" s="5" t="n"/>
      <c r="R192" s="5" t="n"/>
      <c r="S192" s="5">
        <f>F192*20%</f>
        <v/>
      </c>
      <c r="T192" s="5">
        <f>J192-S192</f>
        <v/>
      </c>
      <c r="U192" s="5">
        <f>F192+J192</f>
        <v/>
      </c>
      <c r="V192" s="5">
        <f>O192-U192</f>
        <v/>
      </c>
      <c r="W192" s="5">
        <f>O192-(P192+R192)</f>
        <v/>
      </c>
      <c r="X192" s="5">
        <f>O192-(P192+Q192+R192)</f>
        <v/>
      </c>
    </row>
    <row r="193">
      <c r="A193" s="2" t="inlineStr">
        <is>
          <t>EJ010923.TXT</t>
        </is>
      </c>
      <c r="B193" s="3" t="inlineStr">
        <is>
          <t>001264</t>
        </is>
      </c>
      <c r="C193" s="3" t="inlineStr">
        <is>
          <t>000800</t>
        </is>
      </c>
      <c r="D193" s="4" t="n">
        <v>45148</v>
      </c>
      <c r="E193" s="2" t="inlineStr">
        <is>
          <t>13:03</t>
        </is>
      </c>
      <c r="F193" s="5" t="n">
        <v>175</v>
      </c>
      <c r="G193" s="5" t="n"/>
      <c r="H193" s="5" t="n"/>
      <c r="I193" s="5" t="n"/>
      <c r="J193" s="5" t="n">
        <v>35</v>
      </c>
      <c r="K193" s="5" t="n"/>
      <c r="L193" s="5" t="n"/>
      <c r="M193" s="5" t="n"/>
      <c r="N193" s="5" t="n"/>
      <c r="O193" s="5" t="n">
        <v>210</v>
      </c>
      <c r="P193" s="5" t="n"/>
      <c r="Q193" s="5" t="n">
        <v>210</v>
      </c>
      <c r="R193" s="5" t="n"/>
      <c r="S193" s="5">
        <f>F193*20%</f>
        <v/>
      </c>
      <c r="T193" s="5">
        <f>J193-S193</f>
        <v/>
      </c>
      <c r="U193" s="5">
        <f>F193+J193</f>
        <v/>
      </c>
      <c r="V193" s="5">
        <f>O193-U193</f>
        <v/>
      </c>
      <c r="W193" s="5">
        <f>O193-(P193+R193)</f>
        <v/>
      </c>
      <c r="X193" s="5">
        <f>O193-(P193+Q193+R193)</f>
        <v/>
      </c>
    </row>
    <row r="194">
      <c r="A194" s="2" t="inlineStr">
        <is>
          <t>EJ010923.TXT</t>
        </is>
      </c>
      <c r="B194" s="3" t="inlineStr">
        <is>
          <t>001265</t>
        </is>
      </c>
      <c r="C194" s="3" t="inlineStr">
        <is>
          <t>000801</t>
        </is>
      </c>
      <c r="D194" s="4" t="n">
        <v>45150</v>
      </c>
      <c r="E194" s="2" t="inlineStr">
        <is>
          <t>13:23</t>
        </is>
      </c>
      <c r="F194" s="5" t="n">
        <v>548.33</v>
      </c>
      <c r="G194" s="5" t="n"/>
      <c r="H194" s="5" t="n"/>
      <c r="I194" s="5" t="n"/>
      <c r="J194" s="5" t="n">
        <v>109.67</v>
      </c>
      <c r="K194" s="5" t="n"/>
      <c r="L194" s="5" t="n"/>
      <c r="M194" s="5" t="n"/>
      <c r="N194" s="5" t="n"/>
      <c r="O194" s="5" t="n">
        <v>658</v>
      </c>
      <c r="P194" s="5" t="n">
        <v>658</v>
      </c>
      <c r="Q194" s="5" t="n"/>
      <c r="R194" s="5" t="n"/>
      <c r="S194" s="5">
        <f>F194*20%</f>
        <v/>
      </c>
      <c r="T194" s="5">
        <f>J194-S194</f>
        <v/>
      </c>
      <c r="U194" s="5">
        <f>F194+J194</f>
        <v/>
      </c>
      <c r="V194" s="5">
        <f>O194-U194</f>
        <v/>
      </c>
      <c r="W194" s="5">
        <f>O194-(P194+R194)</f>
        <v/>
      </c>
      <c r="X194" s="5">
        <f>O194-(P194+Q194+R194)</f>
        <v/>
      </c>
    </row>
    <row r="195">
      <c r="A195" s="2" t="inlineStr">
        <is>
          <t>EJ010923.TXT</t>
        </is>
      </c>
      <c r="B195" s="3" t="inlineStr">
        <is>
          <t>001266</t>
        </is>
      </c>
      <c r="C195" s="3" t="inlineStr">
        <is>
          <t>000802</t>
        </is>
      </c>
      <c r="D195" s="4" t="n">
        <v>45150</v>
      </c>
      <c r="E195" s="2" t="inlineStr">
        <is>
          <t>14:52</t>
        </is>
      </c>
      <c r="F195" s="5" t="n">
        <v>274.17</v>
      </c>
      <c r="G195" s="5" t="n"/>
      <c r="H195" s="5" t="n"/>
      <c r="I195" s="5" t="n"/>
      <c r="J195" s="5" t="n">
        <v>54.83</v>
      </c>
      <c r="K195" s="5" t="n"/>
      <c r="L195" s="5" t="n"/>
      <c r="M195" s="5" t="n"/>
      <c r="N195" s="5" t="n"/>
      <c r="O195" s="5" t="n">
        <v>329</v>
      </c>
      <c r="P195" s="5" t="n"/>
      <c r="Q195" s="5" t="n">
        <v>329</v>
      </c>
      <c r="R195" s="5" t="n"/>
      <c r="S195" s="5">
        <f>F195*20%</f>
        <v/>
      </c>
      <c r="T195" s="5">
        <f>J195-S195</f>
        <v/>
      </c>
      <c r="U195" s="5">
        <f>F195+J195</f>
        <v/>
      </c>
      <c r="V195" s="5">
        <f>O195-U195</f>
        <v/>
      </c>
      <c r="W195" s="5">
        <f>O195-(P195+R195)</f>
        <v/>
      </c>
      <c r="X195" s="5">
        <f>O195-(P195+Q195+R195)</f>
        <v/>
      </c>
    </row>
    <row r="196">
      <c r="A196" s="2" t="inlineStr">
        <is>
          <t>EJ010923.TXT</t>
        </is>
      </c>
      <c r="B196" s="3" t="inlineStr">
        <is>
          <t>001269</t>
        </is>
      </c>
      <c r="C196" s="3" t="inlineStr">
        <is>
          <t>000803</t>
        </is>
      </c>
      <c r="D196" s="4" t="n">
        <v>45152</v>
      </c>
      <c r="E196" s="2" t="inlineStr">
        <is>
          <t>15:02</t>
        </is>
      </c>
      <c r="F196" s="5" t="n">
        <v>1645</v>
      </c>
      <c r="G196" s="5" t="n"/>
      <c r="H196" s="5" t="n"/>
      <c r="I196" s="5" t="n"/>
      <c r="J196" s="5" t="n">
        <v>329</v>
      </c>
      <c r="K196" s="5" t="n"/>
      <c r="L196" s="5" t="n"/>
      <c r="M196" s="5" t="n"/>
      <c r="N196" s="5" t="n"/>
      <c r="O196" s="5" t="n">
        <v>1974</v>
      </c>
      <c r="P196" s="5" t="n"/>
      <c r="Q196" s="5" t="n">
        <v>1974</v>
      </c>
      <c r="R196" s="5" t="n"/>
      <c r="S196" s="5">
        <f>F196*20%</f>
        <v/>
      </c>
      <c r="T196" s="5">
        <f>J196-S196</f>
        <v/>
      </c>
      <c r="U196" s="5">
        <f>F196+J196</f>
        <v/>
      </c>
      <c r="V196" s="5">
        <f>O196-U196</f>
        <v/>
      </c>
      <c r="W196" s="5">
        <f>O196-(P196+R196)</f>
        <v/>
      </c>
      <c r="X196" s="5">
        <f>O196-(P196+Q196+R196)</f>
        <v/>
      </c>
    </row>
    <row r="197">
      <c r="A197" s="2" t="inlineStr">
        <is>
          <t>EJ010923.TXT</t>
        </is>
      </c>
      <c r="B197" s="3" t="inlineStr">
        <is>
          <t>001270</t>
        </is>
      </c>
      <c r="C197" s="3" t="inlineStr">
        <is>
          <t>000804</t>
        </is>
      </c>
      <c r="D197" s="4" t="n">
        <v>45154</v>
      </c>
      <c r="E197" s="2" t="inlineStr">
        <is>
          <t>13:36</t>
        </is>
      </c>
      <c r="F197" s="5" t="n">
        <v>274.17</v>
      </c>
      <c r="G197" s="5" t="n"/>
      <c r="H197" s="5" t="n"/>
      <c r="I197" s="5" t="n"/>
      <c r="J197" s="5" t="n">
        <v>54.83</v>
      </c>
      <c r="K197" s="5" t="n"/>
      <c r="L197" s="5" t="n"/>
      <c r="M197" s="5" t="n"/>
      <c r="N197" s="5" t="n"/>
      <c r="O197" s="5" t="n">
        <v>329</v>
      </c>
      <c r="P197" s="5" t="n">
        <v>329</v>
      </c>
      <c r="Q197" s="5" t="n"/>
      <c r="R197" s="5" t="n"/>
      <c r="S197" s="5">
        <f>F197*20%</f>
        <v/>
      </c>
      <c r="T197" s="5">
        <f>J197-S197</f>
        <v/>
      </c>
      <c r="U197" s="5">
        <f>F197+J197</f>
        <v/>
      </c>
      <c r="V197" s="5">
        <f>O197-U197</f>
        <v/>
      </c>
      <c r="W197" s="5">
        <f>O197-(P197+R197)</f>
        <v/>
      </c>
      <c r="X197" s="5">
        <f>O197-(P197+Q197+R197)</f>
        <v/>
      </c>
    </row>
    <row r="198">
      <c r="A198" s="2" t="inlineStr">
        <is>
          <t>EJ010923.TXT</t>
        </is>
      </c>
      <c r="B198" s="3" t="inlineStr">
        <is>
          <t>001271</t>
        </is>
      </c>
      <c r="C198" s="3" t="inlineStr">
        <is>
          <t>000805</t>
        </is>
      </c>
      <c r="D198" s="4" t="n">
        <v>45156</v>
      </c>
      <c r="E198" s="2" t="inlineStr">
        <is>
          <t>16:41</t>
        </is>
      </c>
      <c r="F198" s="5" t="n">
        <v>73.33</v>
      </c>
      <c r="G198" s="5" t="n"/>
      <c r="H198" s="5" t="n"/>
      <c r="I198" s="5" t="n"/>
      <c r="J198" s="5" t="n">
        <v>14.67</v>
      </c>
      <c r="K198" s="5" t="n"/>
      <c r="L198" s="5" t="n"/>
      <c r="M198" s="5" t="n"/>
      <c r="N198" s="5" t="n"/>
      <c r="O198" s="5" t="n">
        <v>88</v>
      </c>
      <c r="P198" s="5" t="n"/>
      <c r="Q198" s="5" t="n">
        <v>88</v>
      </c>
      <c r="R198" s="5" t="n"/>
      <c r="S198" s="5">
        <f>F198*20%</f>
        <v/>
      </c>
      <c r="T198" s="5">
        <f>J198-S198</f>
        <v/>
      </c>
      <c r="U198" s="5">
        <f>F198+J198</f>
        <v/>
      </c>
      <c r="V198" s="5">
        <f>O198-U198</f>
        <v/>
      </c>
      <c r="W198" s="5">
        <f>O198-(P198+R198)</f>
        <v/>
      </c>
      <c r="X198" s="5">
        <f>O198-(P198+Q198+R198)</f>
        <v/>
      </c>
    </row>
    <row r="199">
      <c r="A199" s="2" t="inlineStr">
        <is>
          <t>EJ010923.TXT</t>
        </is>
      </c>
      <c r="B199" s="3" t="inlineStr">
        <is>
          <t>001272</t>
        </is>
      </c>
      <c r="C199" s="3" t="inlineStr">
        <is>
          <t>000806</t>
        </is>
      </c>
      <c r="D199" s="4" t="n">
        <v>45157</v>
      </c>
      <c r="E199" s="2" t="inlineStr">
        <is>
          <t>13:14</t>
        </is>
      </c>
      <c r="F199" s="5" t="n">
        <v>568.33</v>
      </c>
      <c r="G199" s="5" t="n"/>
      <c r="H199" s="5" t="n"/>
      <c r="I199" s="5" t="n"/>
      <c r="J199" s="5" t="n">
        <v>113.67</v>
      </c>
      <c r="K199" s="5" t="n"/>
      <c r="L199" s="5" t="n"/>
      <c r="M199" s="5" t="n"/>
      <c r="N199" s="5" t="n"/>
      <c r="O199" s="5" t="n">
        <v>682</v>
      </c>
      <c r="P199" s="5" t="n">
        <v>682</v>
      </c>
      <c r="Q199" s="5" t="n"/>
      <c r="R199" s="5" t="n"/>
      <c r="S199" s="5">
        <f>F199*20%</f>
        <v/>
      </c>
      <c r="T199" s="5">
        <f>J199-S199</f>
        <v/>
      </c>
      <c r="U199" s="5">
        <f>F199+J199</f>
        <v/>
      </c>
      <c r="V199" s="5">
        <f>O199-U199</f>
        <v/>
      </c>
      <c r="W199" s="5">
        <f>O199-(P199+R199)</f>
        <v/>
      </c>
      <c r="X199" s="5">
        <f>O199-(P199+Q199+R199)</f>
        <v/>
      </c>
    </row>
    <row r="200">
      <c r="A200" s="2" t="inlineStr">
        <is>
          <t>EJ010923.TXT</t>
        </is>
      </c>
      <c r="B200" s="3" t="inlineStr">
        <is>
          <t>001273</t>
        </is>
      </c>
      <c r="C200" s="3" t="inlineStr">
        <is>
          <t>000807</t>
        </is>
      </c>
      <c r="D200" s="4" t="n">
        <v>45157</v>
      </c>
      <c r="E200" s="2" t="inlineStr">
        <is>
          <t>16:25</t>
        </is>
      </c>
      <c r="F200" s="5" t="n">
        <v>1096.67</v>
      </c>
      <c r="G200" s="5" t="n"/>
      <c r="H200" s="5" t="n"/>
      <c r="I200" s="5" t="n"/>
      <c r="J200" s="5" t="n">
        <v>219.33</v>
      </c>
      <c r="K200" s="5" t="n"/>
      <c r="L200" s="5" t="n"/>
      <c r="M200" s="5" t="n"/>
      <c r="N200" s="5" t="n"/>
      <c r="O200" s="5" t="n">
        <v>1316</v>
      </c>
      <c r="P200" s="5" t="n">
        <v>1016</v>
      </c>
      <c r="Q200" s="5" t="n">
        <v>300</v>
      </c>
      <c r="R200" s="5" t="n"/>
      <c r="S200" s="5">
        <f>F200*20%</f>
        <v/>
      </c>
      <c r="T200" s="5">
        <f>J200-S200</f>
        <v/>
      </c>
      <c r="U200" s="5">
        <f>F200+J200</f>
        <v/>
      </c>
      <c r="V200" s="5">
        <f>O200-U200</f>
        <v/>
      </c>
      <c r="W200" s="5">
        <f>O200-(P200+R200)</f>
        <v/>
      </c>
      <c r="X200" s="5">
        <f>O200-(P200+Q200+R200)</f>
        <v/>
      </c>
    </row>
    <row r="201">
      <c r="A201" s="2" t="inlineStr">
        <is>
          <t>EJ010923.TXT</t>
        </is>
      </c>
      <c r="B201" s="3" t="inlineStr">
        <is>
          <t>001274</t>
        </is>
      </c>
      <c r="C201" s="3" t="inlineStr">
        <is>
          <t>000808</t>
        </is>
      </c>
      <c r="D201" s="4" t="n">
        <v>45157</v>
      </c>
      <c r="E201" s="2" t="inlineStr">
        <is>
          <t>16:41</t>
        </is>
      </c>
      <c r="F201" s="5" t="n">
        <v>974.17</v>
      </c>
      <c r="G201" s="5" t="n"/>
      <c r="H201" s="5" t="n"/>
      <c r="I201" s="5" t="n"/>
      <c r="J201" s="5" t="n">
        <v>194.83</v>
      </c>
      <c r="K201" s="5" t="n"/>
      <c r="L201" s="5" t="n"/>
      <c r="M201" s="5" t="n"/>
      <c r="N201" s="5" t="n"/>
      <c r="O201" s="5" t="n">
        <v>1169</v>
      </c>
      <c r="P201" s="5" t="n">
        <v>1169</v>
      </c>
      <c r="Q201" s="5" t="n"/>
      <c r="R201" s="5" t="n"/>
      <c r="S201" s="5">
        <f>F201*20%</f>
        <v/>
      </c>
      <c r="T201" s="5">
        <f>J201-S201</f>
        <v/>
      </c>
      <c r="U201" s="5">
        <f>F201+J201</f>
        <v/>
      </c>
      <c r="V201" s="5">
        <f>O201-U201</f>
        <v/>
      </c>
      <c r="W201" s="5">
        <f>O201-(P201+R201)</f>
        <v/>
      </c>
      <c r="X201" s="5">
        <f>O201-(P201+Q201+R201)</f>
        <v/>
      </c>
    </row>
    <row r="202">
      <c r="A202" s="2" t="inlineStr">
        <is>
          <t>EJ010923.TXT</t>
        </is>
      </c>
      <c r="B202" s="3" t="inlineStr">
        <is>
          <t>001275</t>
        </is>
      </c>
      <c r="C202" s="3" t="inlineStr">
        <is>
          <t>000809</t>
        </is>
      </c>
      <c r="D202" s="4" t="n">
        <v>45163</v>
      </c>
      <c r="E202" s="2" t="inlineStr">
        <is>
          <t>11:21</t>
        </is>
      </c>
      <c r="F202" s="5" t="n">
        <v>66.33</v>
      </c>
      <c r="G202" s="5" t="n"/>
      <c r="H202" s="5" t="n"/>
      <c r="I202" s="5" t="n"/>
      <c r="J202" s="5" t="n">
        <v>13.27</v>
      </c>
      <c r="K202" s="5" t="n"/>
      <c r="L202" s="5" t="n"/>
      <c r="M202" s="5" t="n"/>
      <c r="N202" s="5" t="n"/>
      <c r="O202" s="5" t="n">
        <v>79.59999999999999</v>
      </c>
      <c r="P202" s="5" t="n"/>
      <c r="Q202" s="5" t="n">
        <v>79.59999999999999</v>
      </c>
      <c r="R202" s="5" t="n"/>
      <c r="S202" s="5">
        <f>F202*20%</f>
        <v/>
      </c>
      <c r="T202" s="5">
        <f>J202-S202</f>
        <v/>
      </c>
      <c r="U202" s="5">
        <f>F202+J202</f>
        <v/>
      </c>
      <c r="V202" s="5">
        <f>O202-U202</f>
        <v/>
      </c>
      <c r="W202" s="5">
        <f>O202-(P202+R202)</f>
        <v/>
      </c>
      <c r="X202" s="5">
        <f>O202-(P202+Q202+R202)</f>
        <v/>
      </c>
    </row>
    <row r="203">
      <c r="A203" s="2" t="inlineStr">
        <is>
          <t>EJ010923.TXT</t>
        </is>
      </c>
      <c r="B203" s="3" t="inlineStr">
        <is>
          <t>001276</t>
        </is>
      </c>
      <c r="C203" s="3" t="inlineStr">
        <is>
          <t>000810</t>
        </is>
      </c>
      <c r="D203" s="4" t="n">
        <v>45166</v>
      </c>
      <c r="E203" s="2" t="inlineStr">
        <is>
          <t>14:30</t>
        </is>
      </c>
      <c r="F203" s="5" t="n">
        <v>1919.17</v>
      </c>
      <c r="G203" s="5" t="n"/>
      <c r="H203" s="5" t="n"/>
      <c r="I203" s="5" t="n"/>
      <c r="J203" s="5" t="n">
        <v>383.83</v>
      </c>
      <c r="K203" s="5" t="n"/>
      <c r="L203" s="5" t="n"/>
      <c r="M203" s="5" t="n"/>
      <c r="N203" s="5" t="n"/>
      <c r="O203" s="5" t="n">
        <v>2303</v>
      </c>
      <c r="P203" s="5" t="n">
        <v>2303</v>
      </c>
      <c r="Q203" s="5" t="n"/>
      <c r="R203" s="5" t="n"/>
      <c r="S203" s="5">
        <f>F203*20%</f>
        <v/>
      </c>
      <c r="T203" s="5">
        <f>J203-S203</f>
        <v/>
      </c>
      <c r="U203" s="5">
        <f>F203+J203</f>
        <v/>
      </c>
      <c r="V203" s="5">
        <f>O203-U203</f>
        <v/>
      </c>
      <c r="W203" s="5">
        <f>O203-(P203+R203)</f>
        <v/>
      </c>
      <c r="X203" s="5">
        <f>O203-(P203+Q203+R203)</f>
        <v/>
      </c>
    </row>
    <row r="204">
      <c r="A204" s="2" t="inlineStr">
        <is>
          <t>EJ010923.TXT</t>
        </is>
      </c>
      <c r="B204" s="3" t="inlineStr">
        <is>
          <t>001277</t>
        </is>
      </c>
      <c r="C204" s="3" t="inlineStr">
        <is>
          <t>000811</t>
        </is>
      </c>
      <c r="D204" s="4" t="n">
        <v>45166</v>
      </c>
      <c r="E204" s="2" t="inlineStr">
        <is>
          <t>15:40</t>
        </is>
      </c>
      <c r="F204" s="5" t="n">
        <v>582.5</v>
      </c>
      <c r="G204" s="5" t="n"/>
      <c r="H204" s="5" t="n"/>
      <c r="I204" s="5" t="n"/>
      <c r="J204" s="5" t="n">
        <v>116.5</v>
      </c>
      <c r="K204" s="5" t="n"/>
      <c r="L204" s="5" t="n"/>
      <c r="M204" s="5" t="n"/>
      <c r="N204" s="5" t="n"/>
      <c r="O204" s="5" t="n">
        <v>699</v>
      </c>
      <c r="P204" s="5" t="n"/>
      <c r="Q204" s="5" t="n">
        <v>699</v>
      </c>
      <c r="R204" s="5" t="n"/>
      <c r="S204" s="5">
        <f>F204*20%</f>
        <v/>
      </c>
      <c r="T204" s="5">
        <f>J204-S204</f>
        <v/>
      </c>
      <c r="U204" s="5">
        <f>F204+J204</f>
        <v/>
      </c>
      <c r="V204" s="5">
        <f>O204-U204</f>
        <v/>
      </c>
      <c r="W204" s="5">
        <f>O204-(P204+R204)</f>
        <v/>
      </c>
      <c r="X204" s="5">
        <f>O204-(P204+Q204+R204)</f>
        <v/>
      </c>
    </row>
    <row r="205">
      <c r="A205" s="2" t="inlineStr">
        <is>
          <t>EJ010923.TXT</t>
        </is>
      </c>
      <c r="B205" s="3" t="inlineStr">
        <is>
          <t>001278</t>
        </is>
      </c>
      <c r="C205" s="3" t="inlineStr">
        <is>
          <t>000812</t>
        </is>
      </c>
      <c r="D205" s="4" t="n">
        <v>45167</v>
      </c>
      <c r="E205" s="2" t="inlineStr">
        <is>
          <t>08:52</t>
        </is>
      </c>
      <c r="F205" s="5" t="n">
        <v>199.17</v>
      </c>
      <c r="G205" s="5" t="n"/>
      <c r="H205" s="5" t="n"/>
      <c r="I205" s="5" t="n"/>
      <c r="J205" s="5" t="n">
        <v>39.83</v>
      </c>
      <c r="K205" s="5" t="n"/>
      <c r="L205" s="5" t="n"/>
      <c r="M205" s="5" t="n"/>
      <c r="N205" s="5" t="n"/>
      <c r="O205" s="5" t="n">
        <v>239</v>
      </c>
      <c r="P205" s="5" t="n"/>
      <c r="Q205" s="5" t="n">
        <v>239</v>
      </c>
      <c r="R205" s="5" t="n"/>
      <c r="S205" s="5">
        <f>F205*20%</f>
        <v/>
      </c>
      <c r="T205" s="5">
        <f>J205-S205</f>
        <v/>
      </c>
      <c r="U205" s="5">
        <f>F205+J205</f>
        <v/>
      </c>
      <c r="V205" s="5">
        <f>O205-U205</f>
        <v/>
      </c>
      <c r="W205" s="5">
        <f>O205-(P205+R205)</f>
        <v/>
      </c>
      <c r="X205" s="5">
        <f>O205-(P205+Q205+R205)</f>
        <v/>
      </c>
    </row>
    <row r="206">
      <c r="A206" s="2" t="inlineStr">
        <is>
          <t>EJ021023.TXT</t>
        </is>
      </c>
      <c r="B206" s="3" t="inlineStr">
        <is>
          <t>001283</t>
        </is>
      </c>
      <c r="C206" s="3" t="inlineStr">
        <is>
          <t>000813</t>
        </is>
      </c>
      <c r="D206" s="4" t="n">
        <v>45170</v>
      </c>
      <c r="E206" s="2" t="inlineStr">
        <is>
          <t>11:29</t>
        </is>
      </c>
      <c r="F206" s="5" t="n">
        <v>248.33</v>
      </c>
      <c r="G206" s="5" t="n"/>
      <c r="H206" s="5" t="n"/>
      <c r="I206" s="5" t="n"/>
      <c r="J206" s="5" t="n">
        <v>49.67</v>
      </c>
      <c r="K206" s="5" t="n"/>
      <c r="L206" s="5" t="n"/>
      <c r="M206" s="5" t="n"/>
      <c r="N206" s="5" t="n"/>
      <c r="O206" s="5" t="n">
        <v>298</v>
      </c>
      <c r="P206" s="5" t="n">
        <v>298</v>
      </c>
      <c r="Q206" s="5" t="n"/>
      <c r="R206" s="5" t="n"/>
      <c r="S206" s="5">
        <f>F206*20%</f>
        <v/>
      </c>
      <c r="T206" s="5">
        <f>J206-S206</f>
        <v/>
      </c>
      <c r="U206" s="5">
        <f>F206+J206</f>
        <v/>
      </c>
      <c r="V206" s="5">
        <f>O206-U206</f>
        <v/>
      </c>
      <c r="W206" s="5">
        <f>O206-(P206+R206)</f>
        <v/>
      </c>
      <c r="X206" s="5">
        <f>O206-(P206+Q206+R206)</f>
        <v/>
      </c>
    </row>
    <row r="207">
      <c r="A207" s="2" t="inlineStr">
        <is>
          <t>EJ021023.TXT</t>
        </is>
      </c>
      <c r="B207" s="3" t="inlineStr">
        <is>
          <t>001284</t>
        </is>
      </c>
      <c r="C207" s="3" t="inlineStr">
        <is>
          <t>000814</t>
        </is>
      </c>
      <c r="D207" s="4" t="n">
        <v>45170</v>
      </c>
      <c r="E207" s="2" t="inlineStr">
        <is>
          <t>14:53</t>
        </is>
      </c>
      <c r="F207" s="5" t="n">
        <v>274.17</v>
      </c>
      <c r="G207" s="5" t="n"/>
      <c r="H207" s="5" t="n"/>
      <c r="I207" s="5" t="n"/>
      <c r="J207" s="5" t="n">
        <v>54.83</v>
      </c>
      <c r="K207" s="5" t="n"/>
      <c r="L207" s="5" t="n"/>
      <c r="M207" s="5" t="n"/>
      <c r="N207" s="5" t="n"/>
      <c r="O207" s="5" t="n">
        <v>329</v>
      </c>
      <c r="P207" s="5" t="n">
        <v>329</v>
      </c>
      <c r="Q207" s="5" t="n"/>
      <c r="R207" s="5" t="n"/>
      <c r="S207" s="5">
        <f>F207*20%</f>
        <v/>
      </c>
      <c r="T207" s="5">
        <f>J207-S207</f>
        <v/>
      </c>
      <c r="U207" s="5">
        <f>F207+J207</f>
        <v/>
      </c>
      <c r="V207" s="5">
        <f>O207-U207</f>
        <v/>
      </c>
      <c r="W207" s="5">
        <f>O207-(P207+R207)</f>
        <v/>
      </c>
      <c r="X207" s="5">
        <f>O207-(P207+Q207+R207)</f>
        <v/>
      </c>
    </row>
    <row r="208">
      <c r="A208" s="2" t="inlineStr">
        <is>
          <t>EJ021023.TXT</t>
        </is>
      </c>
      <c r="B208" s="3" t="inlineStr">
        <is>
          <t>001285</t>
        </is>
      </c>
      <c r="C208" s="3" t="inlineStr">
        <is>
          <t>000815</t>
        </is>
      </c>
      <c r="D208" s="4" t="n">
        <v>45170</v>
      </c>
      <c r="E208" s="2" t="inlineStr">
        <is>
          <t>14:56</t>
        </is>
      </c>
      <c r="F208" s="5" t="n">
        <v>73.33</v>
      </c>
      <c r="G208" s="5" t="n"/>
      <c r="H208" s="5" t="n"/>
      <c r="I208" s="5" t="n"/>
      <c r="J208" s="5" t="n">
        <v>14.67</v>
      </c>
      <c r="K208" s="5" t="n"/>
      <c r="L208" s="5" t="n"/>
      <c r="M208" s="5" t="n"/>
      <c r="N208" s="5" t="n"/>
      <c r="O208" s="5" t="n">
        <v>88</v>
      </c>
      <c r="P208" s="5" t="n">
        <v>88</v>
      </c>
      <c r="Q208" s="5" t="n"/>
      <c r="R208" s="5" t="n"/>
      <c r="S208" s="5">
        <f>F208*20%</f>
        <v/>
      </c>
      <c r="T208" s="5">
        <f>J208-S208</f>
        <v/>
      </c>
      <c r="U208" s="5">
        <f>F208+J208</f>
        <v/>
      </c>
      <c r="V208" s="5">
        <f>O208-U208</f>
        <v/>
      </c>
      <c r="W208" s="5">
        <f>O208-(P208+R208)</f>
        <v/>
      </c>
      <c r="X208" s="5">
        <f>O208-(P208+Q208+R208)</f>
        <v/>
      </c>
    </row>
    <row r="209">
      <c r="A209" s="2" t="inlineStr">
        <is>
          <t>EJ021023.TXT</t>
        </is>
      </c>
      <c r="B209" s="3" t="inlineStr">
        <is>
          <t>001287</t>
        </is>
      </c>
      <c r="C209" s="3" t="inlineStr">
        <is>
          <t>000816</t>
        </is>
      </c>
      <c r="D209" s="4" t="n">
        <v>45170</v>
      </c>
      <c r="E209" s="2" t="inlineStr">
        <is>
          <t>15:39</t>
        </is>
      </c>
      <c r="F209" s="5" t="n">
        <v>274.17</v>
      </c>
      <c r="G209" s="5" t="n"/>
      <c r="H209" s="5" t="n"/>
      <c r="I209" s="5" t="n"/>
      <c r="J209" s="5" t="n">
        <v>54.83</v>
      </c>
      <c r="K209" s="5" t="n"/>
      <c r="L209" s="5" t="n"/>
      <c r="M209" s="5" t="n"/>
      <c r="N209" s="5" t="n"/>
      <c r="O209" s="5" t="n">
        <v>329</v>
      </c>
      <c r="P209" s="5" t="n">
        <v>329</v>
      </c>
      <c r="Q209" s="5" t="n"/>
      <c r="R209" s="5" t="n"/>
      <c r="S209" s="5">
        <f>F209*20%</f>
        <v/>
      </c>
      <c r="T209" s="5">
        <f>J209-S209</f>
        <v/>
      </c>
      <c r="U209" s="5">
        <f>F209+J209</f>
        <v/>
      </c>
      <c r="V209" s="5">
        <f>O209-U209</f>
        <v/>
      </c>
      <c r="W209" s="5">
        <f>O209-(P209+R209)</f>
        <v/>
      </c>
      <c r="X209" s="5">
        <f>O209-(P209+Q209+R209)</f>
        <v/>
      </c>
    </row>
    <row r="210">
      <c r="A210" s="2" t="inlineStr">
        <is>
          <t>EJ021023.TXT</t>
        </is>
      </c>
      <c r="B210" s="3" t="inlineStr">
        <is>
          <t>001288</t>
        </is>
      </c>
      <c r="C210" s="3" t="inlineStr">
        <is>
          <t>000817</t>
        </is>
      </c>
      <c r="D210" s="4" t="n">
        <v>45170</v>
      </c>
      <c r="E210" s="2" t="inlineStr">
        <is>
          <t>15:39</t>
        </is>
      </c>
      <c r="F210" s="5" t="n">
        <v>572.5</v>
      </c>
      <c r="G210" s="5" t="n"/>
      <c r="H210" s="5" t="n"/>
      <c r="I210" s="5" t="n"/>
      <c r="J210" s="5" t="n">
        <v>114.5</v>
      </c>
      <c r="K210" s="5" t="n"/>
      <c r="L210" s="5" t="n"/>
      <c r="M210" s="5" t="n"/>
      <c r="N210" s="5" t="n"/>
      <c r="O210" s="5" t="n">
        <v>687</v>
      </c>
      <c r="P210" s="5" t="n">
        <v>687</v>
      </c>
      <c r="Q210" s="5" t="n"/>
      <c r="R210" s="5" t="n"/>
      <c r="S210" s="5">
        <f>F210*20%</f>
        <v/>
      </c>
      <c r="T210" s="5">
        <f>J210-S210</f>
        <v/>
      </c>
      <c r="U210" s="5">
        <f>F210+J210</f>
        <v/>
      </c>
      <c r="V210" s="5">
        <f>O210-U210</f>
        <v/>
      </c>
      <c r="W210" s="5">
        <f>O210-(P210+R210)</f>
        <v/>
      </c>
      <c r="X210" s="5">
        <f>O210-(P210+Q210+R210)</f>
        <v/>
      </c>
    </row>
    <row r="211">
      <c r="A211" s="2" t="inlineStr">
        <is>
          <t>EJ021023.TXT</t>
        </is>
      </c>
      <c r="B211" s="3" t="inlineStr">
        <is>
          <t>001289</t>
        </is>
      </c>
      <c r="C211" s="3" t="inlineStr">
        <is>
          <t>000818</t>
        </is>
      </c>
      <c r="D211" s="4" t="n">
        <v>45170</v>
      </c>
      <c r="E211" s="2" t="inlineStr">
        <is>
          <t>16:38</t>
        </is>
      </c>
      <c r="F211" s="5" t="n">
        <v>274.17</v>
      </c>
      <c r="G211" s="5" t="n"/>
      <c r="H211" s="5" t="n"/>
      <c r="I211" s="5" t="n"/>
      <c r="J211" s="5" t="n">
        <v>54.83</v>
      </c>
      <c r="K211" s="5" t="n"/>
      <c r="L211" s="5" t="n"/>
      <c r="M211" s="5" t="n"/>
      <c r="N211" s="5" t="n"/>
      <c r="O211" s="5" t="n">
        <v>329</v>
      </c>
      <c r="P211" s="5" t="n">
        <v>329</v>
      </c>
      <c r="Q211" s="5" t="n"/>
      <c r="R211" s="5" t="n"/>
      <c r="S211" s="5">
        <f>F211*20%</f>
        <v/>
      </c>
      <c r="T211" s="5">
        <f>J211-S211</f>
        <v/>
      </c>
      <c r="U211" s="5">
        <f>F211+J211</f>
        <v/>
      </c>
      <c r="V211" s="5">
        <f>O211-U211</f>
        <v/>
      </c>
      <c r="W211" s="5">
        <f>O211-(P211+R211)</f>
        <v/>
      </c>
      <c r="X211" s="5">
        <f>O211-(P211+Q211+R211)</f>
        <v/>
      </c>
    </row>
    <row r="212">
      <c r="A212" s="2" t="inlineStr">
        <is>
          <t>EJ021023.TXT</t>
        </is>
      </c>
      <c r="B212" s="3" t="inlineStr">
        <is>
          <t>001293</t>
        </is>
      </c>
      <c r="C212" s="3" t="inlineStr">
        <is>
          <t>000819</t>
        </is>
      </c>
      <c r="D212" s="4" t="n">
        <v>45173</v>
      </c>
      <c r="E212" s="2" t="inlineStr">
        <is>
          <t>14:23</t>
        </is>
      </c>
      <c r="F212" s="5" t="n">
        <v>548.33</v>
      </c>
      <c r="G212" s="5" t="n"/>
      <c r="H212" s="5" t="n"/>
      <c r="I212" s="5" t="n"/>
      <c r="J212" s="5" t="n">
        <v>109.67</v>
      </c>
      <c r="K212" s="5" t="n"/>
      <c r="L212" s="5" t="n"/>
      <c r="M212" s="5" t="n"/>
      <c r="N212" s="5" t="n"/>
      <c r="O212" s="5" t="n">
        <v>658</v>
      </c>
      <c r="P212" s="5" t="n">
        <v>658</v>
      </c>
      <c r="Q212" s="5" t="n"/>
      <c r="R212" s="5" t="n"/>
      <c r="S212" s="5">
        <f>F212*20%</f>
        <v/>
      </c>
      <c r="T212" s="5">
        <f>J212-S212</f>
        <v/>
      </c>
      <c r="U212" s="5">
        <f>F212+J212</f>
        <v/>
      </c>
      <c r="V212" s="5">
        <f>O212-U212</f>
        <v/>
      </c>
      <c r="W212" s="5">
        <f>O212-(P212+R212)</f>
        <v/>
      </c>
      <c r="X212" s="5">
        <f>O212-(P212+Q212+R212)</f>
        <v/>
      </c>
    </row>
    <row r="213">
      <c r="A213" s="2" t="inlineStr">
        <is>
          <t>EJ021023.TXT</t>
        </is>
      </c>
      <c r="B213" s="3" t="inlineStr">
        <is>
          <t>001296</t>
        </is>
      </c>
      <c r="C213" s="3" t="inlineStr">
        <is>
          <t>000820</t>
        </is>
      </c>
      <c r="D213" s="4" t="n">
        <v>45175</v>
      </c>
      <c r="E213" s="2" t="inlineStr">
        <is>
          <t>09:30</t>
        </is>
      </c>
      <c r="F213" s="5" t="n">
        <v>3200</v>
      </c>
      <c r="G213" s="5" t="n"/>
      <c r="H213" s="5" t="n"/>
      <c r="I213" s="5" t="n"/>
      <c r="J213" s="5" t="n">
        <v>640</v>
      </c>
      <c r="K213" s="5" t="n"/>
      <c r="L213" s="5" t="n"/>
      <c r="M213" s="5" t="n"/>
      <c r="N213" s="5" t="n"/>
      <c r="O213" s="5" t="n">
        <v>3840</v>
      </c>
      <c r="P213" s="5" t="n">
        <v>3840</v>
      </c>
      <c r="Q213" s="5" t="n"/>
      <c r="R213" s="5" t="n"/>
      <c r="S213" s="5">
        <f>F213*20%</f>
        <v/>
      </c>
      <c r="T213" s="5">
        <f>J213-S213</f>
        <v/>
      </c>
      <c r="U213" s="5">
        <f>F213+J213</f>
        <v/>
      </c>
      <c r="V213" s="5">
        <f>O213-U213</f>
        <v/>
      </c>
      <c r="W213" s="5">
        <f>O213-(P213+R213)</f>
        <v/>
      </c>
      <c r="X213" s="5">
        <f>O213-(P213+Q213+R213)</f>
        <v/>
      </c>
    </row>
    <row r="214">
      <c r="A214" s="2" t="inlineStr">
        <is>
          <t>EJ021023.TXT</t>
        </is>
      </c>
      <c r="B214" s="3" t="inlineStr">
        <is>
          <t>001297</t>
        </is>
      </c>
      <c r="C214" s="3" t="inlineStr">
        <is>
          <t>000821</t>
        </is>
      </c>
      <c r="D214" s="4" t="n">
        <v>45175</v>
      </c>
      <c r="E214" s="2" t="inlineStr">
        <is>
          <t>10:10</t>
        </is>
      </c>
      <c r="F214" s="5" t="n">
        <v>82.5</v>
      </c>
      <c r="G214" s="5" t="n"/>
      <c r="H214" s="5" t="n"/>
      <c r="I214" s="5" t="n"/>
      <c r="J214" s="5" t="n">
        <v>16.5</v>
      </c>
      <c r="K214" s="5" t="n"/>
      <c r="L214" s="5" t="n"/>
      <c r="M214" s="5" t="n"/>
      <c r="N214" s="5" t="n"/>
      <c r="O214" s="5" t="n">
        <v>99</v>
      </c>
      <c r="P214" s="5" t="n">
        <v>99</v>
      </c>
      <c r="Q214" s="5" t="n"/>
      <c r="R214" s="5" t="n"/>
      <c r="S214" s="5">
        <f>F214*20%</f>
        <v/>
      </c>
      <c r="T214" s="5">
        <f>J214-S214</f>
        <v/>
      </c>
      <c r="U214" s="5">
        <f>F214+J214</f>
        <v/>
      </c>
      <c r="V214" s="5">
        <f>O214-U214</f>
        <v/>
      </c>
      <c r="W214" s="5">
        <f>O214-(P214+R214)</f>
        <v/>
      </c>
      <c r="X214" s="5">
        <f>O214-(P214+Q214+R214)</f>
        <v/>
      </c>
    </row>
    <row r="215">
      <c r="A215" s="2" t="inlineStr">
        <is>
          <t>EJ021023.TXT</t>
        </is>
      </c>
      <c r="B215" s="3" t="inlineStr">
        <is>
          <t>001300</t>
        </is>
      </c>
      <c r="C215" s="3" t="inlineStr">
        <is>
          <t>000822</t>
        </is>
      </c>
      <c r="D215" s="4" t="n">
        <v>45176</v>
      </c>
      <c r="E215" s="2" t="inlineStr">
        <is>
          <t>15:54</t>
        </is>
      </c>
      <c r="F215" s="5" t="n">
        <v>124.17</v>
      </c>
      <c r="G215" s="5" t="n"/>
      <c r="H215" s="5" t="n"/>
      <c r="I215" s="5" t="n"/>
      <c r="J215" s="5" t="n">
        <v>24.83</v>
      </c>
      <c r="K215" s="5" t="n"/>
      <c r="L215" s="5" t="n"/>
      <c r="M215" s="5" t="n"/>
      <c r="N215" s="5" t="n"/>
      <c r="O215" s="5" t="n">
        <v>149</v>
      </c>
      <c r="P215" s="5" t="n">
        <v>149</v>
      </c>
      <c r="Q215" s="5" t="n"/>
      <c r="R215" s="5" t="n"/>
      <c r="S215" s="5">
        <f>F215*20%</f>
        <v/>
      </c>
      <c r="T215" s="5">
        <f>J215-S215</f>
        <v/>
      </c>
      <c r="U215" s="5">
        <f>F215+J215</f>
        <v/>
      </c>
      <c r="V215" s="5">
        <f>O215-U215</f>
        <v/>
      </c>
      <c r="W215" s="5">
        <f>O215-(P215+R215)</f>
        <v/>
      </c>
      <c r="X215" s="5">
        <f>O215-(P215+Q215+R215)</f>
        <v/>
      </c>
    </row>
    <row r="216">
      <c r="A216" s="2" t="inlineStr">
        <is>
          <t>EJ021023.TXT</t>
        </is>
      </c>
      <c r="B216" s="3" t="inlineStr">
        <is>
          <t>001301</t>
        </is>
      </c>
      <c r="C216" s="3" t="inlineStr">
        <is>
          <t>000823</t>
        </is>
      </c>
      <c r="D216" s="4" t="n">
        <v>45176</v>
      </c>
      <c r="E216" s="2" t="inlineStr">
        <is>
          <t>16:30</t>
        </is>
      </c>
      <c r="F216" s="5" t="n">
        <v>274.17</v>
      </c>
      <c r="G216" s="5" t="n"/>
      <c r="H216" s="5" t="n"/>
      <c r="I216" s="5" t="n"/>
      <c r="J216" s="5" t="n">
        <v>54.83</v>
      </c>
      <c r="K216" s="5" t="n"/>
      <c r="L216" s="5" t="n"/>
      <c r="M216" s="5" t="n"/>
      <c r="N216" s="5" t="n"/>
      <c r="O216" s="5" t="n">
        <v>329</v>
      </c>
      <c r="P216" s="5" t="n">
        <v>329</v>
      </c>
      <c r="Q216" s="5" t="n"/>
      <c r="R216" s="5" t="n"/>
      <c r="S216" s="5">
        <f>F216*20%</f>
        <v/>
      </c>
      <c r="T216" s="5">
        <f>J216-S216</f>
        <v/>
      </c>
      <c r="U216" s="5">
        <f>F216+J216</f>
        <v/>
      </c>
      <c r="V216" s="5">
        <f>O216-U216</f>
        <v/>
      </c>
      <c r="W216" s="5">
        <f>O216-(P216+R216)</f>
        <v/>
      </c>
      <c r="X216" s="5">
        <f>O216-(P216+Q216+R216)</f>
        <v/>
      </c>
    </row>
    <row r="217">
      <c r="A217" s="2" t="inlineStr">
        <is>
          <t>EJ021023.TXT</t>
        </is>
      </c>
      <c r="B217" s="3" t="inlineStr">
        <is>
          <t>001302</t>
        </is>
      </c>
      <c r="C217" s="3" t="inlineStr">
        <is>
          <t>000824</t>
        </is>
      </c>
      <c r="D217" s="4" t="n">
        <v>45178</v>
      </c>
      <c r="E217" s="2" t="inlineStr">
        <is>
          <t>15:52</t>
        </is>
      </c>
      <c r="F217" s="5" t="n">
        <v>65.83</v>
      </c>
      <c r="G217" s="5" t="n"/>
      <c r="H217" s="5" t="n"/>
      <c r="I217" s="5" t="n"/>
      <c r="J217" s="5" t="n">
        <v>13.17</v>
      </c>
      <c r="K217" s="5" t="n"/>
      <c r="L217" s="5" t="n"/>
      <c r="M217" s="5" t="n"/>
      <c r="N217" s="5" t="n"/>
      <c r="O217" s="5" t="n">
        <v>79</v>
      </c>
      <c r="P217" s="5" t="n">
        <v>79</v>
      </c>
      <c r="Q217" s="5" t="n"/>
      <c r="R217" s="5" t="n"/>
      <c r="S217" s="5">
        <f>F217*20%</f>
        <v/>
      </c>
      <c r="T217" s="5">
        <f>J217-S217</f>
        <v/>
      </c>
      <c r="U217" s="5">
        <f>F217+J217</f>
        <v/>
      </c>
      <c r="V217" s="5">
        <f>O217-U217</f>
        <v/>
      </c>
      <c r="W217" s="5">
        <f>O217-(P217+R217)</f>
        <v/>
      </c>
      <c r="X217" s="5">
        <f>O217-(P217+Q217+R217)</f>
        <v/>
      </c>
    </row>
    <row r="218">
      <c r="A218" s="2" t="inlineStr">
        <is>
          <t>EJ021023.TXT</t>
        </is>
      </c>
      <c r="B218" s="3" t="inlineStr">
        <is>
          <t>001304</t>
        </is>
      </c>
      <c r="C218" s="3" t="inlineStr">
        <is>
          <t>000825</t>
        </is>
      </c>
      <c r="D218" s="4" t="n">
        <v>45183</v>
      </c>
      <c r="E218" s="2" t="inlineStr">
        <is>
          <t>10:05</t>
        </is>
      </c>
      <c r="F218" s="5" t="n">
        <v>1096.67</v>
      </c>
      <c r="G218" s="5" t="n"/>
      <c r="H218" s="5" t="n"/>
      <c r="I218" s="5" t="n"/>
      <c r="J218" s="5" t="n">
        <v>219.33</v>
      </c>
      <c r="K218" s="5" t="n"/>
      <c r="L218" s="5" t="n"/>
      <c r="M218" s="5" t="n"/>
      <c r="N218" s="5" t="n"/>
      <c r="O218" s="5" t="n">
        <v>1316</v>
      </c>
      <c r="P218" s="5" t="n">
        <v>1316</v>
      </c>
      <c r="Q218" s="5" t="n"/>
      <c r="R218" s="5" t="n"/>
      <c r="S218" s="5">
        <f>F218*20%</f>
        <v/>
      </c>
      <c r="T218" s="5">
        <f>J218-S218</f>
        <v/>
      </c>
      <c r="U218" s="5">
        <f>F218+J218</f>
        <v/>
      </c>
      <c r="V218" s="5">
        <f>O218-U218</f>
        <v/>
      </c>
      <c r="W218" s="5">
        <f>O218-(P218+R218)</f>
        <v/>
      </c>
      <c r="X218" s="5">
        <f>O218-(P218+Q218+R218)</f>
        <v/>
      </c>
    </row>
    <row r="219">
      <c r="A219" s="2" t="inlineStr">
        <is>
          <t>EJ021023.TXT</t>
        </is>
      </c>
      <c r="B219" s="3" t="inlineStr">
        <is>
          <t>001306</t>
        </is>
      </c>
      <c r="C219" s="3" t="inlineStr">
        <is>
          <t>000826</t>
        </is>
      </c>
      <c r="D219" s="4" t="n">
        <v>45183</v>
      </c>
      <c r="E219" s="2" t="inlineStr">
        <is>
          <t>13:01</t>
        </is>
      </c>
      <c r="F219" s="5" t="n">
        <v>548.33</v>
      </c>
      <c r="G219" s="5" t="n"/>
      <c r="H219" s="5" t="n"/>
      <c r="I219" s="5" t="n"/>
      <c r="J219" s="5" t="n">
        <v>109.67</v>
      </c>
      <c r="K219" s="5" t="n"/>
      <c r="L219" s="5" t="n"/>
      <c r="M219" s="5" t="n"/>
      <c r="N219" s="5" t="n"/>
      <c r="O219" s="5" t="n">
        <v>658</v>
      </c>
      <c r="P219" s="5" t="n">
        <v>658</v>
      </c>
      <c r="Q219" s="5" t="n"/>
      <c r="R219" s="5" t="n"/>
      <c r="S219" s="5">
        <f>F219*20%</f>
        <v/>
      </c>
      <c r="T219" s="5">
        <f>J219-S219</f>
        <v/>
      </c>
      <c r="U219" s="5">
        <f>F219+J219</f>
        <v/>
      </c>
      <c r="V219" s="5">
        <f>O219-U219</f>
        <v/>
      </c>
      <c r="W219" s="5">
        <f>O219-(P219+R219)</f>
        <v/>
      </c>
      <c r="X219" s="5">
        <f>O219-(P219+Q219+R219)</f>
        <v/>
      </c>
    </row>
    <row r="220">
      <c r="A220" s="2" t="inlineStr">
        <is>
          <t>EJ021023.TXT</t>
        </is>
      </c>
      <c r="B220" s="3" t="inlineStr">
        <is>
          <t>001307</t>
        </is>
      </c>
      <c r="C220" s="3" t="inlineStr">
        <is>
          <t>000827</t>
        </is>
      </c>
      <c r="D220" s="4" t="n">
        <v>45183</v>
      </c>
      <c r="E220" s="2" t="inlineStr">
        <is>
          <t>13:02</t>
        </is>
      </c>
      <c r="F220" s="5" t="n">
        <v>1165</v>
      </c>
      <c r="G220" s="5" t="n"/>
      <c r="H220" s="5" t="n"/>
      <c r="I220" s="5" t="n"/>
      <c r="J220" s="5" t="n">
        <v>233</v>
      </c>
      <c r="K220" s="5" t="n"/>
      <c r="L220" s="5" t="n"/>
      <c r="M220" s="5" t="n"/>
      <c r="N220" s="5" t="n"/>
      <c r="O220" s="5" t="n">
        <v>1398</v>
      </c>
      <c r="P220" s="5" t="n">
        <v>1398</v>
      </c>
      <c r="Q220" s="5" t="n"/>
      <c r="R220" s="5" t="n"/>
      <c r="S220" s="5">
        <f>F220*20%</f>
        <v/>
      </c>
      <c r="T220" s="5">
        <f>J220-S220</f>
        <v/>
      </c>
      <c r="U220" s="5">
        <f>F220+J220</f>
        <v/>
      </c>
      <c r="V220" s="5">
        <f>O220-U220</f>
        <v/>
      </c>
      <c r="W220" s="5">
        <f>O220-(P220+R220)</f>
        <v/>
      </c>
      <c r="X220" s="5">
        <f>O220-(P220+Q220+R220)</f>
        <v/>
      </c>
    </row>
    <row r="221">
      <c r="A221" s="2" t="inlineStr">
        <is>
          <t>EJ021023.TXT</t>
        </is>
      </c>
      <c r="B221" s="3" t="inlineStr">
        <is>
          <t>001308</t>
        </is>
      </c>
      <c r="C221" s="3" t="inlineStr">
        <is>
          <t>000828</t>
        </is>
      </c>
      <c r="D221" s="4" t="n">
        <v>45183</v>
      </c>
      <c r="E221" s="2" t="inlineStr">
        <is>
          <t>14:25</t>
        </is>
      </c>
      <c r="F221" s="5" t="n">
        <v>274.17</v>
      </c>
      <c r="G221" s="5" t="n"/>
      <c r="H221" s="5" t="n"/>
      <c r="I221" s="5" t="n"/>
      <c r="J221" s="5" t="n">
        <v>54.83</v>
      </c>
      <c r="K221" s="5" t="n"/>
      <c r="L221" s="5" t="n"/>
      <c r="M221" s="5" t="n"/>
      <c r="N221" s="5" t="n"/>
      <c r="O221" s="5" t="n">
        <v>329</v>
      </c>
      <c r="P221" s="5" t="n"/>
      <c r="Q221" s="5" t="n">
        <v>329</v>
      </c>
      <c r="R221" s="5" t="n"/>
      <c r="S221" s="5">
        <f>F221*20%</f>
        <v/>
      </c>
      <c r="T221" s="5">
        <f>J221-S221</f>
        <v/>
      </c>
      <c r="U221" s="5">
        <f>F221+J221</f>
        <v/>
      </c>
      <c r="V221" s="5">
        <f>O221-U221</f>
        <v/>
      </c>
      <c r="W221" s="5">
        <f>O221-(P221+R221)</f>
        <v/>
      </c>
      <c r="X221" s="5">
        <f>O221-(P221+Q221+R221)</f>
        <v/>
      </c>
    </row>
    <row r="222">
      <c r="A222" s="2" t="inlineStr">
        <is>
          <t>EJ021023.TXT</t>
        </is>
      </c>
      <c r="B222" s="3" t="inlineStr">
        <is>
          <t>001310</t>
        </is>
      </c>
      <c r="C222" s="3" t="inlineStr">
        <is>
          <t>000829</t>
        </is>
      </c>
      <c r="D222" s="4" t="n">
        <v>45189</v>
      </c>
      <c r="E222" s="2" t="inlineStr">
        <is>
          <t>09:37</t>
        </is>
      </c>
      <c r="F222" s="5" t="n">
        <v>147.5</v>
      </c>
      <c r="G222" s="5" t="n"/>
      <c r="H222" s="5" t="n"/>
      <c r="I222" s="5" t="n"/>
      <c r="J222" s="5" t="n">
        <v>29.5</v>
      </c>
      <c r="K222" s="5" t="n"/>
      <c r="L222" s="5" t="n"/>
      <c r="M222" s="5" t="n"/>
      <c r="N222" s="5" t="n"/>
      <c r="O222" s="5" t="n">
        <v>177</v>
      </c>
      <c r="P222" s="5" t="n">
        <v>177</v>
      </c>
      <c r="Q222" s="5" t="n"/>
      <c r="R222" s="5" t="n"/>
      <c r="S222" s="5">
        <f>F222*20%</f>
        <v/>
      </c>
      <c r="T222" s="5">
        <f>J222-S222</f>
        <v/>
      </c>
      <c r="U222" s="5">
        <f>F222+J222</f>
        <v/>
      </c>
      <c r="V222" s="5">
        <f>O222-U222</f>
        <v/>
      </c>
      <c r="W222" s="5">
        <f>O222-(P222+R222)</f>
        <v/>
      </c>
      <c r="X222" s="5">
        <f>O222-(P222+Q222+R222)</f>
        <v/>
      </c>
    </row>
    <row r="223">
      <c r="A223" s="2" t="inlineStr">
        <is>
          <t>EJ021023.TXT</t>
        </is>
      </c>
      <c r="B223" s="3" t="inlineStr">
        <is>
          <t>001311</t>
        </is>
      </c>
      <c r="C223" s="3" t="inlineStr">
        <is>
          <t>000830</t>
        </is>
      </c>
      <c r="D223" s="4" t="n">
        <v>45189</v>
      </c>
      <c r="E223" s="2" t="inlineStr">
        <is>
          <t>12:01</t>
        </is>
      </c>
      <c r="F223" s="5" t="n">
        <v>548.33</v>
      </c>
      <c r="G223" s="5" t="n"/>
      <c r="H223" s="5" t="n"/>
      <c r="I223" s="5" t="n"/>
      <c r="J223" s="5" t="n">
        <v>109.67</v>
      </c>
      <c r="K223" s="5" t="n"/>
      <c r="L223" s="5" t="n"/>
      <c r="M223" s="5" t="n"/>
      <c r="N223" s="5" t="n"/>
      <c r="O223" s="5" t="n">
        <v>658</v>
      </c>
      <c r="P223" s="5" t="n">
        <v>658</v>
      </c>
      <c r="Q223" s="5" t="n"/>
      <c r="R223" s="5" t="n"/>
      <c r="S223" s="5">
        <f>F223*20%</f>
        <v/>
      </c>
      <c r="T223" s="5">
        <f>J223-S223</f>
        <v/>
      </c>
      <c r="U223" s="5">
        <f>F223+J223</f>
        <v/>
      </c>
      <c r="V223" s="5">
        <f>O223-U223</f>
        <v/>
      </c>
      <c r="W223" s="5">
        <f>O223-(P223+R223)</f>
        <v/>
      </c>
      <c r="X223" s="5">
        <f>O223-(P223+Q223+R223)</f>
        <v/>
      </c>
    </row>
    <row r="224">
      <c r="A224" s="2" t="inlineStr">
        <is>
          <t>EJ021023.TXT</t>
        </is>
      </c>
      <c r="B224" s="3" t="inlineStr">
        <is>
          <t>001312</t>
        </is>
      </c>
      <c r="C224" s="3" t="inlineStr">
        <is>
          <t>000831</t>
        </is>
      </c>
      <c r="D224" s="4" t="n">
        <v>45189</v>
      </c>
      <c r="E224" s="2" t="inlineStr">
        <is>
          <t>16:07</t>
        </is>
      </c>
      <c r="F224" s="5" t="n">
        <v>548.33</v>
      </c>
      <c r="G224" s="5" t="n"/>
      <c r="H224" s="5" t="n"/>
      <c r="I224" s="5" t="n"/>
      <c r="J224" s="5" t="n">
        <v>109.67</v>
      </c>
      <c r="K224" s="5" t="n"/>
      <c r="L224" s="5" t="n"/>
      <c r="M224" s="5" t="n"/>
      <c r="N224" s="5" t="n"/>
      <c r="O224" s="5" t="n">
        <v>658</v>
      </c>
      <c r="P224" s="5" t="n">
        <v>658</v>
      </c>
      <c r="Q224" s="5" t="n"/>
      <c r="R224" s="5" t="n"/>
      <c r="S224" s="5">
        <f>F224*20%</f>
        <v/>
      </c>
      <c r="T224" s="5">
        <f>J224-S224</f>
        <v/>
      </c>
      <c r="U224" s="5">
        <f>F224+J224</f>
        <v/>
      </c>
      <c r="V224" s="5">
        <f>O224-U224</f>
        <v/>
      </c>
      <c r="W224" s="5">
        <f>O224-(P224+R224)</f>
        <v/>
      </c>
      <c r="X224" s="5">
        <f>O224-(P224+Q224+R224)</f>
        <v/>
      </c>
    </row>
    <row r="225">
      <c r="A225" s="2" t="inlineStr">
        <is>
          <t>EJ021023.TXT</t>
        </is>
      </c>
      <c r="B225" s="3" t="inlineStr">
        <is>
          <t>001316</t>
        </is>
      </c>
      <c r="C225" s="3" t="inlineStr">
        <is>
          <t>000832</t>
        </is>
      </c>
      <c r="D225" s="4" t="n">
        <v>45191</v>
      </c>
      <c r="E225" s="2" t="inlineStr">
        <is>
          <t>16:08</t>
        </is>
      </c>
      <c r="F225" s="5" t="n">
        <v>548.33</v>
      </c>
      <c r="G225" s="5" t="n"/>
      <c r="H225" s="5" t="n"/>
      <c r="I225" s="5" t="n"/>
      <c r="J225" s="5" t="n">
        <v>109.67</v>
      </c>
      <c r="K225" s="5" t="n"/>
      <c r="L225" s="5" t="n"/>
      <c r="M225" s="5" t="n"/>
      <c r="N225" s="5" t="n"/>
      <c r="O225" s="5" t="n">
        <v>658</v>
      </c>
      <c r="P225" s="5" t="n">
        <v>658</v>
      </c>
      <c r="Q225" s="5" t="n"/>
      <c r="R225" s="5" t="n"/>
      <c r="S225" s="5">
        <f>F225*20%</f>
        <v/>
      </c>
      <c r="T225" s="5">
        <f>J225-S225</f>
        <v/>
      </c>
      <c r="U225" s="5">
        <f>F225+J225</f>
        <v/>
      </c>
      <c r="V225" s="5">
        <f>O225-U225</f>
        <v/>
      </c>
      <c r="W225" s="5">
        <f>O225-(P225+R225)</f>
        <v/>
      </c>
      <c r="X225" s="5">
        <f>O225-(P225+Q225+R225)</f>
        <v/>
      </c>
    </row>
    <row r="226">
      <c r="A226" s="2" t="inlineStr">
        <is>
          <t>EJ021023.TXT</t>
        </is>
      </c>
      <c r="B226" s="3" t="inlineStr">
        <is>
          <t>001319</t>
        </is>
      </c>
      <c r="C226" s="3" t="inlineStr">
        <is>
          <t>000833</t>
        </is>
      </c>
      <c r="D226" s="4" t="n">
        <v>45192</v>
      </c>
      <c r="E226" s="2" t="inlineStr">
        <is>
          <t>14:10</t>
        </is>
      </c>
      <c r="F226" s="5" t="n">
        <v>849.17</v>
      </c>
      <c r="G226" s="5" t="n"/>
      <c r="H226" s="5" t="n"/>
      <c r="I226" s="5" t="n"/>
      <c r="J226" s="5" t="n">
        <v>169.83</v>
      </c>
      <c r="K226" s="5" t="n"/>
      <c r="L226" s="5" t="n"/>
      <c r="M226" s="5" t="n"/>
      <c r="N226" s="5" t="n"/>
      <c r="O226" s="5" t="n">
        <v>1019</v>
      </c>
      <c r="P226" s="5" t="n">
        <v>1019</v>
      </c>
      <c r="Q226" s="5" t="n"/>
      <c r="R226" s="5" t="n"/>
      <c r="S226" s="5">
        <f>F226*20%</f>
        <v/>
      </c>
      <c r="T226" s="5">
        <f>J226-S226</f>
        <v/>
      </c>
      <c r="U226" s="5">
        <f>F226+J226</f>
        <v/>
      </c>
      <c r="V226" s="5">
        <f>O226-U226</f>
        <v/>
      </c>
      <c r="W226" s="5">
        <f>O226-(P226+R226)</f>
        <v/>
      </c>
      <c r="X226" s="5">
        <f>O226-(P226+Q226+R226)</f>
        <v/>
      </c>
    </row>
    <row r="227">
      <c r="A227" s="2" t="inlineStr">
        <is>
          <t>EJ021023.TXT</t>
        </is>
      </c>
      <c r="B227" s="3" t="inlineStr">
        <is>
          <t>001320</t>
        </is>
      </c>
      <c r="C227" s="3" t="inlineStr">
        <is>
          <t>000834</t>
        </is>
      </c>
      <c r="D227" s="4" t="n">
        <v>45192</v>
      </c>
      <c r="E227" s="2" t="inlineStr">
        <is>
          <t>14:11</t>
        </is>
      </c>
      <c r="F227" s="5" t="n">
        <v>2014.17</v>
      </c>
      <c r="G227" s="5" t="n"/>
      <c r="H227" s="5" t="n"/>
      <c r="I227" s="5" t="n"/>
      <c r="J227" s="5" t="n">
        <v>402.83</v>
      </c>
      <c r="K227" s="5" t="n"/>
      <c r="L227" s="5" t="n"/>
      <c r="M227" s="5" t="n"/>
      <c r="N227" s="5" t="n"/>
      <c r="O227" s="5" t="n">
        <v>2417</v>
      </c>
      <c r="P227" s="5" t="n">
        <v>2417</v>
      </c>
      <c r="Q227" s="5" t="n"/>
      <c r="R227" s="5" t="n"/>
      <c r="S227" s="5">
        <f>F227*20%</f>
        <v/>
      </c>
      <c r="T227" s="5">
        <f>J227-S227</f>
        <v/>
      </c>
      <c r="U227" s="5">
        <f>F227+J227</f>
        <v/>
      </c>
      <c r="V227" s="5">
        <f>O227-U227</f>
        <v/>
      </c>
      <c r="W227" s="5">
        <f>O227-(P227+R227)</f>
        <v/>
      </c>
      <c r="X227" s="5">
        <f>O227-(P227+Q227+R227)</f>
        <v/>
      </c>
    </row>
    <row r="228">
      <c r="A228" s="2" t="inlineStr">
        <is>
          <t>EJ021023.TXT</t>
        </is>
      </c>
      <c r="B228" s="3" t="inlineStr">
        <is>
          <t>001322</t>
        </is>
      </c>
      <c r="C228" s="3" t="inlineStr">
        <is>
          <t>000835</t>
        </is>
      </c>
      <c r="D228" s="4" t="n">
        <v>45192</v>
      </c>
      <c r="E228" s="2" t="inlineStr">
        <is>
          <t>16:41</t>
        </is>
      </c>
      <c r="F228" s="5" t="n">
        <v>597.5</v>
      </c>
      <c r="G228" s="5" t="n"/>
      <c r="H228" s="5" t="n"/>
      <c r="I228" s="5" t="n"/>
      <c r="J228" s="5" t="n">
        <v>119.5</v>
      </c>
      <c r="K228" s="5" t="n"/>
      <c r="L228" s="5" t="n"/>
      <c r="M228" s="5" t="n"/>
      <c r="N228" s="5" t="n"/>
      <c r="O228" s="5" t="n">
        <v>717</v>
      </c>
      <c r="P228" s="5" t="n">
        <v>717</v>
      </c>
      <c r="Q228" s="5" t="n"/>
      <c r="R228" s="5" t="n"/>
      <c r="S228" s="5">
        <f>F228*20%</f>
        <v/>
      </c>
      <c r="T228" s="5">
        <f>J228-S228</f>
        <v/>
      </c>
      <c r="U228" s="5">
        <f>F228+J228</f>
        <v/>
      </c>
      <c r="V228" s="5">
        <f>O228-U228</f>
        <v/>
      </c>
      <c r="W228" s="5">
        <f>O228-(P228+R228)</f>
        <v/>
      </c>
      <c r="X228" s="5">
        <f>O228-(P228+Q228+R228)</f>
        <v/>
      </c>
    </row>
    <row r="229">
      <c r="A229" s="2" t="inlineStr">
        <is>
          <t>EJ021023.TXT</t>
        </is>
      </c>
      <c r="B229" s="3" t="inlineStr">
        <is>
          <t>001323</t>
        </is>
      </c>
      <c r="C229" s="3" t="inlineStr">
        <is>
          <t>000836</t>
        </is>
      </c>
      <c r="D229" s="4" t="n">
        <v>45194</v>
      </c>
      <c r="E229" s="2" t="inlineStr">
        <is>
          <t>16:38</t>
        </is>
      </c>
      <c r="F229" s="5" t="n">
        <v>65.83</v>
      </c>
      <c r="G229" s="5" t="n"/>
      <c r="H229" s="5" t="n"/>
      <c r="I229" s="5" t="n"/>
      <c r="J229" s="5" t="n">
        <v>13.17</v>
      </c>
      <c r="K229" s="5" t="n"/>
      <c r="L229" s="5" t="n"/>
      <c r="M229" s="5" t="n"/>
      <c r="N229" s="5" t="n"/>
      <c r="O229" s="5" t="n">
        <v>79</v>
      </c>
      <c r="P229" s="5" t="n">
        <v>79</v>
      </c>
      <c r="Q229" s="5" t="n"/>
      <c r="R229" s="5" t="n"/>
      <c r="S229" s="5">
        <f>F229*20%</f>
        <v/>
      </c>
      <c r="T229" s="5">
        <f>J229-S229</f>
        <v/>
      </c>
      <c r="U229" s="5">
        <f>F229+J229</f>
        <v/>
      </c>
      <c r="V229" s="5">
        <f>O229-U229</f>
        <v/>
      </c>
      <c r="W229" s="5">
        <f>O229-(P229+R229)</f>
        <v/>
      </c>
      <c r="X229" s="5">
        <f>O229-(P229+Q229+R229)</f>
        <v/>
      </c>
    </row>
    <row r="230">
      <c r="A230" s="2" t="inlineStr">
        <is>
          <t>EJ021023.TXT</t>
        </is>
      </c>
      <c r="B230" s="3" t="inlineStr">
        <is>
          <t>001324</t>
        </is>
      </c>
      <c r="C230" s="3" t="inlineStr">
        <is>
          <t>000837</t>
        </is>
      </c>
      <c r="D230" s="4" t="n">
        <v>45195</v>
      </c>
      <c r="E230" s="2" t="inlineStr">
        <is>
          <t>15:20</t>
        </is>
      </c>
      <c r="F230" s="5" t="n">
        <v>548.33</v>
      </c>
      <c r="G230" s="5" t="n"/>
      <c r="H230" s="5" t="n"/>
      <c r="I230" s="5" t="n"/>
      <c r="J230" s="5" t="n">
        <v>109.67</v>
      </c>
      <c r="K230" s="5" t="n"/>
      <c r="L230" s="5" t="n"/>
      <c r="M230" s="5" t="n"/>
      <c r="N230" s="5" t="n"/>
      <c r="O230" s="5" t="n">
        <v>658</v>
      </c>
      <c r="P230" s="5" t="n">
        <v>658</v>
      </c>
      <c r="Q230" s="5" t="n"/>
      <c r="R230" s="5" t="n"/>
      <c r="S230" s="5">
        <f>F230*20%</f>
        <v/>
      </c>
      <c r="T230" s="5">
        <f>J230-S230</f>
        <v/>
      </c>
      <c r="U230" s="5">
        <f>F230+J230</f>
        <v/>
      </c>
      <c r="V230" s="5">
        <f>O230-U230</f>
        <v/>
      </c>
      <c r="W230" s="5">
        <f>O230-(P230+R230)</f>
        <v/>
      </c>
      <c r="X230" s="5">
        <f>O230-(P230+Q230+R230)</f>
        <v/>
      </c>
    </row>
    <row r="231">
      <c r="A231" s="2" t="inlineStr">
        <is>
          <t>EJ021023.TXT</t>
        </is>
      </c>
      <c r="B231" s="3" t="inlineStr">
        <is>
          <t>001326</t>
        </is>
      </c>
      <c r="C231" s="3" t="inlineStr">
        <is>
          <t>000838</t>
        </is>
      </c>
      <c r="D231" s="4" t="n">
        <v>45198</v>
      </c>
      <c r="E231" s="2" t="inlineStr">
        <is>
          <t>15:31</t>
        </is>
      </c>
      <c r="F231" s="5" t="n">
        <v>380.67</v>
      </c>
      <c r="G231" s="5" t="n"/>
      <c r="H231" s="5" t="n"/>
      <c r="I231" s="5" t="n"/>
      <c r="J231" s="5" t="n">
        <v>76.13</v>
      </c>
      <c r="K231" s="5" t="n"/>
      <c r="L231" s="5" t="n"/>
      <c r="M231" s="5" t="n"/>
      <c r="N231" s="5" t="n"/>
      <c r="O231" s="5" t="n">
        <v>456.8</v>
      </c>
      <c r="P231" s="5" t="n"/>
      <c r="Q231" s="5" t="n">
        <v>456.8</v>
      </c>
      <c r="R231" s="5" t="n"/>
      <c r="S231" s="5">
        <f>F231*20%</f>
        <v/>
      </c>
      <c r="T231" s="5">
        <f>J231-S231</f>
        <v/>
      </c>
      <c r="U231" s="5">
        <f>F231+J231</f>
        <v/>
      </c>
      <c r="V231" s="5">
        <f>O231-U231</f>
        <v/>
      </c>
      <c r="W231" s="5">
        <f>O231-(P231+R231)</f>
        <v/>
      </c>
      <c r="X231" s="5">
        <f>O231-(P231+Q231+R231)</f>
        <v/>
      </c>
    </row>
    <row r="232">
      <c r="A232" s="2" t="inlineStr">
        <is>
          <t>EJ021023.TXT</t>
        </is>
      </c>
      <c r="B232" s="3" t="inlineStr">
        <is>
          <t>001327</t>
        </is>
      </c>
      <c r="C232" s="3" t="inlineStr">
        <is>
          <t>000839</t>
        </is>
      </c>
      <c r="D232" s="4" t="n">
        <v>45198</v>
      </c>
      <c r="E232" s="2" t="inlineStr">
        <is>
          <t>16:46</t>
        </is>
      </c>
      <c r="F232" s="5" t="n">
        <v>33.17</v>
      </c>
      <c r="G232" s="5" t="n"/>
      <c r="H232" s="5" t="n"/>
      <c r="I232" s="5" t="n"/>
      <c r="J232" s="5" t="n">
        <v>6.63</v>
      </c>
      <c r="K232" s="5" t="n"/>
      <c r="L232" s="5" t="n"/>
      <c r="M232" s="5" t="n"/>
      <c r="N232" s="5" t="n"/>
      <c r="O232" s="5" t="n">
        <v>39.8</v>
      </c>
      <c r="P232" s="5" t="n">
        <v>39.8</v>
      </c>
      <c r="Q232" s="5" t="n"/>
      <c r="R232" s="5" t="n"/>
      <c r="S232" s="5">
        <f>F232*20%</f>
        <v/>
      </c>
      <c r="T232" s="5">
        <f>J232-S232</f>
        <v/>
      </c>
      <c r="U232" s="5">
        <f>F232+J232</f>
        <v/>
      </c>
      <c r="V232" s="5">
        <f>O232-U232</f>
        <v/>
      </c>
      <c r="W232" s="5">
        <f>O232-(P232+R232)</f>
        <v/>
      </c>
      <c r="X232" s="5">
        <f>O232-(P232+Q232+R232)</f>
        <v/>
      </c>
    </row>
    <row r="233">
      <c r="A233" s="2" t="inlineStr">
        <is>
          <t>EJ021023.TXT</t>
        </is>
      </c>
      <c r="B233" s="3" t="inlineStr">
        <is>
          <t>001328</t>
        </is>
      </c>
      <c r="C233" s="3" t="inlineStr">
        <is>
          <t>000840</t>
        </is>
      </c>
      <c r="D233" s="4" t="n">
        <v>45199</v>
      </c>
      <c r="E233" s="2" t="inlineStr">
        <is>
          <t>13:47</t>
        </is>
      </c>
      <c r="F233" s="5" t="n">
        <v>548.33</v>
      </c>
      <c r="G233" s="5" t="n"/>
      <c r="H233" s="5" t="n"/>
      <c r="I233" s="5" t="n"/>
      <c r="J233" s="5" t="n">
        <v>109.67</v>
      </c>
      <c r="K233" s="5" t="n"/>
      <c r="L233" s="5" t="n"/>
      <c r="M233" s="5" t="n"/>
      <c r="N233" s="5" t="n"/>
      <c r="O233" s="5" t="n">
        <v>658</v>
      </c>
      <c r="P233" s="5" t="n">
        <v>658</v>
      </c>
      <c r="Q233" s="5" t="n"/>
      <c r="R233" s="5" t="n"/>
      <c r="S233" s="5">
        <f>F233*20%</f>
        <v/>
      </c>
      <c r="T233" s="5">
        <f>J233-S233</f>
        <v/>
      </c>
      <c r="U233" s="5">
        <f>F233+J233</f>
        <v/>
      </c>
      <c r="V233" s="5">
        <f>O233-U233</f>
        <v/>
      </c>
      <c r="W233" s="5">
        <f>O233-(P233+R233)</f>
        <v/>
      </c>
      <c r="X233" s="5">
        <f>O233-(P233+Q233+R233)</f>
        <v/>
      </c>
    </row>
    <row r="234">
      <c r="A234" s="2" t="inlineStr">
        <is>
          <t>EJ021023.TXT</t>
        </is>
      </c>
      <c r="B234" s="3" t="inlineStr">
        <is>
          <t>001329</t>
        </is>
      </c>
      <c r="C234" s="3" t="inlineStr">
        <is>
          <t>000841</t>
        </is>
      </c>
      <c r="D234" s="4" t="n">
        <v>45199</v>
      </c>
      <c r="E234" s="2" t="inlineStr">
        <is>
          <t>13:47</t>
        </is>
      </c>
      <c r="F234" s="5" t="n">
        <v>274.17</v>
      </c>
      <c r="G234" s="5" t="n"/>
      <c r="H234" s="5" t="n"/>
      <c r="I234" s="5" t="n"/>
      <c r="J234" s="5" t="n">
        <v>54.83</v>
      </c>
      <c r="K234" s="5" t="n"/>
      <c r="L234" s="5" t="n"/>
      <c r="M234" s="5" t="n"/>
      <c r="N234" s="5" t="n"/>
      <c r="O234" s="5" t="n">
        <v>329</v>
      </c>
      <c r="P234" s="5" t="n">
        <v>329</v>
      </c>
      <c r="Q234" s="5" t="n"/>
      <c r="R234" s="5" t="n"/>
      <c r="S234" s="5">
        <f>F234*20%</f>
        <v/>
      </c>
      <c r="T234" s="5">
        <f>J234-S234</f>
        <v/>
      </c>
      <c r="U234" s="5">
        <f>F234+J234</f>
        <v/>
      </c>
      <c r="V234" s="5">
        <f>O234-U234</f>
        <v/>
      </c>
      <c r="W234" s="5">
        <f>O234-(P234+R234)</f>
        <v/>
      </c>
      <c r="X234" s="5">
        <f>O234-(P234+Q234+R234)</f>
        <v/>
      </c>
    </row>
    <row r="235">
      <c r="A235" s="2" t="inlineStr">
        <is>
          <t>EJ021023.TXT</t>
        </is>
      </c>
      <c r="B235" s="3" t="inlineStr">
        <is>
          <t>001330</t>
        </is>
      </c>
      <c r="C235" s="3" t="inlineStr">
        <is>
          <t>000842</t>
        </is>
      </c>
      <c r="D235" s="4" t="n">
        <v>45199</v>
      </c>
      <c r="E235" s="2" t="inlineStr">
        <is>
          <t>16:09</t>
        </is>
      </c>
      <c r="F235" s="5" t="n">
        <v>274.17</v>
      </c>
      <c r="G235" s="5" t="n"/>
      <c r="H235" s="5" t="n"/>
      <c r="I235" s="5" t="n"/>
      <c r="J235" s="5" t="n">
        <v>54.83</v>
      </c>
      <c r="K235" s="5" t="n"/>
      <c r="L235" s="5" t="n"/>
      <c r="M235" s="5" t="n"/>
      <c r="N235" s="5" t="n"/>
      <c r="O235" s="5" t="n">
        <v>329</v>
      </c>
      <c r="P235" s="5" t="n">
        <v>329</v>
      </c>
      <c r="Q235" s="5" t="n"/>
      <c r="R235" s="5" t="n"/>
      <c r="S235" s="5">
        <f>F235*20%</f>
        <v/>
      </c>
      <c r="T235" s="5">
        <f>J235-S235</f>
        <v/>
      </c>
      <c r="U235" s="5">
        <f>F235+J235</f>
        <v/>
      </c>
      <c r="V235" s="5">
        <f>O235-U235</f>
        <v/>
      </c>
      <c r="W235" s="5">
        <f>O235-(P235+R235)</f>
        <v/>
      </c>
      <c r="X235" s="5">
        <f>O235-(P235+Q235+R235)</f>
        <v/>
      </c>
    </row>
    <row r="236">
      <c r="A236" s="2" t="inlineStr">
        <is>
          <t>EJ021023.TXT</t>
        </is>
      </c>
      <c r="B236" s="3" t="inlineStr">
        <is>
          <t>001331</t>
        </is>
      </c>
      <c r="C236" s="3" t="inlineStr">
        <is>
          <t>000843</t>
        </is>
      </c>
      <c r="D236" s="4" t="n">
        <v>45201</v>
      </c>
      <c r="E236" s="2" t="inlineStr">
        <is>
          <t>09:01</t>
        </is>
      </c>
      <c r="F236" s="5" t="n">
        <v>329.17</v>
      </c>
      <c r="G236" s="5" t="n"/>
      <c r="H236" s="5" t="n"/>
      <c r="I236" s="5" t="n"/>
      <c r="J236" s="5" t="n">
        <v>65.83</v>
      </c>
      <c r="K236" s="5" t="n"/>
      <c r="L236" s="5" t="n"/>
      <c r="M236" s="5" t="n"/>
      <c r="N236" s="5" t="n"/>
      <c r="O236" s="5" t="n">
        <v>395</v>
      </c>
      <c r="P236" s="5" t="n">
        <v>395</v>
      </c>
      <c r="Q236" s="5" t="n"/>
      <c r="R236" s="5" t="n"/>
      <c r="S236" s="5">
        <f>F236*20%</f>
        <v/>
      </c>
      <c r="T236" s="5">
        <f>J236-S236</f>
        <v/>
      </c>
      <c r="U236" s="5">
        <f>F236+J236</f>
        <v/>
      </c>
      <c r="V236" s="5">
        <f>O236-U236</f>
        <v/>
      </c>
      <c r="W236" s="5">
        <f>O236-(P236+R236)</f>
        <v/>
      </c>
      <c r="X236" s="5">
        <f>O236-(P236+Q236+R236)</f>
        <v/>
      </c>
    </row>
    <row r="237">
      <c r="A237" s="2" t="inlineStr">
        <is>
          <t>EJ021123.TXT</t>
        </is>
      </c>
      <c r="B237" s="3" t="inlineStr">
        <is>
          <t>001340</t>
        </is>
      </c>
      <c r="C237" s="3" t="inlineStr">
        <is>
          <t>000844</t>
        </is>
      </c>
      <c r="D237" s="4" t="n">
        <v>45202</v>
      </c>
      <c r="E237" s="2" t="inlineStr">
        <is>
          <t>12:25</t>
        </is>
      </c>
      <c r="F237" s="5" t="n">
        <v>548.33</v>
      </c>
      <c r="G237" s="5" t="n"/>
      <c r="H237" s="5" t="n"/>
      <c r="I237" s="5" t="n"/>
      <c r="J237" s="5" t="n">
        <v>109.67</v>
      </c>
      <c r="K237" s="5" t="n"/>
      <c r="L237" s="5" t="n"/>
      <c r="M237" s="5" t="n"/>
      <c r="N237" s="5" t="n"/>
      <c r="O237" s="5" t="n">
        <v>658</v>
      </c>
      <c r="P237" s="5" t="n">
        <v>658</v>
      </c>
      <c r="Q237" s="5" t="n"/>
      <c r="R237" s="5" t="n"/>
      <c r="S237" s="5">
        <f>F237*20%</f>
        <v/>
      </c>
      <c r="T237" s="5">
        <f>J237-S237</f>
        <v/>
      </c>
      <c r="U237" s="5">
        <f>F237+J237</f>
        <v/>
      </c>
      <c r="V237" s="5">
        <f>O237-U237</f>
        <v/>
      </c>
      <c r="W237" s="5">
        <f>O237-(P237+R237)</f>
        <v/>
      </c>
      <c r="X237" s="5">
        <f>O237-(P237+Q237+R237)</f>
        <v/>
      </c>
    </row>
    <row r="238">
      <c r="A238" s="2" t="inlineStr">
        <is>
          <t>EJ021123.TXT</t>
        </is>
      </c>
      <c r="B238" s="3" t="inlineStr">
        <is>
          <t>001342</t>
        </is>
      </c>
      <c r="C238" s="3" t="inlineStr">
        <is>
          <t>000845</t>
        </is>
      </c>
      <c r="D238" s="4" t="n">
        <v>45202</v>
      </c>
      <c r="E238" s="2" t="inlineStr">
        <is>
          <t>14:17</t>
        </is>
      </c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>
        <v>0</v>
      </c>
      <c r="P238" s="5" t="n"/>
      <c r="Q238" s="5" t="n">
        <v>0</v>
      </c>
      <c r="R238" s="5" t="n"/>
      <c r="S238" s="5">
        <f>F238*20%</f>
        <v/>
      </c>
      <c r="T238" s="5">
        <f>J238-S238</f>
        <v/>
      </c>
      <c r="U238" s="5">
        <f>F238+J238</f>
        <v/>
      </c>
      <c r="V238" s="5">
        <f>O238-U238</f>
        <v/>
      </c>
      <c r="W238" s="5">
        <f>O238-(P238+R238)</f>
        <v/>
      </c>
      <c r="X238" s="5">
        <f>O238-(P238+Q238+R238)</f>
        <v/>
      </c>
    </row>
    <row r="239">
      <c r="A239" s="2" t="inlineStr">
        <is>
          <t>EJ021123.TXT</t>
        </is>
      </c>
      <c r="B239" s="3" t="inlineStr">
        <is>
          <t>001343</t>
        </is>
      </c>
      <c r="C239" s="3" t="inlineStr">
        <is>
          <t>000846</t>
        </is>
      </c>
      <c r="D239" s="4" t="n">
        <v>45202</v>
      </c>
      <c r="E239" s="2" t="inlineStr">
        <is>
          <t>14:53</t>
        </is>
      </c>
      <c r="F239" s="5" t="n">
        <v>548.33</v>
      </c>
      <c r="G239" s="5" t="n"/>
      <c r="H239" s="5" t="n"/>
      <c r="I239" s="5" t="n"/>
      <c r="J239" s="5" t="n">
        <v>109.67</v>
      </c>
      <c r="K239" s="5" t="n"/>
      <c r="L239" s="5" t="n"/>
      <c r="M239" s="5" t="n"/>
      <c r="N239" s="5" t="n"/>
      <c r="O239" s="5" t="n">
        <v>658</v>
      </c>
      <c r="P239" s="5" t="n">
        <v>658</v>
      </c>
      <c r="Q239" s="5" t="n"/>
      <c r="R239" s="5" t="n"/>
      <c r="S239" s="5">
        <f>F239*20%</f>
        <v/>
      </c>
      <c r="T239" s="5">
        <f>J239-S239</f>
        <v/>
      </c>
      <c r="U239" s="5">
        <f>F239+J239</f>
        <v/>
      </c>
      <c r="V239" s="5">
        <f>O239-U239</f>
        <v/>
      </c>
      <c r="W239" s="5">
        <f>O239-(P239+R239)</f>
        <v/>
      </c>
      <c r="X239" s="5">
        <f>O239-(P239+Q239+R239)</f>
        <v/>
      </c>
    </row>
    <row r="240">
      <c r="A240" s="2" t="inlineStr">
        <is>
          <t>EJ021123.TXT</t>
        </is>
      </c>
      <c r="B240" s="3" t="inlineStr">
        <is>
          <t>001344</t>
        </is>
      </c>
      <c r="C240" s="3" t="inlineStr">
        <is>
          <t>000847</t>
        </is>
      </c>
      <c r="D240" s="4" t="n">
        <v>45202</v>
      </c>
      <c r="E240" s="2" t="inlineStr">
        <is>
          <t>15:05</t>
        </is>
      </c>
      <c r="F240" s="5" t="n">
        <v>548.33</v>
      </c>
      <c r="G240" s="5" t="n"/>
      <c r="H240" s="5" t="n"/>
      <c r="I240" s="5" t="n"/>
      <c r="J240" s="5" t="n">
        <v>109.67</v>
      </c>
      <c r="K240" s="5" t="n"/>
      <c r="L240" s="5" t="n"/>
      <c r="M240" s="5" t="n"/>
      <c r="N240" s="5" t="n"/>
      <c r="O240" s="5" t="n">
        <v>658</v>
      </c>
      <c r="P240" s="5" t="n">
        <v>658</v>
      </c>
      <c r="Q240" s="5" t="n"/>
      <c r="R240" s="5" t="n"/>
      <c r="S240" s="5">
        <f>F240*20%</f>
        <v/>
      </c>
      <c r="T240" s="5">
        <f>J240-S240</f>
        <v/>
      </c>
      <c r="U240" s="5">
        <f>F240+J240</f>
        <v/>
      </c>
      <c r="V240" s="5">
        <f>O240-U240</f>
        <v/>
      </c>
      <c r="W240" s="5">
        <f>O240-(P240+R240)</f>
        <v/>
      </c>
      <c r="X240" s="5">
        <f>O240-(P240+Q240+R240)</f>
        <v/>
      </c>
    </row>
    <row r="241">
      <c r="A241" s="2" t="inlineStr">
        <is>
          <t>EJ021123.TXT</t>
        </is>
      </c>
      <c r="B241" s="3" t="inlineStr">
        <is>
          <t>001345</t>
        </is>
      </c>
      <c r="C241" s="3" t="inlineStr">
        <is>
          <t>000848</t>
        </is>
      </c>
      <c r="D241" s="4" t="n">
        <v>45203</v>
      </c>
      <c r="E241" s="2" t="inlineStr">
        <is>
          <t>13:44</t>
        </is>
      </c>
      <c r="F241" s="5" t="n">
        <v>274.17</v>
      </c>
      <c r="G241" s="5" t="n"/>
      <c r="H241" s="5" t="n"/>
      <c r="I241" s="5" t="n"/>
      <c r="J241" s="5" t="n">
        <v>54.83</v>
      </c>
      <c r="K241" s="5" t="n"/>
      <c r="L241" s="5" t="n"/>
      <c r="M241" s="5" t="n"/>
      <c r="N241" s="5" t="n"/>
      <c r="O241" s="5" t="n">
        <v>329</v>
      </c>
      <c r="P241" s="5" t="n"/>
      <c r="Q241" s="5" t="n">
        <v>329</v>
      </c>
      <c r="R241" s="5" t="n"/>
      <c r="S241" s="5">
        <f>F241*20%</f>
        <v/>
      </c>
      <c r="T241" s="5">
        <f>J241-S241</f>
        <v/>
      </c>
      <c r="U241" s="5">
        <f>F241+J241</f>
        <v/>
      </c>
      <c r="V241" s="5">
        <f>O241-U241</f>
        <v/>
      </c>
      <c r="W241" s="5">
        <f>O241-(P241+R241)</f>
        <v/>
      </c>
      <c r="X241" s="5">
        <f>O241-(P241+Q241+R241)</f>
        <v/>
      </c>
    </row>
    <row r="242">
      <c r="A242" s="2" t="inlineStr">
        <is>
          <t>EJ021123.TXT</t>
        </is>
      </c>
      <c r="B242" s="3" t="inlineStr">
        <is>
          <t>001346</t>
        </is>
      </c>
      <c r="C242" s="3" t="inlineStr">
        <is>
          <t>000849</t>
        </is>
      </c>
      <c r="D242" s="4" t="n">
        <v>45204</v>
      </c>
      <c r="E242" s="2" t="inlineStr">
        <is>
          <t>12:26</t>
        </is>
      </c>
      <c r="F242" s="5" t="n">
        <v>274.17</v>
      </c>
      <c r="G242" s="5" t="n"/>
      <c r="H242" s="5" t="n"/>
      <c r="I242" s="5" t="n"/>
      <c r="J242" s="5" t="n">
        <v>54.83</v>
      </c>
      <c r="K242" s="5" t="n"/>
      <c r="L242" s="5" t="n"/>
      <c r="M242" s="5" t="n"/>
      <c r="N242" s="5" t="n"/>
      <c r="O242" s="5" t="n">
        <v>329</v>
      </c>
      <c r="P242" s="5" t="n"/>
      <c r="Q242" s="5" t="n">
        <v>329</v>
      </c>
      <c r="R242" s="5" t="n"/>
      <c r="S242" s="5">
        <f>F242*20%</f>
        <v/>
      </c>
      <c r="T242" s="5">
        <f>J242-S242</f>
        <v/>
      </c>
      <c r="U242" s="5">
        <f>F242+J242</f>
        <v/>
      </c>
      <c r="V242" s="5">
        <f>O242-U242</f>
        <v/>
      </c>
      <c r="W242" s="5">
        <f>O242-(P242+R242)</f>
        <v/>
      </c>
      <c r="X242" s="5">
        <f>O242-(P242+Q242+R242)</f>
        <v/>
      </c>
    </row>
    <row r="243">
      <c r="A243" s="2" t="inlineStr">
        <is>
          <t>EJ021123.TXT</t>
        </is>
      </c>
      <c r="B243" s="3" t="inlineStr">
        <is>
          <t>001347</t>
        </is>
      </c>
      <c r="C243" s="3" t="inlineStr">
        <is>
          <t>000850</t>
        </is>
      </c>
      <c r="D243" s="4" t="n">
        <v>45204</v>
      </c>
      <c r="E243" s="2" t="inlineStr">
        <is>
          <t>13:53</t>
        </is>
      </c>
      <c r="F243" s="5" t="n">
        <v>548.33</v>
      </c>
      <c r="G243" s="5" t="n"/>
      <c r="H243" s="5" t="n"/>
      <c r="I243" s="5" t="n"/>
      <c r="J243" s="5" t="n">
        <v>109.67</v>
      </c>
      <c r="K243" s="5" t="n"/>
      <c r="L243" s="5" t="n"/>
      <c r="M243" s="5" t="n"/>
      <c r="N243" s="5" t="n"/>
      <c r="O243" s="5" t="n">
        <v>658</v>
      </c>
      <c r="P243" s="5" t="n">
        <v>658</v>
      </c>
      <c r="Q243" s="5" t="n"/>
      <c r="R243" s="5" t="n"/>
      <c r="S243" s="5">
        <f>F243*20%</f>
        <v/>
      </c>
      <c r="T243" s="5">
        <f>J243-S243</f>
        <v/>
      </c>
      <c r="U243" s="5">
        <f>F243+J243</f>
        <v/>
      </c>
      <c r="V243" s="5">
        <f>O243-U243</f>
        <v/>
      </c>
      <c r="W243" s="5">
        <f>O243-(P243+R243)</f>
        <v/>
      </c>
      <c r="X243" s="5">
        <f>O243-(P243+Q243+R243)</f>
        <v/>
      </c>
    </row>
    <row r="244">
      <c r="A244" s="2" t="inlineStr">
        <is>
          <t>EJ021123.TXT</t>
        </is>
      </c>
      <c r="B244" s="3" t="inlineStr">
        <is>
          <t>001348</t>
        </is>
      </c>
      <c r="C244" s="3" t="inlineStr">
        <is>
          <t>000851</t>
        </is>
      </c>
      <c r="D244" s="4" t="n">
        <v>45205</v>
      </c>
      <c r="E244" s="2" t="inlineStr">
        <is>
          <t>12:13</t>
        </is>
      </c>
      <c r="F244" s="5" t="n">
        <v>274.17</v>
      </c>
      <c r="G244" s="5" t="n"/>
      <c r="H244" s="5" t="n"/>
      <c r="I244" s="5" t="n"/>
      <c r="J244" s="5" t="n">
        <v>54.83</v>
      </c>
      <c r="K244" s="5" t="n"/>
      <c r="L244" s="5" t="n"/>
      <c r="M244" s="5" t="n"/>
      <c r="N244" s="5" t="n"/>
      <c r="O244" s="5" t="n">
        <v>329</v>
      </c>
      <c r="P244" s="5" t="n">
        <v>329</v>
      </c>
      <c r="Q244" s="5" t="n"/>
      <c r="R244" s="5" t="n"/>
      <c r="S244" s="5">
        <f>F244*20%</f>
        <v/>
      </c>
      <c r="T244" s="5">
        <f>J244-S244</f>
        <v/>
      </c>
      <c r="U244" s="5">
        <f>F244+J244</f>
        <v/>
      </c>
      <c r="V244" s="5">
        <f>O244-U244</f>
        <v/>
      </c>
      <c r="W244" s="5">
        <f>O244-(P244+R244)</f>
        <v/>
      </c>
      <c r="X244" s="5">
        <f>O244-(P244+Q244+R244)</f>
        <v/>
      </c>
    </row>
    <row r="245">
      <c r="A245" s="2" t="inlineStr">
        <is>
          <t>EJ021123.TXT</t>
        </is>
      </c>
      <c r="B245" s="3" t="inlineStr">
        <is>
          <t>001349</t>
        </is>
      </c>
      <c r="C245" s="3" t="inlineStr">
        <is>
          <t>000852</t>
        </is>
      </c>
      <c r="D245" s="4" t="n">
        <v>45205</v>
      </c>
      <c r="E245" s="2" t="inlineStr">
        <is>
          <t>14:10</t>
        </is>
      </c>
      <c r="F245" s="5" t="n">
        <v>866.67</v>
      </c>
      <c r="G245" s="5" t="n"/>
      <c r="H245" s="5" t="n"/>
      <c r="I245" s="5" t="n"/>
      <c r="J245" s="5" t="n">
        <v>173.33</v>
      </c>
      <c r="K245" s="5" t="n"/>
      <c r="L245" s="5" t="n"/>
      <c r="M245" s="5" t="n"/>
      <c r="N245" s="5" t="n"/>
      <c r="O245" s="5" t="n">
        <v>1040</v>
      </c>
      <c r="P245" s="5" t="n">
        <v>1040</v>
      </c>
      <c r="Q245" s="5" t="n"/>
      <c r="R245" s="5" t="n"/>
      <c r="S245" s="5">
        <f>F245*20%</f>
        <v/>
      </c>
      <c r="T245" s="5">
        <f>J245-S245</f>
        <v/>
      </c>
      <c r="U245" s="5">
        <f>F245+J245</f>
        <v/>
      </c>
      <c r="V245" s="5">
        <f>O245-U245</f>
        <v/>
      </c>
      <c r="W245" s="5">
        <f>O245-(P245+R245)</f>
        <v/>
      </c>
      <c r="X245" s="5">
        <f>O245-(P245+Q245+R245)</f>
        <v/>
      </c>
    </row>
    <row r="246">
      <c r="A246" s="2" t="inlineStr">
        <is>
          <t>EJ021123.TXT</t>
        </is>
      </c>
      <c r="B246" s="3" t="inlineStr">
        <is>
          <t>001350</t>
        </is>
      </c>
      <c r="C246" s="3" t="inlineStr">
        <is>
          <t>000853</t>
        </is>
      </c>
      <c r="D246" s="4" t="n">
        <v>45205</v>
      </c>
      <c r="E246" s="2" t="inlineStr">
        <is>
          <t>15:09</t>
        </is>
      </c>
      <c r="F246" s="5" t="n">
        <v>1165</v>
      </c>
      <c r="G246" s="5" t="n"/>
      <c r="H246" s="5" t="n"/>
      <c r="I246" s="5" t="n"/>
      <c r="J246" s="5" t="n">
        <v>233</v>
      </c>
      <c r="K246" s="5" t="n"/>
      <c r="L246" s="5" t="n"/>
      <c r="M246" s="5" t="n"/>
      <c r="N246" s="5" t="n"/>
      <c r="O246" s="5" t="n">
        <v>1398</v>
      </c>
      <c r="P246" s="5" t="n">
        <v>1398</v>
      </c>
      <c r="Q246" s="5" t="n"/>
      <c r="R246" s="5" t="n"/>
      <c r="S246" s="5">
        <f>F246*20%</f>
        <v/>
      </c>
      <c r="T246" s="5">
        <f>J246-S246</f>
        <v/>
      </c>
      <c r="U246" s="5">
        <f>F246+J246</f>
        <v/>
      </c>
      <c r="V246" s="5">
        <f>O246-U246</f>
        <v/>
      </c>
      <c r="W246" s="5">
        <f>O246-(P246+R246)</f>
        <v/>
      </c>
      <c r="X246" s="5">
        <f>O246-(P246+Q246+R246)</f>
        <v/>
      </c>
    </row>
    <row r="247">
      <c r="A247" s="2" t="inlineStr">
        <is>
          <t>EJ021123.TXT</t>
        </is>
      </c>
      <c r="B247" s="3" t="inlineStr">
        <is>
          <t>001351</t>
        </is>
      </c>
      <c r="C247" s="3" t="inlineStr">
        <is>
          <t>000854</t>
        </is>
      </c>
      <c r="D247" s="4" t="n">
        <v>45208</v>
      </c>
      <c r="E247" s="2" t="inlineStr">
        <is>
          <t>12:41</t>
        </is>
      </c>
      <c r="F247" s="5" t="n">
        <v>1096.67</v>
      </c>
      <c r="G247" s="5" t="n"/>
      <c r="H247" s="5" t="n"/>
      <c r="I247" s="5" t="n"/>
      <c r="J247" s="5" t="n">
        <v>219.33</v>
      </c>
      <c r="K247" s="5" t="n"/>
      <c r="L247" s="5" t="n"/>
      <c r="M247" s="5" t="n"/>
      <c r="N247" s="5" t="n"/>
      <c r="O247" s="5" t="n">
        <v>1316</v>
      </c>
      <c r="P247" s="5" t="n">
        <v>1316</v>
      </c>
      <c r="Q247" s="5" t="n"/>
      <c r="R247" s="5" t="n"/>
      <c r="S247" s="5">
        <f>F247*20%</f>
        <v/>
      </c>
      <c r="T247" s="5">
        <f>J247-S247</f>
        <v/>
      </c>
      <c r="U247" s="5">
        <f>F247+J247</f>
        <v/>
      </c>
      <c r="V247" s="5">
        <f>O247-U247</f>
        <v/>
      </c>
      <c r="W247" s="5">
        <f>O247-(P247+R247)</f>
        <v/>
      </c>
      <c r="X247" s="5">
        <f>O247-(P247+Q247+R247)</f>
        <v/>
      </c>
    </row>
    <row r="248">
      <c r="A248" s="2" t="inlineStr">
        <is>
          <t>EJ021123.TXT</t>
        </is>
      </c>
      <c r="B248" s="3" t="inlineStr">
        <is>
          <t>001352</t>
        </is>
      </c>
      <c r="C248" s="3" t="inlineStr">
        <is>
          <t>000855</t>
        </is>
      </c>
      <c r="D248" s="4" t="n">
        <v>45208</v>
      </c>
      <c r="E248" s="2" t="inlineStr">
        <is>
          <t>14:55</t>
        </is>
      </c>
      <c r="F248" s="5" t="n">
        <v>548.33</v>
      </c>
      <c r="G248" s="5" t="n"/>
      <c r="H248" s="5" t="n"/>
      <c r="I248" s="5" t="n"/>
      <c r="J248" s="5" t="n">
        <v>109.67</v>
      </c>
      <c r="K248" s="5" t="n"/>
      <c r="L248" s="5" t="n"/>
      <c r="M248" s="5" t="n"/>
      <c r="N248" s="5" t="n"/>
      <c r="O248" s="5" t="n">
        <v>658</v>
      </c>
      <c r="P248" s="5" t="n">
        <v>658</v>
      </c>
      <c r="Q248" s="5" t="n"/>
      <c r="R248" s="5" t="n"/>
      <c r="S248" s="5">
        <f>F248*20%</f>
        <v/>
      </c>
      <c r="T248" s="5">
        <f>J248-S248</f>
        <v/>
      </c>
      <c r="U248" s="5">
        <f>F248+J248</f>
        <v/>
      </c>
      <c r="V248" s="5">
        <f>O248-U248</f>
        <v/>
      </c>
      <c r="W248" s="5">
        <f>O248-(P248+R248)</f>
        <v/>
      </c>
      <c r="X248" s="5">
        <f>O248-(P248+Q248+R248)</f>
        <v/>
      </c>
    </row>
    <row r="249">
      <c r="A249" s="2" t="inlineStr">
        <is>
          <t>EJ021123.TXT</t>
        </is>
      </c>
      <c r="B249" s="3" t="inlineStr">
        <is>
          <t>001355</t>
        </is>
      </c>
      <c r="C249" s="3" t="inlineStr">
        <is>
          <t>000856</t>
        </is>
      </c>
      <c r="D249" s="4" t="n">
        <v>45211</v>
      </c>
      <c r="E249" s="2" t="inlineStr">
        <is>
          <t>15:56</t>
        </is>
      </c>
      <c r="F249" s="5" t="n">
        <v>522.5</v>
      </c>
      <c r="G249" s="5" t="n"/>
      <c r="H249" s="5" t="n"/>
      <c r="I249" s="5" t="n"/>
      <c r="J249" s="5" t="n">
        <v>104.5</v>
      </c>
      <c r="K249" s="5" t="n"/>
      <c r="L249" s="5" t="n"/>
      <c r="M249" s="5" t="n"/>
      <c r="N249" s="5" t="n"/>
      <c r="O249" s="5" t="n">
        <v>627</v>
      </c>
      <c r="P249" s="5" t="n">
        <v>627</v>
      </c>
      <c r="Q249" s="5" t="n"/>
      <c r="R249" s="5" t="n"/>
      <c r="S249" s="5">
        <f>F249*20%</f>
        <v/>
      </c>
      <c r="T249" s="5">
        <f>J249-S249</f>
        <v/>
      </c>
      <c r="U249" s="5">
        <f>F249+J249</f>
        <v/>
      </c>
      <c r="V249" s="5">
        <f>O249-U249</f>
        <v/>
      </c>
      <c r="W249" s="5">
        <f>O249-(P249+R249)</f>
        <v/>
      </c>
      <c r="X249" s="5">
        <f>O249-(P249+Q249+R249)</f>
        <v/>
      </c>
    </row>
    <row r="250">
      <c r="A250" s="2" t="inlineStr">
        <is>
          <t>EJ021123.TXT</t>
        </is>
      </c>
      <c r="B250" s="3" t="inlineStr">
        <is>
          <t>001356</t>
        </is>
      </c>
      <c r="C250" s="3" t="inlineStr">
        <is>
          <t>000857</t>
        </is>
      </c>
      <c r="D250" s="4" t="n">
        <v>45212</v>
      </c>
      <c r="E250" s="2" t="inlineStr">
        <is>
          <t>12:23</t>
        </is>
      </c>
      <c r="F250" s="5" t="n">
        <v>274.17</v>
      </c>
      <c r="G250" s="5" t="n"/>
      <c r="H250" s="5" t="n"/>
      <c r="I250" s="5" t="n"/>
      <c r="J250" s="5" t="n">
        <v>54.83</v>
      </c>
      <c r="K250" s="5" t="n"/>
      <c r="L250" s="5" t="n"/>
      <c r="M250" s="5" t="n"/>
      <c r="N250" s="5" t="n"/>
      <c r="O250" s="5" t="n">
        <v>329</v>
      </c>
      <c r="P250" s="5" t="n">
        <v>329</v>
      </c>
      <c r="Q250" s="5" t="n"/>
      <c r="R250" s="5" t="n"/>
      <c r="S250" s="5">
        <f>F250*20%</f>
        <v/>
      </c>
      <c r="T250" s="5">
        <f>J250-S250</f>
        <v/>
      </c>
      <c r="U250" s="5">
        <f>F250+J250</f>
        <v/>
      </c>
      <c r="V250" s="5">
        <f>O250-U250</f>
        <v/>
      </c>
      <c r="W250" s="5">
        <f>O250-(P250+R250)</f>
        <v/>
      </c>
      <c r="X250" s="5">
        <f>O250-(P250+Q250+R250)</f>
        <v/>
      </c>
    </row>
    <row r="251">
      <c r="A251" s="2" t="inlineStr">
        <is>
          <t>EJ021123.TXT</t>
        </is>
      </c>
      <c r="B251" s="3" t="inlineStr">
        <is>
          <t>001357</t>
        </is>
      </c>
      <c r="C251" s="3" t="inlineStr">
        <is>
          <t>000858</t>
        </is>
      </c>
      <c r="D251" s="4" t="n">
        <v>45213</v>
      </c>
      <c r="E251" s="2" t="inlineStr">
        <is>
          <t>14:43</t>
        </is>
      </c>
      <c r="F251" s="5" t="n">
        <v>548.33</v>
      </c>
      <c r="G251" s="5" t="n"/>
      <c r="H251" s="5" t="n"/>
      <c r="I251" s="5" t="n"/>
      <c r="J251" s="5" t="n">
        <v>109.67</v>
      </c>
      <c r="K251" s="5" t="n"/>
      <c r="L251" s="5" t="n"/>
      <c r="M251" s="5" t="n"/>
      <c r="N251" s="5" t="n"/>
      <c r="O251" s="5" t="n">
        <v>658</v>
      </c>
      <c r="P251" s="5" t="n">
        <v>658</v>
      </c>
      <c r="Q251" s="5" t="n"/>
      <c r="R251" s="5" t="n"/>
      <c r="S251" s="5">
        <f>F251*20%</f>
        <v/>
      </c>
      <c r="T251" s="5">
        <f>J251-S251</f>
        <v/>
      </c>
      <c r="U251" s="5">
        <f>F251+J251</f>
        <v/>
      </c>
      <c r="V251" s="5">
        <f>O251-U251</f>
        <v/>
      </c>
      <c r="W251" s="5">
        <f>O251-(P251+R251)</f>
        <v/>
      </c>
      <c r="X251" s="5">
        <f>O251-(P251+Q251+R251)</f>
        <v/>
      </c>
    </row>
    <row r="252">
      <c r="A252" s="2" t="inlineStr">
        <is>
          <t>EJ021123.TXT</t>
        </is>
      </c>
      <c r="B252" s="3" t="inlineStr">
        <is>
          <t>001358</t>
        </is>
      </c>
      <c r="C252" s="3" t="inlineStr">
        <is>
          <t>000859</t>
        </is>
      </c>
      <c r="D252" s="4" t="n">
        <v>45215</v>
      </c>
      <c r="E252" s="2" t="inlineStr">
        <is>
          <t>16:08</t>
        </is>
      </c>
      <c r="F252" s="5" t="n">
        <v>548.33</v>
      </c>
      <c r="G252" s="5" t="n"/>
      <c r="H252" s="5" t="n"/>
      <c r="I252" s="5" t="n"/>
      <c r="J252" s="5" t="n">
        <v>109.67</v>
      </c>
      <c r="K252" s="5" t="n"/>
      <c r="L252" s="5" t="n"/>
      <c r="M252" s="5" t="n"/>
      <c r="N252" s="5" t="n"/>
      <c r="O252" s="5" t="n">
        <v>658</v>
      </c>
      <c r="P252" s="5" t="n">
        <v>658</v>
      </c>
      <c r="Q252" s="5" t="n"/>
      <c r="R252" s="5" t="n"/>
      <c r="S252" s="5">
        <f>F252*20%</f>
        <v/>
      </c>
      <c r="T252" s="5">
        <f>J252-S252</f>
        <v/>
      </c>
      <c r="U252" s="5">
        <f>F252+J252</f>
        <v/>
      </c>
      <c r="V252" s="5">
        <f>O252-U252</f>
        <v/>
      </c>
      <c r="W252" s="5">
        <f>O252-(P252+R252)</f>
        <v/>
      </c>
      <c r="X252" s="5">
        <f>O252-(P252+Q252+R252)</f>
        <v/>
      </c>
    </row>
    <row r="253">
      <c r="A253" s="2" t="inlineStr">
        <is>
          <t>EJ021123.TXT</t>
        </is>
      </c>
      <c r="B253" s="3" t="inlineStr">
        <is>
          <t>001359</t>
        </is>
      </c>
      <c r="C253" s="3" t="inlineStr">
        <is>
          <t>000860</t>
        </is>
      </c>
      <c r="D253" s="4" t="n">
        <v>45216</v>
      </c>
      <c r="E253" s="2" t="inlineStr">
        <is>
          <t>11:15</t>
        </is>
      </c>
      <c r="F253" s="5" t="n">
        <v>3241.67</v>
      </c>
      <c r="G253" s="5" t="n"/>
      <c r="H253" s="5" t="n"/>
      <c r="I253" s="5" t="n"/>
      <c r="J253" s="5" t="n">
        <v>648.33</v>
      </c>
      <c r="K253" s="5" t="n"/>
      <c r="L253" s="5" t="n"/>
      <c r="M253" s="5" t="n"/>
      <c r="N253" s="5" t="n"/>
      <c r="O253" s="5" t="n">
        <v>3890</v>
      </c>
      <c r="P253" s="5" t="n">
        <v>3890</v>
      </c>
      <c r="Q253" s="5" t="n"/>
      <c r="R253" s="5" t="n"/>
      <c r="S253" s="5">
        <f>F253*20%</f>
        <v/>
      </c>
      <c r="T253" s="5">
        <f>J253-S253</f>
        <v/>
      </c>
      <c r="U253" s="5">
        <f>F253+J253</f>
        <v/>
      </c>
      <c r="V253" s="5">
        <f>O253-U253</f>
        <v/>
      </c>
      <c r="W253" s="5">
        <f>O253-(P253+R253)</f>
        <v/>
      </c>
      <c r="X253" s="5">
        <f>O253-(P253+Q253+R253)</f>
        <v/>
      </c>
    </row>
    <row r="254">
      <c r="A254" s="2" t="inlineStr">
        <is>
          <t>EJ021123.TXT</t>
        </is>
      </c>
      <c r="B254" s="3" t="inlineStr">
        <is>
          <t>001360</t>
        </is>
      </c>
      <c r="C254" s="3" t="inlineStr">
        <is>
          <t>000861</t>
        </is>
      </c>
      <c r="D254" s="4" t="n">
        <v>45217</v>
      </c>
      <c r="E254" s="2" t="inlineStr">
        <is>
          <t>16:43</t>
        </is>
      </c>
      <c r="F254" s="5" t="n">
        <v>266.67</v>
      </c>
      <c r="G254" s="5" t="n"/>
      <c r="H254" s="5" t="n"/>
      <c r="I254" s="5" t="n"/>
      <c r="J254" s="5" t="n">
        <v>53.33</v>
      </c>
      <c r="K254" s="5" t="n"/>
      <c r="L254" s="5" t="n"/>
      <c r="M254" s="5" t="n"/>
      <c r="N254" s="5" t="n"/>
      <c r="O254" s="5" t="n">
        <v>320</v>
      </c>
      <c r="P254" s="5" t="n"/>
      <c r="Q254" s="5" t="n">
        <v>320</v>
      </c>
      <c r="R254" s="5" t="n"/>
      <c r="S254" s="5">
        <f>F254*20%</f>
        <v/>
      </c>
      <c r="T254" s="5">
        <f>J254-S254</f>
        <v/>
      </c>
      <c r="U254" s="5">
        <f>F254+J254</f>
        <v/>
      </c>
      <c r="V254" s="5">
        <f>O254-U254</f>
        <v/>
      </c>
      <c r="W254" s="5">
        <f>O254-(P254+R254)</f>
        <v/>
      </c>
      <c r="X254" s="5">
        <f>O254-(P254+Q254+R254)</f>
        <v/>
      </c>
    </row>
    <row r="255">
      <c r="A255" s="2" t="inlineStr">
        <is>
          <t>EJ021123.TXT</t>
        </is>
      </c>
      <c r="B255" s="3" t="inlineStr">
        <is>
          <t>001361</t>
        </is>
      </c>
      <c r="C255" s="3" t="inlineStr">
        <is>
          <t>000862</t>
        </is>
      </c>
      <c r="D255" s="4" t="n">
        <v>45218</v>
      </c>
      <c r="E255" s="2" t="inlineStr">
        <is>
          <t>12:41</t>
        </is>
      </c>
      <c r="F255" s="5" t="n">
        <v>225</v>
      </c>
      <c r="G255" s="5" t="n"/>
      <c r="H255" s="5" t="n"/>
      <c r="I255" s="5" t="n"/>
      <c r="J255" s="5" t="n">
        <v>45</v>
      </c>
      <c r="K255" s="5" t="n"/>
      <c r="L255" s="5" t="n"/>
      <c r="M255" s="5" t="n"/>
      <c r="N255" s="5" t="n"/>
      <c r="O255" s="5" t="n">
        <v>270</v>
      </c>
      <c r="P255" s="5" t="n"/>
      <c r="Q255" s="5" t="n">
        <v>270</v>
      </c>
      <c r="R255" s="5" t="n"/>
      <c r="S255" s="5">
        <f>F255*20%</f>
        <v/>
      </c>
      <c r="T255" s="5">
        <f>J255-S255</f>
        <v/>
      </c>
      <c r="U255" s="5">
        <f>F255+J255</f>
        <v/>
      </c>
      <c r="V255" s="5">
        <f>O255-U255</f>
        <v/>
      </c>
      <c r="W255" s="5">
        <f>O255-(P255+R255)</f>
        <v/>
      </c>
      <c r="X255" s="5">
        <f>O255-(P255+Q255+R255)</f>
        <v/>
      </c>
    </row>
    <row r="256">
      <c r="A256" s="2" t="inlineStr">
        <is>
          <t>EJ021123.TXT</t>
        </is>
      </c>
      <c r="B256" s="3" t="inlineStr">
        <is>
          <t>001362</t>
        </is>
      </c>
      <c r="C256" s="3" t="inlineStr">
        <is>
          <t>000863</t>
        </is>
      </c>
      <c r="D256" s="4" t="n">
        <v>45218</v>
      </c>
      <c r="E256" s="2" t="inlineStr">
        <is>
          <t>16:53</t>
        </is>
      </c>
      <c r="F256" s="5" t="n">
        <v>274.17</v>
      </c>
      <c r="G256" s="5" t="n"/>
      <c r="H256" s="5" t="n"/>
      <c r="I256" s="5" t="n"/>
      <c r="J256" s="5" t="n">
        <v>54.83</v>
      </c>
      <c r="K256" s="5" t="n"/>
      <c r="L256" s="5" t="n"/>
      <c r="M256" s="5" t="n"/>
      <c r="N256" s="5" t="n"/>
      <c r="O256" s="5" t="n">
        <v>329</v>
      </c>
      <c r="P256" s="5" t="n">
        <v>329</v>
      </c>
      <c r="Q256" s="5" t="n"/>
      <c r="R256" s="5" t="n"/>
      <c r="S256" s="5">
        <f>F256*20%</f>
        <v/>
      </c>
      <c r="T256" s="5">
        <f>J256-S256</f>
        <v/>
      </c>
      <c r="U256" s="5">
        <f>F256+J256</f>
        <v/>
      </c>
      <c r="V256" s="5">
        <f>O256-U256</f>
        <v/>
      </c>
      <c r="W256" s="5">
        <f>O256-(P256+R256)</f>
        <v/>
      </c>
      <c r="X256" s="5">
        <f>O256-(P256+Q256+R256)</f>
        <v/>
      </c>
    </row>
    <row r="257">
      <c r="A257" s="2" t="inlineStr">
        <is>
          <t>EJ021123.TXT</t>
        </is>
      </c>
      <c r="B257" s="3" t="inlineStr">
        <is>
          <t>001363</t>
        </is>
      </c>
      <c r="C257" s="3" t="inlineStr">
        <is>
          <t>000864</t>
        </is>
      </c>
      <c r="D257" s="4" t="n">
        <v>45220</v>
      </c>
      <c r="E257" s="2" t="inlineStr">
        <is>
          <t>13:40</t>
        </is>
      </c>
      <c r="F257" s="5" t="n">
        <v>672.5</v>
      </c>
      <c r="G257" s="5" t="n"/>
      <c r="H257" s="5" t="n"/>
      <c r="I257" s="5" t="n"/>
      <c r="J257" s="5" t="n">
        <v>134.5</v>
      </c>
      <c r="K257" s="5" t="n"/>
      <c r="L257" s="5" t="n"/>
      <c r="M257" s="5" t="n"/>
      <c r="N257" s="5" t="n"/>
      <c r="O257" s="5" t="n">
        <v>807</v>
      </c>
      <c r="P257" s="5" t="n"/>
      <c r="Q257" s="5" t="n">
        <v>807</v>
      </c>
      <c r="R257" s="5" t="n"/>
      <c r="S257" s="5">
        <f>F257*20%</f>
        <v/>
      </c>
      <c r="T257" s="5">
        <f>J257-S257</f>
        <v/>
      </c>
      <c r="U257" s="5">
        <f>F257+J257</f>
        <v/>
      </c>
      <c r="V257" s="5">
        <f>O257-U257</f>
        <v/>
      </c>
      <c r="W257" s="5">
        <f>O257-(P257+R257)</f>
        <v/>
      </c>
      <c r="X257" s="5">
        <f>O257-(P257+Q257+R257)</f>
        <v/>
      </c>
    </row>
    <row r="258">
      <c r="A258" s="2" t="inlineStr">
        <is>
          <t>EJ021123.TXT</t>
        </is>
      </c>
      <c r="B258" s="3" t="inlineStr">
        <is>
          <t>001366</t>
        </is>
      </c>
      <c r="C258" s="3" t="inlineStr">
        <is>
          <t>000865</t>
        </is>
      </c>
      <c r="D258" s="4" t="n">
        <v>45222</v>
      </c>
      <c r="E258" s="2" t="inlineStr">
        <is>
          <t>12:31</t>
        </is>
      </c>
      <c r="F258" s="5" t="n">
        <v>274.17</v>
      </c>
      <c r="G258" s="5" t="n"/>
      <c r="H258" s="5" t="n"/>
      <c r="I258" s="5" t="n"/>
      <c r="J258" s="5" t="n">
        <v>54.83</v>
      </c>
      <c r="K258" s="5" t="n"/>
      <c r="L258" s="5" t="n"/>
      <c r="M258" s="5" t="n"/>
      <c r="N258" s="5" t="n"/>
      <c r="O258" s="5" t="n">
        <v>329</v>
      </c>
      <c r="P258" s="5" t="n"/>
      <c r="Q258" s="5" t="n">
        <v>329</v>
      </c>
      <c r="R258" s="5" t="n"/>
      <c r="S258" s="5">
        <f>F258*20%</f>
        <v/>
      </c>
      <c r="T258" s="5">
        <f>J258-S258</f>
        <v/>
      </c>
      <c r="U258" s="5">
        <f>F258+J258</f>
        <v/>
      </c>
      <c r="V258" s="5">
        <f>O258-U258</f>
        <v/>
      </c>
      <c r="W258" s="5">
        <f>O258-(P258+R258)</f>
        <v/>
      </c>
      <c r="X258" s="5">
        <f>O258-(P258+Q258+R258)</f>
        <v/>
      </c>
    </row>
    <row r="259">
      <c r="A259" s="2" t="inlineStr">
        <is>
          <t>EJ021123.TXT</t>
        </is>
      </c>
      <c r="B259" s="3" t="inlineStr">
        <is>
          <t>001369</t>
        </is>
      </c>
      <c r="C259" s="3" t="inlineStr">
        <is>
          <t>000866</t>
        </is>
      </c>
      <c r="D259" s="4" t="n">
        <v>45223</v>
      </c>
      <c r="E259" s="2" t="inlineStr">
        <is>
          <t>12:41</t>
        </is>
      </c>
      <c r="F259" s="5" t="n">
        <v>465</v>
      </c>
      <c r="G259" s="5" t="n"/>
      <c r="H259" s="5" t="n"/>
      <c r="I259" s="5" t="n"/>
      <c r="J259" s="5" t="n">
        <v>93</v>
      </c>
      <c r="K259" s="5" t="n"/>
      <c r="L259" s="5" t="n"/>
      <c r="M259" s="5" t="n"/>
      <c r="N259" s="5" t="n"/>
      <c r="O259" s="5" t="n">
        <v>558</v>
      </c>
      <c r="P259" s="5" t="n"/>
      <c r="Q259" s="5" t="n">
        <v>558</v>
      </c>
      <c r="R259" s="5" t="n"/>
      <c r="S259" s="5">
        <f>F259*20%</f>
        <v/>
      </c>
      <c r="T259" s="5">
        <f>J259-S259</f>
        <v/>
      </c>
      <c r="U259" s="5">
        <f>F259+J259</f>
        <v/>
      </c>
      <c r="V259" s="5">
        <f>O259-U259</f>
        <v/>
      </c>
      <c r="W259" s="5">
        <f>O259-(P259+R259)</f>
        <v/>
      </c>
      <c r="X259" s="5">
        <f>O259-(P259+Q259+R259)</f>
        <v/>
      </c>
    </row>
    <row r="260">
      <c r="A260" s="2" t="inlineStr">
        <is>
          <t>EJ021123.TXT</t>
        </is>
      </c>
      <c r="B260" s="3" t="inlineStr">
        <is>
          <t>001370</t>
        </is>
      </c>
      <c r="C260" s="3" t="inlineStr">
        <is>
          <t>000867</t>
        </is>
      </c>
      <c r="D260" s="4" t="n">
        <v>45224</v>
      </c>
      <c r="E260" s="2" t="inlineStr">
        <is>
          <t>14:51</t>
        </is>
      </c>
      <c r="F260" s="5" t="n">
        <v>2766.67</v>
      </c>
      <c r="G260" s="5" t="n"/>
      <c r="H260" s="5" t="n"/>
      <c r="I260" s="5" t="n"/>
      <c r="J260" s="5" t="n">
        <v>553.33</v>
      </c>
      <c r="K260" s="5" t="n"/>
      <c r="L260" s="5" t="n"/>
      <c r="M260" s="5" t="n"/>
      <c r="N260" s="5" t="n"/>
      <c r="O260" s="5" t="n">
        <v>3320</v>
      </c>
      <c r="P260" s="5" t="n">
        <v>3320</v>
      </c>
      <c r="Q260" s="5" t="n"/>
      <c r="R260" s="5" t="n"/>
      <c r="S260" s="5">
        <f>F260*20%</f>
        <v/>
      </c>
      <c r="T260" s="5">
        <f>J260-S260</f>
        <v/>
      </c>
      <c r="U260" s="5">
        <f>F260+J260</f>
        <v/>
      </c>
      <c r="V260" s="5">
        <f>O260-U260</f>
        <v/>
      </c>
      <c r="W260" s="5">
        <f>O260-(P260+R260)</f>
        <v/>
      </c>
      <c r="X260" s="5">
        <f>O260-(P260+Q260+R260)</f>
        <v/>
      </c>
    </row>
    <row r="261">
      <c r="A261" s="2" t="inlineStr">
        <is>
          <t>EJ021123.TXT</t>
        </is>
      </c>
      <c r="B261" s="3" t="inlineStr">
        <is>
          <t>001371</t>
        </is>
      </c>
      <c r="C261" s="3" t="inlineStr">
        <is>
          <t>000868</t>
        </is>
      </c>
      <c r="D261" s="4" t="n">
        <v>45224</v>
      </c>
      <c r="E261" s="2" t="inlineStr">
        <is>
          <t>16:43</t>
        </is>
      </c>
      <c r="F261" s="5" t="n">
        <v>548.33</v>
      </c>
      <c r="G261" s="5" t="n"/>
      <c r="H261" s="5" t="n"/>
      <c r="I261" s="5" t="n"/>
      <c r="J261" s="5" t="n">
        <v>109.67</v>
      </c>
      <c r="K261" s="5" t="n"/>
      <c r="L261" s="5" t="n"/>
      <c r="M261" s="5" t="n"/>
      <c r="N261" s="5" t="n"/>
      <c r="O261" s="5" t="n">
        <v>658</v>
      </c>
      <c r="P261" s="5" t="n">
        <v>658</v>
      </c>
      <c r="Q261" s="5" t="n"/>
      <c r="R261" s="5" t="n"/>
      <c r="S261" s="5">
        <f>F261*20%</f>
        <v/>
      </c>
      <c r="T261" s="5">
        <f>J261-S261</f>
        <v/>
      </c>
      <c r="U261" s="5">
        <f>F261+J261</f>
        <v/>
      </c>
      <c r="V261" s="5">
        <f>O261-U261</f>
        <v/>
      </c>
      <c r="W261" s="5">
        <f>O261-(P261+R261)</f>
        <v/>
      </c>
      <c r="X261" s="5">
        <f>O261-(P261+Q261+R261)</f>
        <v/>
      </c>
    </row>
    <row r="262">
      <c r="A262" s="2" t="inlineStr">
        <is>
          <t>EJ021123.TXT</t>
        </is>
      </c>
      <c r="B262" s="3" t="inlineStr">
        <is>
          <t>001375</t>
        </is>
      </c>
      <c r="C262" s="3" t="inlineStr">
        <is>
          <t>000869</t>
        </is>
      </c>
      <c r="D262" s="4" t="n">
        <v>45225</v>
      </c>
      <c r="E262" s="2" t="inlineStr">
        <is>
          <t>13:00</t>
        </is>
      </c>
      <c r="F262" s="5" t="n">
        <v>533.33</v>
      </c>
      <c r="G262" s="5" t="n"/>
      <c r="H262" s="5" t="n"/>
      <c r="I262" s="5" t="n"/>
      <c r="J262" s="5" t="n">
        <v>106.67</v>
      </c>
      <c r="K262" s="5" t="n"/>
      <c r="L262" s="5" t="n"/>
      <c r="M262" s="5" t="n"/>
      <c r="N262" s="5" t="n"/>
      <c r="O262" s="5" t="n">
        <v>640</v>
      </c>
      <c r="P262" s="5" t="n">
        <v>640</v>
      </c>
      <c r="Q262" s="5" t="n"/>
      <c r="R262" s="5" t="n"/>
      <c r="S262" s="5">
        <f>F262*20%</f>
        <v/>
      </c>
      <c r="T262" s="5">
        <f>J262-S262</f>
        <v/>
      </c>
      <c r="U262" s="5">
        <f>F262+J262</f>
        <v/>
      </c>
      <c r="V262" s="5">
        <f>O262-U262</f>
        <v/>
      </c>
      <c r="W262" s="5">
        <f>O262-(P262+R262)</f>
        <v/>
      </c>
      <c r="X262" s="5">
        <f>O262-(P262+Q262+R262)</f>
        <v/>
      </c>
    </row>
    <row r="263">
      <c r="A263" s="2" t="inlineStr">
        <is>
          <t>EJ021123.TXT</t>
        </is>
      </c>
      <c r="B263" s="3" t="inlineStr">
        <is>
          <t>001376</t>
        </is>
      </c>
      <c r="C263" s="3" t="inlineStr">
        <is>
          <t>000870</t>
        </is>
      </c>
      <c r="D263" s="4" t="n">
        <v>45225</v>
      </c>
      <c r="E263" s="2" t="inlineStr">
        <is>
          <t>15:20</t>
        </is>
      </c>
      <c r="F263" s="5" t="n">
        <v>548.33</v>
      </c>
      <c r="G263" s="5" t="n"/>
      <c r="H263" s="5" t="n"/>
      <c r="I263" s="5" t="n"/>
      <c r="J263" s="5" t="n">
        <v>109.67</v>
      </c>
      <c r="K263" s="5" t="n"/>
      <c r="L263" s="5" t="n"/>
      <c r="M263" s="5" t="n"/>
      <c r="N263" s="5" t="n"/>
      <c r="O263" s="5" t="n">
        <v>658</v>
      </c>
      <c r="P263" s="5" t="n">
        <v>658</v>
      </c>
      <c r="Q263" s="5" t="n"/>
      <c r="R263" s="5" t="n"/>
      <c r="S263" s="5">
        <f>F263*20%</f>
        <v/>
      </c>
      <c r="T263" s="5">
        <f>J263-S263</f>
        <v/>
      </c>
      <c r="U263" s="5">
        <f>F263+J263</f>
        <v/>
      </c>
      <c r="V263" s="5">
        <f>O263-U263</f>
        <v/>
      </c>
      <c r="W263" s="5">
        <f>O263-(P263+R263)</f>
        <v/>
      </c>
      <c r="X263" s="5">
        <f>O263-(P263+Q263+R263)</f>
        <v/>
      </c>
    </row>
    <row r="264">
      <c r="A264" s="2" t="inlineStr">
        <is>
          <t>EJ021123.TXT</t>
        </is>
      </c>
      <c r="B264" s="3" t="inlineStr">
        <is>
          <t>001377</t>
        </is>
      </c>
      <c r="C264" s="3" t="inlineStr">
        <is>
          <t>000871</t>
        </is>
      </c>
      <c r="D264" s="4" t="n">
        <v>45227</v>
      </c>
      <c r="E264" s="2" t="inlineStr">
        <is>
          <t>15:47</t>
        </is>
      </c>
      <c r="F264" s="5" t="n">
        <v>199.17</v>
      </c>
      <c r="G264" s="5" t="n"/>
      <c r="H264" s="5" t="n"/>
      <c r="I264" s="5" t="n"/>
      <c r="J264" s="5" t="n">
        <v>39.83</v>
      </c>
      <c r="K264" s="5" t="n"/>
      <c r="L264" s="5" t="n"/>
      <c r="M264" s="5" t="n"/>
      <c r="N264" s="5" t="n"/>
      <c r="O264" s="5" t="n">
        <v>239</v>
      </c>
      <c r="P264" s="5" t="n">
        <v>239</v>
      </c>
      <c r="Q264" s="5" t="n"/>
      <c r="R264" s="5" t="n"/>
      <c r="S264" s="5">
        <f>F264*20%</f>
        <v/>
      </c>
      <c r="T264" s="5">
        <f>J264-S264</f>
        <v/>
      </c>
      <c r="U264" s="5">
        <f>F264+J264</f>
        <v/>
      </c>
      <c r="V264" s="5">
        <f>O264-U264</f>
        <v/>
      </c>
      <c r="W264" s="5">
        <f>O264-(P264+R264)</f>
        <v/>
      </c>
      <c r="X264" s="5">
        <f>O264-(P264+Q264+R264)</f>
        <v/>
      </c>
    </row>
    <row r="265">
      <c r="A265" s="2" t="inlineStr">
        <is>
          <t>EJ061223.TXT</t>
        </is>
      </c>
      <c r="B265" s="3" t="inlineStr">
        <is>
          <t>001383</t>
        </is>
      </c>
      <c r="C265" s="3" t="inlineStr">
        <is>
          <t>000872</t>
        </is>
      </c>
      <c r="D265" s="4" t="n">
        <v>45232</v>
      </c>
      <c r="E265" s="2" t="inlineStr">
        <is>
          <t>16:46</t>
        </is>
      </c>
      <c r="F265" s="5" t="n">
        <v>533.33</v>
      </c>
      <c r="G265" s="5" t="n"/>
      <c r="H265" s="5" t="n"/>
      <c r="I265" s="5" t="n"/>
      <c r="J265" s="5" t="n">
        <v>106.67</v>
      </c>
      <c r="K265" s="5" t="n"/>
      <c r="L265" s="5" t="n"/>
      <c r="M265" s="5" t="n"/>
      <c r="N265" s="5" t="n"/>
      <c r="O265" s="5" t="n">
        <v>640</v>
      </c>
      <c r="P265" s="5" t="n">
        <v>640</v>
      </c>
      <c r="Q265" s="5" t="n"/>
      <c r="R265" s="5" t="n"/>
      <c r="S265" s="5">
        <f>F265*20%</f>
        <v/>
      </c>
      <c r="T265" s="5">
        <f>J265-S265</f>
        <v/>
      </c>
      <c r="U265" s="5">
        <f>F265+J265</f>
        <v/>
      </c>
      <c r="V265" s="5">
        <f>O265-U265</f>
        <v/>
      </c>
      <c r="W265" s="5">
        <f>O265-(P265+R265)</f>
        <v/>
      </c>
      <c r="X265" s="5">
        <f>O265-(P265+Q265+R265)</f>
        <v/>
      </c>
    </row>
    <row r="266">
      <c r="A266" s="2" t="inlineStr">
        <is>
          <t>EJ061223.TXT</t>
        </is>
      </c>
      <c r="B266" s="3" t="inlineStr">
        <is>
          <t>001384</t>
        </is>
      </c>
      <c r="C266" s="3" t="inlineStr">
        <is>
          <t>000873</t>
        </is>
      </c>
      <c r="D266" s="4" t="n">
        <v>45236</v>
      </c>
      <c r="E266" s="2" t="inlineStr">
        <is>
          <t>13:11</t>
        </is>
      </c>
      <c r="F266" s="5" t="n">
        <v>658.33</v>
      </c>
      <c r="G266" s="5" t="n"/>
      <c r="H266" s="5" t="n"/>
      <c r="I266" s="5" t="n"/>
      <c r="J266" s="5" t="n">
        <v>131.67</v>
      </c>
      <c r="K266" s="5" t="n"/>
      <c r="L266" s="5" t="n"/>
      <c r="M266" s="5" t="n"/>
      <c r="N266" s="5" t="n"/>
      <c r="O266" s="5" t="n">
        <v>790</v>
      </c>
      <c r="P266" s="5" t="n">
        <v>790</v>
      </c>
      <c r="Q266" s="5" t="n"/>
      <c r="R266" s="5" t="n"/>
      <c r="S266" s="5">
        <f>F266*20%</f>
        <v/>
      </c>
      <c r="T266" s="5">
        <f>J266-S266</f>
        <v/>
      </c>
      <c r="U266" s="5">
        <f>F266+J266</f>
        <v/>
      </c>
      <c r="V266" s="5">
        <f>O266-U266</f>
        <v/>
      </c>
      <c r="W266" s="5">
        <f>O266-(P266+R266)</f>
        <v/>
      </c>
      <c r="X266" s="5">
        <f>O266-(P266+Q266+R266)</f>
        <v/>
      </c>
    </row>
    <row r="267">
      <c r="A267" s="2" t="inlineStr">
        <is>
          <t>EJ061223.TXT</t>
        </is>
      </c>
      <c r="B267" s="3" t="inlineStr">
        <is>
          <t>001385</t>
        </is>
      </c>
      <c r="C267" s="3" t="inlineStr">
        <is>
          <t>000874</t>
        </is>
      </c>
      <c r="D267" s="4" t="n">
        <v>45236</v>
      </c>
      <c r="E267" s="2" t="inlineStr">
        <is>
          <t>13:29</t>
        </is>
      </c>
      <c r="F267" s="5" t="n">
        <v>54.17</v>
      </c>
      <c r="G267" s="5" t="n"/>
      <c r="H267" s="5" t="n"/>
      <c r="I267" s="5" t="n"/>
      <c r="J267" s="5" t="n">
        <v>10.83</v>
      </c>
      <c r="K267" s="5" t="n"/>
      <c r="L267" s="5" t="n"/>
      <c r="M267" s="5" t="n"/>
      <c r="N267" s="5" t="n"/>
      <c r="O267" s="5" t="n">
        <v>65</v>
      </c>
      <c r="P267" s="5" t="n">
        <v>65</v>
      </c>
      <c r="Q267" s="5" t="n"/>
      <c r="R267" s="5" t="n"/>
      <c r="S267" s="5">
        <f>F267*20%</f>
        <v/>
      </c>
      <c r="T267" s="5">
        <f>J267-S267</f>
        <v/>
      </c>
      <c r="U267" s="5">
        <f>F267+J267</f>
        <v/>
      </c>
      <c r="V267" s="5">
        <f>O267-U267</f>
        <v/>
      </c>
      <c r="W267" s="5">
        <f>O267-(P267+R267)</f>
        <v/>
      </c>
      <c r="X267" s="5">
        <f>O267-(P267+Q267+R267)</f>
        <v/>
      </c>
    </row>
    <row r="268">
      <c r="A268" s="2" t="inlineStr">
        <is>
          <t>EJ061223.TXT</t>
        </is>
      </c>
      <c r="B268" s="3" t="inlineStr">
        <is>
          <t>001386</t>
        </is>
      </c>
      <c r="C268" s="3" t="inlineStr">
        <is>
          <t>000875</t>
        </is>
      </c>
      <c r="D268" s="4" t="n">
        <v>45237</v>
      </c>
      <c r="E268" s="2" t="inlineStr">
        <is>
          <t>11:11</t>
        </is>
      </c>
      <c r="F268" s="5" t="n">
        <v>548.33</v>
      </c>
      <c r="G268" s="5" t="n"/>
      <c r="H268" s="5" t="n"/>
      <c r="I268" s="5" t="n"/>
      <c r="J268" s="5" t="n">
        <v>109.67</v>
      </c>
      <c r="K268" s="5" t="n"/>
      <c r="L268" s="5" t="n"/>
      <c r="M268" s="5" t="n"/>
      <c r="N268" s="5" t="n"/>
      <c r="O268" s="5" t="n">
        <v>658</v>
      </c>
      <c r="P268" s="5" t="n">
        <v>128</v>
      </c>
      <c r="Q268" s="5" t="n">
        <v>530</v>
      </c>
      <c r="R268" s="5" t="n"/>
      <c r="S268" s="5">
        <f>F268*20%</f>
        <v/>
      </c>
      <c r="T268" s="5">
        <f>J268-S268</f>
        <v/>
      </c>
      <c r="U268" s="5">
        <f>F268+J268</f>
        <v/>
      </c>
      <c r="V268" s="5">
        <f>O268-U268</f>
        <v/>
      </c>
      <c r="W268" s="5">
        <f>O268-(P268+R268)</f>
        <v/>
      </c>
      <c r="X268" s="5">
        <f>O268-(P268+Q268+R268)</f>
        <v/>
      </c>
    </row>
    <row r="269">
      <c r="A269" s="2" t="inlineStr">
        <is>
          <t>EJ061223.TXT</t>
        </is>
      </c>
      <c r="B269" s="3" t="inlineStr">
        <is>
          <t>001387</t>
        </is>
      </c>
      <c r="C269" s="3" t="inlineStr">
        <is>
          <t>000876</t>
        </is>
      </c>
      <c r="D269" s="4" t="n">
        <v>45237</v>
      </c>
      <c r="E269" s="2" t="inlineStr">
        <is>
          <t>11:56</t>
        </is>
      </c>
      <c r="F269" s="5" t="n">
        <v>165</v>
      </c>
      <c r="G269" s="5" t="n"/>
      <c r="H269" s="5" t="n"/>
      <c r="I269" s="5" t="n"/>
      <c r="J269" s="5" t="n">
        <v>33</v>
      </c>
      <c r="K269" s="5" t="n"/>
      <c r="L269" s="5" t="n"/>
      <c r="M269" s="5" t="n"/>
      <c r="N269" s="5" t="n"/>
      <c r="O269" s="5" t="n">
        <v>198</v>
      </c>
      <c r="P269" s="5" t="n"/>
      <c r="Q269" s="5" t="n">
        <v>198</v>
      </c>
      <c r="R269" s="5" t="n"/>
      <c r="S269" s="5">
        <f>F269*20%</f>
        <v/>
      </c>
      <c r="T269" s="5">
        <f>J269-S269</f>
        <v/>
      </c>
      <c r="U269" s="5">
        <f>F269+J269</f>
        <v/>
      </c>
      <c r="V269" s="5">
        <f>O269-U269</f>
        <v/>
      </c>
      <c r="W269" s="5">
        <f>O269-(P269+R269)</f>
        <v/>
      </c>
      <c r="X269" s="5">
        <f>O269-(P269+Q269+R269)</f>
        <v/>
      </c>
    </row>
    <row r="270">
      <c r="A270" s="2" t="inlineStr">
        <is>
          <t>EJ061223.TXT</t>
        </is>
      </c>
      <c r="B270" s="3" t="inlineStr">
        <is>
          <t>001393</t>
        </is>
      </c>
      <c r="C270" s="3" t="inlineStr">
        <is>
          <t>000877</t>
        </is>
      </c>
      <c r="D270" s="4" t="n">
        <v>45240</v>
      </c>
      <c r="E270" s="2" t="inlineStr">
        <is>
          <t>15:31</t>
        </is>
      </c>
      <c r="F270" s="5" t="n">
        <v>688.29</v>
      </c>
      <c r="G270" s="5" t="n"/>
      <c r="H270" s="5" t="n"/>
      <c r="I270" s="5" t="n"/>
      <c r="J270" s="5" t="n">
        <v>137.66</v>
      </c>
      <c r="K270" s="5" t="n"/>
      <c r="L270" s="5" t="n"/>
      <c r="M270" s="5" t="n"/>
      <c r="N270" s="5" t="n"/>
      <c r="O270" s="5" t="n">
        <v>825.95</v>
      </c>
      <c r="P270" s="5" t="n"/>
      <c r="Q270" s="5" t="n">
        <v>825.95</v>
      </c>
      <c r="R270" s="5" t="n"/>
      <c r="S270" s="5">
        <f>F270*20%</f>
        <v/>
      </c>
      <c r="T270" s="5">
        <f>J270-S270</f>
        <v/>
      </c>
      <c r="U270" s="5">
        <f>F270+J270</f>
        <v/>
      </c>
      <c r="V270" s="5">
        <f>O270-U270</f>
        <v/>
      </c>
      <c r="W270" s="5">
        <f>O270-(P270+R270)</f>
        <v/>
      </c>
      <c r="X270" s="5">
        <f>O270-(P270+Q270+R270)</f>
        <v/>
      </c>
    </row>
    <row r="271">
      <c r="A271" s="2" t="inlineStr">
        <is>
          <t>EJ061223.TXT</t>
        </is>
      </c>
      <c r="B271" s="3" t="inlineStr">
        <is>
          <t>001394</t>
        </is>
      </c>
      <c r="C271" s="3" t="inlineStr">
        <is>
          <t>000878</t>
        </is>
      </c>
      <c r="D271" s="4" t="n">
        <v>45240</v>
      </c>
      <c r="E271" s="2" t="inlineStr">
        <is>
          <t>15:31</t>
        </is>
      </c>
      <c r="F271" s="5" t="n">
        <v>1179.17</v>
      </c>
      <c r="G271" s="5" t="n"/>
      <c r="H271" s="5" t="n"/>
      <c r="I271" s="5" t="n"/>
      <c r="J271" s="5" t="n">
        <v>235.83</v>
      </c>
      <c r="K271" s="5" t="n"/>
      <c r="L271" s="5" t="n"/>
      <c r="M271" s="5" t="n"/>
      <c r="N271" s="5" t="n"/>
      <c r="O271" s="5" t="n">
        <v>1415</v>
      </c>
      <c r="P271" s="5" t="n"/>
      <c r="Q271" s="5" t="n">
        <v>1415</v>
      </c>
      <c r="R271" s="5" t="n"/>
      <c r="S271" s="5">
        <f>F271*20%</f>
        <v/>
      </c>
      <c r="T271" s="5">
        <f>J271-S271</f>
        <v/>
      </c>
      <c r="U271" s="5">
        <f>F271+J271</f>
        <v/>
      </c>
      <c r="V271" s="5">
        <f>O271-U271</f>
        <v/>
      </c>
      <c r="W271" s="5">
        <f>O271-(P271+R271)</f>
        <v/>
      </c>
      <c r="X271" s="5">
        <f>O271-(P271+Q271+R271)</f>
        <v/>
      </c>
    </row>
    <row r="272">
      <c r="A272" s="2" t="inlineStr">
        <is>
          <t>EJ061223.TXT</t>
        </is>
      </c>
      <c r="B272" s="3" t="inlineStr">
        <is>
          <t>001395</t>
        </is>
      </c>
      <c r="C272" s="3" t="inlineStr">
        <is>
          <t>000879</t>
        </is>
      </c>
      <c r="D272" s="4" t="n">
        <v>45240</v>
      </c>
      <c r="E272" s="2" t="inlineStr">
        <is>
          <t>15:32</t>
        </is>
      </c>
      <c r="F272" s="5" t="n">
        <v>1179.17</v>
      </c>
      <c r="G272" s="5" t="n"/>
      <c r="H272" s="5" t="n"/>
      <c r="I272" s="5" t="n"/>
      <c r="J272" s="5" t="n">
        <v>235.83</v>
      </c>
      <c r="K272" s="5" t="n"/>
      <c r="L272" s="5" t="n"/>
      <c r="M272" s="5" t="n"/>
      <c r="N272" s="5" t="n"/>
      <c r="O272" s="5" t="n">
        <v>1415</v>
      </c>
      <c r="P272" s="5" t="n"/>
      <c r="Q272" s="5" t="n">
        <v>1415</v>
      </c>
      <c r="R272" s="5" t="n"/>
      <c r="S272" s="5">
        <f>F272*20%</f>
        <v/>
      </c>
      <c r="T272" s="5">
        <f>J272-S272</f>
        <v/>
      </c>
      <c r="U272" s="5">
        <f>F272+J272</f>
        <v/>
      </c>
      <c r="V272" s="5">
        <f>O272-U272</f>
        <v/>
      </c>
      <c r="W272" s="5">
        <f>O272-(P272+R272)</f>
        <v/>
      </c>
      <c r="X272" s="5">
        <f>O272-(P272+Q272+R272)</f>
        <v/>
      </c>
    </row>
    <row r="273">
      <c r="A273" s="2" t="inlineStr">
        <is>
          <t>EJ061223.TXT</t>
        </is>
      </c>
      <c r="B273" s="3" t="inlineStr">
        <is>
          <t>001396</t>
        </is>
      </c>
      <c r="C273" s="3" t="inlineStr">
        <is>
          <t>000880</t>
        </is>
      </c>
      <c r="D273" s="4" t="n">
        <v>45240</v>
      </c>
      <c r="E273" s="2" t="inlineStr">
        <is>
          <t>15:32</t>
        </is>
      </c>
      <c r="F273" s="5" t="n">
        <v>1179.17</v>
      </c>
      <c r="G273" s="5" t="n"/>
      <c r="H273" s="5" t="n"/>
      <c r="I273" s="5" t="n"/>
      <c r="J273" s="5" t="n">
        <v>235.83</v>
      </c>
      <c r="K273" s="5" t="n"/>
      <c r="L273" s="5" t="n"/>
      <c r="M273" s="5" t="n"/>
      <c r="N273" s="5" t="n"/>
      <c r="O273" s="5" t="n">
        <v>1415</v>
      </c>
      <c r="P273" s="5" t="n"/>
      <c r="Q273" s="5" t="n">
        <v>1415</v>
      </c>
      <c r="R273" s="5" t="n"/>
      <c r="S273" s="5">
        <f>F273*20%</f>
        <v/>
      </c>
      <c r="T273" s="5">
        <f>J273-S273</f>
        <v/>
      </c>
      <c r="U273" s="5">
        <f>F273+J273</f>
        <v/>
      </c>
      <c r="V273" s="5">
        <f>O273-U273</f>
        <v/>
      </c>
      <c r="W273" s="5">
        <f>O273-(P273+R273)</f>
        <v/>
      </c>
      <c r="X273" s="5">
        <f>O273-(P273+Q273+R273)</f>
        <v/>
      </c>
    </row>
    <row r="274">
      <c r="A274" s="2" t="inlineStr">
        <is>
          <t>EJ061223.TXT</t>
        </is>
      </c>
      <c r="B274" s="3" t="inlineStr">
        <is>
          <t>001397</t>
        </is>
      </c>
      <c r="C274" s="3" t="inlineStr">
        <is>
          <t>000881</t>
        </is>
      </c>
      <c r="D274" s="4" t="n">
        <v>45240</v>
      </c>
      <c r="E274" s="2" t="inlineStr">
        <is>
          <t>15:33</t>
        </is>
      </c>
      <c r="F274" s="5" t="n">
        <v>657.5</v>
      </c>
      <c r="G274" s="5" t="n"/>
      <c r="H274" s="5" t="n"/>
      <c r="I274" s="5" t="n"/>
      <c r="J274" s="5" t="n">
        <v>131.5</v>
      </c>
      <c r="K274" s="5" t="n"/>
      <c r="L274" s="5" t="n"/>
      <c r="M274" s="5" t="n"/>
      <c r="N274" s="5" t="n"/>
      <c r="O274" s="5" t="n">
        <v>789</v>
      </c>
      <c r="P274" s="5" t="n"/>
      <c r="Q274" s="5" t="n">
        <v>789</v>
      </c>
      <c r="R274" s="5" t="n"/>
      <c r="S274" s="5">
        <f>F274*20%</f>
        <v/>
      </c>
      <c r="T274" s="5">
        <f>J274-S274</f>
        <v/>
      </c>
      <c r="U274" s="5">
        <f>F274+J274</f>
        <v/>
      </c>
      <c r="V274" s="5">
        <f>O274-U274</f>
        <v/>
      </c>
      <c r="W274" s="5">
        <f>O274-(P274+R274)</f>
        <v/>
      </c>
      <c r="X274" s="5">
        <f>O274-(P274+Q274+R274)</f>
        <v/>
      </c>
    </row>
    <row r="275">
      <c r="A275" s="2" t="inlineStr">
        <is>
          <t>EJ061223.TXT</t>
        </is>
      </c>
      <c r="B275" s="3" t="inlineStr">
        <is>
          <t>001398</t>
        </is>
      </c>
      <c r="C275" s="3" t="inlineStr">
        <is>
          <t>000882</t>
        </is>
      </c>
      <c r="D275" s="4" t="n">
        <v>45240</v>
      </c>
      <c r="E275" s="2" t="inlineStr">
        <is>
          <t>15:33</t>
        </is>
      </c>
      <c r="F275" s="5" t="n">
        <v>521.67</v>
      </c>
      <c r="G275" s="5" t="n"/>
      <c r="H275" s="5" t="n"/>
      <c r="I275" s="5" t="n"/>
      <c r="J275" s="5" t="n">
        <v>104.33</v>
      </c>
      <c r="K275" s="5" t="n"/>
      <c r="L275" s="5" t="n"/>
      <c r="M275" s="5" t="n"/>
      <c r="N275" s="5" t="n"/>
      <c r="O275" s="5" t="n">
        <v>626</v>
      </c>
      <c r="P275" s="5" t="n"/>
      <c r="Q275" s="5" t="n">
        <v>626</v>
      </c>
      <c r="R275" s="5" t="n"/>
      <c r="S275" s="5">
        <f>F275*20%</f>
        <v/>
      </c>
      <c r="T275" s="5">
        <f>J275-S275</f>
        <v/>
      </c>
      <c r="U275" s="5">
        <f>F275+J275</f>
        <v/>
      </c>
      <c r="V275" s="5">
        <f>O275-U275</f>
        <v/>
      </c>
      <c r="W275" s="5">
        <f>O275-(P275+R275)</f>
        <v/>
      </c>
      <c r="X275" s="5">
        <f>O275-(P275+Q275+R275)</f>
        <v/>
      </c>
    </row>
    <row r="276">
      <c r="A276" s="2" t="inlineStr">
        <is>
          <t>EJ061223.TXT</t>
        </is>
      </c>
      <c r="B276" s="3" t="inlineStr">
        <is>
          <t>001399</t>
        </is>
      </c>
      <c r="C276" s="3" t="inlineStr">
        <is>
          <t>000883</t>
        </is>
      </c>
      <c r="D276" s="4" t="n">
        <v>45240</v>
      </c>
      <c r="E276" s="2" t="inlineStr">
        <is>
          <t>15:33</t>
        </is>
      </c>
      <c r="F276" s="5" t="n">
        <v>690.83</v>
      </c>
      <c r="G276" s="5" t="n"/>
      <c r="H276" s="5" t="n"/>
      <c r="I276" s="5" t="n"/>
      <c r="J276" s="5" t="n">
        <v>138.17</v>
      </c>
      <c r="K276" s="5" t="n"/>
      <c r="L276" s="5" t="n"/>
      <c r="M276" s="5" t="n"/>
      <c r="N276" s="5" t="n"/>
      <c r="O276" s="5" t="n">
        <v>829</v>
      </c>
      <c r="P276" s="5" t="n"/>
      <c r="Q276" s="5" t="n">
        <v>829</v>
      </c>
      <c r="R276" s="5" t="n"/>
      <c r="S276" s="5">
        <f>F276*20%</f>
        <v/>
      </c>
      <c r="T276" s="5">
        <f>J276-S276</f>
        <v/>
      </c>
      <c r="U276" s="5">
        <f>F276+J276</f>
        <v/>
      </c>
      <c r="V276" s="5">
        <f>O276-U276</f>
        <v/>
      </c>
      <c r="W276" s="5">
        <f>O276-(P276+R276)</f>
        <v/>
      </c>
      <c r="X276" s="5">
        <f>O276-(P276+Q276+R276)</f>
        <v/>
      </c>
    </row>
    <row r="277">
      <c r="A277" s="2" t="inlineStr">
        <is>
          <t>EJ061223.TXT</t>
        </is>
      </c>
      <c r="B277" s="3" t="inlineStr">
        <is>
          <t>001400</t>
        </is>
      </c>
      <c r="C277" s="3" t="inlineStr">
        <is>
          <t>000884</t>
        </is>
      </c>
      <c r="D277" s="4" t="n">
        <v>45240</v>
      </c>
      <c r="E277" s="2" t="inlineStr">
        <is>
          <t>15:33</t>
        </is>
      </c>
      <c r="F277" s="5" t="n">
        <v>488.33</v>
      </c>
      <c r="G277" s="5" t="n"/>
      <c r="H277" s="5" t="n"/>
      <c r="I277" s="5" t="n"/>
      <c r="J277" s="5" t="n">
        <v>97.67</v>
      </c>
      <c r="K277" s="5" t="n"/>
      <c r="L277" s="5" t="n"/>
      <c r="M277" s="5" t="n"/>
      <c r="N277" s="5" t="n"/>
      <c r="O277" s="5" t="n">
        <v>586</v>
      </c>
      <c r="P277" s="5" t="n"/>
      <c r="Q277" s="5" t="n">
        <v>586</v>
      </c>
      <c r="R277" s="5" t="n"/>
      <c r="S277" s="5">
        <f>F277*20%</f>
        <v/>
      </c>
      <c r="T277" s="5">
        <f>J277-S277</f>
        <v/>
      </c>
      <c r="U277" s="5">
        <f>F277+J277</f>
        <v/>
      </c>
      <c r="V277" s="5">
        <f>O277-U277</f>
        <v/>
      </c>
      <c r="W277" s="5">
        <f>O277-(P277+R277)</f>
        <v/>
      </c>
      <c r="X277" s="5">
        <f>O277-(P277+Q277+R277)</f>
        <v/>
      </c>
    </row>
    <row r="278">
      <c r="A278" s="2" t="inlineStr">
        <is>
          <t>EJ061223.TXT</t>
        </is>
      </c>
      <c r="B278" s="3" t="inlineStr">
        <is>
          <t>001402</t>
        </is>
      </c>
      <c r="C278" s="3" t="inlineStr">
        <is>
          <t>000885</t>
        </is>
      </c>
      <c r="D278" s="4" t="n">
        <v>45243</v>
      </c>
      <c r="E278" s="2" t="inlineStr">
        <is>
          <t>11:59</t>
        </is>
      </c>
      <c r="F278" s="5" t="n">
        <v>548.33</v>
      </c>
      <c r="G278" s="5" t="n"/>
      <c r="H278" s="5" t="n"/>
      <c r="I278" s="5" t="n"/>
      <c r="J278" s="5" t="n">
        <v>109.67</v>
      </c>
      <c r="K278" s="5" t="n"/>
      <c r="L278" s="5" t="n"/>
      <c r="M278" s="5" t="n"/>
      <c r="N278" s="5" t="n"/>
      <c r="O278" s="5" t="n">
        <v>658</v>
      </c>
      <c r="P278" s="5" t="n"/>
      <c r="Q278" s="5" t="n">
        <v>658</v>
      </c>
      <c r="R278" s="5" t="n"/>
      <c r="S278" s="5">
        <f>F278*20%</f>
        <v/>
      </c>
      <c r="T278" s="5">
        <f>J278-S278</f>
        <v/>
      </c>
      <c r="U278" s="5">
        <f>F278+J278</f>
        <v/>
      </c>
      <c r="V278" s="5">
        <f>O278-U278</f>
        <v/>
      </c>
      <c r="W278" s="5">
        <f>O278-(P278+R278)</f>
        <v/>
      </c>
      <c r="X278" s="5">
        <f>O278-(P278+Q278+R278)</f>
        <v/>
      </c>
    </row>
    <row r="279">
      <c r="A279" s="2" t="inlineStr">
        <is>
          <t>EJ061223.TXT</t>
        </is>
      </c>
      <c r="B279" s="3" t="inlineStr">
        <is>
          <t>001403</t>
        </is>
      </c>
      <c r="C279" s="3" t="inlineStr">
        <is>
          <t>000886</t>
        </is>
      </c>
      <c r="D279" s="4" t="n">
        <v>45244</v>
      </c>
      <c r="E279" s="2" t="inlineStr">
        <is>
          <t>11:32</t>
        </is>
      </c>
      <c r="F279" s="5" t="n">
        <v>566.67</v>
      </c>
      <c r="G279" s="5" t="n"/>
      <c r="H279" s="5" t="n"/>
      <c r="I279" s="5" t="n"/>
      <c r="J279" s="5" t="n">
        <v>113.33</v>
      </c>
      <c r="K279" s="5" t="n"/>
      <c r="L279" s="5" t="n"/>
      <c r="M279" s="5" t="n"/>
      <c r="N279" s="5" t="n"/>
      <c r="O279" s="5" t="n">
        <v>680</v>
      </c>
      <c r="P279" s="5" t="n"/>
      <c r="Q279" s="5" t="n">
        <v>680</v>
      </c>
      <c r="R279" s="5" t="n"/>
      <c r="S279" s="5">
        <f>F279*20%</f>
        <v/>
      </c>
      <c r="T279" s="5">
        <f>J279-S279</f>
        <v/>
      </c>
      <c r="U279" s="5">
        <f>F279+J279</f>
        <v/>
      </c>
      <c r="V279" s="5">
        <f>O279-U279</f>
        <v/>
      </c>
      <c r="W279" s="5">
        <f>O279-(P279+R279)</f>
        <v/>
      </c>
      <c r="X279" s="5">
        <f>O279-(P279+Q279+R279)</f>
        <v/>
      </c>
    </row>
    <row r="280">
      <c r="A280" s="2" t="inlineStr">
        <is>
          <t>EJ061223.TXT</t>
        </is>
      </c>
      <c r="B280" s="3" t="inlineStr">
        <is>
          <t>001404</t>
        </is>
      </c>
      <c r="C280" s="3" t="inlineStr">
        <is>
          <t>000887</t>
        </is>
      </c>
      <c r="D280" s="4" t="n">
        <v>45246</v>
      </c>
      <c r="E280" s="2" t="inlineStr">
        <is>
          <t>16:39</t>
        </is>
      </c>
      <c r="F280" s="5" t="n">
        <v>548.33</v>
      </c>
      <c r="G280" s="5" t="n"/>
      <c r="H280" s="5" t="n"/>
      <c r="I280" s="5" t="n"/>
      <c r="J280" s="5" t="n">
        <v>109.67</v>
      </c>
      <c r="K280" s="5" t="n"/>
      <c r="L280" s="5" t="n"/>
      <c r="M280" s="5" t="n"/>
      <c r="N280" s="5" t="n"/>
      <c r="O280" s="5" t="n">
        <v>658</v>
      </c>
      <c r="P280" s="5" t="n"/>
      <c r="Q280" s="5" t="n">
        <v>658</v>
      </c>
      <c r="R280" s="5" t="n"/>
      <c r="S280" s="5">
        <f>F280*20%</f>
        <v/>
      </c>
      <c r="T280" s="5">
        <f>J280-S280</f>
        <v/>
      </c>
      <c r="U280" s="5">
        <f>F280+J280</f>
        <v/>
      </c>
      <c r="V280" s="5">
        <f>O280-U280</f>
        <v/>
      </c>
      <c r="W280" s="5">
        <f>O280-(P280+R280)</f>
        <v/>
      </c>
      <c r="X280" s="5">
        <f>O280-(P280+Q280+R280)</f>
        <v/>
      </c>
    </row>
    <row r="281">
      <c r="A281" s="2" t="inlineStr">
        <is>
          <t>EJ061223.TXT</t>
        </is>
      </c>
      <c r="B281" s="3" t="inlineStr">
        <is>
          <t>001405</t>
        </is>
      </c>
      <c r="C281" s="3" t="inlineStr">
        <is>
          <t>000888</t>
        </is>
      </c>
      <c r="D281" s="4" t="n">
        <v>45246</v>
      </c>
      <c r="E281" s="2" t="inlineStr">
        <is>
          <t>16:39</t>
        </is>
      </c>
      <c r="F281" s="5" t="n">
        <v>285</v>
      </c>
      <c r="G281" s="5" t="n"/>
      <c r="H281" s="5" t="n"/>
      <c r="I281" s="5" t="n"/>
      <c r="J281" s="5" t="n">
        <v>57</v>
      </c>
      <c r="K281" s="5" t="n"/>
      <c r="L281" s="5" t="n"/>
      <c r="M281" s="5" t="n"/>
      <c r="N281" s="5" t="n"/>
      <c r="O281" s="5" t="n">
        <v>342</v>
      </c>
      <c r="P281" s="5" t="n"/>
      <c r="Q281" s="5" t="n">
        <v>342</v>
      </c>
      <c r="R281" s="5" t="n"/>
      <c r="S281" s="5">
        <f>F281*20%</f>
        <v/>
      </c>
      <c r="T281" s="5">
        <f>J281-S281</f>
        <v/>
      </c>
      <c r="U281" s="5">
        <f>F281+J281</f>
        <v/>
      </c>
      <c r="V281" s="5">
        <f>O281-U281</f>
        <v/>
      </c>
      <c r="W281" s="5">
        <f>O281-(P281+R281)</f>
        <v/>
      </c>
      <c r="X281" s="5">
        <f>O281-(P281+Q281+R281)</f>
        <v/>
      </c>
    </row>
    <row r="282">
      <c r="A282" s="2" t="inlineStr">
        <is>
          <t>EJ061223.TXT</t>
        </is>
      </c>
      <c r="B282" s="3" t="inlineStr">
        <is>
          <t>001406</t>
        </is>
      </c>
      <c r="C282" s="3" t="inlineStr">
        <is>
          <t>000889</t>
        </is>
      </c>
      <c r="D282" s="4" t="n">
        <v>45246</v>
      </c>
      <c r="E282" s="2" t="inlineStr">
        <is>
          <t>16:40</t>
        </is>
      </c>
      <c r="F282" s="5" t="n">
        <v>811.67</v>
      </c>
      <c r="G282" s="5" t="n"/>
      <c r="H282" s="5" t="n"/>
      <c r="I282" s="5" t="n"/>
      <c r="J282" s="5" t="n">
        <v>162.33</v>
      </c>
      <c r="K282" s="5" t="n"/>
      <c r="L282" s="5" t="n"/>
      <c r="M282" s="5" t="n"/>
      <c r="N282" s="5" t="n"/>
      <c r="O282" s="5" t="n">
        <v>974</v>
      </c>
      <c r="P282" s="5" t="n">
        <v>974</v>
      </c>
      <c r="Q282" s="5" t="n"/>
      <c r="R282" s="5" t="n"/>
      <c r="S282" s="5">
        <f>F282*20%</f>
        <v/>
      </c>
      <c r="T282" s="5">
        <f>J282-S282</f>
        <v/>
      </c>
      <c r="U282" s="5">
        <f>F282+J282</f>
        <v/>
      </c>
      <c r="V282" s="5">
        <f>O282-U282</f>
        <v/>
      </c>
      <c r="W282" s="5">
        <f>O282-(P282+R282)</f>
        <v/>
      </c>
      <c r="X282" s="5">
        <f>O282-(P282+Q282+R282)</f>
        <v/>
      </c>
    </row>
    <row r="283">
      <c r="A283" s="2" t="inlineStr">
        <is>
          <t>EJ061223.TXT</t>
        </is>
      </c>
      <c r="B283" s="3" t="inlineStr">
        <is>
          <t>001407</t>
        </is>
      </c>
      <c r="C283" s="3" t="inlineStr">
        <is>
          <t>000890</t>
        </is>
      </c>
      <c r="D283" s="4" t="n">
        <v>45247</v>
      </c>
      <c r="E283" s="2" t="inlineStr">
        <is>
          <t>10:45</t>
        </is>
      </c>
      <c r="F283" s="5" t="n">
        <v>136.67</v>
      </c>
      <c r="G283" s="5" t="n"/>
      <c r="H283" s="5" t="n"/>
      <c r="I283" s="5" t="n"/>
      <c r="J283" s="5" t="n">
        <v>27.33</v>
      </c>
      <c r="K283" s="5" t="n"/>
      <c r="L283" s="5" t="n"/>
      <c r="M283" s="5" t="n"/>
      <c r="N283" s="5" t="n"/>
      <c r="O283" s="5" t="n">
        <v>164</v>
      </c>
      <c r="P283" s="5" t="n">
        <v>164</v>
      </c>
      <c r="Q283" s="5" t="n"/>
      <c r="R283" s="5" t="n"/>
      <c r="S283" s="5">
        <f>F283*20%</f>
        <v/>
      </c>
      <c r="T283" s="5">
        <f>J283-S283</f>
        <v/>
      </c>
      <c r="U283" s="5">
        <f>F283+J283</f>
        <v/>
      </c>
      <c r="V283" s="5">
        <f>O283-U283</f>
        <v/>
      </c>
      <c r="W283" s="5">
        <f>O283-(P283+R283)</f>
        <v/>
      </c>
      <c r="X283" s="5">
        <f>O283-(P283+Q283+R283)</f>
        <v/>
      </c>
    </row>
    <row r="284">
      <c r="A284" s="2" t="inlineStr">
        <is>
          <t>EJ061223.TXT</t>
        </is>
      </c>
      <c r="B284" s="3" t="inlineStr">
        <is>
          <t>001408</t>
        </is>
      </c>
      <c r="C284" s="3" t="inlineStr">
        <is>
          <t>000891</t>
        </is>
      </c>
      <c r="D284" s="4" t="n">
        <v>45251</v>
      </c>
      <c r="E284" s="2" t="inlineStr">
        <is>
          <t>14:34</t>
        </is>
      </c>
      <c r="F284" s="5" t="n">
        <v>440</v>
      </c>
      <c r="G284" s="5" t="n"/>
      <c r="H284" s="5" t="n"/>
      <c r="I284" s="5" t="n"/>
      <c r="J284" s="5" t="n">
        <v>88</v>
      </c>
      <c r="K284" s="5" t="n"/>
      <c r="L284" s="5" t="n"/>
      <c r="M284" s="5" t="n"/>
      <c r="N284" s="5" t="n"/>
      <c r="O284" s="5" t="n">
        <v>528</v>
      </c>
      <c r="P284" s="5" t="n">
        <v>528</v>
      </c>
      <c r="Q284" s="5" t="n"/>
      <c r="R284" s="5" t="n"/>
      <c r="S284" s="5">
        <f>F284*20%</f>
        <v/>
      </c>
      <c r="T284" s="5">
        <f>J284-S284</f>
        <v/>
      </c>
      <c r="U284" s="5">
        <f>F284+J284</f>
        <v/>
      </c>
      <c r="V284" s="5">
        <f>O284-U284</f>
        <v/>
      </c>
      <c r="W284" s="5">
        <f>O284-(P284+R284)</f>
        <v/>
      </c>
      <c r="X284" s="5">
        <f>O284-(P284+Q284+R284)</f>
        <v/>
      </c>
    </row>
    <row r="285">
      <c r="A285" s="2" t="inlineStr">
        <is>
          <t>EJ061223.TXT</t>
        </is>
      </c>
      <c r="B285" s="3" t="inlineStr">
        <is>
          <t>001409</t>
        </is>
      </c>
      <c r="C285" s="3" t="inlineStr">
        <is>
          <t>000892</t>
        </is>
      </c>
      <c r="D285" s="4" t="n">
        <v>45253</v>
      </c>
      <c r="E285" s="2" t="inlineStr">
        <is>
          <t>15:35</t>
        </is>
      </c>
      <c r="F285" s="5" t="n">
        <v>1645</v>
      </c>
      <c r="G285" s="5" t="n"/>
      <c r="H285" s="5" t="n"/>
      <c r="I285" s="5" t="n"/>
      <c r="J285" s="5" t="n">
        <v>329</v>
      </c>
      <c r="K285" s="5" t="n"/>
      <c r="L285" s="5" t="n"/>
      <c r="M285" s="5" t="n"/>
      <c r="N285" s="5" t="n"/>
      <c r="O285" s="5" t="n">
        <v>1974</v>
      </c>
      <c r="P285" s="5" t="n">
        <v>1974</v>
      </c>
      <c r="Q285" s="5" t="n"/>
      <c r="R285" s="5" t="n"/>
      <c r="S285" s="5">
        <f>F285*20%</f>
        <v/>
      </c>
      <c r="T285" s="5">
        <f>J285-S285</f>
        <v/>
      </c>
      <c r="U285" s="5">
        <f>F285+J285</f>
        <v/>
      </c>
      <c r="V285" s="5">
        <f>O285-U285</f>
        <v/>
      </c>
      <c r="W285" s="5">
        <f>O285-(P285+R285)</f>
        <v/>
      </c>
      <c r="X285" s="5">
        <f>O285-(P285+Q285+R285)</f>
        <v/>
      </c>
    </row>
    <row r="286">
      <c r="A286" s="2" t="inlineStr">
        <is>
          <t>EJ061223.TXT</t>
        </is>
      </c>
      <c r="B286" s="3" t="inlineStr">
        <is>
          <t>001410</t>
        </is>
      </c>
      <c r="C286" s="3" t="inlineStr">
        <is>
          <t>000893</t>
        </is>
      </c>
      <c r="D286" s="4" t="n">
        <v>45257</v>
      </c>
      <c r="E286" s="2" t="inlineStr">
        <is>
          <t>12:36</t>
        </is>
      </c>
      <c r="F286" s="5" t="n">
        <v>548.33</v>
      </c>
      <c r="G286" s="5" t="n"/>
      <c r="H286" s="5" t="n"/>
      <c r="I286" s="5" t="n"/>
      <c r="J286" s="5" t="n">
        <v>109.67</v>
      </c>
      <c r="K286" s="5" t="n"/>
      <c r="L286" s="5" t="n"/>
      <c r="M286" s="5" t="n"/>
      <c r="N286" s="5" t="n"/>
      <c r="O286" s="5" t="n">
        <v>658</v>
      </c>
      <c r="P286" s="5" t="n">
        <v>658</v>
      </c>
      <c r="Q286" s="5" t="n"/>
      <c r="R286" s="5" t="n"/>
      <c r="S286" s="5">
        <f>F286*20%</f>
        <v/>
      </c>
      <c r="T286" s="5">
        <f>J286-S286</f>
        <v/>
      </c>
      <c r="U286" s="5">
        <f>F286+J286</f>
        <v/>
      </c>
      <c r="V286" s="5">
        <f>O286-U286</f>
        <v/>
      </c>
      <c r="W286" s="5">
        <f>O286-(P286+R286)</f>
        <v/>
      </c>
      <c r="X286" s="5">
        <f>O286-(P286+Q286+R286)</f>
        <v/>
      </c>
    </row>
    <row r="287">
      <c r="A287" s="2" t="inlineStr">
        <is>
          <t>EJ061223.TXT</t>
        </is>
      </c>
      <c r="B287" s="3" t="inlineStr">
        <is>
          <t>001411</t>
        </is>
      </c>
      <c r="C287" s="3" t="inlineStr">
        <is>
          <t>000894</t>
        </is>
      </c>
      <c r="D287" s="4" t="n">
        <v>45257</v>
      </c>
      <c r="E287" s="2" t="inlineStr">
        <is>
          <t>14:15</t>
        </is>
      </c>
      <c r="F287" s="5" t="n">
        <v>516.67</v>
      </c>
      <c r="G287" s="5" t="n"/>
      <c r="H287" s="5" t="n"/>
      <c r="I287" s="5" t="n"/>
      <c r="J287" s="5" t="n">
        <v>103.33</v>
      </c>
      <c r="K287" s="5" t="n"/>
      <c r="L287" s="5" t="n"/>
      <c r="M287" s="5" t="n"/>
      <c r="N287" s="5" t="n"/>
      <c r="O287" s="5" t="n">
        <v>620</v>
      </c>
      <c r="P287" s="5" t="n"/>
      <c r="Q287" s="5" t="n">
        <v>620</v>
      </c>
      <c r="R287" s="5" t="n"/>
      <c r="S287" s="5">
        <f>F287*20%</f>
        <v/>
      </c>
      <c r="T287" s="5">
        <f>J287-S287</f>
        <v/>
      </c>
      <c r="U287" s="5">
        <f>F287+J287</f>
        <v/>
      </c>
      <c r="V287" s="5">
        <f>O287-U287</f>
        <v/>
      </c>
      <c r="W287" s="5">
        <f>O287-(P287+R287)</f>
        <v/>
      </c>
      <c r="X287" s="5">
        <f>O287-(P287+Q287+R287)</f>
        <v/>
      </c>
    </row>
    <row r="288">
      <c r="A288" s="2" t="inlineStr">
        <is>
          <t>EJ061223.TXT</t>
        </is>
      </c>
      <c r="B288" s="3" t="inlineStr">
        <is>
          <t>001412</t>
        </is>
      </c>
      <c r="C288" s="3" t="inlineStr">
        <is>
          <t>000895</t>
        </is>
      </c>
      <c r="D288" s="4" t="n">
        <v>45257</v>
      </c>
      <c r="E288" s="2" t="inlineStr">
        <is>
          <t>14:20</t>
        </is>
      </c>
      <c r="F288" s="5" t="n">
        <v>516.67</v>
      </c>
      <c r="G288" s="5" t="n"/>
      <c r="H288" s="5" t="n"/>
      <c r="I288" s="5" t="n"/>
      <c r="J288" s="5" t="n">
        <v>103.33</v>
      </c>
      <c r="K288" s="5" t="n"/>
      <c r="L288" s="5" t="n"/>
      <c r="M288" s="5" t="n"/>
      <c r="N288" s="5" t="n"/>
      <c r="O288" s="5" t="n">
        <v>620</v>
      </c>
      <c r="P288" s="5" t="n"/>
      <c r="Q288" s="5" t="n">
        <v>620</v>
      </c>
      <c r="R288" s="5" t="n"/>
      <c r="S288" s="5">
        <f>F288*20%</f>
        <v/>
      </c>
      <c r="T288" s="5">
        <f>J288-S288</f>
        <v/>
      </c>
      <c r="U288" s="5">
        <f>F288+J288</f>
        <v/>
      </c>
      <c r="V288" s="5">
        <f>O288-U288</f>
        <v/>
      </c>
      <c r="W288" s="5">
        <f>O288-(P288+R288)</f>
        <v/>
      </c>
      <c r="X288" s="5">
        <f>O288-(P288+Q288+R288)</f>
        <v/>
      </c>
    </row>
    <row r="289">
      <c r="A289" s="2" t="inlineStr">
        <is>
          <t>EJ061223.TXT</t>
        </is>
      </c>
      <c r="B289" s="3" t="inlineStr">
        <is>
          <t>001413</t>
        </is>
      </c>
      <c r="C289" s="3" t="inlineStr">
        <is>
          <t>000896</t>
        </is>
      </c>
      <c r="D289" s="4" t="n">
        <v>45258</v>
      </c>
      <c r="E289" s="2" t="inlineStr">
        <is>
          <t>11:32</t>
        </is>
      </c>
      <c r="F289" s="5" t="n">
        <v>822.5</v>
      </c>
      <c r="G289" s="5" t="n"/>
      <c r="H289" s="5" t="n"/>
      <c r="I289" s="5" t="n"/>
      <c r="J289" s="5" t="n">
        <v>164.5</v>
      </c>
      <c r="K289" s="5" t="n"/>
      <c r="L289" s="5" t="n"/>
      <c r="M289" s="5" t="n"/>
      <c r="N289" s="5" t="n"/>
      <c r="O289" s="5" t="n">
        <v>987</v>
      </c>
      <c r="P289" s="5" t="n">
        <v>987</v>
      </c>
      <c r="Q289" s="5" t="n"/>
      <c r="R289" s="5" t="n"/>
      <c r="S289" s="5">
        <f>F289*20%</f>
        <v/>
      </c>
      <c r="T289" s="5">
        <f>J289-S289</f>
        <v/>
      </c>
      <c r="U289" s="5">
        <f>F289+J289</f>
        <v/>
      </c>
      <c r="V289" s="5">
        <f>O289-U289</f>
        <v/>
      </c>
      <c r="W289" s="5">
        <f>O289-(P289+R289)</f>
        <v/>
      </c>
      <c r="X289" s="5">
        <f>O289-(P289+Q289+R289)</f>
        <v/>
      </c>
    </row>
    <row r="290">
      <c r="A290" s="2" t="inlineStr">
        <is>
          <t>EJ061223.TXT</t>
        </is>
      </c>
      <c r="B290" s="3" t="inlineStr">
        <is>
          <t>001414</t>
        </is>
      </c>
      <c r="C290" s="3" t="inlineStr">
        <is>
          <t>000897</t>
        </is>
      </c>
      <c r="D290" s="4" t="n">
        <v>45258</v>
      </c>
      <c r="E290" s="2" t="inlineStr">
        <is>
          <t>13:38</t>
        </is>
      </c>
      <c r="F290" s="5" t="n">
        <v>548.33</v>
      </c>
      <c r="G290" s="5" t="n"/>
      <c r="H290" s="5" t="n"/>
      <c r="I290" s="5" t="n"/>
      <c r="J290" s="5" t="n">
        <v>109.67</v>
      </c>
      <c r="K290" s="5" t="n"/>
      <c r="L290" s="5" t="n"/>
      <c r="M290" s="5" t="n"/>
      <c r="N290" s="5" t="n"/>
      <c r="O290" s="5" t="n">
        <v>658</v>
      </c>
      <c r="P290" s="5" t="n">
        <v>658</v>
      </c>
      <c r="Q290" s="5" t="n"/>
      <c r="R290" s="5" t="n"/>
      <c r="S290" s="5">
        <f>F290*20%</f>
        <v/>
      </c>
      <c r="T290" s="5">
        <f>J290-S290</f>
        <v/>
      </c>
      <c r="U290" s="5">
        <f>F290+J290</f>
        <v/>
      </c>
      <c r="V290" s="5">
        <f>O290-U290</f>
        <v/>
      </c>
      <c r="W290" s="5">
        <f>O290-(P290+R290)</f>
        <v/>
      </c>
      <c r="X290" s="5">
        <f>O290-(P290+Q290+R290)</f>
        <v/>
      </c>
    </row>
    <row r="291">
      <c r="A291" s="2" t="inlineStr">
        <is>
          <t>EJ061223.TXT</t>
        </is>
      </c>
      <c r="B291" s="3" t="inlineStr">
        <is>
          <t>001415</t>
        </is>
      </c>
      <c r="C291" s="3" t="inlineStr">
        <is>
          <t>000898</t>
        </is>
      </c>
      <c r="D291" s="4" t="n">
        <v>45259</v>
      </c>
      <c r="E291" s="2" t="inlineStr">
        <is>
          <t>10:27</t>
        </is>
      </c>
      <c r="F291" s="5" t="n">
        <v>548.33</v>
      </c>
      <c r="G291" s="5" t="n"/>
      <c r="H291" s="5" t="n"/>
      <c r="I291" s="5" t="n"/>
      <c r="J291" s="5" t="n">
        <v>109.67</v>
      </c>
      <c r="K291" s="5" t="n"/>
      <c r="L291" s="5" t="n"/>
      <c r="M291" s="5" t="n"/>
      <c r="N291" s="5" t="n"/>
      <c r="O291" s="5" t="n">
        <v>658</v>
      </c>
      <c r="P291" s="5" t="n">
        <v>658</v>
      </c>
      <c r="Q291" s="5" t="n"/>
      <c r="R291" s="5" t="n"/>
      <c r="S291" s="5">
        <f>F291*20%</f>
        <v/>
      </c>
      <c r="T291" s="5">
        <f>J291-S291</f>
        <v/>
      </c>
      <c r="U291" s="5">
        <f>F291+J291</f>
        <v/>
      </c>
      <c r="V291" s="5">
        <f>O291-U291</f>
        <v/>
      </c>
      <c r="W291" s="5">
        <f>O291-(P291+R291)</f>
        <v/>
      </c>
      <c r="X291" s="5">
        <f>O291-(P291+Q291+R291)</f>
        <v/>
      </c>
    </row>
    <row r="292">
      <c r="A292" s="2" t="inlineStr">
        <is>
          <t>EJ061223.TXT</t>
        </is>
      </c>
      <c r="B292" s="3" t="inlineStr">
        <is>
          <t>001416</t>
        </is>
      </c>
      <c r="C292" s="3" t="inlineStr">
        <is>
          <t>000899</t>
        </is>
      </c>
      <c r="D292" s="4" t="n">
        <v>45260</v>
      </c>
      <c r="E292" s="2" t="inlineStr">
        <is>
          <t>15:53</t>
        </is>
      </c>
      <c r="F292" s="5" t="n">
        <v>739.17</v>
      </c>
      <c r="G292" s="5" t="n"/>
      <c r="H292" s="5" t="n"/>
      <c r="I292" s="5" t="n"/>
      <c r="J292" s="5" t="n">
        <v>147.83</v>
      </c>
      <c r="K292" s="5" t="n"/>
      <c r="L292" s="5" t="n"/>
      <c r="M292" s="5" t="n"/>
      <c r="N292" s="5" t="n"/>
      <c r="O292" s="5" t="n">
        <v>887</v>
      </c>
      <c r="P292" s="5" t="n">
        <v>887</v>
      </c>
      <c r="Q292" s="5" t="n"/>
      <c r="R292" s="5" t="n"/>
      <c r="S292" s="5">
        <f>F292*20%</f>
        <v/>
      </c>
      <c r="T292" s="5">
        <f>J292-S292</f>
        <v/>
      </c>
      <c r="U292" s="5">
        <f>F292+J292</f>
        <v/>
      </c>
      <c r="V292" s="5">
        <f>O292-U292</f>
        <v/>
      </c>
      <c r="W292" s="5">
        <f>O292-(P292+R292)</f>
        <v/>
      </c>
      <c r="X292" s="5">
        <f>O292-(P292+Q292+R292)</f>
        <v/>
      </c>
    </row>
    <row r="293">
      <c r="A293" s="2" t="inlineStr">
        <is>
          <t>EJ061223.TXT</t>
        </is>
      </c>
      <c r="B293" s="3" t="inlineStr">
        <is>
          <t>001417</t>
        </is>
      </c>
      <c r="C293" s="3" t="inlineStr">
        <is>
          <t>000900</t>
        </is>
      </c>
      <c r="D293" s="4" t="n">
        <v>45261</v>
      </c>
      <c r="E293" s="2" t="inlineStr">
        <is>
          <t>12:25</t>
        </is>
      </c>
      <c r="F293" s="5" t="n">
        <v>531.67</v>
      </c>
      <c r="G293" s="5" t="n"/>
      <c r="H293" s="5" t="n"/>
      <c r="I293" s="5" t="n"/>
      <c r="J293" s="5" t="n">
        <v>106.33</v>
      </c>
      <c r="K293" s="5" t="n"/>
      <c r="L293" s="5" t="n"/>
      <c r="M293" s="5" t="n"/>
      <c r="N293" s="5" t="n"/>
      <c r="O293" s="5" t="n">
        <v>638</v>
      </c>
      <c r="P293" s="5" t="n"/>
      <c r="Q293" s="5" t="n">
        <v>638</v>
      </c>
      <c r="R293" s="5" t="n"/>
      <c r="S293" s="5">
        <f>F293*20%</f>
        <v/>
      </c>
      <c r="T293" s="5">
        <f>J293-S293</f>
        <v/>
      </c>
      <c r="U293" s="5">
        <f>F293+J293</f>
        <v/>
      </c>
      <c r="V293" s="5">
        <f>O293-U293</f>
        <v/>
      </c>
      <c r="W293" s="5">
        <f>O293-(P293+R293)</f>
        <v/>
      </c>
      <c r="X293" s="5">
        <f>O293-(P293+Q293+R293)</f>
        <v/>
      </c>
    </row>
    <row r="294">
      <c r="A294" s="2" t="inlineStr">
        <is>
          <t>EJ061223.TXT</t>
        </is>
      </c>
      <c r="B294" s="3" t="inlineStr">
        <is>
          <t>001418</t>
        </is>
      </c>
      <c r="C294" s="3" t="inlineStr">
        <is>
          <t>000901</t>
        </is>
      </c>
      <c r="D294" s="4" t="n">
        <v>45261</v>
      </c>
      <c r="E294" s="2" t="inlineStr">
        <is>
          <t>15:48</t>
        </is>
      </c>
      <c r="F294" s="5" t="n">
        <v>1096.67</v>
      </c>
      <c r="G294" s="5" t="n"/>
      <c r="H294" s="5" t="n"/>
      <c r="I294" s="5" t="n"/>
      <c r="J294" s="5" t="n">
        <v>219.33</v>
      </c>
      <c r="K294" s="5" t="n"/>
      <c r="L294" s="5" t="n"/>
      <c r="M294" s="5" t="n"/>
      <c r="N294" s="5" t="n"/>
      <c r="O294" s="5" t="n">
        <v>1316</v>
      </c>
      <c r="P294" s="5" t="n">
        <v>1316</v>
      </c>
      <c r="Q294" s="5" t="n"/>
      <c r="R294" s="5" t="n"/>
      <c r="S294" s="5">
        <f>F294*20%</f>
        <v/>
      </c>
      <c r="T294" s="5">
        <f>J294-S294</f>
        <v/>
      </c>
      <c r="U294" s="5">
        <f>F294+J294</f>
        <v/>
      </c>
      <c r="V294" s="5">
        <f>O294-U294</f>
        <v/>
      </c>
      <c r="W294" s="5">
        <f>O294-(P294+R294)</f>
        <v/>
      </c>
      <c r="X294" s="5">
        <f>O294-(P294+Q294+R294)</f>
        <v/>
      </c>
    </row>
    <row r="295">
      <c r="A295" s="2" t="inlineStr">
        <is>
          <t>EJ061223.TXT</t>
        </is>
      </c>
      <c r="B295" s="3" t="inlineStr">
        <is>
          <t>001419</t>
        </is>
      </c>
      <c r="C295" s="3" t="inlineStr">
        <is>
          <t>000902</t>
        </is>
      </c>
      <c r="D295" s="4" t="n">
        <v>45262</v>
      </c>
      <c r="E295" s="2" t="inlineStr">
        <is>
          <t>16:22</t>
        </is>
      </c>
      <c r="F295" s="5" t="n">
        <v>190.83</v>
      </c>
      <c r="G295" s="5" t="n"/>
      <c r="H295" s="5" t="n"/>
      <c r="I295" s="5" t="n"/>
      <c r="J295" s="5" t="n">
        <v>38.17</v>
      </c>
      <c r="K295" s="5" t="n"/>
      <c r="L295" s="5" t="n"/>
      <c r="M295" s="5" t="n"/>
      <c r="N295" s="5" t="n"/>
      <c r="O295" s="5" t="n">
        <v>229</v>
      </c>
      <c r="P295" s="5" t="n">
        <v>229</v>
      </c>
      <c r="Q295" s="5" t="n"/>
      <c r="R295" s="5" t="n"/>
      <c r="S295" s="5">
        <f>F295*20%</f>
        <v/>
      </c>
      <c r="T295" s="5">
        <f>J295-S295</f>
        <v/>
      </c>
      <c r="U295" s="5">
        <f>F295+J295</f>
        <v/>
      </c>
      <c r="V295" s="5">
        <f>O295-U295</f>
        <v/>
      </c>
      <c r="W295" s="5">
        <f>O295-(P295+R295)</f>
        <v/>
      </c>
      <c r="X295" s="5">
        <f>O295-(P295+Q295+R295)</f>
        <v/>
      </c>
    </row>
    <row r="296">
      <c r="A296" s="2" t="inlineStr">
        <is>
          <t>EJ061223.TXT</t>
        </is>
      </c>
      <c r="B296" s="3" t="inlineStr">
        <is>
          <t>001420</t>
        </is>
      </c>
      <c r="C296" s="3" t="inlineStr">
        <is>
          <t>000903</t>
        </is>
      </c>
      <c r="D296" s="4" t="n">
        <v>45266</v>
      </c>
      <c r="E296" s="2" t="inlineStr">
        <is>
          <t>14:10</t>
        </is>
      </c>
      <c r="F296" s="5" t="n">
        <v>1595</v>
      </c>
      <c r="G296" s="5" t="n"/>
      <c r="H296" s="5" t="n"/>
      <c r="I296" s="5" t="n"/>
      <c r="J296" s="5" t="n">
        <v>319</v>
      </c>
      <c r="K296" s="5" t="n"/>
      <c r="L296" s="5" t="n"/>
      <c r="M296" s="5" t="n"/>
      <c r="N296" s="5" t="n"/>
      <c r="O296" s="5" t="n">
        <v>1914</v>
      </c>
      <c r="P296" s="5" t="n">
        <v>1914</v>
      </c>
      <c r="Q296" s="5" t="n"/>
      <c r="R296" s="5" t="n"/>
      <c r="S296" s="5">
        <f>F296*20%</f>
        <v/>
      </c>
      <c r="T296" s="5">
        <f>J296-S296</f>
        <v/>
      </c>
      <c r="U296" s="5">
        <f>F296+J296</f>
        <v/>
      </c>
      <c r="V296" s="5">
        <f>O296-U296</f>
        <v/>
      </c>
      <c r="W296" s="5">
        <f>O296-(P296+R296)</f>
        <v/>
      </c>
      <c r="X296" s="5">
        <f>O296-(P296+Q296+R296)</f>
        <v/>
      </c>
    </row>
    <row r="297">
      <c r="A297" s="2" t="inlineStr">
        <is>
          <t>EJ050124.TXT</t>
        </is>
      </c>
      <c r="B297" s="3" t="inlineStr">
        <is>
          <t>001428</t>
        </is>
      </c>
      <c r="C297" s="3" t="inlineStr">
        <is>
          <t>000904</t>
        </is>
      </c>
      <c r="D297" s="4" t="n">
        <v>45268</v>
      </c>
      <c r="E297" s="2" t="inlineStr">
        <is>
          <t>14:17</t>
        </is>
      </c>
      <c r="F297" s="5" t="n">
        <v>-465</v>
      </c>
      <c r="G297" s="5" t="n"/>
      <c r="H297" s="5" t="n"/>
      <c r="I297" s="5" t="n"/>
      <c r="J297" s="5" t="n">
        <v>-93</v>
      </c>
      <c r="K297" s="5" t="n"/>
      <c r="L297" s="5" t="n"/>
      <c r="M297" s="5" t="n"/>
      <c r="N297" s="5" t="n"/>
      <c r="O297" s="5" t="n">
        <v>-558</v>
      </c>
      <c r="P297" s="5" t="n">
        <v>-558</v>
      </c>
      <c r="Q297" s="5" t="n"/>
      <c r="R297" s="5" t="n"/>
      <c r="S297" s="5">
        <f>F297*20%</f>
        <v/>
      </c>
      <c r="T297" s="5">
        <f>J297-S297</f>
        <v/>
      </c>
      <c r="U297" s="5">
        <f>F297+J297</f>
        <v/>
      </c>
      <c r="V297" s="5">
        <f>O297-U297</f>
        <v/>
      </c>
      <c r="W297" s="5">
        <f>O297-(P297+R297)</f>
        <v/>
      </c>
      <c r="X297" s="5">
        <f>O297-(P297+Q297+R297)</f>
        <v/>
      </c>
    </row>
    <row r="298">
      <c r="A298" s="2" t="inlineStr">
        <is>
          <t>EJ050124.TXT</t>
        </is>
      </c>
      <c r="B298" s="3" t="inlineStr">
        <is>
          <t>001429</t>
        </is>
      </c>
      <c r="C298" s="3" t="inlineStr">
        <is>
          <t>000905</t>
        </is>
      </c>
      <c r="D298" s="4" t="n">
        <v>45269</v>
      </c>
      <c r="E298" s="2" t="inlineStr">
        <is>
          <t>16:52</t>
        </is>
      </c>
      <c r="F298" s="5" t="n">
        <v>-597.5</v>
      </c>
      <c r="G298" s="5" t="n"/>
      <c r="H298" s="5" t="n"/>
      <c r="I298" s="5" t="n"/>
      <c r="J298" s="5" t="n">
        <v>-119.5</v>
      </c>
      <c r="K298" s="5" t="n"/>
      <c r="L298" s="5" t="n"/>
      <c r="M298" s="5" t="n"/>
      <c r="N298" s="5" t="n"/>
      <c r="O298" s="5" t="n">
        <v>-717</v>
      </c>
      <c r="P298" s="5" t="n">
        <v>-717</v>
      </c>
      <c r="Q298" s="5" t="n"/>
      <c r="R298" s="5" t="n"/>
      <c r="S298" s="5">
        <f>F298*20%</f>
        <v/>
      </c>
      <c r="T298" s="5">
        <f>J298-S298</f>
        <v/>
      </c>
      <c r="U298" s="5">
        <f>F298+J298</f>
        <v/>
      </c>
      <c r="V298" s="5">
        <f>O298-U298</f>
        <v/>
      </c>
      <c r="W298" s="5">
        <f>O298-(P298+R298)</f>
        <v/>
      </c>
      <c r="X298" s="5">
        <f>O298-(P298+Q298+R298)</f>
        <v/>
      </c>
    </row>
    <row r="299">
      <c r="A299" s="2" t="inlineStr">
        <is>
          <t>EJ050124.TXT</t>
        </is>
      </c>
      <c r="B299" s="3" t="inlineStr">
        <is>
          <t>001430</t>
        </is>
      </c>
      <c r="C299" s="3" t="inlineStr">
        <is>
          <t>000906</t>
        </is>
      </c>
      <c r="D299" s="4" t="n">
        <v>45271</v>
      </c>
      <c r="E299" s="2" t="inlineStr">
        <is>
          <t>15:32</t>
        </is>
      </c>
      <c r="F299" s="5" t="n">
        <v>-1096.67</v>
      </c>
      <c r="G299" s="5" t="n"/>
      <c r="H299" s="5" t="n"/>
      <c r="I299" s="5" t="n"/>
      <c r="J299" s="5" t="n">
        <v>-219.33</v>
      </c>
      <c r="K299" s="5" t="n"/>
      <c r="L299" s="5" t="n"/>
      <c r="M299" s="5" t="n"/>
      <c r="N299" s="5" t="n"/>
      <c r="O299" s="5" t="n">
        <v>-1316</v>
      </c>
      <c r="P299" s="5" t="n">
        <v>-1316</v>
      </c>
      <c r="Q299" s="5" t="n"/>
      <c r="R299" s="5" t="n"/>
      <c r="S299" s="5">
        <f>F299*20%</f>
        <v/>
      </c>
      <c r="T299" s="5">
        <f>J299-S299</f>
        <v/>
      </c>
      <c r="U299" s="5">
        <f>F299+J299</f>
        <v/>
      </c>
      <c r="V299" s="5">
        <f>O299-U299</f>
        <v/>
      </c>
      <c r="W299" s="5">
        <f>O299-(P299+R299)</f>
        <v/>
      </c>
      <c r="X299" s="5">
        <f>O299-(P299+Q299+R299)</f>
        <v/>
      </c>
    </row>
    <row r="300">
      <c r="A300" s="2" t="inlineStr">
        <is>
          <t>EJ050124.TXT</t>
        </is>
      </c>
      <c r="B300" s="3" t="inlineStr">
        <is>
          <t>001431</t>
        </is>
      </c>
      <c r="C300" s="3" t="inlineStr">
        <is>
          <t>000907</t>
        </is>
      </c>
      <c r="D300" s="4" t="n">
        <v>45272</v>
      </c>
      <c r="E300" s="2" t="inlineStr">
        <is>
          <t>17:06</t>
        </is>
      </c>
      <c r="F300" s="5" t="n">
        <v>-274.17</v>
      </c>
      <c r="G300" s="5" t="n"/>
      <c r="H300" s="5" t="n"/>
      <c r="I300" s="5" t="n"/>
      <c r="J300" s="5" t="n">
        <v>-54.83</v>
      </c>
      <c r="K300" s="5" t="n"/>
      <c r="L300" s="5" t="n"/>
      <c r="M300" s="5" t="n"/>
      <c r="N300" s="5" t="n"/>
      <c r="O300" s="5" t="n">
        <v>-329</v>
      </c>
      <c r="P300" s="5" t="n"/>
      <c r="Q300" s="5" t="n">
        <v>-329</v>
      </c>
      <c r="R300" s="5" t="n"/>
      <c r="S300" s="5">
        <f>F300*20%</f>
        <v/>
      </c>
      <c r="T300" s="5">
        <f>J300-S300</f>
        <v/>
      </c>
      <c r="U300" s="5">
        <f>F300+J300</f>
        <v/>
      </c>
      <c r="V300" s="5">
        <f>O300-U300</f>
        <v/>
      </c>
      <c r="W300" s="5">
        <f>O300-(P300+R300)</f>
        <v/>
      </c>
      <c r="X300" s="5">
        <f>O300-(P300+Q300+R300)</f>
        <v/>
      </c>
    </row>
    <row r="301">
      <c r="A301" s="2" t="inlineStr">
        <is>
          <t>EJ050124.TXT</t>
        </is>
      </c>
      <c r="B301" s="3" t="inlineStr">
        <is>
          <t>001432</t>
        </is>
      </c>
      <c r="C301" s="3" t="inlineStr">
        <is>
          <t>000908</t>
        </is>
      </c>
      <c r="D301" s="4" t="n">
        <v>45274</v>
      </c>
      <c r="E301" s="2" t="inlineStr">
        <is>
          <t>14:45</t>
        </is>
      </c>
      <c r="F301" s="5" t="n">
        <v>-797.5</v>
      </c>
      <c r="G301" s="5" t="n"/>
      <c r="H301" s="5" t="n"/>
      <c r="I301" s="5" t="n"/>
      <c r="J301" s="5" t="n">
        <v>-159.5</v>
      </c>
      <c r="K301" s="5" t="n"/>
      <c r="L301" s="5" t="n"/>
      <c r="M301" s="5" t="n"/>
      <c r="N301" s="5" t="n"/>
      <c r="O301" s="5" t="n">
        <v>-957</v>
      </c>
      <c r="P301" s="5" t="n"/>
      <c r="Q301" s="5" t="n">
        <v>-957</v>
      </c>
      <c r="R301" s="5" t="n"/>
      <c r="S301" s="5">
        <f>F301*20%</f>
        <v/>
      </c>
      <c r="T301" s="5">
        <f>J301-S301</f>
        <v/>
      </c>
      <c r="U301" s="5">
        <f>F301+J301</f>
        <v/>
      </c>
      <c r="V301" s="5">
        <f>O301-U301</f>
        <v/>
      </c>
      <c r="W301" s="5">
        <f>O301-(P301+R301)</f>
        <v/>
      </c>
      <c r="X301" s="5">
        <f>O301-(P301+Q301+R301)</f>
        <v/>
      </c>
    </row>
    <row r="302">
      <c r="A302" s="2" t="inlineStr">
        <is>
          <t>EJ050124.TXT</t>
        </is>
      </c>
      <c r="B302" s="3" t="inlineStr">
        <is>
          <t>001433</t>
        </is>
      </c>
      <c r="C302" s="3" t="inlineStr">
        <is>
          <t>000909</t>
        </is>
      </c>
      <c r="D302" s="4" t="n">
        <v>45274</v>
      </c>
      <c r="E302" s="2" t="inlineStr">
        <is>
          <t>16:07</t>
        </is>
      </c>
      <c r="F302" s="5" t="n">
        <v>-124.17</v>
      </c>
      <c r="G302" s="5" t="n"/>
      <c r="H302" s="5" t="n"/>
      <c r="I302" s="5" t="n"/>
      <c r="J302" s="5" t="n">
        <v>-24.83</v>
      </c>
      <c r="K302" s="5" t="n"/>
      <c r="L302" s="5" t="n"/>
      <c r="M302" s="5" t="n"/>
      <c r="N302" s="5" t="n"/>
      <c r="O302" s="5" t="n">
        <v>-149</v>
      </c>
      <c r="P302" s="5" t="n"/>
      <c r="Q302" s="5" t="n">
        <v>-149</v>
      </c>
      <c r="R302" s="5" t="n"/>
      <c r="S302" s="5">
        <f>F302*20%</f>
        <v/>
      </c>
      <c r="T302" s="5">
        <f>J302-S302</f>
        <v/>
      </c>
      <c r="U302" s="5">
        <f>F302+J302</f>
        <v/>
      </c>
      <c r="V302" s="5">
        <f>O302-U302</f>
        <v/>
      </c>
      <c r="W302" s="5">
        <f>O302-(P302+R302)</f>
        <v/>
      </c>
      <c r="X302" s="5">
        <f>O302-(P302+Q302+R302)</f>
        <v/>
      </c>
    </row>
    <row r="303">
      <c r="A303" s="2" t="inlineStr">
        <is>
          <t>EJ050124.TXT</t>
        </is>
      </c>
      <c r="B303" s="3" t="inlineStr">
        <is>
          <t>001434</t>
        </is>
      </c>
      <c r="C303" s="3" t="inlineStr">
        <is>
          <t>000910</t>
        </is>
      </c>
      <c r="D303" s="4" t="n">
        <v>45275</v>
      </c>
      <c r="E303" s="2" t="inlineStr">
        <is>
          <t>11:02</t>
        </is>
      </c>
      <c r="F303" s="5" t="n">
        <v>-797.5</v>
      </c>
      <c r="G303" s="5" t="n"/>
      <c r="H303" s="5" t="n"/>
      <c r="I303" s="5" t="n"/>
      <c r="J303" s="5" t="n">
        <v>-159.5</v>
      </c>
      <c r="K303" s="5" t="n"/>
      <c r="L303" s="5" t="n"/>
      <c r="M303" s="5" t="n"/>
      <c r="N303" s="5" t="n"/>
      <c r="O303" s="5" t="n">
        <v>-957</v>
      </c>
      <c r="P303" s="5" t="n">
        <v>-957</v>
      </c>
      <c r="Q303" s="5" t="n"/>
      <c r="R303" s="5" t="n"/>
      <c r="S303" s="5">
        <f>F303*20%</f>
        <v/>
      </c>
      <c r="T303" s="5">
        <f>J303-S303</f>
        <v/>
      </c>
      <c r="U303" s="5">
        <f>F303+J303</f>
        <v/>
      </c>
      <c r="V303" s="5">
        <f>O303-U303</f>
        <v/>
      </c>
      <c r="W303" s="5">
        <f>O303-(P303+R303)</f>
        <v/>
      </c>
      <c r="X303" s="5">
        <f>O303-(P303+Q303+R303)</f>
        <v/>
      </c>
    </row>
    <row r="304">
      <c r="A304" s="2" t="inlineStr">
        <is>
          <t>EJ050124.TXT</t>
        </is>
      </c>
      <c r="B304" s="3" t="inlineStr">
        <is>
          <t>001435</t>
        </is>
      </c>
      <c r="C304" s="3" t="inlineStr">
        <is>
          <t>000911</t>
        </is>
      </c>
      <c r="D304" s="4" t="n">
        <v>45275</v>
      </c>
      <c r="E304" s="2" t="inlineStr">
        <is>
          <t>17:21</t>
        </is>
      </c>
      <c r="F304" s="5" t="n">
        <v>-548.33</v>
      </c>
      <c r="G304" s="5" t="n"/>
      <c r="H304" s="5" t="n"/>
      <c r="I304" s="5" t="n"/>
      <c r="J304" s="5" t="n">
        <v>-109.67</v>
      </c>
      <c r="K304" s="5" t="n"/>
      <c r="L304" s="5" t="n"/>
      <c r="M304" s="5" t="n"/>
      <c r="N304" s="5" t="n"/>
      <c r="O304" s="5" t="n">
        <v>-658</v>
      </c>
      <c r="P304" s="5" t="n">
        <v>-658</v>
      </c>
      <c r="Q304" s="5" t="n"/>
      <c r="R304" s="5" t="n"/>
      <c r="S304" s="5">
        <f>F304*20%</f>
        <v/>
      </c>
      <c r="T304" s="5">
        <f>J304-S304</f>
        <v/>
      </c>
      <c r="U304" s="5">
        <f>F304+J304</f>
        <v/>
      </c>
      <c r="V304" s="5">
        <f>O304-U304</f>
        <v/>
      </c>
      <c r="W304" s="5">
        <f>O304-(P304+R304)</f>
        <v/>
      </c>
      <c r="X304" s="5">
        <f>O304-(P304+Q304+R304)</f>
        <v/>
      </c>
    </row>
    <row r="305">
      <c r="A305" s="2" t="inlineStr">
        <is>
          <t>EJ050124.TXT</t>
        </is>
      </c>
      <c r="B305" s="3" t="inlineStr">
        <is>
          <t>001436</t>
        </is>
      </c>
      <c r="C305" s="3" t="inlineStr">
        <is>
          <t>000912</t>
        </is>
      </c>
      <c r="D305" s="4" t="n">
        <v>45276</v>
      </c>
      <c r="E305" s="2" t="inlineStr">
        <is>
          <t>15:24</t>
        </is>
      </c>
      <c r="F305" s="5" t="n">
        <v>-548.33</v>
      </c>
      <c r="G305" s="5" t="n"/>
      <c r="H305" s="5" t="n"/>
      <c r="I305" s="5" t="n"/>
      <c r="J305" s="5" t="n">
        <v>-109.67</v>
      </c>
      <c r="K305" s="5" t="n"/>
      <c r="L305" s="5" t="n"/>
      <c r="M305" s="5" t="n"/>
      <c r="N305" s="5" t="n"/>
      <c r="O305" s="5" t="n">
        <v>-658</v>
      </c>
      <c r="P305" s="5" t="n"/>
      <c r="Q305" s="5" t="n">
        <v>-658</v>
      </c>
      <c r="R305" s="5" t="n"/>
      <c r="S305" s="5">
        <f>F305*20%</f>
        <v/>
      </c>
      <c r="T305" s="5">
        <f>J305-S305</f>
        <v/>
      </c>
      <c r="U305" s="5">
        <f>F305+J305</f>
        <v/>
      </c>
      <c r="V305" s="5">
        <f>O305-U305</f>
        <v/>
      </c>
      <c r="W305" s="5">
        <f>O305-(P305+R305)</f>
        <v/>
      </c>
      <c r="X305" s="5">
        <f>O305-(P305+Q305+R305)</f>
        <v/>
      </c>
    </row>
    <row r="306">
      <c r="A306" s="2" t="inlineStr">
        <is>
          <t>EJ050124.TXT</t>
        </is>
      </c>
      <c r="B306" s="3" t="inlineStr">
        <is>
          <t>001437</t>
        </is>
      </c>
      <c r="C306" s="3" t="inlineStr">
        <is>
          <t>000913</t>
        </is>
      </c>
      <c r="D306" s="4" t="n">
        <v>45276</v>
      </c>
      <c r="E306" s="2" t="inlineStr">
        <is>
          <t>17:07</t>
        </is>
      </c>
      <c r="F306" s="5" t="n">
        <v>-82.5</v>
      </c>
      <c r="G306" s="5" t="n"/>
      <c r="H306" s="5" t="n"/>
      <c r="I306" s="5" t="n"/>
      <c r="J306" s="5" t="n">
        <v>-16.5</v>
      </c>
      <c r="K306" s="5" t="n"/>
      <c r="L306" s="5" t="n"/>
      <c r="M306" s="5" t="n"/>
      <c r="N306" s="5" t="n"/>
      <c r="O306" s="5" t="n">
        <v>-99</v>
      </c>
      <c r="P306" s="5" t="n">
        <v>-99</v>
      </c>
      <c r="Q306" s="5" t="n"/>
      <c r="R306" s="5" t="n"/>
      <c r="S306" s="5">
        <f>F306*20%</f>
        <v/>
      </c>
      <c r="T306" s="5">
        <f>J306-S306</f>
        <v/>
      </c>
      <c r="U306" s="5">
        <f>F306+J306</f>
        <v/>
      </c>
      <c r="V306" s="5">
        <f>O306-U306</f>
        <v/>
      </c>
      <c r="W306" s="5">
        <f>O306-(P306+R306)</f>
        <v/>
      </c>
      <c r="X306" s="5">
        <f>O306-(P306+Q306+R306)</f>
        <v/>
      </c>
    </row>
    <row r="307">
      <c r="A307" s="2" t="inlineStr">
        <is>
          <t>EJ050124.TXT</t>
        </is>
      </c>
      <c r="B307" s="3" t="inlineStr">
        <is>
          <t>001438</t>
        </is>
      </c>
      <c r="C307" s="3" t="inlineStr">
        <is>
          <t>000914</t>
        </is>
      </c>
      <c r="D307" s="4" t="n">
        <v>45278</v>
      </c>
      <c r="E307" s="2" t="inlineStr">
        <is>
          <t>11:34</t>
        </is>
      </c>
      <c r="F307" s="5" t="n">
        <v>-274.17</v>
      </c>
      <c r="G307" s="5" t="n"/>
      <c r="H307" s="5" t="n"/>
      <c r="I307" s="5" t="n"/>
      <c r="J307" s="5" t="n">
        <v>-54.83</v>
      </c>
      <c r="K307" s="5" t="n"/>
      <c r="L307" s="5" t="n"/>
      <c r="M307" s="5" t="n"/>
      <c r="N307" s="5" t="n"/>
      <c r="O307" s="5" t="n">
        <v>-329</v>
      </c>
      <c r="P307" s="5" t="n">
        <v>-329</v>
      </c>
      <c r="Q307" s="5" t="n"/>
      <c r="R307" s="5" t="n"/>
      <c r="S307" s="5">
        <f>F307*20%</f>
        <v/>
      </c>
      <c r="T307" s="5">
        <f>J307-S307</f>
        <v/>
      </c>
      <c r="U307" s="5">
        <f>F307+J307</f>
        <v/>
      </c>
      <c r="V307" s="5">
        <f>O307-U307</f>
        <v/>
      </c>
      <c r="W307" s="5">
        <f>O307-(P307+R307)</f>
        <v/>
      </c>
      <c r="X307" s="5">
        <f>O307-(P307+Q307+R307)</f>
        <v/>
      </c>
    </row>
    <row r="308">
      <c r="A308" s="2" t="inlineStr">
        <is>
          <t>EJ050124.TXT</t>
        </is>
      </c>
      <c r="B308" s="3" t="inlineStr">
        <is>
          <t>001439</t>
        </is>
      </c>
      <c r="C308" s="3" t="inlineStr">
        <is>
          <t>000915</t>
        </is>
      </c>
      <c r="D308" s="4" t="n">
        <v>45278</v>
      </c>
      <c r="E308" s="2" t="inlineStr">
        <is>
          <t>11:36</t>
        </is>
      </c>
      <c r="F308" s="5" t="n">
        <v>-274.17</v>
      </c>
      <c r="G308" s="5" t="n"/>
      <c r="H308" s="5" t="n"/>
      <c r="I308" s="5" t="n"/>
      <c r="J308" s="5" t="n">
        <v>-54.83</v>
      </c>
      <c r="K308" s="5" t="n"/>
      <c r="L308" s="5" t="n"/>
      <c r="M308" s="5" t="n"/>
      <c r="N308" s="5" t="n"/>
      <c r="O308" s="5" t="n">
        <v>-329</v>
      </c>
      <c r="P308" s="5" t="n">
        <v>-329</v>
      </c>
      <c r="Q308" s="5" t="n"/>
      <c r="R308" s="5" t="n"/>
      <c r="S308" s="5">
        <f>F308*20%</f>
        <v/>
      </c>
      <c r="T308" s="5">
        <f>J308-S308</f>
        <v/>
      </c>
      <c r="U308" s="5">
        <f>F308+J308</f>
        <v/>
      </c>
      <c r="V308" s="5">
        <f>O308-U308</f>
        <v/>
      </c>
      <c r="W308" s="5">
        <f>O308-(P308+R308)</f>
        <v/>
      </c>
      <c r="X308" s="5">
        <f>O308-(P308+Q308+R308)</f>
        <v/>
      </c>
    </row>
    <row r="309">
      <c r="A309" s="2" t="inlineStr">
        <is>
          <t>EJ050124.TXT</t>
        </is>
      </c>
      <c r="B309" s="3" t="inlineStr">
        <is>
          <t>001440</t>
        </is>
      </c>
      <c r="C309" s="3" t="inlineStr">
        <is>
          <t>000916</t>
        </is>
      </c>
      <c r="D309" s="4" t="n">
        <v>45279</v>
      </c>
      <c r="E309" s="2" t="inlineStr">
        <is>
          <t>16:04</t>
        </is>
      </c>
      <c r="F309" s="5" t="n">
        <v>-37.5</v>
      </c>
      <c r="G309" s="5" t="n"/>
      <c r="H309" s="5" t="n"/>
      <c r="I309" s="5" t="n"/>
      <c r="J309" s="5" t="n">
        <v>-7.5</v>
      </c>
      <c r="K309" s="5" t="n"/>
      <c r="L309" s="5" t="n"/>
      <c r="M309" s="5" t="n"/>
      <c r="N309" s="5" t="n"/>
      <c r="O309" s="5" t="n">
        <v>-45</v>
      </c>
      <c r="P309" s="5" t="n">
        <v>-45</v>
      </c>
      <c r="Q309" s="5" t="n"/>
      <c r="R309" s="5" t="n"/>
      <c r="S309" s="5">
        <f>F309*20%</f>
        <v/>
      </c>
      <c r="T309" s="5">
        <f>J309-S309</f>
        <v/>
      </c>
      <c r="U309" s="5">
        <f>F309+J309</f>
        <v/>
      </c>
      <c r="V309" s="5">
        <f>O309-U309</f>
        <v/>
      </c>
      <c r="W309" s="5">
        <f>O309-(P309+R309)</f>
        <v/>
      </c>
      <c r="X309" s="5">
        <f>O309-(P309+Q309+R309)</f>
        <v/>
      </c>
    </row>
    <row r="310">
      <c r="A310" s="2" t="inlineStr">
        <is>
          <t>EJ050124.TXT</t>
        </is>
      </c>
      <c r="B310" s="3" t="inlineStr">
        <is>
          <t>001441</t>
        </is>
      </c>
      <c r="C310" s="3" t="inlineStr">
        <is>
          <t>000917</t>
        </is>
      </c>
      <c r="D310" s="4" t="n">
        <v>45280</v>
      </c>
      <c r="E310" s="2" t="inlineStr">
        <is>
          <t>12:42</t>
        </is>
      </c>
      <c r="F310" s="5" t="n">
        <v>-274.17</v>
      </c>
      <c r="G310" s="5" t="n"/>
      <c r="H310" s="5" t="n"/>
      <c r="I310" s="5" t="n"/>
      <c r="J310" s="5" t="n">
        <v>-54.83</v>
      </c>
      <c r="K310" s="5" t="n"/>
      <c r="L310" s="5" t="n"/>
      <c r="M310" s="5" t="n"/>
      <c r="N310" s="5" t="n"/>
      <c r="O310" s="5" t="n">
        <v>-329</v>
      </c>
      <c r="P310" s="5" t="n">
        <v>-329</v>
      </c>
      <c r="Q310" s="5" t="n"/>
      <c r="R310" s="5" t="n"/>
      <c r="S310" s="5">
        <f>F310*20%</f>
        <v/>
      </c>
      <c r="T310" s="5">
        <f>J310-S310</f>
        <v/>
      </c>
      <c r="U310" s="5">
        <f>F310+J310</f>
        <v/>
      </c>
      <c r="V310" s="5">
        <f>O310-U310</f>
        <v/>
      </c>
      <c r="W310" s="5">
        <f>O310-(P310+R310)</f>
        <v/>
      </c>
      <c r="X310" s="5">
        <f>O310-(P310+Q310+R310)</f>
        <v/>
      </c>
    </row>
    <row r="311">
      <c r="A311" s="2" t="inlineStr">
        <is>
          <t>EJ050124.TXT</t>
        </is>
      </c>
      <c r="B311" s="3" t="inlineStr">
        <is>
          <t>001442</t>
        </is>
      </c>
      <c r="C311" s="3" t="inlineStr">
        <is>
          <t>000918</t>
        </is>
      </c>
      <c r="D311" s="4" t="n">
        <v>45280</v>
      </c>
      <c r="E311" s="2" t="inlineStr">
        <is>
          <t>12:50</t>
        </is>
      </c>
      <c r="F311" s="5" t="n">
        <v>-350</v>
      </c>
      <c r="G311" s="5" t="n"/>
      <c r="H311" s="5" t="n"/>
      <c r="I311" s="5" t="n"/>
      <c r="J311" s="5" t="n">
        <v>-70</v>
      </c>
      <c r="K311" s="5" t="n"/>
      <c r="L311" s="5" t="n"/>
      <c r="M311" s="5" t="n"/>
      <c r="N311" s="5" t="n"/>
      <c r="O311" s="5" t="n">
        <v>-420</v>
      </c>
      <c r="P311" s="5" t="n">
        <v>-420</v>
      </c>
      <c r="Q311" s="5" t="n"/>
      <c r="R311" s="5" t="n"/>
      <c r="S311" s="5">
        <f>F311*20%</f>
        <v/>
      </c>
      <c r="T311" s="5">
        <f>J311-S311</f>
        <v/>
      </c>
      <c r="U311" s="5">
        <f>F311+J311</f>
        <v/>
      </c>
      <c r="V311" s="5">
        <f>O311-U311</f>
        <v/>
      </c>
      <c r="W311" s="5">
        <f>O311-(P311+R311)</f>
        <v/>
      </c>
      <c r="X311" s="5">
        <f>O311-(P311+Q311+R311)</f>
        <v/>
      </c>
    </row>
    <row r="312">
      <c r="A312" s="2" t="inlineStr">
        <is>
          <t>EJ050124.TXT</t>
        </is>
      </c>
      <c r="B312" s="3" t="inlineStr">
        <is>
          <t>001443</t>
        </is>
      </c>
      <c r="C312" s="3" t="inlineStr">
        <is>
          <t>000919</t>
        </is>
      </c>
      <c r="D312" s="4" t="n">
        <v>45280</v>
      </c>
      <c r="E312" s="2" t="inlineStr">
        <is>
          <t>14:22</t>
        </is>
      </c>
      <c r="F312" s="5" t="n">
        <v>-54.17</v>
      </c>
      <c r="G312" s="5" t="n"/>
      <c r="H312" s="5" t="n"/>
      <c r="I312" s="5" t="n"/>
      <c r="J312" s="5" t="n">
        <v>-10.83</v>
      </c>
      <c r="K312" s="5" t="n"/>
      <c r="L312" s="5" t="n"/>
      <c r="M312" s="5" t="n"/>
      <c r="N312" s="5" t="n"/>
      <c r="O312" s="5" t="n">
        <v>-65</v>
      </c>
      <c r="P312" s="5" t="n">
        <v>-65</v>
      </c>
      <c r="Q312" s="5" t="n"/>
      <c r="R312" s="5" t="n"/>
      <c r="S312" s="5">
        <f>F312*20%</f>
        <v/>
      </c>
      <c r="T312" s="5">
        <f>J312-S312</f>
        <v/>
      </c>
      <c r="U312" s="5">
        <f>F312+J312</f>
        <v/>
      </c>
      <c r="V312" s="5">
        <f>O312-U312</f>
        <v/>
      </c>
      <c r="W312" s="5">
        <f>O312-(P312+R312)</f>
        <v/>
      </c>
      <c r="X312" s="5">
        <f>O312-(P312+Q312+R312)</f>
        <v/>
      </c>
    </row>
    <row r="313">
      <c r="A313" s="2" t="inlineStr">
        <is>
          <t>EJ050124.TXT</t>
        </is>
      </c>
      <c r="B313" s="3" t="inlineStr">
        <is>
          <t>001444</t>
        </is>
      </c>
      <c r="C313" s="3" t="inlineStr">
        <is>
          <t>000920</t>
        </is>
      </c>
      <c r="D313" s="4" t="n">
        <v>45280</v>
      </c>
      <c r="E313" s="2" t="inlineStr">
        <is>
          <t>16:51</t>
        </is>
      </c>
      <c r="F313" s="5" t="n">
        <v>-274.17</v>
      </c>
      <c r="G313" s="5" t="n"/>
      <c r="H313" s="5" t="n"/>
      <c r="I313" s="5" t="n"/>
      <c r="J313" s="5" t="n">
        <v>-54.83</v>
      </c>
      <c r="K313" s="5" t="n"/>
      <c r="L313" s="5" t="n"/>
      <c r="M313" s="5" t="n"/>
      <c r="N313" s="5" t="n"/>
      <c r="O313" s="5" t="n">
        <v>-329</v>
      </c>
      <c r="P313" s="5" t="n"/>
      <c r="Q313" s="5" t="n">
        <v>-329</v>
      </c>
      <c r="R313" s="5" t="n"/>
      <c r="S313" s="5">
        <f>F313*20%</f>
        <v/>
      </c>
      <c r="T313" s="5">
        <f>J313-S313</f>
        <v/>
      </c>
      <c r="U313" s="5">
        <f>F313+J313</f>
        <v/>
      </c>
      <c r="V313" s="5">
        <f>O313-U313</f>
        <v/>
      </c>
      <c r="W313" s="5">
        <f>O313-(P313+R313)</f>
        <v/>
      </c>
      <c r="X313" s="5">
        <f>O313-(P313+Q313+R313)</f>
        <v/>
      </c>
    </row>
    <row r="314">
      <c r="A314" s="2" t="inlineStr">
        <is>
          <t>EJ050124.TXT</t>
        </is>
      </c>
      <c r="B314" s="3" t="inlineStr">
        <is>
          <t>001445</t>
        </is>
      </c>
      <c r="C314" s="3" t="inlineStr">
        <is>
          <t>000921</t>
        </is>
      </c>
      <c r="D314" s="4" t="n">
        <v>45281</v>
      </c>
      <c r="E314" s="2" t="inlineStr">
        <is>
          <t>14:26</t>
        </is>
      </c>
      <c r="F314" s="5" t="n">
        <v>-548.33</v>
      </c>
      <c r="G314" s="5" t="n"/>
      <c r="H314" s="5" t="n"/>
      <c r="I314" s="5" t="n"/>
      <c r="J314" s="5" t="n">
        <v>-109.67</v>
      </c>
      <c r="K314" s="5" t="n"/>
      <c r="L314" s="5" t="n"/>
      <c r="M314" s="5" t="n"/>
      <c r="N314" s="5" t="n"/>
      <c r="O314" s="5" t="n">
        <v>-658</v>
      </c>
      <c r="P314" s="5" t="n"/>
      <c r="Q314" s="5" t="n">
        <v>-658</v>
      </c>
      <c r="R314" s="5" t="n"/>
      <c r="S314" s="5">
        <f>F314*20%</f>
        <v/>
      </c>
      <c r="T314" s="5">
        <f>J314-S314</f>
        <v/>
      </c>
      <c r="U314" s="5">
        <f>F314+J314</f>
        <v/>
      </c>
      <c r="V314" s="5">
        <f>O314-U314</f>
        <v/>
      </c>
      <c r="W314" s="5">
        <f>O314-(P314+R314)</f>
        <v/>
      </c>
      <c r="X314" s="5">
        <f>O314-(P314+Q314+R314)</f>
        <v/>
      </c>
    </row>
    <row r="315">
      <c r="A315" s="2" t="inlineStr">
        <is>
          <t>EJ050124.TXT</t>
        </is>
      </c>
      <c r="B315" s="3" t="inlineStr">
        <is>
          <t>001446</t>
        </is>
      </c>
      <c r="C315" s="3" t="inlineStr">
        <is>
          <t>000922</t>
        </is>
      </c>
      <c r="D315" s="4" t="n">
        <v>45281</v>
      </c>
      <c r="E315" s="2" t="inlineStr">
        <is>
          <t>14:27</t>
        </is>
      </c>
      <c r="F315" s="5" t="n">
        <v>-548.33</v>
      </c>
      <c r="G315" s="5" t="n"/>
      <c r="H315" s="5" t="n"/>
      <c r="I315" s="5" t="n"/>
      <c r="J315" s="5" t="n">
        <v>-109.67</v>
      </c>
      <c r="K315" s="5" t="n"/>
      <c r="L315" s="5" t="n"/>
      <c r="M315" s="5" t="n"/>
      <c r="N315" s="5" t="n"/>
      <c r="O315" s="5" t="n">
        <v>-658</v>
      </c>
      <c r="P315" s="5" t="n"/>
      <c r="Q315" s="5" t="n">
        <v>-658</v>
      </c>
      <c r="R315" s="5" t="n"/>
      <c r="S315" s="5">
        <f>F315*20%</f>
        <v/>
      </c>
      <c r="T315" s="5">
        <f>J315-S315</f>
        <v/>
      </c>
      <c r="U315" s="5">
        <f>F315+J315</f>
        <v/>
      </c>
      <c r="V315" s="5">
        <f>O315-U315</f>
        <v/>
      </c>
      <c r="W315" s="5">
        <f>O315-(P315+R315)</f>
        <v/>
      </c>
      <c r="X315" s="5">
        <f>O315-(P315+Q315+R315)</f>
        <v/>
      </c>
    </row>
    <row r="316">
      <c r="A316" s="2" t="inlineStr">
        <is>
          <t>EJ050124.TXT</t>
        </is>
      </c>
      <c r="B316" s="3" t="inlineStr">
        <is>
          <t>001447</t>
        </is>
      </c>
      <c r="C316" s="3" t="inlineStr">
        <is>
          <t>000923</t>
        </is>
      </c>
      <c r="D316" s="4" t="n">
        <v>45282</v>
      </c>
      <c r="E316" s="2" t="inlineStr">
        <is>
          <t>11:26</t>
        </is>
      </c>
      <c r="F316" s="5" t="n">
        <v>-548.33</v>
      </c>
      <c r="G316" s="5" t="n"/>
      <c r="H316" s="5" t="n"/>
      <c r="I316" s="5" t="n"/>
      <c r="J316" s="5" t="n">
        <v>-109.67</v>
      </c>
      <c r="K316" s="5" t="n"/>
      <c r="L316" s="5" t="n"/>
      <c r="M316" s="5" t="n"/>
      <c r="N316" s="5" t="n"/>
      <c r="O316" s="5" t="n">
        <v>-658</v>
      </c>
      <c r="P316" s="5" t="n"/>
      <c r="Q316" s="5" t="n">
        <v>-658</v>
      </c>
      <c r="R316" s="5" t="n"/>
      <c r="S316" s="5">
        <f>F316*20%</f>
        <v/>
      </c>
      <c r="T316" s="5">
        <f>J316-S316</f>
        <v/>
      </c>
      <c r="U316" s="5">
        <f>F316+J316</f>
        <v/>
      </c>
      <c r="V316" s="5">
        <f>O316-U316</f>
        <v/>
      </c>
      <c r="W316" s="5">
        <f>O316-(P316+R316)</f>
        <v/>
      </c>
      <c r="X316" s="5">
        <f>O316-(P316+Q316+R316)</f>
        <v/>
      </c>
    </row>
    <row r="317">
      <c r="A317" s="2" t="inlineStr">
        <is>
          <t>EJ050124.TXT</t>
        </is>
      </c>
      <c r="B317" s="3" t="inlineStr">
        <is>
          <t>001448</t>
        </is>
      </c>
      <c r="C317" s="3" t="inlineStr">
        <is>
          <t>000924</t>
        </is>
      </c>
      <c r="D317" s="4" t="n">
        <v>45282</v>
      </c>
      <c r="E317" s="2" t="inlineStr">
        <is>
          <t>15:41</t>
        </is>
      </c>
      <c r="F317" s="5" t="n">
        <v>-1645</v>
      </c>
      <c r="G317" s="5" t="n"/>
      <c r="H317" s="5" t="n"/>
      <c r="I317" s="5" t="n"/>
      <c r="J317" s="5" t="n">
        <v>-329</v>
      </c>
      <c r="K317" s="5" t="n"/>
      <c r="L317" s="5" t="n"/>
      <c r="M317" s="5" t="n"/>
      <c r="N317" s="5" t="n"/>
      <c r="O317" s="5" t="n">
        <v>-1974</v>
      </c>
      <c r="P317" s="5" t="n">
        <v>-1974</v>
      </c>
      <c r="Q317" s="5" t="n"/>
      <c r="R317" s="5" t="n"/>
      <c r="S317" s="5">
        <f>F317*20%</f>
        <v/>
      </c>
      <c r="T317" s="5">
        <f>J317-S317</f>
        <v/>
      </c>
      <c r="U317" s="5">
        <f>F317+J317</f>
        <v/>
      </c>
      <c r="V317" s="5">
        <f>O317-U317</f>
        <v/>
      </c>
      <c r="W317" s="5">
        <f>O317-(P317+R317)</f>
        <v/>
      </c>
      <c r="X317" s="5">
        <f>O317-(P317+Q317+R317)</f>
        <v/>
      </c>
    </row>
    <row r="318">
      <c r="A318" s="2" t="inlineStr">
        <is>
          <t>EJ050124.TXT</t>
        </is>
      </c>
      <c r="B318" s="3" t="inlineStr">
        <is>
          <t>001449</t>
        </is>
      </c>
      <c r="C318" s="3" t="inlineStr">
        <is>
          <t>000925</t>
        </is>
      </c>
      <c r="D318" s="4" t="n">
        <v>45282</v>
      </c>
      <c r="E318" s="2" t="inlineStr">
        <is>
          <t>15:57</t>
        </is>
      </c>
      <c r="F318" s="5" t="n">
        <v>-274.17</v>
      </c>
      <c r="G318" s="5" t="n"/>
      <c r="H318" s="5" t="n"/>
      <c r="I318" s="5" t="n"/>
      <c r="J318" s="5" t="n">
        <v>-54.83</v>
      </c>
      <c r="K318" s="5" t="n"/>
      <c r="L318" s="5" t="n"/>
      <c r="M318" s="5" t="n"/>
      <c r="N318" s="5" t="n"/>
      <c r="O318" s="5" t="n">
        <v>-329</v>
      </c>
      <c r="P318" s="5" t="n">
        <v>-329</v>
      </c>
      <c r="Q318" s="5" t="n"/>
      <c r="R318" s="5" t="n"/>
      <c r="S318" s="5">
        <f>F318*20%</f>
        <v/>
      </c>
      <c r="T318" s="5">
        <f>J318-S318</f>
        <v/>
      </c>
      <c r="U318" s="5">
        <f>F318+J318</f>
        <v/>
      </c>
      <c r="V318" s="5">
        <f>O318-U318</f>
        <v/>
      </c>
      <c r="W318" s="5">
        <f>O318-(P318+R318)</f>
        <v/>
      </c>
      <c r="X318" s="5">
        <f>O318-(P318+Q318+R318)</f>
        <v/>
      </c>
    </row>
    <row r="319">
      <c r="A319" s="2" t="inlineStr">
        <is>
          <t>EJ050124.TXT</t>
        </is>
      </c>
      <c r="B319" s="3" t="inlineStr">
        <is>
          <t>001450</t>
        </is>
      </c>
      <c r="C319" s="3" t="inlineStr">
        <is>
          <t>000926</t>
        </is>
      </c>
      <c r="D319" s="4" t="n">
        <v>45282</v>
      </c>
      <c r="E319" s="2" t="inlineStr">
        <is>
          <t>16:42</t>
        </is>
      </c>
      <c r="F319" s="5" t="n">
        <v>-37.5</v>
      </c>
      <c r="G319" s="5" t="n"/>
      <c r="H319" s="5" t="n"/>
      <c r="I319" s="5" t="n"/>
      <c r="J319" s="5" t="n">
        <v>-7.5</v>
      </c>
      <c r="K319" s="5" t="n"/>
      <c r="L319" s="5" t="n"/>
      <c r="M319" s="5" t="n"/>
      <c r="N319" s="5" t="n"/>
      <c r="O319" s="5" t="n">
        <v>-45</v>
      </c>
      <c r="P319" s="5" t="n"/>
      <c r="Q319" s="5" t="n">
        <v>-45</v>
      </c>
      <c r="R319" s="5" t="n"/>
      <c r="S319" s="5">
        <f>F319*20%</f>
        <v/>
      </c>
      <c r="T319" s="5">
        <f>J319-S319</f>
        <v/>
      </c>
      <c r="U319" s="5">
        <f>F319+J319</f>
        <v/>
      </c>
      <c r="V319" s="5">
        <f>O319-U319</f>
        <v/>
      </c>
      <c r="W319" s="5">
        <f>O319-(P319+R319)</f>
        <v/>
      </c>
      <c r="X319" s="5">
        <f>O319-(P319+Q319+R319)</f>
        <v/>
      </c>
    </row>
    <row r="320">
      <c r="A320" s="2" t="inlineStr">
        <is>
          <t>EJ050124.TXT</t>
        </is>
      </c>
      <c r="B320" s="3" t="inlineStr">
        <is>
          <t>001451</t>
        </is>
      </c>
      <c r="C320" s="3" t="inlineStr">
        <is>
          <t>000927</t>
        </is>
      </c>
      <c r="D320" s="4" t="n">
        <v>45286</v>
      </c>
      <c r="E320" s="2" t="inlineStr">
        <is>
          <t>15:13</t>
        </is>
      </c>
      <c r="F320" s="5" t="n">
        <v>-822.5</v>
      </c>
      <c r="G320" s="5" t="n"/>
      <c r="H320" s="5" t="n"/>
      <c r="I320" s="5" t="n"/>
      <c r="J320" s="5" t="n">
        <v>-164.5</v>
      </c>
      <c r="K320" s="5" t="n"/>
      <c r="L320" s="5" t="n"/>
      <c r="M320" s="5" t="n"/>
      <c r="N320" s="5" t="n"/>
      <c r="O320" s="5" t="n">
        <v>-987</v>
      </c>
      <c r="P320" s="5" t="n"/>
      <c r="Q320" s="5" t="n">
        <v>-987</v>
      </c>
      <c r="R320" s="5" t="n"/>
      <c r="S320" s="5">
        <f>F320*20%</f>
        <v/>
      </c>
      <c r="T320" s="5">
        <f>J320-S320</f>
        <v/>
      </c>
      <c r="U320" s="5">
        <f>F320+J320</f>
        <v/>
      </c>
      <c r="V320" s="5">
        <f>O320-U320</f>
        <v/>
      </c>
      <c r="W320" s="5">
        <f>O320-(P320+R320)</f>
        <v/>
      </c>
      <c r="X320" s="5">
        <f>O320-(P320+Q320+R320)</f>
        <v/>
      </c>
    </row>
    <row r="321">
      <c r="A321" s="2" t="inlineStr">
        <is>
          <t>EJ050124.TXT</t>
        </is>
      </c>
      <c r="B321" s="3" t="inlineStr">
        <is>
          <t>001452</t>
        </is>
      </c>
      <c r="C321" s="3" t="inlineStr">
        <is>
          <t>000928</t>
        </is>
      </c>
      <c r="D321" s="4" t="n">
        <v>45286</v>
      </c>
      <c r="E321" s="2" t="inlineStr">
        <is>
          <t>15:13</t>
        </is>
      </c>
      <c r="F321" s="5" t="n">
        <v>-274.17</v>
      </c>
      <c r="G321" s="5" t="n"/>
      <c r="H321" s="5" t="n"/>
      <c r="I321" s="5" t="n"/>
      <c r="J321" s="5" t="n">
        <v>-54.83</v>
      </c>
      <c r="K321" s="5" t="n"/>
      <c r="L321" s="5" t="n"/>
      <c r="M321" s="5" t="n"/>
      <c r="N321" s="5" t="n"/>
      <c r="O321" s="5" t="n">
        <v>-329</v>
      </c>
      <c r="P321" s="5" t="n"/>
      <c r="Q321" s="5" t="n">
        <v>-329</v>
      </c>
      <c r="R321" s="5" t="n"/>
      <c r="S321" s="5">
        <f>F321*20%</f>
        <v/>
      </c>
      <c r="T321" s="5">
        <f>J321-S321</f>
        <v/>
      </c>
      <c r="U321" s="5">
        <f>F321+J321</f>
        <v/>
      </c>
      <c r="V321" s="5">
        <f>O321-U321</f>
        <v/>
      </c>
      <c r="W321" s="5">
        <f>O321-(P321+R321)</f>
        <v/>
      </c>
      <c r="X321" s="5">
        <f>O321-(P321+Q321+R321)</f>
        <v/>
      </c>
    </row>
    <row r="322">
      <c r="A322" s="2" t="inlineStr">
        <is>
          <t>EJ050124.TXT</t>
        </is>
      </c>
      <c r="B322" s="3" t="inlineStr">
        <is>
          <t>001453</t>
        </is>
      </c>
      <c r="C322" s="3" t="inlineStr">
        <is>
          <t>000929</t>
        </is>
      </c>
      <c r="D322" s="4" t="n">
        <v>45286</v>
      </c>
      <c r="E322" s="2" t="inlineStr">
        <is>
          <t>15:16</t>
        </is>
      </c>
      <c r="F322" s="5" t="n">
        <v>-248.33</v>
      </c>
      <c r="G322" s="5" t="n"/>
      <c r="H322" s="5" t="n"/>
      <c r="I322" s="5" t="n"/>
      <c r="J322" s="5" t="n">
        <v>-49.67</v>
      </c>
      <c r="K322" s="5" t="n"/>
      <c r="L322" s="5" t="n"/>
      <c r="M322" s="5" t="n"/>
      <c r="N322" s="5" t="n"/>
      <c r="O322" s="5" t="n">
        <v>-298</v>
      </c>
      <c r="P322" s="5" t="n"/>
      <c r="Q322" s="5" t="n">
        <v>-298</v>
      </c>
      <c r="R322" s="5" t="n"/>
      <c r="S322" s="5">
        <f>F322*20%</f>
        <v/>
      </c>
      <c r="T322" s="5">
        <f>J322-S322</f>
        <v/>
      </c>
      <c r="U322" s="5">
        <f>F322+J322</f>
        <v/>
      </c>
      <c r="V322" s="5">
        <f>O322-U322</f>
        <v/>
      </c>
      <c r="W322" s="5">
        <f>O322-(P322+R322)</f>
        <v/>
      </c>
      <c r="X322" s="5">
        <f>O322-(P322+Q322+R322)</f>
        <v/>
      </c>
    </row>
    <row r="323">
      <c r="A323" s="2" t="inlineStr">
        <is>
          <t>EJ050124.TXT</t>
        </is>
      </c>
      <c r="B323" s="3" t="inlineStr">
        <is>
          <t>001454</t>
        </is>
      </c>
      <c r="C323" s="3" t="inlineStr">
        <is>
          <t>000930</t>
        </is>
      </c>
      <c r="D323" s="4" t="n">
        <v>45287</v>
      </c>
      <c r="E323" s="2" t="inlineStr">
        <is>
          <t>15:07</t>
        </is>
      </c>
      <c r="F323" s="5" t="n">
        <v>-548.33</v>
      </c>
      <c r="G323" s="5" t="n"/>
      <c r="H323" s="5" t="n"/>
      <c r="I323" s="5" t="n"/>
      <c r="J323" s="5" t="n">
        <v>-109.67</v>
      </c>
      <c r="K323" s="5" t="n"/>
      <c r="L323" s="5" t="n"/>
      <c r="M323" s="5" t="n"/>
      <c r="N323" s="5" t="n"/>
      <c r="O323" s="5" t="n">
        <v>-658</v>
      </c>
      <c r="P323" s="5" t="n"/>
      <c r="Q323" s="5" t="n">
        <v>-658</v>
      </c>
      <c r="R323" s="5" t="n"/>
      <c r="S323" s="5">
        <f>F323*20%</f>
        <v/>
      </c>
      <c r="T323" s="5">
        <f>J323-S323</f>
        <v/>
      </c>
      <c r="U323" s="5">
        <f>F323+J323</f>
        <v/>
      </c>
      <c r="V323" s="5">
        <f>O323-U323</f>
        <v/>
      </c>
      <c r="W323" s="5">
        <f>O323-(P323+R323)</f>
        <v/>
      </c>
      <c r="X323" s="5">
        <f>O323-(P323+Q323+R323)</f>
        <v/>
      </c>
    </row>
    <row r="324">
      <c r="A324" s="2" t="inlineStr">
        <is>
          <t>EJ050124.TXT</t>
        </is>
      </c>
      <c r="B324" s="3" t="inlineStr">
        <is>
          <t>001456</t>
        </is>
      </c>
      <c r="C324" s="3" t="inlineStr">
        <is>
          <t>000931</t>
        </is>
      </c>
      <c r="D324" s="4" t="n">
        <v>45289</v>
      </c>
      <c r="E324" s="2" t="inlineStr">
        <is>
          <t>10:55</t>
        </is>
      </c>
      <c r="F324" s="5" t="n">
        <v>-548.33</v>
      </c>
      <c r="G324" s="5" t="n"/>
      <c r="H324" s="5" t="n"/>
      <c r="I324" s="5" t="n"/>
      <c r="J324" s="5" t="n">
        <v>-109.67</v>
      </c>
      <c r="K324" s="5" t="n"/>
      <c r="L324" s="5" t="n"/>
      <c r="M324" s="5" t="n"/>
      <c r="N324" s="5" t="n"/>
      <c r="O324" s="5" t="n">
        <v>-658</v>
      </c>
      <c r="P324" s="5" t="n"/>
      <c r="Q324" s="5" t="n">
        <v>-658</v>
      </c>
      <c r="R324" s="5" t="n"/>
      <c r="S324" s="5">
        <f>F324*20%</f>
        <v/>
      </c>
      <c r="T324" s="5">
        <f>J324-S324</f>
        <v/>
      </c>
      <c r="U324" s="5">
        <f>F324+J324</f>
        <v/>
      </c>
      <c r="V324" s="5">
        <f>O324-U324</f>
        <v/>
      </c>
      <c r="W324" s="5">
        <f>O324-(P324+R324)</f>
        <v/>
      </c>
      <c r="X324" s="5">
        <f>O324-(P324+Q324+R324)</f>
        <v/>
      </c>
    </row>
    <row r="325">
      <c r="A325" s="2" t="inlineStr">
        <is>
          <t>EJ050124.TXT</t>
        </is>
      </c>
      <c r="B325" s="3" t="inlineStr">
        <is>
          <t>001457</t>
        </is>
      </c>
      <c r="C325" s="3" t="inlineStr">
        <is>
          <t>000932</t>
        </is>
      </c>
      <c r="D325" s="4" t="n">
        <v>45289</v>
      </c>
      <c r="E325" s="2" t="inlineStr">
        <is>
          <t>13:19</t>
        </is>
      </c>
      <c r="F325" s="5" t="n">
        <v>-548.33</v>
      </c>
      <c r="G325" s="5" t="n"/>
      <c r="H325" s="5" t="n"/>
      <c r="I325" s="5" t="n"/>
      <c r="J325" s="5" t="n">
        <v>-109.67</v>
      </c>
      <c r="K325" s="5" t="n"/>
      <c r="L325" s="5" t="n"/>
      <c r="M325" s="5" t="n"/>
      <c r="N325" s="5" t="n"/>
      <c r="O325" s="5" t="n">
        <v>-658</v>
      </c>
      <c r="P325" s="5" t="n"/>
      <c r="Q325" s="5" t="n">
        <v>-658</v>
      </c>
      <c r="R325" s="5" t="n"/>
      <c r="S325" s="5">
        <f>F325*20%</f>
        <v/>
      </c>
      <c r="T325" s="5">
        <f>J325-S325</f>
        <v/>
      </c>
      <c r="U325" s="5">
        <f>F325+J325</f>
        <v/>
      </c>
      <c r="V325" s="5">
        <f>O325-U325</f>
        <v/>
      </c>
      <c r="W325" s="5">
        <f>O325-(P325+R325)</f>
        <v/>
      </c>
      <c r="X325" s="5">
        <f>O325-(P325+Q325+R325)</f>
        <v/>
      </c>
    </row>
    <row r="326">
      <c r="A326" s="2" t="inlineStr">
        <is>
          <t>EJ050124.TXT</t>
        </is>
      </c>
      <c r="B326" s="3" t="inlineStr">
        <is>
          <t>001458</t>
        </is>
      </c>
      <c r="C326" s="3" t="inlineStr">
        <is>
          <t>000933</t>
        </is>
      </c>
      <c r="D326" s="4" t="n">
        <v>45289</v>
      </c>
      <c r="E326" s="2" t="inlineStr">
        <is>
          <t>13:31</t>
        </is>
      </c>
      <c r="F326" s="5" t="n">
        <v>-566.67</v>
      </c>
      <c r="G326" s="5" t="n"/>
      <c r="H326" s="5" t="n"/>
      <c r="I326" s="5" t="n"/>
      <c r="J326" s="5" t="n">
        <v>-113.33</v>
      </c>
      <c r="K326" s="5" t="n"/>
      <c r="L326" s="5" t="n"/>
      <c r="M326" s="5" t="n"/>
      <c r="N326" s="5" t="n"/>
      <c r="O326" s="5" t="n">
        <v>-680</v>
      </c>
      <c r="P326" s="5" t="n"/>
      <c r="Q326" s="5" t="n">
        <v>-680</v>
      </c>
      <c r="R326" s="5" t="n"/>
      <c r="S326" s="5">
        <f>F326*20%</f>
        <v/>
      </c>
      <c r="T326" s="5">
        <f>J326-S326</f>
        <v/>
      </c>
      <c r="U326" s="5">
        <f>F326+J326</f>
        <v/>
      </c>
      <c r="V326" s="5">
        <f>O326-U326</f>
        <v/>
      </c>
      <c r="W326" s="5">
        <f>O326-(P326+R326)</f>
        <v/>
      </c>
      <c r="X326" s="5">
        <f>O326-(P326+Q326+R326)</f>
        <v/>
      </c>
    </row>
    <row r="327">
      <c r="A327" s="2" t="inlineStr">
        <is>
          <t>EJ050124.TXT</t>
        </is>
      </c>
      <c r="B327" s="3" t="inlineStr">
        <is>
          <t>001459</t>
        </is>
      </c>
      <c r="C327" s="3" t="inlineStr">
        <is>
          <t>000934</t>
        </is>
      </c>
      <c r="D327" s="4" t="n">
        <v>45290</v>
      </c>
      <c r="E327" s="2" t="inlineStr">
        <is>
          <t>14:35</t>
        </is>
      </c>
      <c r="F327" s="5" t="n">
        <v>-199.17</v>
      </c>
      <c r="G327" s="5" t="n"/>
      <c r="H327" s="5" t="n"/>
      <c r="I327" s="5" t="n"/>
      <c r="J327" s="5" t="n">
        <v>-39.83</v>
      </c>
      <c r="K327" s="5" t="n"/>
      <c r="L327" s="5" t="n"/>
      <c r="M327" s="5" t="n"/>
      <c r="N327" s="5" t="n"/>
      <c r="O327" s="5" t="n">
        <v>-239</v>
      </c>
      <c r="P327" s="5" t="n"/>
      <c r="Q327" s="5" t="n">
        <v>-239</v>
      </c>
      <c r="R327" s="5" t="n"/>
      <c r="S327" s="5">
        <f>F327*20%</f>
        <v/>
      </c>
      <c r="T327" s="5">
        <f>J327-S327</f>
        <v/>
      </c>
      <c r="U327" s="5">
        <f>F327+J327</f>
        <v/>
      </c>
      <c r="V327" s="5">
        <f>O327-U327</f>
        <v/>
      </c>
      <c r="W327" s="5">
        <f>O327-(P327+R327)</f>
        <v/>
      </c>
      <c r="X327" s="5">
        <f>O327-(P327+Q327+R327)</f>
        <v/>
      </c>
    </row>
    <row r="328">
      <c r="A328" s="2" t="inlineStr">
        <is>
          <t>EJ050124.TXT</t>
        </is>
      </c>
      <c r="B328" s="3" t="inlineStr">
        <is>
          <t>001460</t>
        </is>
      </c>
      <c r="C328" s="3" t="inlineStr">
        <is>
          <t>000935</t>
        </is>
      </c>
      <c r="D328" s="4" t="n">
        <v>45290</v>
      </c>
      <c r="E328" s="2" t="inlineStr">
        <is>
          <t>15:43</t>
        </is>
      </c>
      <c r="F328" s="5" t="n">
        <v>-548.33</v>
      </c>
      <c r="G328" s="5" t="n"/>
      <c r="H328" s="5" t="n"/>
      <c r="I328" s="5" t="n"/>
      <c r="J328" s="5" t="n">
        <v>-109.67</v>
      </c>
      <c r="K328" s="5" t="n"/>
      <c r="L328" s="5" t="n"/>
      <c r="M328" s="5" t="n"/>
      <c r="N328" s="5" t="n"/>
      <c r="O328" s="5" t="n">
        <v>-658</v>
      </c>
      <c r="P328" s="5" t="n"/>
      <c r="Q328" s="5" t="n">
        <v>-658</v>
      </c>
      <c r="R328" s="5" t="n"/>
      <c r="S328" s="5">
        <f>F328*20%</f>
        <v/>
      </c>
      <c r="T328" s="5">
        <f>J328-S328</f>
        <v/>
      </c>
      <c r="U328" s="5">
        <f>F328+J328</f>
        <v/>
      </c>
      <c r="V328" s="5">
        <f>O328-U328</f>
        <v/>
      </c>
      <c r="W328" s="5">
        <f>O328-(P328+R328)</f>
        <v/>
      </c>
      <c r="X328" s="5">
        <f>O328-(P328+Q328+R328)</f>
        <v/>
      </c>
    </row>
    <row r="329">
      <c r="A329" s="2" t="inlineStr">
        <is>
          <t>EJ050124.TXT</t>
        </is>
      </c>
      <c r="B329" s="3" t="inlineStr">
        <is>
          <t>001461</t>
        </is>
      </c>
      <c r="C329" s="3" t="inlineStr">
        <is>
          <t>000936</t>
        </is>
      </c>
      <c r="D329" s="4" t="n">
        <v>45290</v>
      </c>
      <c r="E329" s="2" t="inlineStr">
        <is>
          <t>17:01</t>
        </is>
      </c>
      <c r="F329" s="5" t="n">
        <v>-797.5</v>
      </c>
      <c r="G329" s="5" t="n"/>
      <c r="H329" s="5" t="n"/>
      <c r="I329" s="5" t="n"/>
      <c r="J329" s="5" t="n">
        <v>-159.5</v>
      </c>
      <c r="K329" s="5" t="n"/>
      <c r="L329" s="5" t="n"/>
      <c r="M329" s="5" t="n"/>
      <c r="N329" s="5" t="n"/>
      <c r="O329" s="5" t="n">
        <v>-957</v>
      </c>
      <c r="P329" s="5" t="n"/>
      <c r="Q329" s="5" t="n">
        <v>-957</v>
      </c>
      <c r="R329" s="5" t="n"/>
      <c r="S329" s="5">
        <f>F329*20%</f>
        <v/>
      </c>
      <c r="T329" s="5">
        <f>J329-S329</f>
        <v/>
      </c>
      <c r="U329" s="5">
        <f>F329+J329</f>
        <v/>
      </c>
      <c r="V329" s="5">
        <f>O329-U329</f>
        <v/>
      </c>
      <c r="W329" s="5">
        <f>O329-(P329+R329)</f>
        <v/>
      </c>
      <c r="X329" s="5">
        <f>O329-(P329+Q329+R329)</f>
        <v/>
      </c>
    </row>
    <row r="330">
      <c r="A330" s="2" t="inlineStr">
        <is>
          <t>EJ050124.TXT</t>
        </is>
      </c>
      <c r="B330" s="3" t="inlineStr">
        <is>
          <t>001462</t>
        </is>
      </c>
      <c r="C330" s="3" t="inlineStr">
        <is>
          <t>000937</t>
        </is>
      </c>
      <c r="D330" s="4" t="n">
        <v>45290</v>
      </c>
      <c r="E330" s="2" t="inlineStr">
        <is>
          <t>17:02</t>
        </is>
      </c>
      <c r="F330" s="5" t="n">
        <v>-797.5</v>
      </c>
      <c r="G330" s="5" t="n"/>
      <c r="H330" s="5" t="n"/>
      <c r="I330" s="5" t="n"/>
      <c r="J330" s="5" t="n">
        <v>-159.5</v>
      </c>
      <c r="K330" s="5" t="n"/>
      <c r="L330" s="5" t="n"/>
      <c r="M330" s="5" t="n"/>
      <c r="N330" s="5" t="n"/>
      <c r="O330" s="5" t="n">
        <v>-957</v>
      </c>
      <c r="P330" s="5" t="n"/>
      <c r="Q330" s="5" t="n">
        <v>-957</v>
      </c>
      <c r="R330" s="5" t="n"/>
      <c r="S330" s="5">
        <f>F330*20%</f>
        <v/>
      </c>
      <c r="T330" s="5">
        <f>J330-S330</f>
        <v/>
      </c>
      <c r="U330" s="5">
        <f>F330+J330</f>
        <v/>
      </c>
      <c r="V330" s="5">
        <f>O330-U330</f>
        <v/>
      </c>
      <c r="W330" s="5">
        <f>O330-(P330+R330)</f>
        <v/>
      </c>
      <c r="X330" s="5">
        <f>O330-(P330+Q330+R330)</f>
        <v/>
      </c>
    </row>
    <row r="331">
      <c r="A331" s="2" t="inlineStr">
        <is>
          <t>EJ050124.TXT</t>
        </is>
      </c>
      <c r="B331" s="3" t="inlineStr">
        <is>
          <t>001465</t>
        </is>
      </c>
      <c r="C331" s="3" t="inlineStr">
        <is>
          <t>000938</t>
        </is>
      </c>
      <c r="D331" s="4" t="n">
        <v>45295</v>
      </c>
      <c r="E331" s="2" t="inlineStr">
        <is>
          <t>17:15</t>
        </is>
      </c>
      <c r="F331" s="5" t="n">
        <v>-146.67</v>
      </c>
      <c r="G331" s="5" t="n"/>
      <c r="H331" s="5" t="n"/>
      <c r="I331" s="5" t="n"/>
      <c r="J331" s="5" t="n">
        <v>-29.33</v>
      </c>
      <c r="K331" s="5" t="n"/>
      <c r="L331" s="5" t="n"/>
      <c r="M331" s="5" t="n"/>
      <c r="N331" s="5" t="n"/>
      <c r="O331" s="5" t="n">
        <v>-176</v>
      </c>
      <c r="P331" s="5" t="n">
        <v>-176</v>
      </c>
      <c r="Q331" s="5" t="n"/>
      <c r="R331" s="5" t="n"/>
      <c r="S331" s="5">
        <f>F331*20%</f>
        <v/>
      </c>
      <c r="T331" s="5">
        <f>J331-S331</f>
        <v/>
      </c>
      <c r="U331" s="5">
        <f>F331+J331</f>
        <v/>
      </c>
      <c r="V331" s="5">
        <f>O331-U331</f>
        <v/>
      </c>
      <c r="W331" s="5">
        <f>O331-(P331+R331)</f>
        <v/>
      </c>
      <c r="X331" s="5">
        <f>O331-(P331+Q331+R331)</f>
        <v/>
      </c>
    </row>
    <row r="332">
      <c r="A332" s="2" t="inlineStr">
        <is>
          <t>EJ010224.TXT</t>
        </is>
      </c>
      <c r="B332" s="3" t="inlineStr">
        <is>
          <t>001473</t>
        </is>
      </c>
      <c r="C332" s="3" t="inlineStr">
        <is>
          <t>000939</t>
        </is>
      </c>
      <c r="D332" s="4" t="n">
        <v>45297</v>
      </c>
      <c r="E332" s="2" t="inlineStr">
        <is>
          <t>14:08</t>
        </is>
      </c>
      <c r="F332" s="5" t="n">
        <v>274.17</v>
      </c>
      <c r="G332" s="5" t="n"/>
      <c r="H332" s="5" t="n"/>
      <c r="I332" s="5" t="n"/>
      <c r="J332" s="5" t="n">
        <v>54.83</v>
      </c>
      <c r="K332" s="5" t="n"/>
      <c r="L332" s="5" t="n"/>
      <c r="M332" s="5" t="n"/>
      <c r="N332" s="5" t="n"/>
      <c r="O332" s="5" t="n">
        <v>329</v>
      </c>
      <c r="P332" s="5" t="n"/>
      <c r="Q332" s="5" t="n">
        <v>329</v>
      </c>
      <c r="R332" s="5" t="n"/>
      <c r="S332" s="5">
        <f>F332*20%</f>
        <v/>
      </c>
      <c r="T332" s="5">
        <f>J332-S332</f>
        <v/>
      </c>
      <c r="U332" s="5">
        <f>F332+J332</f>
        <v/>
      </c>
      <c r="V332" s="5">
        <f>O332-U332</f>
        <v/>
      </c>
      <c r="W332" s="5">
        <f>O332-(P332+R332)</f>
        <v/>
      </c>
      <c r="X332" s="5">
        <f>O332-(P332+Q332+R332)</f>
        <v/>
      </c>
    </row>
    <row r="333">
      <c r="A333" s="2" t="inlineStr">
        <is>
          <t>EJ010224.TXT</t>
        </is>
      </c>
      <c r="B333" s="3" t="inlineStr">
        <is>
          <t>001475</t>
        </is>
      </c>
      <c r="C333" s="3" t="inlineStr">
        <is>
          <t>000940</t>
        </is>
      </c>
      <c r="D333" s="4" t="n">
        <v>45300</v>
      </c>
      <c r="E333" s="2" t="inlineStr">
        <is>
          <t>11:25</t>
        </is>
      </c>
      <c r="F333" s="5" t="n">
        <v>124.17</v>
      </c>
      <c r="G333" s="5" t="n"/>
      <c r="H333" s="5" t="n"/>
      <c r="I333" s="5" t="n"/>
      <c r="J333" s="5" t="n">
        <v>24.83</v>
      </c>
      <c r="K333" s="5" t="n"/>
      <c r="L333" s="5" t="n"/>
      <c r="M333" s="5" t="n"/>
      <c r="N333" s="5" t="n"/>
      <c r="O333" s="5" t="n">
        <v>149</v>
      </c>
      <c r="P333" s="5" t="n">
        <v>149</v>
      </c>
      <c r="Q333" s="5" t="n"/>
      <c r="R333" s="5" t="n"/>
      <c r="S333" s="5">
        <f>F333*20%</f>
        <v/>
      </c>
      <c r="T333" s="5">
        <f>J333-S333</f>
        <v/>
      </c>
      <c r="U333" s="5">
        <f>F333+J333</f>
        <v/>
      </c>
      <c r="V333" s="5">
        <f>O333-U333</f>
        <v/>
      </c>
      <c r="W333" s="5">
        <f>O333-(P333+R333)</f>
        <v/>
      </c>
      <c r="X333" s="5">
        <f>O333-(P333+Q333+R333)</f>
        <v/>
      </c>
    </row>
    <row r="334">
      <c r="A334" s="2" t="inlineStr">
        <is>
          <t>EJ010224.TXT</t>
        </is>
      </c>
      <c r="B334" s="3" t="inlineStr">
        <is>
          <t>001476</t>
        </is>
      </c>
      <c r="C334" s="3" t="inlineStr">
        <is>
          <t>000941</t>
        </is>
      </c>
      <c r="D334" s="4" t="n">
        <v>45300</v>
      </c>
      <c r="E334" s="2" t="inlineStr">
        <is>
          <t>12:16</t>
        </is>
      </c>
      <c r="F334" s="5" t="n">
        <v>548.33</v>
      </c>
      <c r="G334" s="5" t="n"/>
      <c r="H334" s="5" t="n"/>
      <c r="I334" s="5" t="n"/>
      <c r="J334" s="5" t="n">
        <v>109.67</v>
      </c>
      <c r="K334" s="5" t="n"/>
      <c r="L334" s="5" t="n"/>
      <c r="M334" s="5" t="n"/>
      <c r="N334" s="5" t="n"/>
      <c r="O334" s="5" t="n">
        <v>658</v>
      </c>
      <c r="P334" s="5" t="n">
        <v>658</v>
      </c>
      <c r="Q334" s="5" t="n"/>
      <c r="R334" s="5" t="n"/>
      <c r="S334" s="5">
        <f>F334*20%</f>
        <v/>
      </c>
      <c r="T334" s="5">
        <f>J334-S334</f>
        <v/>
      </c>
      <c r="U334" s="5">
        <f>F334+J334</f>
        <v/>
      </c>
      <c r="V334" s="5">
        <f>O334-U334</f>
        <v/>
      </c>
      <c r="W334" s="5">
        <f>O334-(P334+R334)</f>
        <v/>
      </c>
      <c r="X334" s="5">
        <f>O334-(P334+Q334+R334)</f>
        <v/>
      </c>
    </row>
    <row r="335">
      <c r="A335" s="2" t="inlineStr">
        <is>
          <t>EJ010224.TXT</t>
        </is>
      </c>
      <c r="B335" s="3" t="inlineStr">
        <is>
          <t>001477</t>
        </is>
      </c>
      <c r="C335" s="3" t="inlineStr">
        <is>
          <t>000942</t>
        </is>
      </c>
      <c r="D335" s="4" t="n">
        <v>45302</v>
      </c>
      <c r="E335" s="2" t="inlineStr">
        <is>
          <t>13:05</t>
        </is>
      </c>
      <c r="F335" s="5" t="n">
        <v>1913.33</v>
      </c>
      <c r="G335" s="5" t="n"/>
      <c r="H335" s="5" t="n"/>
      <c r="I335" s="5" t="n"/>
      <c r="J335" s="5" t="n">
        <v>382.67</v>
      </c>
      <c r="K335" s="5" t="n"/>
      <c r="L335" s="5" t="n"/>
      <c r="M335" s="5" t="n"/>
      <c r="N335" s="5" t="n"/>
      <c r="O335" s="5" t="n">
        <v>2296</v>
      </c>
      <c r="P335" s="5" t="n">
        <v>2296</v>
      </c>
      <c r="Q335" s="5" t="n"/>
      <c r="R335" s="5" t="n"/>
      <c r="S335" s="5">
        <f>F335*20%</f>
        <v/>
      </c>
      <c r="T335" s="5">
        <f>J335-S335</f>
        <v/>
      </c>
      <c r="U335" s="5">
        <f>F335+J335</f>
        <v/>
      </c>
      <c r="V335" s="5">
        <f>O335-U335</f>
        <v/>
      </c>
      <c r="W335" s="5">
        <f>O335-(P335+R335)</f>
        <v/>
      </c>
      <c r="X335" s="5">
        <f>O335-(P335+Q335+R335)</f>
        <v/>
      </c>
    </row>
    <row r="336">
      <c r="A336" s="2" t="inlineStr">
        <is>
          <t>EJ010224.TXT</t>
        </is>
      </c>
      <c r="B336" s="3" t="inlineStr">
        <is>
          <t>001478</t>
        </is>
      </c>
      <c r="C336" s="3" t="inlineStr">
        <is>
          <t>000943</t>
        </is>
      </c>
      <c r="D336" s="4" t="n">
        <v>45302</v>
      </c>
      <c r="E336" s="2" t="inlineStr">
        <is>
          <t>13:46</t>
        </is>
      </c>
      <c r="F336" s="5" t="n">
        <v>1296.67</v>
      </c>
      <c r="G336" s="5" t="n"/>
      <c r="H336" s="5" t="n"/>
      <c r="I336" s="5" t="n"/>
      <c r="J336" s="5" t="n">
        <v>259.33</v>
      </c>
      <c r="K336" s="5" t="n"/>
      <c r="L336" s="5" t="n"/>
      <c r="M336" s="5" t="n"/>
      <c r="N336" s="5" t="n"/>
      <c r="O336" s="5" t="n">
        <v>1556</v>
      </c>
      <c r="P336" s="5" t="n">
        <v>1556</v>
      </c>
      <c r="Q336" s="5" t="n"/>
      <c r="R336" s="5" t="n"/>
      <c r="S336" s="5">
        <f>F336*20%</f>
        <v/>
      </c>
      <c r="T336" s="5">
        <f>J336-S336</f>
        <v/>
      </c>
      <c r="U336" s="5">
        <f>F336+J336</f>
        <v/>
      </c>
      <c r="V336" s="5">
        <f>O336-U336</f>
        <v/>
      </c>
      <c r="W336" s="5">
        <f>O336-(P336+R336)</f>
        <v/>
      </c>
      <c r="X336" s="5">
        <f>O336-(P336+Q336+R336)</f>
        <v/>
      </c>
    </row>
    <row r="337">
      <c r="A337" s="2" t="inlineStr">
        <is>
          <t>EJ010224.TXT</t>
        </is>
      </c>
      <c r="B337" s="3" t="inlineStr">
        <is>
          <t>001479</t>
        </is>
      </c>
      <c r="C337" s="3" t="inlineStr">
        <is>
          <t>000944</t>
        </is>
      </c>
      <c r="D337" s="4" t="n">
        <v>45302</v>
      </c>
      <c r="E337" s="2" t="inlineStr">
        <is>
          <t>15:37</t>
        </is>
      </c>
      <c r="F337" s="5" t="n">
        <v>29.08</v>
      </c>
      <c r="G337" s="5" t="n"/>
      <c r="H337" s="5" t="n"/>
      <c r="I337" s="5" t="n"/>
      <c r="J337" s="5" t="n">
        <v>5.82</v>
      </c>
      <c r="K337" s="5" t="n"/>
      <c r="L337" s="5" t="n"/>
      <c r="M337" s="5" t="n"/>
      <c r="N337" s="5" t="n"/>
      <c r="O337" s="5" t="n">
        <v>34.9</v>
      </c>
      <c r="P337" s="5" t="n">
        <v>34.9</v>
      </c>
      <c r="Q337" s="5" t="n"/>
      <c r="R337" s="5" t="n"/>
      <c r="S337" s="5">
        <f>F337*20%</f>
        <v/>
      </c>
      <c r="T337" s="5">
        <f>J337-S337</f>
        <v/>
      </c>
      <c r="U337" s="5">
        <f>F337+J337</f>
        <v/>
      </c>
      <c r="V337" s="5">
        <f>O337-U337</f>
        <v/>
      </c>
      <c r="W337" s="5">
        <f>O337-(P337+R337)</f>
        <v/>
      </c>
      <c r="X337" s="5">
        <f>O337-(P337+Q337+R337)</f>
        <v/>
      </c>
    </row>
    <row r="338">
      <c r="A338" s="2" t="inlineStr">
        <is>
          <t>EJ010224.TXT</t>
        </is>
      </c>
      <c r="B338" s="3" t="inlineStr">
        <is>
          <t>001480</t>
        </is>
      </c>
      <c r="C338" s="3" t="inlineStr">
        <is>
          <t>000945</t>
        </is>
      </c>
      <c r="D338" s="4" t="n">
        <v>45303</v>
      </c>
      <c r="E338" s="2" t="inlineStr">
        <is>
          <t>16:31</t>
        </is>
      </c>
      <c r="F338" s="5" t="n">
        <v>90.83</v>
      </c>
      <c r="G338" s="5" t="n"/>
      <c r="H338" s="5" t="n"/>
      <c r="I338" s="5" t="n"/>
      <c r="J338" s="5" t="n">
        <v>18.17</v>
      </c>
      <c r="K338" s="5" t="n"/>
      <c r="L338" s="5" t="n"/>
      <c r="M338" s="5" t="n"/>
      <c r="N338" s="5" t="n"/>
      <c r="O338" s="5" t="n">
        <v>109</v>
      </c>
      <c r="P338" s="5" t="n"/>
      <c r="Q338" s="5" t="n">
        <v>109</v>
      </c>
      <c r="R338" s="5" t="n"/>
      <c r="S338" s="5">
        <f>F338*20%</f>
        <v/>
      </c>
      <c r="T338" s="5">
        <f>J338-S338</f>
        <v/>
      </c>
      <c r="U338" s="5">
        <f>F338+J338</f>
        <v/>
      </c>
      <c r="V338" s="5">
        <f>O338-U338</f>
        <v/>
      </c>
      <c r="W338" s="5">
        <f>O338-(P338+R338)</f>
        <v/>
      </c>
      <c r="X338" s="5">
        <f>O338-(P338+Q338+R338)</f>
        <v/>
      </c>
    </row>
    <row r="339">
      <c r="A339" s="2" t="inlineStr">
        <is>
          <t>EJ010224.TXT</t>
        </is>
      </c>
      <c r="B339" s="3" t="inlineStr">
        <is>
          <t>001481</t>
        </is>
      </c>
      <c r="C339" s="3" t="inlineStr">
        <is>
          <t>000946</t>
        </is>
      </c>
      <c r="D339" s="4" t="n">
        <v>45303</v>
      </c>
      <c r="E339" s="2" t="inlineStr">
        <is>
          <t>17:05</t>
        </is>
      </c>
      <c r="F339" s="5" t="n">
        <v>548.33</v>
      </c>
      <c r="G339" s="5" t="n"/>
      <c r="H339" s="5" t="n"/>
      <c r="I339" s="5" t="n"/>
      <c r="J339" s="5" t="n">
        <v>109.67</v>
      </c>
      <c r="K339" s="5" t="n"/>
      <c r="L339" s="5" t="n"/>
      <c r="M339" s="5" t="n"/>
      <c r="N339" s="5" t="n"/>
      <c r="O339" s="5" t="n">
        <v>658</v>
      </c>
      <c r="P339" s="5" t="n">
        <v>658</v>
      </c>
      <c r="Q339" s="5" t="n"/>
      <c r="R339" s="5" t="n"/>
      <c r="S339" s="5">
        <f>F339*20%</f>
        <v/>
      </c>
      <c r="T339" s="5">
        <f>J339-S339</f>
        <v/>
      </c>
      <c r="U339" s="5">
        <f>F339+J339</f>
        <v/>
      </c>
      <c r="V339" s="5">
        <f>O339-U339</f>
        <v/>
      </c>
      <c r="W339" s="5">
        <f>O339-(P339+R339)</f>
        <v/>
      </c>
      <c r="X339" s="5">
        <f>O339-(P339+Q339+R339)</f>
        <v/>
      </c>
    </row>
    <row r="340">
      <c r="A340" s="2" t="inlineStr">
        <is>
          <t>EJ010224.TXT</t>
        </is>
      </c>
      <c r="B340" s="3" t="inlineStr">
        <is>
          <t>001482</t>
        </is>
      </c>
      <c r="C340" s="3" t="inlineStr">
        <is>
          <t>000947</t>
        </is>
      </c>
      <c r="D340" s="4" t="n">
        <v>45303</v>
      </c>
      <c r="E340" s="2" t="inlineStr">
        <is>
          <t>17:14</t>
        </is>
      </c>
      <c r="F340" s="5" t="n">
        <v>548.33</v>
      </c>
      <c r="G340" s="5" t="n"/>
      <c r="H340" s="5" t="n"/>
      <c r="I340" s="5" t="n"/>
      <c r="J340" s="5" t="n">
        <v>109.67</v>
      </c>
      <c r="K340" s="5" t="n"/>
      <c r="L340" s="5" t="n"/>
      <c r="M340" s="5" t="n"/>
      <c r="N340" s="5" t="n"/>
      <c r="O340" s="5" t="n">
        <v>658</v>
      </c>
      <c r="P340" s="5" t="n">
        <v>658</v>
      </c>
      <c r="Q340" s="5" t="n"/>
      <c r="R340" s="5" t="n"/>
      <c r="S340" s="5">
        <f>F340*20%</f>
        <v/>
      </c>
      <c r="T340" s="5">
        <f>J340-S340</f>
        <v/>
      </c>
      <c r="U340" s="5">
        <f>F340+J340</f>
        <v/>
      </c>
      <c r="V340" s="5">
        <f>O340-U340</f>
        <v/>
      </c>
      <c r="W340" s="5">
        <f>O340-(P340+R340)</f>
        <v/>
      </c>
      <c r="X340" s="5">
        <f>O340-(P340+Q340+R340)</f>
        <v/>
      </c>
    </row>
    <row r="341">
      <c r="A341" s="2" t="inlineStr">
        <is>
          <t>EJ010224.TXT</t>
        </is>
      </c>
      <c r="B341" s="3" t="inlineStr">
        <is>
          <t>001484</t>
        </is>
      </c>
      <c r="C341" s="3" t="inlineStr">
        <is>
          <t>000948</t>
        </is>
      </c>
      <c r="D341" s="4" t="n">
        <v>45309</v>
      </c>
      <c r="E341" s="2" t="inlineStr">
        <is>
          <t>14:04</t>
        </is>
      </c>
      <c r="F341" s="5" t="n">
        <v>1732.5</v>
      </c>
      <c r="G341" s="5" t="n"/>
      <c r="H341" s="5" t="n"/>
      <c r="I341" s="5" t="n"/>
      <c r="J341" s="5" t="n">
        <v>346.5</v>
      </c>
      <c r="K341" s="5" t="n"/>
      <c r="L341" s="5" t="n"/>
      <c r="M341" s="5" t="n"/>
      <c r="N341" s="5" t="n"/>
      <c r="O341" s="5" t="n">
        <v>2079</v>
      </c>
      <c r="P341" s="5" t="n">
        <v>2079</v>
      </c>
      <c r="Q341" s="5" t="n"/>
      <c r="R341" s="5" t="n"/>
      <c r="S341" s="5">
        <f>F341*20%</f>
        <v/>
      </c>
      <c r="T341" s="5">
        <f>J341-S341</f>
        <v/>
      </c>
      <c r="U341" s="5">
        <f>F341+J341</f>
        <v/>
      </c>
      <c r="V341" s="5">
        <f>O341-U341</f>
        <v/>
      </c>
      <c r="W341" s="5">
        <f>O341-(P341+R341)</f>
        <v/>
      </c>
      <c r="X341" s="5">
        <f>O341-(P341+Q341+R341)</f>
        <v/>
      </c>
    </row>
    <row r="342">
      <c r="A342" s="2" t="inlineStr">
        <is>
          <t>EJ010224.TXT</t>
        </is>
      </c>
      <c r="B342" s="3" t="inlineStr">
        <is>
          <t>001485</t>
        </is>
      </c>
      <c r="C342" s="3" t="inlineStr">
        <is>
          <t>000949</t>
        </is>
      </c>
      <c r="D342" s="4" t="n">
        <v>45310</v>
      </c>
      <c r="E342" s="2" t="inlineStr">
        <is>
          <t>12:41</t>
        </is>
      </c>
      <c r="F342" s="5" t="n">
        <v>3200</v>
      </c>
      <c r="G342" s="5" t="n"/>
      <c r="H342" s="5" t="n"/>
      <c r="I342" s="5" t="n"/>
      <c r="J342" s="5" t="n">
        <v>640</v>
      </c>
      <c r="K342" s="5" t="n"/>
      <c r="L342" s="5" t="n"/>
      <c r="M342" s="5" t="n"/>
      <c r="N342" s="5" t="n"/>
      <c r="O342" s="5" t="n">
        <v>3840</v>
      </c>
      <c r="P342" s="5" t="n">
        <v>3840</v>
      </c>
      <c r="Q342" s="5" t="n"/>
      <c r="R342" s="5" t="n"/>
      <c r="S342" s="5">
        <f>F342*20%</f>
        <v/>
      </c>
      <c r="T342" s="5">
        <f>J342-S342</f>
        <v/>
      </c>
      <c r="U342" s="5">
        <f>F342+J342</f>
        <v/>
      </c>
      <c r="V342" s="5">
        <f>O342-U342</f>
        <v/>
      </c>
      <c r="W342" s="5">
        <f>O342-(P342+R342)</f>
        <v/>
      </c>
      <c r="X342" s="5">
        <f>O342-(P342+Q342+R342)</f>
        <v/>
      </c>
    </row>
    <row r="343">
      <c r="A343" s="2" t="inlineStr">
        <is>
          <t>EJ010224.TXT</t>
        </is>
      </c>
      <c r="B343" s="3" t="inlineStr">
        <is>
          <t>001486</t>
        </is>
      </c>
      <c r="C343" s="3" t="inlineStr">
        <is>
          <t>000950</t>
        </is>
      </c>
      <c r="D343" s="4" t="n">
        <v>45310</v>
      </c>
      <c r="E343" s="2" t="inlineStr">
        <is>
          <t>12:41</t>
        </is>
      </c>
      <c r="F343" s="5" t="n">
        <v>1066.67</v>
      </c>
      <c r="G343" s="5" t="n"/>
      <c r="H343" s="5" t="n"/>
      <c r="I343" s="5" t="n"/>
      <c r="J343" s="5" t="n">
        <v>213.33</v>
      </c>
      <c r="K343" s="5" t="n"/>
      <c r="L343" s="5" t="n"/>
      <c r="M343" s="5" t="n"/>
      <c r="N343" s="5" t="n"/>
      <c r="O343" s="5" t="n">
        <v>1280</v>
      </c>
      <c r="P343" s="5" t="n">
        <v>1280</v>
      </c>
      <c r="Q343" s="5" t="n"/>
      <c r="R343" s="5" t="n"/>
      <c r="S343" s="5">
        <f>F343*20%</f>
        <v/>
      </c>
      <c r="T343" s="5">
        <f>J343-S343</f>
        <v/>
      </c>
      <c r="U343" s="5">
        <f>F343+J343</f>
        <v/>
      </c>
      <c r="V343" s="5">
        <f>O343-U343</f>
        <v/>
      </c>
      <c r="W343" s="5">
        <f>O343-(P343+R343)</f>
        <v/>
      </c>
      <c r="X343" s="5">
        <f>O343-(P343+Q343+R343)</f>
        <v/>
      </c>
    </row>
    <row r="344">
      <c r="A344" s="2" t="inlineStr">
        <is>
          <t>EJ010224.TXT</t>
        </is>
      </c>
      <c r="B344" s="3" t="inlineStr">
        <is>
          <t>001487</t>
        </is>
      </c>
      <c r="C344" s="3" t="inlineStr">
        <is>
          <t>000951</t>
        </is>
      </c>
      <c r="D344" s="4" t="n">
        <v>45310</v>
      </c>
      <c r="E344" s="2" t="inlineStr">
        <is>
          <t>13:59</t>
        </is>
      </c>
      <c r="F344" s="5" t="n">
        <v>57.5</v>
      </c>
      <c r="G344" s="5" t="n"/>
      <c r="H344" s="5" t="n"/>
      <c r="I344" s="5" t="n"/>
      <c r="J344" s="5" t="n">
        <v>11.5</v>
      </c>
      <c r="K344" s="5" t="n"/>
      <c r="L344" s="5" t="n"/>
      <c r="M344" s="5" t="n"/>
      <c r="N344" s="5" t="n"/>
      <c r="O344" s="5" t="n">
        <v>69</v>
      </c>
      <c r="P344" s="5" t="n">
        <v>69</v>
      </c>
      <c r="Q344" s="5" t="n"/>
      <c r="R344" s="5" t="n"/>
      <c r="S344" s="5">
        <f>F344*20%</f>
        <v/>
      </c>
      <c r="T344" s="5">
        <f>J344-S344</f>
        <v/>
      </c>
      <c r="U344" s="5">
        <f>F344+J344</f>
        <v/>
      </c>
      <c r="V344" s="5">
        <f>O344-U344</f>
        <v/>
      </c>
      <c r="W344" s="5">
        <f>O344-(P344+R344)</f>
        <v/>
      </c>
      <c r="X344" s="5">
        <f>O344-(P344+Q344+R344)</f>
        <v/>
      </c>
    </row>
    <row r="345">
      <c r="A345" s="2" t="inlineStr">
        <is>
          <t>EJ010224.TXT</t>
        </is>
      </c>
      <c r="B345" s="3" t="inlineStr">
        <is>
          <t>001488</t>
        </is>
      </c>
      <c r="C345" s="3" t="inlineStr">
        <is>
          <t>000952</t>
        </is>
      </c>
      <c r="D345" s="4" t="n">
        <v>45311</v>
      </c>
      <c r="E345" s="2" t="inlineStr">
        <is>
          <t>14:59</t>
        </is>
      </c>
      <c r="F345" s="5" t="n">
        <v>548.33</v>
      </c>
      <c r="G345" s="5" t="n"/>
      <c r="H345" s="5" t="n"/>
      <c r="I345" s="5" t="n"/>
      <c r="J345" s="5" t="n">
        <v>109.67</v>
      </c>
      <c r="K345" s="5" t="n"/>
      <c r="L345" s="5" t="n"/>
      <c r="M345" s="5" t="n"/>
      <c r="N345" s="5" t="n"/>
      <c r="O345" s="5" t="n">
        <v>658</v>
      </c>
      <c r="P345" s="5" t="n">
        <v>658</v>
      </c>
      <c r="Q345" s="5" t="n"/>
      <c r="R345" s="5" t="n"/>
      <c r="S345" s="5">
        <f>F345*20%</f>
        <v/>
      </c>
      <c r="T345" s="5">
        <f>J345-S345</f>
        <v/>
      </c>
      <c r="U345" s="5">
        <f>F345+J345</f>
        <v/>
      </c>
      <c r="V345" s="5">
        <f>O345-U345</f>
        <v/>
      </c>
      <c r="W345" s="5">
        <f>O345-(P345+R345)</f>
        <v/>
      </c>
      <c r="X345" s="5">
        <f>O345-(P345+Q345+R345)</f>
        <v/>
      </c>
    </row>
    <row r="346">
      <c r="A346" s="2" t="inlineStr">
        <is>
          <t>EJ010224.TXT</t>
        </is>
      </c>
      <c r="B346" s="3" t="inlineStr">
        <is>
          <t>001489</t>
        </is>
      </c>
      <c r="C346" s="3" t="inlineStr">
        <is>
          <t>000953</t>
        </is>
      </c>
      <c r="D346" s="4" t="n">
        <v>45311</v>
      </c>
      <c r="E346" s="2" t="inlineStr">
        <is>
          <t>15:19</t>
        </is>
      </c>
      <c r="F346" s="5" t="n">
        <v>82.5</v>
      </c>
      <c r="G346" s="5" t="n"/>
      <c r="H346" s="5" t="n"/>
      <c r="I346" s="5" t="n"/>
      <c r="J346" s="5" t="n">
        <v>16.5</v>
      </c>
      <c r="K346" s="5" t="n"/>
      <c r="L346" s="5" t="n"/>
      <c r="M346" s="5" t="n"/>
      <c r="N346" s="5" t="n"/>
      <c r="O346" s="5" t="n">
        <v>99</v>
      </c>
      <c r="P346" s="5" t="n">
        <v>99</v>
      </c>
      <c r="Q346" s="5" t="n"/>
      <c r="R346" s="5" t="n"/>
      <c r="S346" s="5">
        <f>F346*20%</f>
        <v/>
      </c>
      <c r="T346" s="5">
        <f>J346-S346</f>
        <v/>
      </c>
      <c r="U346" s="5">
        <f>F346+J346</f>
        <v/>
      </c>
      <c r="V346" s="5">
        <f>O346-U346</f>
        <v/>
      </c>
      <c r="W346" s="5">
        <f>O346-(P346+R346)</f>
        <v/>
      </c>
      <c r="X346" s="5">
        <f>O346-(P346+Q346+R346)</f>
        <v/>
      </c>
    </row>
    <row r="347">
      <c r="A347" s="2" t="inlineStr">
        <is>
          <t>EJ010224.TXT</t>
        </is>
      </c>
      <c r="B347" s="3" t="inlineStr">
        <is>
          <t>001490</t>
        </is>
      </c>
      <c r="C347" s="3" t="inlineStr">
        <is>
          <t>000954</t>
        </is>
      </c>
      <c r="D347" s="4" t="n">
        <v>45311</v>
      </c>
      <c r="E347" s="2" t="inlineStr">
        <is>
          <t>17:16</t>
        </is>
      </c>
      <c r="F347" s="5" t="n">
        <v>274.17</v>
      </c>
      <c r="G347" s="5" t="n"/>
      <c r="H347" s="5" t="n"/>
      <c r="I347" s="5" t="n"/>
      <c r="J347" s="5" t="n">
        <v>54.83</v>
      </c>
      <c r="K347" s="5" t="n"/>
      <c r="L347" s="5" t="n"/>
      <c r="M347" s="5" t="n"/>
      <c r="N347" s="5" t="n"/>
      <c r="O347" s="5" t="n">
        <v>329</v>
      </c>
      <c r="P347" s="5" t="n">
        <v>329</v>
      </c>
      <c r="Q347" s="5" t="n"/>
      <c r="R347" s="5" t="n"/>
      <c r="S347" s="5">
        <f>F347*20%</f>
        <v/>
      </c>
      <c r="T347" s="5">
        <f>J347-S347</f>
        <v/>
      </c>
      <c r="U347" s="5">
        <f>F347+J347</f>
        <v/>
      </c>
      <c r="V347" s="5">
        <f>O347-U347</f>
        <v/>
      </c>
      <c r="W347" s="5">
        <f>O347-(P347+R347)</f>
        <v/>
      </c>
      <c r="X347" s="5">
        <f>O347-(P347+Q347+R347)</f>
        <v/>
      </c>
    </row>
    <row r="348">
      <c r="A348" s="2" t="inlineStr">
        <is>
          <t>EJ010224.TXT</t>
        </is>
      </c>
      <c r="B348" s="3" t="inlineStr">
        <is>
          <t>001491</t>
        </is>
      </c>
      <c r="C348" s="3" t="inlineStr">
        <is>
          <t>000955</t>
        </is>
      </c>
      <c r="D348" s="4" t="n">
        <v>45314</v>
      </c>
      <c r="E348" s="2" t="inlineStr">
        <is>
          <t>14:49</t>
        </is>
      </c>
      <c r="F348" s="5" t="n">
        <v>124.17</v>
      </c>
      <c r="G348" s="5" t="n"/>
      <c r="H348" s="5" t="n"/>
      <c r="I348" s="5" t="n"/>
      <c r="J348" s="5" t="n">
        <v>24.83</v>
      </c>
      <c r="K348" s="5" t="n"/>
      <c r="L348" s="5" t="n"/>
      <c r="M348" s="5" t="n"/>
      <c r="N348" s="5" t="n"/>
      <c r="O348" s="5" t="n">
        <v>149</v>
      </c>
      <c r="P348" s="5" t="n">
        <v>94</v>
      </c>
      <c r="Q348" s="5" t="n">
        <v>55</v>
      </c>
      <c r="R348" s="5" t="n"/>
      <c r="S348" s="5">
        <f>F348*20%</f>
        <v/>
      </c>
      <c r="T348" s="5">
        <f>J348-S348</f>
        <v/>
      </c>
      <c r="U348" s="5">
        <f>F348+J348</f>
        <v/>
      </c>
      <c r="V348" s="5">
        <f>O348-U348</f>
        <v/>
      </c>
      <c r="W348" s="5">
        <f>O348-(P348+R348)</f>
        <v/>
      </c>
      <c r="X348" s="5">
        <f>O348-(P348+Q348+R348)</f>
        <v/>
      </c>
    </row>
    <row r="349">
      <c r="A349" s="2" t="inlineStr">
        <is>
          <t>EJ010224.TXT</t>
        </is>
      </c>
      <c r="B349" s="3" t="inlineStr">
        <is>
          <t>001492</t>
        </is>
      </c>
      <c r="C349" s="3" t="inlineStr">
        <is>
          <t>000956</t>
        </is>
      </c>
      <c r="D349" s="4" t="n">
        <v>45317</v>
      </c>
      <c r="E349" s="2" t="inlineStr">
        <is>
          <t>16:10</t>
        </is>
      </c>
      <c r="F349" s="5" t="n">
        <v>822.5</v>
      </c>
      <c r="G349" s="5" t="n"/>
      <c r="H349" s="5" t="n"/>
      <c r="I349" s="5" t="n"/>
      <c r="J349" s="5" t="n">
        <v>164.5</v>
      </c>
      <c r="K349" s="5" t="n"/>
      <c r="L349" s="5" t="n"/>
      <c r="M349" s="5" t="n"/>
      <c r="N349" s="5" t="n"/>
      <c r="O349" s="5" t="n">
        <v>987</v>
      </c>
      <c r="P349" s="5" t="n">
        <v>987</v>
      </c>
      <c r="Q349" s="5" t="n"/>
      <c r="R349" s="5" t="n"/>
      <c r="S349" s="5">
        <f>F349*20%</f>
        <v/>
      </c>
      <c r="T349" s="5">
        <f>J349-S349</f>
        <v/>
      </c>
      <c r="U349" s="5">
        <f>F349+J349</f>
        <v/>
      </c>
      <c r="V349" s="5">
        <f>O349-U349</f>
        <v/>
      </c>
      <c r="W349" s="5">
        <f>O349-(P349+R349)</f>
        <v/>
      </c>
      <c r="X349" s="5">
        <f>O349-(P349+Q349+R349)</f>
        <v/>
      </c>
    </row>
    <row r="350">
      <c r="A350" s="2" t="inlineStr">
        <is>
          <t>EJ010224.TXT</t>
        </is>
      </c>
      <c r="B350" s="3" t="inlineStr">
        <is>
          <t>001493</t>
        </is>
      </c>
      <c r="C350" s="3" t="inlineStr">
        <is>
          <t>000957</t>
        </is>
      </c>
      <c r="D350" s="4" t="n">
        <v>45318</v>
      </c>
      <c r="E350" s="2" t="inlineStr">
        <is>
          <t>14:32</t>
        </is>
      </c>
      <c r="F350" s="5" t="n">
        <v>1096.67</v>
      </c>
      <c r="G350" s="5" t="n"/>
      <c r="H350" s="5" t="n"/>
      <c r="I350" s="5" t="n"/>
      <c r="J350" s="5" t="n">
        <v>219.33</v>
      </c>
      <c r="K350" s="5" t="n"/>
      <c r="L350" s="5" t="n"/>
      <c r="M350" s="5" t="n"/>
      <c r="N350" s="5" t="n"/>
      <c r="O350" s="5" t="n">
        <v>1316</v>
      </c>
      <c r="P350" s="5" t="n">
        <v>1316</v>
      </c>
      <c r="Q350" s="5" t="n"/>
      <c r="R350" s="5" t="n"/>
      <c r="S350" s="5">
        <f>F350*20%</f>
        <v/>
      </c>
      <c r="T350" s="5">
        <f>J350-S350</f>
        <v/>
      </c>
      <c r="U350" s="5">
        <f>F350+J350</f>
        <v/>
      </c>
      <c r="V350" s="5">
        <f>O350-U350</f>
        <v/>
      </c>
      <c r="W350" s="5">
        <f>O350-(P350+R350)</f>
        <v/>
      </c>
      <c r="X350" s="5">
        <f>O350-(P350+Q350+R350)</f>
        <v/>
      </c>
    </row>
    <row r="351">
      <c r="A351" s="2" t="inlineStr">
        <is>
          <t>EJ010224.TXT</t>
        </is>
      </c>
      <c r="B351" s="3" t="inlineStr">
        <is>
          <t>001494</t>
        </is>
      </c>
      <c r="C351" s="3" t="inlineStr">
        <is>
          <t>000958</t>
        </is>
      </c>
      <c r="D351" s="4" t="n">
        <v>45318</v>
      </c>
      <c r="E351" s="2" t="inlineStr">
        <is>
          <t>16:20</t>
        </is>
      </c>
      <c r="F351" s="5" t="n">
        <v>274.17</v>
      </c>
      <c r="G351" s="5" t="n"/>
      <c r="H351" s="5" t="n"/>
      <c r="I351" s="5" t="n"/>
      <c r="J351" s="5" t="n">
        <v>54.83</v>
      </c>
      <c r="K351" s="5" t="n"/>
      <c r="L351" s="5" t="n"/>
      <c r="M351" s="5" t="n"/>
      <c r="N351" s="5" t="n"/>
      <c r="O351" s="5" t="n">
        <v>329</v>
      </c>
      <c r="P351" s="5" t="n">
        <v>329</v>
      </c>
      <c r="Q351" s="5" t="n"/>
      <c r="R351" s="5" t="n"/>
      <c r="S351" s="5">
        <f>F351*20%</f>
        <v/>
      </c>
      <c r="T351" s="5">
        <f>J351-S351</f>
        <v/>
      </c>
      <c r="U351" s="5">
        <f>F351+J351</f>
        <v/>
      </c>
      <c r="V351" s="5">
        <f>O351-U351</f>
        <v/>
      </c>
      <c r="W351" s="5">
        <f>O351-(P351+R351)</f>
        <v/>
      </c>
      <c r="X351" s="5">
        <f>O351-(P351+Q351+R351)</f>
        <v/>
      </c>
    </row>
    <row r="352">
      <c r="A352" s="2" t="inlineStr">
        <is>
          <t>EJ010224.TXT</t>
        </is>
      </c>
      <c r="B352" s="3" t="inlineStr">
        <is>
          <t>001495</t>
        </is>
      </c>
      <c r="C352" s="3" t="inlineStr">
        <is>
          <t>000959</t>
        </is>
      </c>
      <c r="D352" s="4" t="n">
        <v>45318</v>
      </c>
      <c r="E352" s="2" t="inlineStr">
        <is>
          <t>16:59</t>
        </is>
      </c>
      <c r="F352" s="5" t="n">
        <v>548.33</v>
      </c>
      <c r="G352" s="5" t="n"/>
      <c r="H352" s="5" t="n"/>
      <c r="I352" s="5" t="n"/>
      <c r="J352" s="5" t="n">
        <v>109.67</v>
      </c>
      <c r="K352" s="5" t="n"/>
      <c r="L352" s="5" t="n"/>
      <c r="M352" s="5" t="n"/>
      <c r="N352" s="5" t="n"/>
      <c r="O352" s="5" t="n">
        <v>658</v>
      </c>
      <c r="P352" s="5" t="n">
        <v>658</v>
      </c>
      <c r="Q352" s="5" t="n"/>
      <c r="R352" s="5" t="n"/>
      <c r="S352" s="5">
        <f>F352*20%</f>
        <v/>
      </c>
      <c r="T352" s="5">
        <f>J352-S352</f>
        <v/>
      </c>
      <c r="U352" s="5">
        <f>F352+J352</f>
        <v/>
      </c>
      <c r="V352" s="5">
        <f>O352-U352</f>
        <v/>
      </c>
      <c r="W352" s="5">
        <f>O352-(P352+R352)</f>
        <v/>
      </c>
      <c r="X352" s="5">
        <f>O352-(P352+Q352+R352)</f>
        <v/>
      </c>
    </row>
    <row r="353">
      <c r="A353" s="2" t="inlineStr">
        <is>
          <t>EJ010224.TXT</t>
        </is>
      </c>
      <c r="B353" s="3" t="inlineStr">
        <is>
          <t>001496</t>
        </is>
      </c>
      <c r="C353" s="3" t="inlineStr">
        <is>
          <t>000960</t>
        </is>
      </c>
      <c r="D353" s="4" t="n">
        <v>45318</v>
      </c>
      <c r="E353" s="2" t="inlineStr">
        <is>
          <t>17:17</t>
        </is>
      </c>
      <c r="F353" s="5" t="n">
        <v>603.33</v>
      </c>
      <c r="G353" s="5" t="n"/>
      <c r="H353" s="5" t="n"/>
      <c r="I353" s="5" t="n"/>
      <c r="J353" s="5" t="n">
        <v>120.67</v>
      </c>
      <c r="K353" s="5" t="n"/>
      <c r="L353" s="5" t="n"/>
      <c r="M353" s="5" t="n"/>
      <c r="N353" s="5" t="n"/>
      <c r="O353" s="5" t="n">
        <v>724</v>
      </c>
      <c r="P353" s="5" t="n">
        <v>724</v>
      </c>
      <c r="Q353" s="5" t="n"/>
      <c r="R353" s="5" t="n"/>
      <c r="S353" s="5">
        <f>F353*20%</f>
        <v/>
      </c>
      <c r="T353" s="5">
        <f>J353-S353</f>
        <v/>
      </c>
      <c r="U353" s="5">
        <f>F353+J353</f>
        <v/>
      </c>
      <c r="V353" s="5">
        <f>O353-U353</f>
        <v/>
      </c>
      <c r="W353" s="5">
        <f>O353-(P353+R353)</f>
        <v/>
      </c>
      <c r="X353" s="5">
        <f>O353-(P353+Q353+R353)</f>
        <v/>
      </c>
    </row>
    <row r="354">
      <c r="A354" s="2" t="inlineStr">
        <is>
          <t>EJ010224.TXT</t>
        </is>
      </c>
      <c r="B354" s="3" t="inlineStr">
        <is>
          <t>001497</t>
        </is>
      </c>
      <c r="C354" s="3" t="inlineStr">
        <is>
          <t>000961</t>
        </is>
      </c>
      <c r="D354" s="4" t="n">
        <v>45318</v>
      </c>
      <c r="E354" s="2" t="inlineStr">
        <is>
          <t>17:23</t>
        </is>
      </c>
      <c r="F354" s="5" t="n">
        <v>91.5</v>
      </c>
      <c r="G354" s="5" t="n"/>
      <c r="H354" s="5" t="n"/>
      <c r="I354" s="5" t="n"/>
      <c r="J354" s="5" t="n">
        <v>18.3</v>
      </c>
      <c r="K354" s="5" t="n"/>
      <c r="L354" s="5" t="n"/>
      <c r="M354" s="5" t="n"/>
      <c r="N354" s="5" t="n"/>
      <c r="O354" s="5" t="n">
        <v>109.8</v>
      </c>
      <c r="P354" s="5" t="n">
        <v>109.8</v>
      </c>
      <c r="Q354" s="5" t="n"/>
      <c r="R354" s="5" t="n"/>
      <c r="S354" s="5">
        <f>F354*20%</f>
        <v/>
      </c>
      <c r="T354" s="5">
        <f>J354-S354</f>
        <v/>
      </c>
      <c r="U354" s="5">
        <f>F354+J354</f>
        <v/>
      </c>
      <c r="V354" s="5">
        <f>O354-U354</f>
        <v/>
      </c>
      <c r="W354" s="5">
        <f>O354-(P354+R354)</f>
        <v/>
      </c>
      <c r="X354" s="5">
        <f>O354-(P354+Q354+R354)</f>
        <v/>
      </c>
    </row>
    <row r="355">
      <c r="A355" s="2" t="inlineStr">
        <is>
          <t>EJ010224.TXT</t>
        </is>
      </c>
      <c r="B355" s="3" t="inlineStr">
        <is>
          <t>001498</t>
        </is>
      </c>
      <c r="C355" s="3" t="inlineStr">
        <is>
          <t>000962</t>
        </is>
      </c>
      <c r="D355" s="4" t="n">
        <v>45320</v>
      </c>
      <c r="E355" s="2" t="inlineStr">
        <is>
          <t>14:52</t>
        </is>
      </c>
      <c r="F355" s="5" t="n">
        <v>73.33</v>
      </c>
      <c r="G355" s="5" t="n"/>
      <c r="H355" s="5" t="n"/>
      <c r="I355" s="5" t="n"/>
      <c r="J355" s="5" t="n">
        <v>14.67</v>
      </c>
      <c r="K355" s="5" t="n"/>
      <c r="L355" s="5" t="n"/>
      <c r="M355" s="5" t="n"/>
      <c r="N355" s="5" t="n"/>
      <c r="O355" s="5" t="n">
        <v>88</v>
      </c>
      <c r="P355" s="5" t="n">
        <v>88</v>
      </c>
      <c r="Q355" s="5" t="n"/>
      <c r="R355" s="5" t="n"/>
      <c r="S355" s="5">
        <f>F355*20%</f>
        <v/>
      </c>
      <c r="T355" s="5">
        <f>J355-S355</f>
        <v/>
      </c>
      <c r="U355" s="5">
        <f>F355+J355</f>
        <v/>
      </c>
      <c r="V355" s="5">
        <f>O355-U355</f>
        <v/>
      </c>
      <c r="W355" s="5">
        <f>O355-(P355+R355)</f>
        <v/>
      </c>
      <c r="X355" s="5">
        <f>O355-(P355+Q355+R355)</f>
        <v/>
      </c>
    </row>
    <row r="356">
      <c r="A356" s="2" t="inlineStr">
        <is>
          <t>EJ010224.TXT</t>
        </is>
      </c>
      <c r="B356" s="3" t="inlineStr">
        <is>
          <t>001499</t>
        </is>
      </c>
      <c r="C356" s="3" t="inlineStr">
        <is>
          <t>000963</t>
        </is>
      </c>
      <c r="D356" s="4" t="n">
        <v>45321</v>
      </c>
      <c r="E356" s="2" t="inlineStr">
        <is>
          <t>15:29</t>
        </is>
      </c>
      <c r="F356" s="5" t="n">
        <v>548.33</v>
      </c>
      <c r="G356" s="5" t="n"/>
      <c r="H356" s="5" t="n"/>
      <c r="I356" s="5" t="n"/>
      <c r="J356" s="5" t="n">
        <v>109.67</v>
      </c>
      <c r="K356" s="5" t="n"/>
      <c r="L356" s="5" t="n"/>
      <c r="M356" s="5" t="n"/>
      <c r="N356" s="5" t="n"/>
      <c r="O356" s="5" t="n">
        <v>658</v>
      </c>
      <c r="P356" s="5" t="n">
        <v>658</v>
      </c>
      <c r="Q356" s="5" t="n"/>
      <c r="R356" s="5" t="n"/>
      <c r="S356" s="5">
        <f>F356*20%</f>
        <v/>
      </c>
      <c r="T356" s="5">
        <f>J356-S356</f>
        <v/>
      </c>
      <c r="U356" s="5">
        <f>F356+J356</f>
        <v/>
      </c>
      <c r="V356" s="5">
        <f>O356-U356</f>
        <v/>
      </c>
      <c r="W356" s="5">
        <f>O356-(P356+R356)</f>
        <v/>
      </c>
      <c r="X356" s="5">
        <f>O356-(P356+Q356+R356)</f>
        <v/>
      </c>
    </row>
    <row r="357">
      <c r="A357" s="2" t="inlineStr">
        <is>
          <t>EJ010224.TXT</t>
        </is>
      </c>
      <c r="B357" s="3" t="inlineStr">
        <is>
          <t>001500</t>
        </is>
      </c>
      <c r="C357" s="3" t="inlineStr">
        <is>
          <t>000964</t>
        </is>
      </c>
      <c r="D357" s="4" t="n">
        <v>45321</v>
      </c>
      <c r="E357" s="2" t="inlineStr">
        <is>
          <t>17:41</t>
        </is>
      </c>
      <c r="F357" s="5" t="n">
        <v>548.33</v>
      </c>
      <c r="G357" s="5" t="n"/>
      <c r="H357" s="5" t="n"/>
      <c r="I357" s="5" t="n"/>
      <c r="J357" s="5" t="n">
        <v>109.67</v>
      </c>
      <c r="K357" s="5" t="n"/>
      <c r="L357" s="5" t="n"/>
      <c r="M357" s="5" t="n"/>
      <c r="N357" s="5" t="n"/>
      <c r="O357" s="5" t="n">
        <v>658</v>
      </c>
      <c r="P357" s="5" t="n">
        <v>658</v>
      </c>
      <c r="Q357" s="5" t="n"/>
      <c r="R357" s="5" t="n"/>
      <c r="S357" s="5">
        <f>F357*20%</f>
        <v/>
      </c>
      <c r="T357" s="5">
        <f>J357-S357</f>
        <v/>
      </c>
      <c r="U357" s="5">
        <f>F357+J357</f>
        <v/>
      </c>
      <c r="V357" s="5">
        <f>O357-U357</f>
        <v/>
      </c>
      <c r="W357" s="5">
        <f>O357-(P357+R357)</f>
        <v/>
      </c>
      <c r="X357" s="5">
        <f>O357-(P357+Q357+R357)</f>
        <v/>
      </c>
    </row>
    <row r="358">
      <c r="A358" s="2" t="inlineStr">
        <is>
          <t>EJ010224.TXT</t>
        </is>
      </c>
      <c r="B358" s="3" t="inlineStr">
        <is>
          <t>001503</t>
        </is>
      </c>
      <c r="C358" s="3" t="inlineStr">
        <is>
          <t>000965</t>
        </is>
      </c>
      <c r="D358" s="4" t="n">
        <v>45322</v>
      </c>
      <c r="E358" s="2" t="inlineStr">
        <is>
          <t>11:00</t>
        </is>
      </c>
      <c r="F358" s="5" t="n">
        <v>175</v>
      </c>
      <c r="G358" s="5" t="n"/>
      <c r="H358" s="5" t="n"/>
      <c r="I358" s="5" t="n"/>
      <c r="J358" s="5" t="n">
        <v>35</v>
      </c>
      <c r="K358" s="5" t="n"/>
      <c r="L358" s="5" t="n"/>
      <c r="M358" s="5" t="n"/>
      <c r="N358" s="5" t="n"/>
      <c r="O358" s="5" t="n">
        <v>210</v>
      </c>
      <c r="P358" s="5" t="n"/>
      <c r="Q358" s="5" t="n">
        <v>210</v>
      </c>
      <c r="R358" s="5" t="n"/>
      <c r="S358" s="5">
        <f>F358*20%</f>
        <v/>
      </c>
      <c r="T358" s="5">
        <f>J358-S358</f>
        <v/>
      </c>
      <c r="U358" s="5">
        <f>F358+J358</f>
        <v/>
      </c>
      <c r="V358" s="5">
        <f>O358-U358</f>
        <v/>
      </c>
      <c r="W358" s="5">
        <f>O358-(P358+R358)</f>
        <v/>
      </c>
      <c r="X358" s="5">
        <f>O358-(P358+Q358+R358)</f>
        <v/>
      </c>
    </row>
    <row r="359">
      <c r="A359" s="2" t="inlineStr">
        <is>
          <t>EJ010324.TXT</t>
        </is>
      </c>
      <c r="B359" s="3" t="inlineStr">
        <is>
          <t>001509</t>
        </is>
      </c>
      <c r="C359" s="3" t="inlineStr">
        <is>
          <t>000966</t>
        </is>
      </c>
      <c r="D359" s="4" t="n">
        <v>45323</v>
      </c>
      <c r="E359" s="2" t="inlineStr">
        <is>
          <t>11:10</t>
        </is>
      </c>
      <c r="F359" s="5" t="n">
        <v>1645</v>
      </c>
      <c r="G359" s="5" t="n"/>
      <c r="H359" s="5" t="n"/>
      <c r="I359" s="5" t="n"/>
      <c r="J359" s="5" t="n">
        <v>329</v>
      </c>
      <c r="K359" s="5" t="n"/>
      <c r="L359" s="5" t="n"/>
      <c r="M359" s="5" t="n"/>
      <c r="N359" s="5" t="n"/>
      <c r="O359" s="5" t="n">
        <v>1974</v>
      </c>
      <c r="P359" s="5" t="n">
        <v>1974</v>
      </c>
      <c r="Q359" s="5" t="n"/>
      <c r="R359" s="5" t="n"/>
      <c r="S359" s="5">
        <f>F359*20%</f>
        <v/>
      </c>
      <c r="T359" s="5">
        <f>J359-S359</f>
        <v/>
      </c>
      <c r="U359" s="5">
        <f>F359+J359</f>
        <v/>
      </c>
      <c r="V359" s="5">
        <f>O359-U359</f>
        <v/>
      </c>
      <c r="W359" s="5">
        <f>O359-(P359+R359)</f>
        <v/>
      </c>
      <c r="X359" s="5">
        <f>O359-(P359+Q359+R359)</f>
        <v/>
      </c>
    </row>
    <row r="360">
      <c r="A360" s="2" t="inlineStr">
        <is>
          <t>EJ010324.TXT</t>
        </is>
      </c>
      <c r="B360" s="3" t="inlineStr">
        <is>
          <t>001510</t>
        </is>
      </c>
      <c r="C360" s="3" t="inlineStr">
        <is>
          <t>000967</t>
        </is>
      </c>
      <c r="D360" s="4" t="n">
        <v>45323</v>
      </c>
      <c r="E360" s="2" t="inlineStr">
        <is>
          <t>14:37</t>
        </is>
      </c>
      <c r="F360" s="5" t="n">
        <v>199.17</v>
      </c>
      <c r="G360" s="5" t="n"/>
      <c r="H360" s="5" t="n"/>
      <c r="I360" s="5" t="n"/>
      <c r="J360" s="5" t="n">
        <v>39.83</v>
      </c>
      <c r="K360" s="5" t="n"/>
      <c r="L360" s="5" t="n"/>
      <c r="M360" s="5" t="n"/>
      <c r="N360" s="5" t="n"/>
      <c r="O360" s="5" t="n">
        <v>239</v>
      </c>
      <c r="P360" s="5" t="n"/>
      <c r="Q360" s="5" t="n">
        <v>239</v>
      </c>
      <c r="R360" s="5" t="n"/>
      <c r="S360" s="5">
        <f>F360*20%</f>
        <v/>
      </c>
      <c r="T360" s="5">
        <f>J360-S360</f>
        <v/>
      </c>
      <c r="U360" s="5">
        <f>F360+J360</f>
        <v/>
      </c>
      <c r="V360" s="5">
        <f>O360-U360</f>
        <v/>
      </c>
      <c r="W360" s="5">
        <f>O360-(P360+R360)</f>
        <v/>
      </c>
      <c r="X360" s="5">
        <f>O360-(P360+Q360+R360)</f>
        <v/>
      </c>
    </row>
    <row r="361">
      <c r="A361" s="2" t="inlineStr">
        <is>
          <t>EJ010324.TXT</t>
        </is>
      </c>
      <c r="B361" s="3" t="inlineStr">
        <is>
          <t>001511</t>
        </is>
      </c>
      <c r="C361" s="3" t="inlineStr">
        <is>
          <t>000968</t>
        </is>
      </c>
      <c r="D361" s="4" t="n">
        <v>45323</v>
      </c>
      <c r="E361" s="2" t="inlineStr">
        <is>
          <t>16:17</t>
        </is>
      </c>
      <c r="F361" s="5" t="n">
        <v>531.67</v>
      </c>
      <c r="G361" s="5" t="n"/>
      <c r="H361" s="5" t="n"/>
      <c r="I361" s="5" t="n"/>
      <c r="J361" s="5" t="n">
        <v>106.33</v>
      </c>
      <c r="K361" s="5" t="n"/>
      <c r="L361" s="5" t="n"/>
      <c r="M361" s="5" t="n"/>
      <c r="N361" s="5" t="n"/>
      <c r="O361" s="5" t="n">
        <v>638</v>
      </c>
      <c r="P361" s="5" t="n">
        <v>638</v>
      </c>
      <c r="Q361" s="5" t="n"/>
      <c r="R361" s="5" t="n"/>
      <c r="S361" s="5">
        <f>F361*20%</f>
        <v/>
      </c>
      <c r="T361" s="5">
        <f>J361-S361</f>
        <v/>
      </c>
      <c r="U361" s="5">
        <f>F361+J361</f>
        <v/>
      </c>
      <c r="V361" s="5">
        <f>O361-U361</f>
        <v/>
      </c>
      <c r="W361" s="5">
        <f>O361-(P361+R361)</f>
        <v/>
      </c>
      <c r="X361" s="5">
        <f>O361-(P361+Q361+R361)</f>
        <v/>
      </c>
    </row>
    <row r="362">
      <c r="A362" s="2" t="inlineStr">
        <is>
          <t>EJ010324.TXT</t>
        </is>
      </c>
      <c r="B362" s="3" t="inlineStr">
        <is>
          <t>001515</t>
        </is>
      </c>
      <c r="C362" s="3" t="inlineStr">
        <is>
          <t>000969</t>
        </is>
      </c>
      <c r="D362" s="4" t="n">
        <v>45324</v>
      </c>
      <c r="E362" s="2" t="inlineStr">
        <is>
          <t>16:46</t>
        </is>
      </c>
      <c r="F362" s="5" t="n">
        <v>190.83</v>
      </c>
      <c r="G362" s="5" t="n"/>
      <c r="H362" s="5" t="n"/>
      <c r="I362" s="5" t="n"/>
      <c r="J362" s="5" t="n">
        <v>38.17</v>
      </c>
      <c r="K362" s="5" t="n"/>
      <c r="L362" s="5" t="n"/>
      <c r="M362" s="5" t="n"/>
      <c r="N362" s="5" t="n"/>
      <c r="O362" s="5" t="n">
        <v>229</v>
      </c>
      <c r="P362" s="5" t="n">
        <v>229</v>
      </c>
      <c r="Q362" s="5" t="n"/>
      <c r="R362" s="5" t="n"/>
      <c r="S362" s="5">
        <f>F362*20%</f>
        <v/>
      </c>
      <c r="T362" s="5">
        <f>J362-S362</f>
        <v/>
      </c>
      <c r="U362" s="5">
        <f>F362+J362</f>
        <v/>
      </c>
      <c r="V362" s="5">
        <f>O362-U362</f>
        <v/>
      </c>
      <c r="W362" s="5">
        <f>O362-(P362+R362)</f>
        <v/>
      </c>
      <c r="X362" s="5">
        <f>O362-(P362+Q362+R362)</f>
        <v/>
      </c>
    </row>
    <row r="363">
      <c r="A363" s="2" t="inlineStr">
        <is>
          <t>EJ010324.TXT</t>
        </is>
      </c>
      <c r="B363" s="3" t="inlineStr">
        <is>
          <t>001516</t>
        </is>
      </c>
      <c r="C363" s="3" t="inlineStr">
        <is>
          <t>000970</t>
        </is>
      </c>
      <c r="D363" s="4" t="n">
        <v>45325</v>
      </c>
      <c r="E363" s="2" t="inlineStr">
        <is>
          <t>15:24</t>
        </is>
      </c>
      <c r="F363" s="5" t="n">
        <v>274.17</v>
      </c>
      <c r="G363" s="5" t="n"/>
      <c r="H363" s="5" t="n"/>
      <c r="I363" s="5" t="n"/>
      <c r="J363" s="5" t="n">
        <v>54.83</v>
      </c>
      <c r="K363" s="5" t="n"/>
      <c r="L363" s="5" t="n"/>
      <c r="M363" s="5" t="n"/>
      <c r="N363" s="5" t="n"/>
      <c r="O363" s="5" t="n">
        <v>329</v>
      </c>
      <c r="P363" s="5" t="n">
        <v>329</v>
      </c>
      <c r="Q363" s="5" t="n"/>
      <c r="R363" s="5" t="n"/>
      <c r="S363" s="5">
        <f>F363*20%</f>
        <v/>
      </c>
      <c r="T363" s="5">
        <f>J363-S363</f>
        <v/>
      </c>
      <c r="U363" s="5">
        <f>F363+J363</f>
        <v/>
      </c>
      <c r="V363" s="5">
        <f>O363-U363</f>
        <v/>
      </c>
      <c r="W363" s="5">
        <f>O363-(P363+R363)</f>
        <v/>
      </c>
      <c r="X363" s="5">
        <f>O363-(P363+Q363+R363)</f>
        <v/>
      </c>
    </row>
    <row r="364">
      <c r="A364" s="2" t="inlineStr">
        <is>
          <t>EJ010324.TXT</t>
        </is>
      </c>
      <c r="B364" s="3" t="inlineStr">
        <is>
          <t>001517</t>
        </is>
      </c>
      <c r="C364" s="3" t="inlineStr">
        <is>
          <t>000971</t>
        </is>
      </c>
      <c r="D364" s="4" t="n">
        <v>45325</v>
      </c>
      <c r="E364" s="2" t="inlineStr">
        <is>
          <t>17:34</t>
        </is>
      </c>
      <c r="F364" s="5" t="n">
        <v>329.17</v>
      </c>
      <c r="G364" s="5" t="n"/>
      <c r="H364" s="5" t="n"/>
      <c r="I364" s="5" t="n"/>
      <c r="J364" s="5" t="n">
        <v>65.83</v>
      </c>
      <c r="K364" s="5" t="n"/>
      <c r="L364" s="5" t="n"/>
      <c r="M364" s="5" t="n"/>
      <c r="N364" s="5" t="n"/>
      <c r="O364" s="5" t="n">
        <v>395</v>
      </c>
      <c r="P364" s="5" t="n"/>
      <c r="Q364" s="5" t="n">
        <v>395</v>
      </c>
      <c r="R364" s="5" t="n"/>
      <c r="S364" s="5">
        <f>F364*20%</f>
        <v/>
      </c>
      <c r="T364" s="5">
        <f>J364-S364</f>
        <v/>
      </c>
      <c r="U364" s="5">
        <f>F364+J364</f>
        <v/>
      </c>
      <c r="V364" s="5">
        <f>O364-U364</f>
        <v/>
      </c>
      <c r="W364" s="5">
        <f>O364-(P364+R364)</f>
        <v/>
      </c>
      <c r="X364" s="5">
        <f>O364-(P364+Q364+R364)</f>
        <v/>
      </c>
    </row>
    <row r="365">
      <c r="A365" s="2" t="inlineStr">
        <is>
          <t>EJ010324.TXT</t>
        </is>
      </c>
      <c r="B365" s="3" t="inlineStr">
        <is>
          <t>001518</t>
        </is>
      </c>
      <c r="C365" s="3" t="inlineStr">
        <is>
          <t>000972</t>
        </is>
      </c>
      <c r="D365" s="4" t="n">
        <v>45327</v>
      </c>
      <c r="E365" s="2" t="inlineStr">
        <is>
          <t>12:32</t>
        </is>
      </c>
      <c r="F365" s="5" t="n">
        <v>199.17</v>
      </c>
      <c r="G365" s="5" t="n"/>
      <c r="H365" s="5" t="n"/>
      <c r="I365" s="5" t="n"/>
      <c r="J365" s="5" t="n">
        <v>39.83</v>
      </c>
      <c r="K365" s="5" t="n"/>
      <c r="L365" s="5" t="n"/>
      <c r="M365" s="5" t="n"/>
      <c r="N365" s="5" t="n"/>
      <c r="O365" s="5" t="n">
        <v>239</v>
      </c>
      <c r="P365" s="5" t="n">
        <v>239</v>
      </c>
      <c r="Q365" s="5" t="n"/>
      <c r="R365" s="5" t="n"/>
      <c r="S365" s="5">
        <f>F365*20%</f>
        <v/>
      </c>
      <c r="T365" s="5">
        <f>J365-S365</f>
        <v/>
      </c>
      <c r="U365" s="5">
        <f>F365+J365</f>
        <v/>
      </c>
      <c r="V365" s="5">
        <f>O365-U365</f>
        <v/>
      </c>
      <c r="W365" s="5">
        <f>O365-(P365+R365)</f>
        <v/>
      </c>
      <c r="X365" s="5">
        <f>O365-(P365+Q365+R365)</f>
        <v/>
      </c>
    </row>
    <row r="366">
      <c r="A366" s="2" t="inlineStr">
        <is>
          <t>EJ010324.TXT</t>
        </is>
      </c>
      <c r="B366" s="3" t="inlineStr">
        <is>
          <t>001520</t>
        </is>
      </c>
      <c r="C366" s="3" t="inlineStr">
        <is>
          <t>000973</t>
        </is>
      </c>
      <c r="D366" s="4" t="n">
        <v>45327</v>
      </c>
      <c r="E366" s="2" t="inlineStr">
        <is>
          <t>12:40</t>
        </is>
      </c>
      <c r="F366" s="5" t="n">
        <v>199.17</v>
      </c>
      <c r="G366" s="5" t="n"/>
      <c r="H366" s="5" t="n"/>
      <c r="I366" s="5" t="n"/>
      <c r="J366" s="5" t="n">
        <v>39.83</v>
      </c>
      <c r="K366" s="5" t="n"/>
      <c r="L366" s="5" t="n"/>
      <c r="M366" s="5" t="n"/>
      <c r="N366" s="5" t="n"/>
      <c r="O366" s="5" t="n">
        <v>239</v>
      </c>
      <c r="P366" s="5" t="n">
        <v>239</v>
      </c>
      <c r="Q366" s="5" t="n"/>
      <c r="R366" s="5" t="n"/>
      <c r="S366" s="5">
        <f>F366*20%</f>
        <v/>
      </c>
      <c r="T366" s="5">
        <f>J366-S366</f>
        <v/>
      </c>
      <c r="U366" s="5">
        <f>F366+J366</f>
        <v/>
      </c>
      <c r="V366" s="5">
        <f>O366-U366</f>
        <v/>
      </c>
      <c r="W366" s="5">
        <f>O366-(P366+R366)</f>
        <v/>
      </c>
      <c r="X366" s="5">
        <f>O366-(P366+Q366+R366)</f>
        <v/>
      </c>
    </row>
    <row r="367">
      <c r="A367" s="2" t="inlineStr">
        <is>
          <t>EJ010324.TXT</t>
        </is>
      </c>
      <c r="B367" s="3" t="inlineStr">
        <is>
          <t>001523</t>
        </is>
      </c>
      <c r="C367" s="3" t="inlineStr">
        <is>
          <t>000974</t>
        </is>
      </c>
      <c r="D367" s="4" t="n">
        <v>45328</v>
      </c>
      <c r="E367" s="2" t="inlineStr">
        <is>
          <t>12:54</t>
        </is>
      </c>
      <c r="F367" s="5" t="n">
        <v>274.17</v>
      </c>
      <c r="G367" s="5" t="n"/>
      <c r="H367" s="5" t="n"/>
      <c r="I367" s="5" t="n"/>
      <c r="J367" s="5" t="n">
        <v>54.83</v>
      </c>
      <c r="K367" s="5" t="n"/>
      <c r="L367" s="5" t="n"/>
      <c r="M367" s="5" t="n"/>
      <c r="N367" s="5" t="n"/>
      <c r="O367" s="5" t="n">
        <v>329</v>
      </c>
      <c r="P367" s="5" t="n">
        <v>329</v>
      </c>
      <c r="Q367" s="5" t="n"/>
      <c r="R367" s="5" t="n"/>
      <c r="S367" s="5">
        <f>F367*20%</f>
        <v/>
      </c>
      <c r="T367" s="5">
        <f>J367-S367</f>
        <v/>
      </c>
      <c r="U367" s="5">
        <f>F367+J367</f>
        <v/>
      </c>
      <c r="V367" s="5">
        <f>O367-U367</f>
        <v/>
      </c>
      <c r="W367" s="5">
        <f>O367-(P367+R367)</f>
        <v/>
      </c>
      <c r="X367" s="5">
        <f>O367-(P367+Q367+R367)</f>
        <v/>
      </c>
    </row>
    <row r="368">
      <c r="A368" s="2" t="inlineStr">
        <is>
          <t>EJ010324.TXT</t>
        </is>
      </c>
      <c r="B368" s="3" t="inlineStr">
        <is>
          <t>001524</t>
        </is>
      </c>
      <c r="C368" s="3" t="inlineStr">
        <is>
          <t>000975</t>
        </is>
      </c>
      <c r="D368" s="4" t="n">
        <v>45328</v>
      </c>
      <c r="E368" s="2" t="inlineStr">
        <is>
          <t>13:36</t>
        </is>
      </c>
      <c r="F368" s="5" t="n">
        <v>190.83</v>
      </c>
      <c r="G368" s="5" t="n"/>
      <c r="H368" s="5" t="n"/>
      <c r="I368" s="5" t="n"/>
      <c r="J368" s="5" t="n">
        <v>38.17</v>
      </c>
      <c r="K368" s="5" t="n"/>
      <c r="L368" s="5" t="n"/>
      <c r="M368" s="5" t="n"/>
      <c r="N368" s="5" t="n"/>
      <c r="O368" s="5" t="n">
        <v>229</v>
      </c>
      <c r="P368" s="5" t="n">
        <v>229</v>
      </c>
      <c r="Q368" s="5" t="n"/>
      <c r="R368" s="5" t="n"/>
      <c r="S368" s="5">
        <f>F368*20%</f>
        <v/>
      </c>
      <c r="T368" s="5">
        <f>J368-S368</f>
        <v/>
      </c>
      <c r="U368" s="5">
        <f>F368+J368</f>
        <v/>
      </c>
      <c r="V368" s="5">
        <f>O368-U368</f>
        <v/>
      </c>
      <c r="W368" s="5">
        <f>O368-(P368+R368)</f>
        <v/>
      </c>
      <c r="X368" s="5">
        <f>O368-(P368+Q368+R368)</f>
        <v/>
      </c>
    </row>
    <row r="369">
      <c r="A369" s="2" t="inlineStr">
        <is>
          <t>EJ010324.TXT</t>
        </is>
      </c>
      <c r="B369" s="3" t="inlineStr">
        <is>
          <t>001525</t>
        </is>
      </c>
      <c r="C369" s="3" t="inlineStr">
        <is>
          <t>000976</t>
        </is>
      </c>
      <c r="D369" s="4" t="n">
        <v>45328</v>
      </c>
      <c r="E369" s="2" t="inlineStr">
        <is>
          <t>16:24</t>
        </is>
      </c>
      <c r="F369" s="5" t="n">
        <v>1645</v>
      </c>
      <c r="G369" s="5" t="n"/>
      <c r="H369" s="5" t="n"/>
      <c r="I369" s="5" t="n"/>
      <c r="J369" s="5" t="n">
        <v>329</v>
      </c>
      <c r="K369" s="5" t="n"/>
      <c r="L369" s="5" t="n"/>
      <c r="M369" s="5" t="n"/>
      <c r="N369" s="5" t="n"/>
      <c r="O369" s="5" t="n">
        <v>1974</v>
      </c>
      <c r="P369" s="5" t="n">
        <v>1974</v>
      </c>
      <c r="Q369" s="5" t="n"/>
      <c r="R369" s="5" t="n"/>
      <c r="S369" s="5">
        <f>F369*20%</f>
        <v/>
      </c>
      <c r="T369" s="5">
        <f>J369-S369</f>
        <v/>
      </c>
      <c r="U369" s="5">
        <f>F369+J369</f>
        <v/>
      </c>
      <c r="V369" s="5">
        <f>O369-U369</f>
        <v/>
      </c>
      <c r="W369" s="5">
        <f>O369-(P369+R369)</f>
        <v/>
      </c>
      <c r="X369" s="5">
        <f>O369-(P369+Q369+R369)</f>
        <v/>
      </c>
    </row>
    <row r="370">
      <c r="A370" s="2" t="inlineStr">
        <is>
          <t>EJ010324.TXT</t>
        </is>
      </c>
      <c r="B370" s="3" t="inlineStr">
        <is>
          <t>001526</t>
        </is>
      </c>
      <c r="C370" s="3" t="inlineStr">
        <is>
          <t>000977</t>
        </is>
      </c>
      <c r="D370" s="4" t="n">
        <v>45328</v>
      </c>
      <c r="E370" s="2" t="inlineStr">
        <is>
          <t>16:55</t>
        </is>
      </c>
      <c r="F370" s="5" t="n">
        <v>274.17</v>
      </c>
      <c r="G370" s="5" t="n"/>
      <c r="H370" s="5" t="n"/>
      <c r="I370" s="5" t="n"/>
      <c r="J370" s="5" t="n">
        <v>54.83</v>
      </c>
      <c r="K370" s="5" t="n"/>
      <c r="L370" s="5" t="n"/>
      <c r="M370" s="5" t="n"/>
      <c r="N370" s="5" t="n"/>
      <c r="O370" s="5" t="n">
        <v>329</v>
      </c>
      <c r="P370" s="5" t="n">
        <v>329</v>
      </c>
      <c r="Q370" s="5" t="n"/>
      <c r="R370" s="5" t="n"/>
      <c r="S370" s="5">
        <f>F370*20%</f>
        <v/>
      </c>
      <c r="T370" s="5">
        <f>J370-S370</f>
        <v/>
      </c>
      <c r="U370" s="5">
        <f>F370+J370</f>
        <v/>
      </c>
      <c r="V370" s="5">
        <f>O370-U370</f>
        <v/>
      </c>
      <c r="W370" s="5">
        <f>O370-(P370+R370)</f>
        <v/>
      </c>
      <c r="X370" s="5">
        <f>O370-(P370+Q370+R370)</f>
        <v/>
      </c>
    </row>
    <row r="371">
      <c r="A371" s="2" t="inlineStr">
        <is>
          <t>EJ010324.TXT</t>
        </is>
      </c>
      <c r="B371" s="3" t="inlineStr">
        <is>
          <t>001527</t>
        </is>
      </c>
      <c r="C371" s="3" t="inlineStr">
        <is>
          <t>000978</t>
        </is>
      </c>
      <c r="D371" s="4" t="n">
        <v>45329</v>
      </c>
      <c r="E371" s="2" t="inlineStr">
        <is>
          <t>10:37</t>
        </is>
      </c>
      <c r="F371" s="5" t="n">
        <v>190.83</v>
      </c>
      <c r="G371" s="5" t="n"/>
      <c r="H371" s="5" t="n"/>
      <c r="I371" s="5" t="n"/>
      <c r="J371" s="5" t="n">
        <v>38.17</v>
      </c>
      <c r="K371" s="5" t="n"/>
      <c r="L371" s="5" t="n"/>
      <c r="M371" s="5" t="n"/>
      <c r="N371" s="5" t="n"/>
      <c r="O371" s="5" t="n">
        <v>229</v>
      </c>
      <c r="P371" s="5" t="n"/>
      <c r="Q371" s="5" t="n">
        <v>229</v>
      </c>
      <c r="R371" s="5" t="n"/>
      <c r="S371" s="5">
        <f>F371*20%</f>
        <v/>
      </c>
      <c r="T371" s="5">
        <f>J371-S371</f>
        <v/>
      </c>
      <c r="U371" s="5">
        <f>F371+J371</f>
        <v/>
      </c>
      <c r="V371" s="5">
        <f>O371-U371</f>
        <v/>
      </c>
      <c r="W371" s="5">
        <f>O371-(P371+R371)</f>
        <v/>
      </c>
      <c r="X371" s="5">
        <f>O371-(P371+Q371+R371)</f>
        <v/>
      </c>
    </row>
    <row r="372">
      <c r="A372" s="2" t="inlineStr">
        <is>
          <t>EJ010324.TXT</t>
        </is>
      </c>
      <c r="B372" s="3" t="inlineStr">
        <is>
          <t>001528</t>
        </is>
      </c>
      <c r="C372" s="3" t="inlineStr">
        <is>
          <t>000979</t>
        </is>
      </c>
      <c r="D372" s="4" t="n">
        <v>45329</v>
      </c>
      <c r="E372" s="2" t="inlineStr">
        <is>
          <t>12:29</t>
        </is>
      </c>
      <c r="F372" s="5" t="n">
        <v>548.33</v>
      </c>
      <c r="G372" s="5" t="n"/>
      <c r="H372" s="5" t="n"/>
      <c r="I372" s="5" t="n"/>
      <c r="J372" s="5" t="n">
        <v>109.67</v>
      </c>
      <c r="K372" s="5" t="n"/>
      <c r="L372" s="5" t="n"/>
      <c r="M372" s="5" t="n"/>
      <c r="N372" s="5" t="n"/>
      <c r="O372" s="5" t="n">
        <v>658</v>
      </c>
      <c r="P372" s="5" t="n">
        <v>658</v>
      </c>
      <c r="Q372" s="5" t="n"/>
      <c r="R372" s="5" t="n"/>
      <c r="S372" s="5">
        <f>F372*20%</f>
        <v/>
      </c>
      <c r="T372" s="5">
        <f>J372-S372</f>
        <v/>
      </c>
      <c r="U372" s="5">
        <f>F372+J372</f>
        <v/>
      </c>
      <c r="V372" s="5">
        <f>O372-U372</f>
        <v/>
      </c>
      <c r="W372" s="5">
        <f>O372-(P372+R372)</f>
        <v/>
      </c>
      <c r="X372" s="5">
        <f>O372-(P372+Q372+R372)</f>
        <v/>
      </c>
    </row>
    <row r="373">
      <c r="A373" s="2" t="inlineStr">
        <is>
          <t>EJ010324.TXT</t>
        </is>
      </c>
      <c r="B373" s="3" t="inlineStr">
        <is>
          <t>001529</t>
        </is>
      </c>
      <c r="C373" s="3" t="inlineStr">
        <is>
          <t>000980</t>
        </is>
      </c>
      <c r="D373" s="4" t="n">
        <v>45329</v>
      </c>
      <c r="E373" s="2" t="inlineStr">
        <is>
          <t>15:20</t>
        </is>
      </c>
      <c r="F373" s="5" t="n">
        <v>548.33</v>
      </c>
      <c r="G373" s="5" t="n"/>
      <c r="H373" s="5" t="n"/>
      <c r="I373" s="5" t="n"/>
      <c r="J373" s="5" t="n">
        <v>109.67</v>
      </c>
      <c r="K373" s="5" t="n"/>
      <c r="L373" s="5" t="n"/>
      <c r="M373" s="5" t="n"/>
      <c r="N373" s="5" t="n"/>
      <c r="O373" s="5" t="n">
        <v>658</v>
      </c>
      <c r="P373" s="5" t="n"/>
      <c r="Q373" s="5" t="n">
        <v>658</v>
      </c>
      <c r="R373" s="5" t="n"/>
      <c r="S373" s="5">
        <f>F373*20%</f>
        <v/>
      </c>
      <c r="T373" s="5">
        <f>J373-S373</f>
        <v/>
      </c>
      <c r="U373" s="5">
        <f>F373+J373</f>
        <v/>
      </c>
      <c r="V373" s="5">
        <f>O373-U373</f>
        <v/>
      </c>
      <c r="W373" s="5">
        <f>O373-(P373+R373)</f>
        <v/>
      </c>
      <c r="X373" s="5">
        <f>O373-(P373+Q373+R373)</f>
        <v/>
      </c>
    </row>
    <row r="374">
      <c r="A374" s="2" t="inlineStr">
        <is>
          <t>EJ010324.TXT</t>
        </is>
      </c>
      <c r="B374" s="3" t="inlineStr">
        <is>
          <t>001530</t>
        </is>
      </c>
      <c r="C374" s="3" t="inlineStr">
        <is>
          <t>000981</t>
        </is>
      </c>
      <c r="D374" s="4" t="n">
        <v>45329</v>
      </c>
      <c r="E374" s="2" t="inlineStr">
        <is>
          <t>15:56</t>
        </is>
      </c>
      <c r="F374" s="5" t="n">
        <v>3505.83</v>
      </c>
      <c r="G374" s="5" t="n"/>
      <c r="H374" s="5" t="n"/>
      <c r="I374" s="5" t="n"/>
      <c r="J374" s="5" t="n">
        <v>701.17</v>
      </c>
      <c r="K374" s="5" t="n"/>
      <c r="L374" s="5" t="n"/>
      <c r="M374" s="5" t="n"/>
      <c r="N374" s="5" t="n"/>
      <c r="O374" s="5" t="n">
        <v>4207</v>
      </c>
      <c r="P374" s="5" t="n">
        <v>4207</v>
      </c>
      <c r="Q374" s="5" t="n"/>
      <c r="R374" s="5" t="n"/>
      <c r="S374" s="5">
        <f>F374*20%</f>
        <v/>
      </c>
      <c r="T374" s="5">
        <f>J374-S374</f>
        <v/>
      </c>
      <c r="U374" s="5">
        <f>F374+J374</f>
        <v/>
      </c>
      <c r="V374" s="5">
        <f>O374-U374</f>
        <v/>
      </c>
      <c r="W374" s="5">
        <f>O374-(P374+R374)</f>
        <v/>
      </c>
      <c r="X374" s="5">
        <f>O374-(P374+Q374+R374)</f>
        <v/>
      </c>
    </row>
    <row r="375">
      <c r="A375" s="2" t="inlineStr">
        <is>
          <t>EJ010324.TXT</t>
        </is>
      </c>
      <c r="B375" s="3" t="inlineStr">
        <is>
          <t>001532</t>
        </is>
      </c>
      <c r="C375" s="3" t="inlineStr">
        <is>
          <t>000982</t>
        </is>
      </c>
      <c r="D375" s="4" t="n">
        <v>45330</v>
      </c>
      <c r="E375" s="2" t="inlineStr">
        <is>
          <t>15:29</t>
        </is>
      </c>
      <c r="F375" s="5" t="n">
        <v>87.25</v>
      </c>
      <c r="G375" s="5" t="n"/>
      <c r="H375" s="5" t="n"/>
      <c r="I375" s="5" t="n"/>
      <c r="J375" s="5" t="n">
        <v>17.45</v>
      </c>
      <c r="K375" s="5" t="n"/>
      <c r="L375" s="5" t="n"/>
      <c r="M375" s="5" t="n"/>
      <c r="N375" s="5" t="n"/>
      <c r="O375" s="5" t="n">
        <v>104.7</v>
      </c>
      <c r="P375" s="5" t="n">
        <v>104.7</v>
      </c>
      <c r="Q375" s="5" t="n"/>
      <c r="R375" s="5" t="n"/>
      <c r="S375" s="5">
        <f>F375*20%</f>
        <v/>
      </c>
      <c r="T375" s="5">
        <f>J375-S375</f>
        <v/>
      </c>
      <c r="U375" s="5">
        <f>F375+J375</f>
        <v/>
      </c>
      <c r="V375" s="5">
        <f>O375-U375</f>
        <v/>
      </c>
      <c r="W375" s="5">
        <f>O375-(P375+R375)</f>
        <v/>
      </c>
      <c r="X375" s="5">
        <f>O375-(P375+Q375+R375)</f>
        <v/>
      </c>
    </row>
    <row r="376">
      <c r="A376" s="2" t="inlineStr">
        <is>
          <t>EJ010324.TXT</t>
        </is>
      </c>
      <c r="B376" s="3" t="inlineStr">
        <is>
          <t>001533</t>
        </is>
      </c>
      <c r="C376" s="3" t="inlineStr">
        <is>
          <t>000983</t>
        </is>
      </c>
      <c r="D376" s="4" t="n">
        <v>45330</v>
      </c>
      <c r="E376" s="2" t="inlineStr">
        <is>
          <t>15:31</t>
        </is>
      </c>
      <c r="F376" s="5" t="n">
        <v>124.17</v>
      </c>
      <c r="G376" s="5" t="n"/>
      <c r="H376" s="5" t="n"/>
      <c r="I376" s="5" t="n"/>
      <c r="J376" s="5" t="n">
        <v>24.83</v>
      </c>
      <c r="K376" s="5" t="n"/>
      <c r="L376" s="5" t="n"/>
      <c r="M376" s="5" t="n"/>
      <c r="N376" s="5" t="n"/>
      <c r="O376" s="5" t="n">
        <v>149</v>
      </c>
      <c r="P376" s="5" t="n">
        <v>149</v>
      </c>
      <c r="Q376" s="5" t="n"/>
      <c r="R376" s="5" t="n"/>
      <c r="S376" s="5">
        <f>F376*20%</f>
        <v/>
      </c>
      <c r="T376" s="5">
        <f>J376-S376</f>
        <v/>
      </c>
      <c r="U376" s="5">
        <f>F376+J376</f>
        <v/>
      </c>
      <c r="V376" s="5">
        <f>O376-U376</f>
        <v/>
      </c>
      <c r="W376" s="5">
        <f>O376-(P376+R376)</f>
        <v/>
      </c>
      <c r="X376" s="5">
        <f>O376-(P376+Q376+R376)</f>
        <v/>
      </c>
    </row>
    <row r="377">
      <c r="A377" s="2" t="inlineStr">
        <is>
          <t>EJ010324.TXT</t>
        </is>
      </c>
      <c r="B377" s="3" t="inlineStr">
        <is>
          <t>001534</t>
        </is>
      </c>
      <c r="C377" s="3" t="inlineStr">
        <is>
          <t>000984</t>
        </is>
      </c>
      <c r="D377" s="4" t="n">
        <v>45331</v>
      </c>
      <c r="E377" s="2" t="inlineStr">
        <is>
          <t>10:18</t>
        </is>
      </c>
      <c r="F377" s="5" t="n">
        <v>663.33</v>
      </c>
      <c r="G377" s="5" t="n"/>
      <c r="H377" s="5" t="n"/>
      <c r="I377" s="5" t="n"/>
      <c r="J377" s="5" t="n">
        <v>132.67</v>
      </c>
      <c r="K377" s="5" t="n"/>
      <c r="L377" s="5" t="n"/>
      <c r="M377" s="5" t="n"/>
      <c r="N377" s="5" t="n"/>
      <c r="O377" s="5" t="n">
        <v>796</v>
      </c>
      <c r="P377" s="5" t="n">
        <v>796</v>
      </c>
      <c r="Q377" s="5" t="n"/>
      <c r="R377" s="5" t="n"/>
      <c r="S377" s="5">
        <f>F377*20%</f>
        <v/>
      </c>
      <c r="T377" s="5">
        <f>J377-S377</f>
        <v/>
      </c>
      <c r="U377" s="5">
        <f>F377+J377</f>
        <v/>
      </c>
      <c r="V377" s="5">
        <f>O377-U377</f>
        <v/>
      </c>
      <c r="W377" s="5">
        <f>O377-(P377+R377)</f>
        <v/>
      </c>
      <c r="X377" s="5">
        <f>O377-(P377+Q377+R377)</f>
        <v/>
      </c>
    </row>
    <row r="378">
      <c r="A378" s="2" t="inlineStr">
        <is>
          <t>EJ010324.TXT</t>
        </is>
      </c>
      <c r="B378" s="3" t="inlineStr">
        <is>
          <t>001536</t>
        </is>
      </c>
      <c r="C378" s="3" t="inlineStr">
        <is>
          <t>000985</t>
        </is>
      </c>
      <c r="D378" s="4" t="n">
        <v>45331</v>
      </c>
      <c r="E378" s="2" t="inlineStr">
        <is>
          <t>12:54</t>
        </is>
      </c>
      <c r="F378" s="5" t="n">
        <v>124.17</v>
      </c>
      <c r="G378" s="5" t="n"/>
      <c r="H378" s="5" t="n"/>
      <c r="I378" s="5" t="n"/>
      <c r="J378" s="5" t="n">
        <v>24.83</v>
      </c>
      <c r="K378" s="5" t="n"/>
      <c r="L378" s="5" t="n"/>
      <c r="M378" s="5" t="n"/>
      <c r="N378" s="5" t="n"/>
      <c r="O378" s="5" t="n">
        <v>149</v>
      </c>
      <c r="P378" s="5" t="n">
        <v>149</v>
      </c>
      <c r="Q378" s="5" t="n"/>
      <c r="R378" s="5" t="n"/>
      <c r="S378" s="5">
        <f>F378*20%</f>
        <v/>
      </c>
      <c r="T378" s="5">
        <f>J378-S378</f>
        <v/>
      </c>
      <c r="U378" s="5">
        <f>F378+J378</f>
        <v/>
      </c>
      <c r="V378" s="5">
        <f>O378-U378</f>
        <v/>
      </c>
      <c r="W378" s="5">
        <f>O378-(P378+R378)</f>
        <v/>
      </c>
      <c r="X378" s="5">
        <f>O378-(P378+Q378+R378)</f>
        <v/>
      </c>
    </row>
    <row r="379">
      <c r="A379" s="2" t="inlineStr">
        <is>
          <t>EJ010324.TXT</t>
        </is>
      </c>
      <c r="B379" s="3" t="inlineStr">
        <is>
          <t>001538</t>
        </is>
      </c>
      <c r="C379" s="3" t="inlineStr">
        <is>
          <t>000986</t>
        </is>
      </c>
      <c r="D379" s="4" t="n">
        <v>45331</v>
      </c>
      <c r="E379" s="2" t="inlineStr">
        <is>
          <t>14:12</t>
        </is>
      </c>
      <c r="F379" s="5" t="n">
        <v>274.17</v>
      </c>
      <c r="G379" s="5" t="n"/>
      <c r="H379" s="5" t="n"/>
      <c r="I379" s="5" t="n"/>
      <c r="J379" s="5" t="n">
        <v>54.83</v>
      </c>
      <c r="K379" s="5" t="n"/>
      <c r="L379" s="5" t="n"/>
      <c r="M379" s="5" t="n"/>
      <c r="N379" s="5" t="n"/>
      <c r="O379" s="5" t="n">
        <v>329</v>
      </c>
      <c r="P379" s="5" t="n"/>
      <c r="Q379" s="5" t="n">
        <v>329</v>
      </c>
      <c r="R379" s="5" t="n"/>
      <c r="S379" s="5">
        <f>F379*20%</f>
        <v/>
      </c>
      <c r="T379" s="5">
        <f>J379-S379</f>
        <v/>
      </c>
      <c r="U379" s="5">
        <f>F379+J379</f>
        <v/>
      </c>
      <c r="V379" s="5">
        <f>O379-U379</f>
        <v/>
      </c>
      <c r="W379" s="5">
        <f>O379-(P379+R379)</f>
        <v/>
      </c>
      <c r="X379" s="5">
        <f>O379-(P379+Q379+R379)</f>
        <v/>
      </c>
    </row>
    <row r="380">
      <c r="A380" s="2" t="inlineStr">
        <is>
          <t>EJ010324.TXT</t>
        </is>
      </c>
      <c r="B380" s="3" t="inlineStr">
        <is>
          <t>001539</t>
        </is>
      </c>
      <c r="C380" s="3" t="inlineStr">
        <is>
          <t>000987</t>
        </is>
      </c>
      <c r="D380" s="4" t="n">
        <v>45331</v>
      </c>
      <c r="E380" s="2" t="inlineStr">
        <is>
          <t>15:14</t>
        </is>
      </c>
      <c r="F380" s="5" t="n">
        <v>398.33</v>
      </c>
      <c r="G380" s="5" t="n"/>
      <c r="H380" s="5" t="n"/>
      <c r="I380" s="5" t="n"/>
      <c r="J380" s="5" t="n">
        <v>79.67</v>
      </c>
      <c r="K380" s="5" t="n"/>
      <c r="L380" s="5" t="n"/>
      <c r="M380" s="5" t="n"/>
      <c r="N380" s="5" t="n"/>
      <c r="O380" s="5" t="n">
        <v>478</v>
      </c>
      <c r="P380" s="5" t="n">
        <v>478</v>
      </c>
      <c r="Q380" s="5" t="n"/>
      <c r="R380" s="5" t="n"/>
      <c r="S380" s="5">
        <f>F380*20%</f>
        <v/>
      </c>
      <c r="T380" s="5">
        <f>J380-S380</f>
        <v/>
      </c>
      <c r="U380" s="5">
        <f>F380+J380</f>
        <v/>
      </c>
      <c r="V380" s="5">
        <f>O380-U380</f>
        <v/>
      </c>
      <c r="W380" s="5">
        <f>O380-(P380+R380)</f>
        <v/>
      </c>
      <c r="X380" s="5">
        <f>O380-(P380+Q380+R380)</f>
        <v/>
      </c>
    </row>
    <row r="381">
      <c r="A381" s="2" t="inlineStr">
        <is>
          <t>EJ010324.TXT</t>
        </is>
      </c>
      <c r="B381" s="3" t="inlineStr">
        <is>
          <t>001540</t>
        </is>
      </c>
      <c r="C381" s="3" t="inlineStr">
        <is>
          <t>000988</t>
        </is>
      </c>
      <c r="D381" s="4" t="n">
        <v>45331</v>
      </c>
      <c r="E381" s="2" t="inlineStr">
        <is>
          <t>16:52</t>
        </is>
      </c>
      <c r="F381" s="5" t="n">
        <v>548.33</v>
      </c>
      <c r="G381" s="5" t="n"/>
      <c r="H381" s="5" t="n"/>
      <c r="I381" s="5" t="n"/>
      <c r="J381" s="5" t="n">
        <v>109.67</v>
      </c>
      <c r="K381" s="5" t="n"/>
      <c r="L381" s="5" t="n"/>
      <c r="M381" s="5" t="n"/>
      <c r="N381" s="5" t="n"/>
      <c r="O381" s="5" t="n">
        <v>658</v>
      </c>
      <c r="P381" s="5" t="n"/>
      <c r="Q381" s="5" t="n">
        <v>658</v>
      </c>
      <c r="R381" s="5" t="n"/>
      <c r="S381" s="5">
        <f>F381*20%</f>
        <v/>
      </c>
      <c r="T381" s="5">
        <f>J381-S381</f>
        <v/>
      </c>
      <c r="U381" s="5">
        <f>F381+J381</f>
        <v/>
      </c>
      <c r="V381" s="5">
        <f>O381-U381</f>
        <v/>
      </c>
      <c r="W381" s="5">
        <f>O381-(P381+R381)</f>
        <v/>
      </c>
      <c r="X381" s="5">
        <f>O381-(P381+Q381+R381)</f>
        <v/>
      </c>
    </row>
    <row r="382">
      <c r="A382" s="2" t="inlineStr">
        <is>
          <t>EJ010324.TXT</t>
        </is>
      </c>
      <c r="B382" s="3" t="inlineStr">
        <is>
          <t>001541</t>
        </is>
      </c>
      <c r="C382" s="3" t="inlineStr">
        <is>
          <t>000989</t>
        </is>
      </c>
      <c r="D382" s="4" t="n">
        <v>45331</v>
      </c>
      <c r="E382" s="2" t="inlineStr">
        <is>
          <t>17:11</t>
        </is>
      </c>
      <c r="F382" s="5" t="n">
        <v>350</v>
      </c>
      <c r="G382" s="5" t="n"/>
      <c r="H382" s="5" t="n"/>
      <c r="I382" s="5" t="n"/>
      <c r="J382" s="5" t="n">
        <v>70</v>
      </c>
      <c r="K382" s="5" t="n"/>
      <c r="L382" s="5" t="n"/>
      <c r="M382" s="5" t="n"/>
      <c r="N382" s="5" t="n"/>
      <c r="O382" s="5" t="n">
        <v>420</v>
      </c>
      <c r="P382" s="5" t="n">
        <v>420</v>
      </c>
      <c r="Q382" s="5" t="n"/>
      <c r="R382" s="5" t="n"/>
      <c r="S382" s="5">
        <f>F382*20%</f>
        <v/>
      </c>
      <c r="T382" s="5">
        <f>J382-S382</f>
        <v/>
      </c>
      <c r="U382" s="5">
        <f>F382+J382</f>
        <v/>
      </c>
      <c r="V382" s="5">
        <f>O382-U382</f>
        <v/>
      </c>
      <c r="W382" s="5">
        <f>O382-(P382+R382)</f>
        <v/>
      </c>
      <c r="X382" s="5">
        <f>O382-(P382+Q382+R382)</f>
        <v/>
      </c>
    </row>
    <row r="383">
      <c r="A383" s="2" t="inlineStr">
        <is>
          <t>EJ010324.TXT</t>
        </is>
      </c>
      <c r="B383" s="3" t="inlineStr">
        <is>
          <t>001542</t>
        </is>
      </c>
      <c r="C383" s="3" t="inlineStr">
        <is>
          <t>000990</t>
        </is>
      </c>
      <c r="D383" s="4" t="n">
        <v>45334</v>
      </c>
      <c r="E383" s="2" t="inlineStr">
        <is>
          <t>10:09</t>
        </is>
      </c>
      <c r="F383" s="5" t="n">
        <v>274.17</v>
      </c>
      <c r="G383" s="5" t="n"/>
      <c r="H383" s="5" t="n"/>
      <c r="I383" s="5" t="n"/>
      <c r="J383" s="5" t="n">
        <v>54.83</v>
      </c>
      <c r="K383" s="5" t="n"/>
      <c r="L383" s="5" t="n"/>
      <c r="M383" s="5" t="n"/>
      <c r="N383" s="5" t="n"/>
      <c r="O383" s="5" t="n">
        <v>329</v>
      </c>
      <c r="P383" s="5" t="n">
        <v>329</v>
      </c>
      <c r="Q383" s="5" t="n"/>
      <c r="R383" s="5" t="n"/>
      <c r="S383" s="5">
        <f>F383*20%</f>
        <v/>
      </c>
      <c r="T383" s="5">
        <f>J383-S383</f>
        <v/>
      </c>
      <c r="U383" s="5">
        <f>F383+J383</f>
        <v/>
      </c>
      <c r="V383" s="5">
        <f>O383-U383</f>
        <v/>
      </c>
      <c r="W383" s="5">
        <f>O383-(P383+R383)</f>
        <v/>
      </c>
      <c r="X383" s="5">
        <f>O383-(P383+Q383+R383)</f>
        <v/>
      </c>
    </row>
    <row r="384">
      <c r="A384" s="2" t="inlineStr">
        <is>
          <t>EJ010324.TXT</t>
        </is>
      </c>
      <c r="B384" s="3" t="inlineStr">
        <is>
          <t>001543</t>
        </is>
      </c>
      <c r="C384" s="3" t="inlineStr">
        <is>
          <t>000991</t>
        </is>
      </c>
      <c r="D384" s="4" t="n">
        <v>45336</v>
      </c>
      <c r="E384" s="2" t="inlineStr">
        <is>
          <t>14:51</t>
        </is>
      </c>
      <c r="F384" s="5" t="n">
        <v>274.17</v>
      </c>
      <c r="G384" s="5" t="n"/>
      <c r="H384" s="5" t="n"/>
      <c r="I384" s="5" t="n"/>
      <c r="J384" s="5" t="n">
        <v>54.83</v>
      </c>
      <c r="K384" s="5" t="n"/>
      <c r="L384" s="5" t="n"/>
      <c r="M384" s="5" t="n"/>
      <c r="N384" s="5" t="n"/>
      <c r="O384" s="5" t="n">
        <v>329</v>
      </c>
      <c r="P384" s="5" t="n">
        <v>329</v>
      </c>
      <c r="Q384" s="5" t="n"/>
      <c r="R384" s="5" t="n"/>
      <c r="S384" s="5">
        <f>F384*20%</f>
        <v/>
      </c>
      <c r="T384" s="5">
        <f>J384-S384</f>
        <v/>
      </c>
      <c r="U384" s="5">
        <f>F384+J384</f>
        <v/>
      </c>
      <c r="V384" s="5">
        <f>O384-U384</f>
        <v/>
      </c>
      <c r="W384" s="5">
        <f>O384-(P384+R384)</f>
        <v/>
      </c>
      <c r="X384" s="5">
        <f>O384-(P384+Q384+R384)</f>
        <v/>
      </c>
    </row>
    <row r="385">
      <c r="A385" s="2" t="inlineStr">
        <is>
          <t>EJ010324.TXT</t>
        </is>
      </c>
      <c r="B385" s="3" t="inlineStr">
        <is>
          <t>001544</t>
        </is>
      </c>
      <c r="C385" s="3" t="inlineStr">
        <is>
          <t>000992</t>
        </is>
      </c>
      <c r="D385" s="4" t="n">
        <v>45337</v>
      </c>
      <c r="E385" s="2" t="inlineStr">
        <is>
          <t>15:34</t>
        </is>
      </c>
      <c r="F385" s="5" t="n">
        <v>548.33</v>
      </c>
      <c r="G385" s="5" t="n"/>
      <c r="H385" s="5" t="n"/>
      <c r="I385" s="5" t="n"/>
      <c r="J385" s="5" t="n">
        <v>109.67</v>
      </c>
      <c r="K385" s="5" t="n"/>
      <c r="L385" s="5" t="n"/>
      <c r="M385" s="5" t="n"/>
      <c r="N385" s="5" t="n"/>
      <c r="O385" s="5" t="n">
        <v>658</v>
      </c>
      <c r="P385" s="5" t="n">
        <v>658</v>
      </c>
      <c r="Q385" s="5" t="n"/>
      <c r="R385" s="5" t="n"/>
      <c r="S385" s="5">
        <f>F385*20%</f>
        <v/>
      </c>
      <c r="T385" s="5">
        <f>J385-S385</f>
        <v/>
      </c>
      <c r="U385" s="5">
        <f>F385+J385</f>
        <v/>
      </c>
      <c r="V385" s="5">
        <f>O385-U385</f>
        <v/>
      </c>
      <c r="W385" s="5">
        <f>O385-(P385+R385)</f>
        <v/>
      </c>
      <c r="X385" s="5">
        <f>O385-(P385+Q385+R385)</f>
        <v/>
      </c>
    </row>
    <row r="386">
      <c r="A386" s="2" t="inlineStr">
        <is>
          <t>EJ010324.TXT</t>
        </is>
      </c>
      <c r="B386" s="3" t="inlineStr">
        <is>
          <t>001545</t>
        </is>
      </c>
      <c r="C386" s="3" t="inlineStr">
        <is>
          <t>000993</t>
        </is>
      </c>
      <c r="D386" s="4" t="n">
        <v>45337</v>
      </c>
      <c r="E386" s="2" t="inlineStr">
        <is>
          <t>16:06</t>
        </is>
      </c>
      <c r="F386" s="5" t="n">
        <v>548.33</v>
      </c>
      <c r="G386" s="5" t="n"/>
      <c r="H386" s="5" t="n"/>
      <c r="I386" s="5" t="n"/>
      <c r="J386" s="5" t="n">
        <v>109.67</v>
      </c>
      <c r="K386" s="5" t="n"/>
      <c r="L386" s="5" t="n"/>
      <c r="M386" s="5" t="n"/>
      <c r="N386" s="5" t="n"/>
      <c r="O386" s="5" t="n">
        <v>658</v>
      </c>
      <c r="P386" s="5" t="n">
        <v>658</v>
      </c>
      <c r="Q386" s="5" t="n"/>
      <c r="R386" s="5" t="n"/>
      <c r="S386" s="5">
        <f>F386*20%</f>
        <v/>
      </c>
      <c r="T386" s="5">
        <f>J386-S386</f>
        <v/>
      </c>
      <c r="U386" s="5">
        <f>F386+J386</f>
        <v/>
      </c>
      <c r="V386" s="5">
        <f>O386-U386</f>
        <v/>
      </c>
      <c r="W386" s="5">
        <f>O386-(P386+R386)</f>
        <v/>
      </c>
      <c r="X386" s="5">
        <f>O386-(P386+Q386+R386)</f>
        <v/>
      </c>
    </row>
    <row r="387">
      <c r="A387" s="2" t="inlineStr">
        <is>
          <t>EJ010324.TXT</t>
        </is>
      </c>
      <c r="B387" s="3" t="inlineStr">
        <is>
          <t>001546</t>
        </is>
      </c>
      <c r="C387" s="3" t="inlineStr">
        <is>
          <t>000994</t>
        </is>
      </c>
      <c r="D387" s="4" t="n">
        <v>45337</v>
      </c>
      <c r="E387" s="2" t="inlineStr">
        <is>
          <t>16:18</t>
        </is>
      </c>
      <c r="F387" s="5" t="n">
        <v>548.33</v>
      </c>
      <c r="G387" s="5" t="n"/>
      <c r="H387" s="5" t="n"/>
      <c r="I387" s="5" t="n"/>
      <c r="J387" s="5" t="n">
        <v>109.67</v>
      </c>
      <c r="K387" s="5" t="n"/>
      <c r="L387" s="5" t="n"/>
      <c r="M387" s="5" t="n"/>
      <c r="N387" s="5" t="n"/>
      <c r="O387" s="5" t="n">
        <v>658</v>
      </c>
      <c r="P387" s="5" t="n">
        <v>440</v>
      </c>
      <c r="Q387" s="5" t="n">
        <v>218</v>
      </c>
      <c r="R387" s="5" t="n"/>
      <c r="S387" s="5">
        <f>F387*20%</f>
        <v/>
      </c>
      <c r="T387" s="5">
        <f>J387-S387</f>
        <v/>
      </c>
      <c r="U387" s="5">
        <f>F387+J387</f>
        <v/>
      </c>
      <c r="V387" s="5">
        <f>O387-U387</f>
        <v/>
      </c>
      <c r="W387" s="5">
        <f>O387-(P387+R387)</f>
        <v/>
      </c>
      <c r="X387" s="5">
        <f>O387-(P387+Q387+R387)</f>
        <v/>
      </c>
    </row>
    <row r="388">
      <c r="A388" s="2" t="inlineStr">
        <is>
          <t>EJ010324.TXT</t>
        </is>
      </c>
      <c r="B388" s="3" t="inlineStr">
        <is>
          <t>001548</t>
        </is>
      </c>
      <c r="C388" s="3" t="inlineStr">
        <is>
          <t>000995</t>
        </is>
      </c>
      <c r="D388" s="4" t="n">
        <v>45338</v>
      </c>
      <c r="E388" s="2" t="inlineStr">
        <is>
          <t>14:44</t>
        </is>
      </c>
      <c r="F388" s="5" t="n">
        <v>3290</v>
      </c>
      <c r="G388" s="5" t="n"/>
      <c r="H388" s="5" t="n"/>
      <c r="I388" s="5" t="n"/>
      <c r="J388" s="5" t="n">
        <v>658</v>
      </c>
      <c r="K388" s="5" t="n"/>
      <c r="L388" s="5" t="n"/>
      <c r="M388" s="5" t="n"/>
      <c r="N388" s="5" t="n"/>
      <c r="O388" s="5" t="n">
        <v>3948</v>
      </c>
      <c r="P388" s="5" t="n">
        <v>3948</v>
      </c>
      <c r="Q388" s="5" t="n"/>
      <c r="R388" s="5" t="n"/>
      <c r="S388" s="5">
        <f>F388*20%</f>
        <v/>
      </c>
      <c r="T388" s="5">
        <f>J388-S388</f>
        <v/>
      </c>
      <c r="U388" s="5">
        <f>F388+J388</f>
        <v/>
      </c>
      <c r="V388" s="5">
        <f>O388-U388</f>
        <v/>
      </c>
      <c r="W388" s="5">
        <f>O388-(P388+R388)</f>
        <v/>
      </c>
      <c r="X388" s="5">
        <f>O388-(P388+Q388+R388)</f>
        <v/>
      </c>
    </row>
    <row r="389">
      <c r="A389" s="2" t="inlineStr">
        <is>
          <t>EJ010324.TXT</t>
        </is>
      </c>
      <c r="B389" s="3" t="inlineStr">
        <is>
          <t>001549</t>
        </is>
      </c>
      <c r="C389" s="3" t="inlineStr">
        <is>
          <t>000996</t>
        </is>
      </c>
      <c r="D389" s="4" t="n">
        <v>45338</v>
      </c>
      <c r="E389" s="2" t="inlineStr">
        <is>
          <t>15:35</t>
        </is>
      </c>
      <c r="F389" s="5" t="n">
        <v>136.5</v>
      </c>
      <c r="G389" s="5" t="n"/>
      <c r="H389" s="5" t="n"/>
      <c r="I389" s="5" t="n"/>
      <c r="J389" s="5" t="n">
        <v>27.3</v>
      </c>
      <c r="K389" s="5" t="n"/>
      <c r="L389" s="5" t="n"/>
      <c r="M389" s="5" t="n"/>
      <c r="N389" s="5" t="n"/>
      <c r="O389" s="5" t="n">
        <v>163.8</v>
      </c>
      <c r="P389" s="5" t="n"/>
      <c r="Q389" s="5" t="n">
        <v>163.8</v>
      </c>
      <c r="R389" s="5" t="n"/>
      <c r="S389" s="5">
        <f>F389*20%</f>
        <v/>
      </c>
      <c r="T389" s="5">
        <f>J389-S389</f>
        <v/>
      </c>
      <c r="U389" s="5">
        <f>F389+J389</f>
        <v/>
      </c>
      <c r="V389" s="5">
        <f>O389-U389</f>
        <v/>
      </c>
      <c r="W389" s="5">
        <f>O389-(P389+R389)</f>
        <v/>
      </c>
      <c r="X389" s="5">
        <f>O389-(P389+Q389+R389)</f>
        <v/>
      </c>
    </row>
    <row r="390">
      <c r="A390" s="2" t="inlineStr">
        <is>
          <t>EJ010324.TXT</t>
        </is>
      </c>
      <c r="B390" s="3" t="inlineStr">
        <is>
          <t>001550</t>
        </is>
      </c>
      <c r="C390" s="3" t="inlineStr">
        <is>
          <t>000997</t>
        </is>
      </c>
      <c r="D390" s="4" t="n">
        <v>45339</v>
      </c>
      <c r="E390" s="2" t="inlineStr">
        <is>
          <t>14:59</t>
        </is>
      </c>
      <c r="F390" s="5" t="n">
        <v>658.33</v>
      </c>
      <c r="G390" s="5" t="n"/>
      <c r="H390" s="5" t="n"/>
      <c r="I390" s="5" t="n"/>
      <c r="J390" s="5" t="n">
        <v>131.67</v>
      </c>
      <c r="K390" s="5" t="n"/>
      <c r="L390" s="5" t="n"/>
      <c r="M390" s="5" t="n"/>
      <c r="N390" s="5" t="n"/>
      <c r="O390" s="5" t="n">
        <v>790</v>
      </c>
      <c r="P390" s="5" t="n">
        <v>790</v>
      </c>
      <c r="Q390" s="5" t="n"/>
      <c r="R390" s="5" t="n"/>
      <c r="S390" s="5">
        <f>F390*20%</f>
        <v/>
      </c>
      <c r="T390" s="5">
        <f>J390-S390</f>
        <v/>
      </c>
      <c r="U390" s="5">
        <f>F390+J390</f>
        <v/>
      </c>
      <c r="V390" s="5">
        <f>O390-U390</f>
        <v/>
      </c>
      <c r="W390" s="5">
        <f>O390-(P390+R390)</f>
        <v/>
      </c>
      <c r="X390" s="5">
        <f>O390-(P390+Q390+R390)</f>
        <v/>
      </c>
    </row>
    <row r="391">
      <c r="A391" s="2" t="inlineStr">
        <is>
          <t>EJ010324.TXT</t>
        </is>
      </c>
      <c r="B391" s="3" t="inlineStr">
        <is>
          <t>001551</t>
        </is>
      </c>
      <c r="C391" s="3" t="inlineStr">
        <is>
          <t>000998</t>
        </is>
      </c>
      <c r="D391" s="4" t="n">
        <v>45341</v>
      </c>
      <c r="E391" s="2" t="inlineStr">
        <is>
          <t>16:17</t>
        </is>
      </c>
      <c r="F391" s="5" t="n">
        <v>2193.33</v>
      </c>
      <c r="G391" s="5" t="n"/>
      <c r="H391" s="5" t="n"/>
      <c r="I391" s="5" t="n"/>
      <c r="J391" s="5" t="n">
        <v>438.67</v>
      </c>
      <c r="K391" s="5" t="n"/>
      <c r="L391" s="5" t="n"/>
      <c r="M391" s="5" t="n"/>
      <c r="N391" s="5" t="n"/>
      <c r="O391" s="5" t="n">
        <v>2632</v>
      </c>
      <c r="P391" s="5" t="n">
        <v>2632</v>
      </c>
      <c r="Q391" s="5" t="n"/>
      <c r="R391" s="5" t="n"/>
      <c r="S391" s="5">
        <f>F391*20%</f>
        <v/>
      </c>
      <c r="T391" s="5">
        <f>J391-S391</f>
        <v/>
      </c>
      <c r="U391" s="5">
        <f>F391+J391</f>
        <v/>
      </c>
      <c r="V391" s="5">
        <f>O391-U391</f>
        <v/>
      </c>
      <c r="W391" s="5">
        <f>O391-(P391+R391)</f>
        <v/>
      </c>
      <c r="X391" s="5">
        <f>O391-(P391+Q391+R391)</f>
        <v/>
      </c>
    </row>
    <row r="392">
      <c r="A392" s="2" t="inlineStr">
        <is>
          <t>EJ010324.TXT</t>
        </is>
      </c>
      <c r="B392" s="3" t="inlineStr">
        <is>
          <t>001552</t>
        </is>
      </c>
      <c r="C392" s="3" t="inlineStr">
        <is>
          <t>000999</t>
        </is>
      </c>
      <c r="D392" s="4" t="n">
        <v>45342</v>
      </c>
      <c r="E392" s="2" t="inlineStr">
        <is>
          <t>16:08</t>
        </is>
      </c>
      <c r="F392" s="5" t="n">
        <v>1096.67</v>
      </c>
      <c r="G392" s="5" t="n"/>
      <c r="H392" s="5" t="n"/>
      <c r="I392" s="5" t="n"/>
      <c r="J392" s="5" t="n">
        <v>219.33</v>
      </c>
      <c r="K392" s="5" t="n"/>
      <c r="L392" s="5" t="n"/>
      <c r="M392" s="5" t="n"/>
      <c r="N392" s="5" t="n"/>
      <c r="O392" s="5" t="n">
        <v>1316</v>
      </c>
      <c r="P392" s="5" t="n">
        <v>1316</v>
      </c>
      <c r="Q392" s="5" t="n"/>
      <c r="R392" s="5" t="n"/>
      <c r="S392" s="5">
        <f>F392*20%</f>
        <v/>
      </c>
      <c r="T392" s="5">
        <f>J392-S392</f>
        <v/>
      </c>
      <c r="U392" s="5">
        <f>F392+J392</f>
        <v/>
      </c>
      <c r="V392" s="5">
        <f>O392-U392</f>
        <v/>
      </c>
      <c r="W392" s="5">
        <f>O392-(P392+R392)</f>
        <v/>
      </c>
      <c r="X392" s="5">
        <f>O392-(P392+Q392+R392)</f>
        <v/>
      </c>
    </row>
    <row r="393">
      <c r="A393" s="2" t="inlineStr">
        <is>
          <t>EJ010324.TXT</t>
        </is>
      </c>
      <c r="B393" s="3" t="inlineStr">
        <is>
          <t>001553</t>
        </is>
      </c>
      <c r="C393" s="3" t="inlineStr">
        <is>
          <t>001000</t>
        </is>
      </c>
      <c r="D393" s="4" t="n">
        <v>45343</v>
      </c>
      <c r="E393" s="2" t="inlineStr">
        <is>
          <t>11:06</t>
        </is>
      </c>
      <c r="F393" s="5" t="n">
        <v>199.17</v>
      </c>
      <c r="G393" s="5" t="n"/>
      <c r="H393" s="5" t="n"/>
      <c r="I393" s="5" t="n"/>
      <c r="J393" s="5" t="n">
        <v>39.83</v>
      </c>
      <c r="K393" s="5" t="n"/>
      <c r="L393" s="5" t="n"/>
      <c r="M393" s="5" t="n"/>
      <c r="N393" s="5" t="n"/>
      <c r="O393" s="5" t="n">
        <v>239</v>
      </c>
      <c r="P393" s="5" t="n"/>
      <c r="Q393" s="5" t="n">
        <v>239</v>
      </c>
      <c r="R393" s="5" t="n"/>
      <c r="S393" s="5">
        <f>F393*20%</f>
        <v/>
      </c>
      <c r="T393" s="5">
        <f>J393-S393</f>
        <v/>
      </c>
      <c r="U393" s="5">
        <f>F393+J393</f>
        <v/>
      </c>
      <c r="V393" s="5">
        <f>O393-U393</f>
        <v/>
      </c>
      <c r="W393" s="5">
        <f>O393-(P393+R393)</f>
        <v/>
      </c>
      <c r="X393" s="5">
        <f>O393-(P393+Q393+R393)</f>
        <v/>
      </c>
    </row>
    <row r="394">
      <c r="A394" s="2" t="inlineStr">
        <is>
          <t>EJ010324.TXT</t>
        </is>
      </c>
      <c r="B394" s="3" t="inlineStr">
        <is>
          <t>001555</t>
        </is>
      </c>
      <c r="C394" s="3" t="inlineStr">
        <is>
          <t>001001</t>
        </is>
      </c>
      <c r="D394" s="4" t="n">
        <v>45343</v>
      </c>
      <c r="E394" s="2" t="inlineStr">
        <is>
          <t>11:52</t>
        </is>
      </c>
      <c r="F394" s="5" t="n">
        <v>212.5</v>
      </c>
      <c r="G394" s="5" t="n"/>
      <c r="H394" s="5" t="n"/>
      <c r="I394" s="5" t="n"/>
      <c r="J394" s="5" t="n">
        <v>42.5</v>
      </c>
      <c r="K394" s="5" t="n"/>
      <c r="L394" s="5" t="n"/>
      <c r="M394" s="5" t="n"/>
      <c r="N394" s="5" t="n"/>
      <c r="O394" s="5" t="n">
        <v>255</v>
      </c>
      <c r="P394" s="5" t="n">
        <v>255</v>
      </c>
      <c r="Q394" s="5" t="n"/>
      <c r="R394" s="5" t="n"/>
      <c r="S394" s="5">
        <f>F394*20%</f>
        <v/>
      </c>
      <c r="T394" s="5">
        <f>J394-S394</f>
        <v/>
      </c>
      <c r="U394" s="5">
        <f>F394+J394</f>
        <v/>
      </c>
      <c r="V394" s="5">
        <f>O394-U394</f>
        <v/>
      </c>
      <c r="W394" s="5">
        <f>O394-(P394+R394)</f>
        <v/>
      </c>
      <c r="X394" s="5">
        <f>O394-(P394+Q394+R394)</f>
        <v/>
      </c>
    </row>
    <row r="395">
      <c r="A395" s="2" t="inlineStr">
        <is>
          <t>EJ010324.TXT</t>
        </is>
      </c>
      <c r="B395" s="3" t="inlineStr">
        <is>
          <t>001556</t>
        </is>
      </c>
      <c r="C395" s="3" t="inlineStr">
        <is>
          <t>001002</t>
        </is>
      </c>
      <c r="D395" s="4" t="n">
        <v>45344</v>
      </c>
      <c r="E395" s="2" t="inlineStr">
        <is>
          <t>17:50</t>
        </is>
      </c>
      <c r="F395" s="5" t="n">
        <v>473.33</v>
      </c>
      <c r="G395" s="5" t="n"/>
      <c r="H395" s="5" t="n"/>
      <c r="I395" s="5" t="n"/>
      <c r="J395" s="5" t="n">
        <v>94.67</v>
      </c>
      <c r="K395" s="5" t="n"/>
      <c r="L395" s="5" t="n"/>
      <c r="M395" s="5" t="n"/>
      <c r="N395" s="5" t="n"/>
      <c r="O395" s="5" t="n">
        <v>568</v>
      </c>
      <c r="P395" s="5" t="n">
        <v>568</v>
      </c>
      <c r="Q395" s="5" t="n"/>
      <c r="R395" s="5" t="n"/>
      <c r="S395" s="5">
        <f>F395*20%</f>
        <v/>
      </c>
      <c r="T395" s="5">
        <f>J395-S395</f>
        <v/>
      </c>
      <c r="U395" s="5">
        <f>F395+J395</f>
        <v/>
      </c>
      <c r="V395" s="5">
        <f>O395-U395</f>
        <v/>
      </c>
      <c r="W395" s="5">
        <f>O395-(P395+R395)</f>
        <v/>
      </c>
      <c r="X395" s="5">
        <f>O395-(P395+Q395+R395)</f>
        <v/>
      </c>
    </row>
    <row r="396">
      <c r="A396" s="2" t="inlineStr">
        <is>
          <t>EJ010324.TXT</t>
        </is>
      </c>
      <c r="B396" s="3" t="inlineStr">
        <is>
          <t>001560</t>
        </is>
      </c>
      <c r="C396" s="3" t="inlineStr">
        <is>
          <t>001003</t>
        </is>
      </c>
      <c r="D396" s="4" t="n">
        <v>45350</v>
      </c>
      <c r="E396" s="2" t="inlineStr">
        <is>
          <t>13:03</t>
        </is>
      </c>
      <c r="F396" s="5" t="n">
        <v>548.33</v>
      </c>
      <c r="G396" s="5" t="n"/>
      <c r="H396" s="5" t="n"/>
      <c r="I396" s="5" t="n"/>
      <c r="J396" s="5" t="n">
        <v>109.67</v>
      </c>
      <c r="K396" s="5" t="n"/>
      <c r="L396" s="5" t="n"/>
      <c r="M396" s="5" t="n"/>
      <c r="N396" s="5" t="n"/>
      <c r="O396" s="5" t="n">
        <v>658</v>
      </c>
      <c r="P396" s="5" t="n"/>
      <c r="Q396" s="5" t="n">
        <v>658</v>
      </c>
      <c r="R396" s="5" t="n"/>
      <c r="S396" s="5">
        <f>F396*20%</f>
        <v/>
      </c>
      <c r="T396" s="5">
        <f>J396-S396</f>
        <v/>
      </c>
      <c r="U396" s="5">
        <f>F396+J396</f>
        <v/>
      </c>
      <c r="V396" s="5">
        <f>O396-U396</f>
        <v/>
      </c>
      <c r="W396" s="5">
        <f>O396-(P396+R396)</f>
        <v/>
      </c>
      <c r="X396" s="5">
        <f>O396-(P396+Q396+R396)</f>
        <v/>
      </c>
    </row>
    <row r="397">
      <c r="A397" s="2" t="inlineStr">
        <is>
          <t>EJ010324.TXT</t>
        </is>
      </c>
      <c r="B397" s="3" t="inlineStr">
        <is>
          <t>001561</t>
        </is>
      </c>
      <c r="C397" s="3" t="inlineStr">
        <is>
          <t>001004</t>
        </is>
      </c>
      <c r="D397" s="4" t="n">
        <v>45350</v>
      </c>
      <c r="E397" s="2" t="inlineStr">
        <is>
          <t>14:31</t>
        </is>
      </c>
      <c r="F397" s="5" t="n">
        <v>546.67</v>
      </c>
      <c r="G397" s="5" t="n"/>
      <c r="H397" s="5" t="n"/>
      <c r="I397" s="5" t="n"/>
      <c r="J397" s="5" t="n">
        <v>109.33</v>
      </c>
      <c r="K397" s="5" t="n"/>
      <c r="L397" s="5" t="n"/>
      <c r="M397" s="5" t="n"/>
      <c r="N397" s="5" t="n"/>
      <c r="O397" s="5" t="n">
        <v>656</v>
      </c>
      <c r="P397" s="5" t="n">
        <v>656</v>
      </c>
      <c r="Q397" s="5" t="n"/>
      <c r="R397" s="5" t="n"/>
      <c r="S397" s="5">
        <f>F397*20%</f>
        <v/>
      </c>
      <c r="T397" s="5">
        <f>J397-S397</f>
        <v/>
      </c>
      <c r="U397" s="5">
        <f>F397+J397</f>
        <v/>
      </c>
      <c r="V397" s="5">
        <f>O397-U397</f>
        <v/>
      </c>
      <c r="W397" s="5">
        <f>O397-(P397+R397)</f>
        <v/>
      </c>
      <c r="X397" s="5">
        <f>O397-(P397+Q397+R397)</f>
        <v/>
      </c>
    </row>
    <row r="398">
      <c r="A398" s="2" t="inlineStr">
        <is>
          <t>EJ010324.TXT</t>
        </is>
      </c>
      <c r="B398" s="3" t="inlineStr">
        <is>
          <t>001562</t>
        </is>
      </c>
      <c r="C398" s="3" t="inlineStr">
        <is>
          <t>001005</t>
        </is>
      </c>
      <c r="D398" s="4" t="n">
        <v>45351</v>
      </c>
      <c r="E398" s="2" t="inlineStr">
        <is>
          <t>17:01</t>
        </is>
      </c>
      <c r="F398" s="5" t="n">
        <v>548.33</v>
      </c>
      <c r="G398" s="5" t="n"/>
      <c r="H398" s="5" t="n"/>
      <c r="I398" s="5" t="n"/>
      <c r="J398" s="5" t="n">
        <v>109.67</v>
      </c>
      <c r="K398" s="5" t="n"/>
      <c r="L398" s="5" t="n"/>
      <c r="M398" s="5" t="n"/>
      <c r="N398" s="5" t="n"/>
      <c r="O398" s="5" t="n">
        <v>658</v>
      </c>
      <c r="P398" s="5" t="n">
        <v>658</v>
      </c>
      <c r="Q398" s="5" t="n"/>
      <c r="R398" s="5" t="n"/>
      <c r="S398" s="5">
        <f>F398*20%</f>
        <v/>
      </c>
      <c r="T398" s="5">
        <f>J398-S398</f>
        <v/>
      </c>
      <c r="U398" s="5">
        <f>F398+J398</f>
        <v/>
      </c>
      <c r="V398" s="5">
        <f>O398-U398</f>
        <v/>
      </c>
      <c r="W398" s="5">
        <f>O398-(P398+R398)</f>
        <v/>
      </c>
      <c r="X398" s="5">
        <f>O398-(P398+Q398+R398)</f>
        <v/>
      </c>
    </row>
    <row r="399">
      <c r="A399" s="2" t="inlineStr">
        <is>
          <t>EJ020424.TXT</t>
        </is>
      </c>
      <c r="B399" s="3" t="inlineStr">
        <is>
          <t>001568</t>
        </is>
      </c>
      <c r="C399" s="3" t="inlineStr">
        <is>
          <t>001006</t>
        </is>
      </c>
      <c r="D399" s="4" t="n">
        <v>45352</v>
      </c>
      <c r="E399" s="2" t="inlineStr">
        <is>
          <t>15:01</t>
        </is>
      </c>
      <c r="F399" s="5" t="n">
        <v>548.33</v>
      </c>
      <c r="G399" s="5" t="n"/>
      <c r="H399" s="5" t="n"/>
      <c r="I399" s="5" t="n"/>
      <c r="J399" s="5" t="n">
        <v>109.67</v>
      </c>
      <c r="K399" s="5" t="n"/>
      <c r="L399" s="5" t="n"/>
      <c r="M399" s="5" t="n"/>
      <c r="N399" s="5" t="n"/>
      <c r="O399" s="5" t="n">
        <v>658</v>
      </c>
      <c r="P399" s="5" t="n">
        <v>658</v>
      </c>
      <c r="Q399" s="5" t="n"/>
      <c r="R399" s="5" t="n"/>
      <c r="S399" s="5">
        <f>F399*20%</f>
        <v/>
      </c>
      <c r="T399" s="5">
        <f>J399-S399</f>
        <v/>
      </c>
      <c r="U399" s="5">
        <f>F399+J399</f>
        <v/>
      </c>
      <c r="V399" s="5">
        <f>O399-U399</f>
        <v/>
      </c>
      <c r="W399" s="5">
        <f>O399-(P399+R399)</f>
        <v/>
      </c>
      <c r="X399" s="5">
        <f>O399-(P399+Q399+R399)</f>
        <v/>
      </c>
    </row>
    <row r="400">
      <c r="A400" s="2" t="inlineStr">
        <is>
          <t>EJ020424.TXT</t>
        </is>
      </c>
      <c r="B400" s="3" t="inlineStr">
        <is>
          <t>001569</t>
        </is>
      </c>
      <c r="C400" s="3" t="inlineStr">
        <is>
          <t>001007</t>
        </is>
      </c>
      <c r="D400" s="4" t="n">
        <v>45352</v>
      </c>
      <c r="E400" s="2" t="inlineStr">
        <is>
          <t>15:20</t>
        </is>
      </c>
      <c r="F400" s="5" t="n">
        <v>822.5</v>
      </c>
      <c r="G400" s="5" t="n"/>
      <c r="H400" s="5" t="n"/>
      <c r="I400" s="5" t="n"/>
      <c r="J400" s="5" t="n">
        <v>164.5</v>
      </c>
      <c r="K400" s="5" t="n"/>
      <c r="L400" s="5" t="n"/>
      <c r="M400" s="5" t="n"/>
      <c r="N400" s="5" t="n"/>
      <c r="O400" s="5" t="n">
        <v>987</v>
      </c>
      <c r="P400" s="5" t="n"/>
      <c r="Q400" s="5" t="n">
        <v>987</v>
      </c>
      <c r="R400" s="5" t="n"/>
      <c r="S400" s="5">
        <f>F400*20%</f>
        <v/>
      </c>
      <c r="T400" s="5">
        <f>J400-S400</f>
        <v/>
      </c>
      <c r="U400" s="5">
        <f>F400+J400</f>
        <v/>
      </c>
      <c r="V400" s="5">
        <f>O400-U400</f>
        <v/>
      </c>
      <c r="W400" s="5">
        <f>O400-(P400+R400)</f>
        <v/>
      </c>
      <c r="X400" s="5">
        <f>O400-(P400+Q400+R400)</f>
        <v/>
      </c>
    </row>
    <row r="401">
      <c r="A401" s="2" t="inlineStr">
        <is>
          <t>EJ020424.TXT</t>
        </is>
      </c>
      <c r="B401" s="3" t="inlineStr">
        <is>
          <t>001572</t>
        </is>
      </c>
      <c r="C401" s="3" t="inlineStr">
        <is>
          <t>001008</t>
        </is>
      </c>
      <c r="D401" s="4" t="n">
        <v>45356</v>
      </c>
      <c r="E401" s="2" t="inlineStr">
        <is>
          <t>12:27</t>
        </is>
      </c>
      <c r="F401" s="5" t="n">
        <v>822.5</v>
      </c>
      <c r="G401" s="5" t="n"/>
      <c r="H401" s="5" t="n"/>
      <c r="I401" s="5" t="n"/>
      <c r="J401" s="5" t="n">
        <v>164.5</v>
      </c>
      <c r="K401" s="5" t="n"/>
      <c r="L401" s="5" t="n"/>
      <c r="M401" s="5" t="n"/>
      <c r="N401" s="5" t="n"/>
      <c r="O401" s="5" t="n">
        <v>987</v>
      </c>
      <c r="P401" s="5" t="n"/>
      <c r="Q401" s="5" t="n">
        <v>987</v>
      </c>
      <c r="R401" s="5" t="n"/>
      <c r="S401" s="5">
        <f>F401*20%</f>
        <v/>
      </c>
      <c r="T401" s="5">
        <f>J401-S401</f>
        <v/>
      </c>
      <c r="U401" s="5">
        <f>F401+J401</f>
        <v/>
      </c>
      <c r="V401" s="5">
        <f>O401-U401</f>
        <v/>
      </c>
      <c r="W401" s="5">
        <f>O401-(P401+R401)</f>
        <v/>
      </c>
      <c r="X401" s="5">
        <f>O401-(P401+Q401+R401)</f>
        <v/>
      </c>
    </row>
    <row r="402">
      <c r="A402" s="2" t="inlineStr">
        <is>
          <t>EJ020424.TXT</t>
        </is>
      </c>
      <c r="B402" s="3" t="inlineStr">
        <is>
          <t>001573</t>
        </is>
      </c>
      <c r="C402" s="3" t="inlineStr">
        <is>
          <t>001009</t>
        </is>
      </c>
      <c r="D402" s="4" t="n">
        <v>45356</v>
      </c>
      <c r="E402" s="2" t="inlineStr">
        <is>
          <t>12:27</t>
        </is>
      </c>
      <c r="F402" s="5" t="n">
        <v>822.5</v>
      </c>
      <c r="G402" s="5" t="n"/>
      <c r="H402" s="5" t="n"/>
      <c r="I402" s="5" t="n"/>
      <c r="J402" s="5" t="n">
        <v>164.5</v>
      </c>
      <c r="K402" s="5" t="n"/>
      <c r="L402" s="5" t="n"/>
      <c r="M402" s="5" t="n"/>
      <c r="N402" s="5" t="n"/>
      <c r="O402" s="5" t="n">
        <v>987</v>
      </c>
      <c r="P402" s="5" t="n"/>
      <c r="Q402" s="5" t="n">
        <v>987</v>
      </c>
      <c r="R402" s="5" t="n"/>
      <c r="S402" s="5">
        <f>F402*20%</f>
        <v/>
      </c>
      <c r="T402" s="5">
        <f>J402-S402</f>
        <v/>
      </c>
      <c r="U402" s="5">
        <f>F402+J402</f>
        <v/>
      </c>
      <c r="V402" s="5">
        <f>O402-U402</f>
        <v/>
      </c>
      <c r="W402" s="5">
        <f>O402-(P402+R402)</f>
        <v/>
      </c>
      <c r="X402" s="5">
        <f>O402-(P402+Q402+R402)</f>
        <v/>
      </c>
    </row>
    <row r="403">
      <c r="A403" s="2" t="inlineStr">
        <is>
          <t>EJ020424.TXT</t>
        </is>
      </c>
      <c r="B403" s="3" t="inlineStr">
        <is>
          <t>001575</t>
        </is>
      </c>
      <c r="C403" s="3" t="inlineStr">
        <is>
          <t>001010</t>
        </is>
      </c>
      <c r="D403" s="4" t="n">
        <v>45357</v>
      </c>
      <c r="E403" s="2" t="inlineStr">
        <is>
          <t>17:55</t>
        </is>
      </c>
      <c r="F403" s="5" t="n">
        <v>1096.67</v>
      </c>
      <c r="G403" s="5" t="n"/>
      <c r="H403" s="5" t="n"/>
      <c r="I403" s="5" t="n"/>
      <c r="J403" s="5" t="n">
        <v>219.33</v>
      </c>
      <c r="K403" s="5" t="n"/>
      <c r="L403" s="5" t="n"/>
      <c r="M403" s="5" t="n"/>
      <c r="N403" s="5" t="n"/>
      <c r="O403" s="5" t="n">
        <v>1316</v>
      </c>
      <c r="P403" s="5" t="n">
        <v>1316</v>
      </c>
      <c r="Q403" s="5" t="n"/>
      <c r="R403" s="5" t="n"/>
      <c r="S403" s="5">
        <f>F403*20%</f>
        <v/>
      </c>
      <c r="T403" s="5">
        <f>J403-S403</f>
        <v/>
      </c>
      <c r="U403" s="5">
        <f>F403+J403</f>
        <v/>
      </c>
      <c r="V403" s="5">
        <f>O403-U403</f>
        <v/>
      </c>
      <c r="W403" s="5">
        <f>O403-(P403+R403)</f>
        <v/>
      </c>
      <c r="X403" s="5">
        <f>O403-(P403+Q403+R403)</f>
        <v/>
      </c>
    </row>
    <row r="404">
      <c r="A404" s="2" t="inlineStr">
        <is>
          <t>EJ020424.TXT</t>
        </is>
      </c>
      <c r="B404" s="3" t="inlineStr">
        <is>
          <t>001576</t>
        </is>
      </c>
      <c r="C404" s="3" t="inlineStr">
        <is>
          <t>001011</t>
        </is>
      </c>
      <c r="D404" s="4" t="n">
        <v>45358</v>
      </c>
      <c r="E404" s="2" t="inlineStr">
        <is>
          <t>16:26</t>
        </is>
      </c>
      <c r="F404" s="5" t="n">
        <v>398.33</v>
      </c>
      <c r="G404" s="5" t="n"/>
      <c r="H404" s="5" t="n"/>
      <c r="I404" s="5" t="n"/>
      <c r="J404" s="5" t="n">
        <v>79.67</v>
      </c>
      <c r="K404" s="5" t="n"/>
      <c r="L404" s="5" t="n"/>
      <c r="M404" s="5" t="n"/>
      <c r="N404" s="5" t="n"/>
      <c r="O404" s="5" t="n">
        <v>478</v>
      </c>
      <c r="P404" s="5" t="n">
        <v>478</v>
      </c>
      <c r="Q404" s="5" t="n"/>
      <c r="R404" s="5" t="n"/>
      <c r="S404" s="5">
        <f>F404*20%</f>
        <v/>
      </c>
      <c r="T404" s="5">
        <f>J404-S404</f>
        <v/>
      </c>
      <c r="U404" s="5">
        <f>F404+J404</f>
        <v/>
      </c>
      <c r="V404" s="5">
        <f>O404-U404</f>
        <v/>
      </c>
      <c r="W404" s="5">
        <f>O404-(P404+R404)</f>
        <v/>
      </c>
      <c r="X404" s="5">
        <f>O404-(P404+Q404+R404)</f>
        <v/>
      </c>
    </row>
    <row r="405">
      <c r="A405" s="2" t="inlineStr">
        <is>
          <t>EJ020424.TXT</t>
        </is>
      </c>
      <c r="B405" s="3" t="inlineStr">
        <is>
          <t>001577</t>
        </is>
      </c>
      <c r="C405" s="3" t="inlineStr">
        <is>
          <t>001012</t>
        </is>
      </c>
      <c r="D405" s="4" t="n">
        <v>45359</v>
      </c>
      <c r="E405" s="2" t="inlineStr">
        <is>
          <t>14:28</t>
        </is>
      </c>
      <c r="F405" s="5" t="n">
        <v>548.33</v>
      </c>
      <c r="G405" s="5" t="n"/>
      <c r="H405" s="5" t="n"/>
      <c r="I405" s="5" t="n"/>
      <c r="J405" s="5" t="n">
        <v>109.67</v>
      </c>
      <c r="K405" s="5" t="n"/>
      <c r="L405" s="5" t="n"/>
      <c r="M405" s="5" t="n"/>
      <c r="N405" s="5" t="n"/>
      <c r="O405" s="5" t="n">
        <v>658</v>
      </c>
      <c r="P405" s="5" t="n"/>
      <c r="Q405" s="5" t="n">
        <v>658</v>
      </c>
      <c r="R405" s="5" t="n"/>
      <c r="S405" s="5">
        <f>F405*20%</f>
        <v/>
      </c>
      <c r="T405" s="5">
        <f>J405-S405</f>
        <v/>
      </c>
      <c r="U405" s="5">
        <f>F405+J405</f>
        <v/>
      </c>
      <c r="V405" s="5">
        <f>O405-U405</f>
        <v/>
      </c>
      <c r="W405" s="5">
        <f>O405-(P405+R405)</f>
        <v/>
      </c>
      <c r="X405" s="5">
        <f>O405-(P405+Q405+R405)</f>
        <v/>
      </c>
    </row>
    <row r="406">
      <c r="A406" s="2" t="inlineStr">
        <is>
          <t>EJ020424.TXT</t>
        </is>
      </c>
      <c r="B406" s="3" t="inlineStr">
        <is>
          <t>001578</t>
        </is>
      </c>
      <c r="C406" s="3" t="inlineStr">
        <is>
          <t>001013</t>
        </is>
      </c>
      <c r="D406" s="4" t="n">
        <v>45359</v>
      </c>
      <c r="E406" s="2" t="inlineStr">
        <is>
          <t>16:46</t>
        </is>
      </c>
      <c r="F406" s="5" t="n">
        <v>1096.67</v>
      </c>
      <c r="G406" s="5" t="n"/>
      <c r="H406" s="5" t="n"/>
      <c r="I406" s="5" t="n"/>
      <c r="J406" s="5" t="n">
        <v>219.33</v>
      </c>
      <c r="K406" s="5" t="n"/>
      <c r="L406" s="5" t="n"/>
      <c r="M406" s="5" t="n"/>
      <c r="N406" s="5" t="n"/>
      <c r="O406" s="5" t="n">
        <v>1316</v>
      </c>
      <c r="P406" s="5" t="n">
        <v>1316</v>
      </c>
      <c r="Q406" s="5" t="n"/>
      <c r="R406" s="5" t="n"/>
      <c r="S406" s="5">
        <f>F406*20%</f>
        <v/>
      </c>
      <c r="T406" s="5">
        <f>J406-S406</f>
        <v/>
      </c>
      <c r="U406" s="5">
        <f>F406+J406</f>
        <v/>
      </c>
      <c r="V406" s="5">
        <f>O406-U406</f>
        <v/>
      </c>
      <c r="W406" s="5">
        <f>O406-(P406+R406)</f>
        <v/>
      </c>
      <c r="X406" s="5">
        <f>O406-(P406+Q406+R406)</f>
        <v/>
      </c>
    </row>
    <row r="407">
      <c r="A407" s="2" t="inlineStr">
        <is>
          <t>EJ020424.TXT</t>
        </is>
      </c>
      <c r="B407" s="3" t="inlineStr">
        <is>
          <t>001579</t>
        </is>
      </c>
      <c r="C407" s="3" t="inlineStr">
        <is>
          <t>001014</t>
        </is>
      </c>
      <c r="D407" s="4" t="n">
        <v>45360</v>
      </c>
      <c r="E407" s="2" t="inlineStr">
        <is>
          <t>15:02</t>
        </is>
      </c>
      <c r="F407" s="5" t="n">
        <v>922.5</v>
      </c>
      <c r="G407" s="5" t="n"/>
      <c r="H407" s="5" t="n"/>
      <c r="I407" s="5" t="n"/>
      <c r="J407" s="5" t="n">
        <v>184.5</v>
      </c>
      <c r="K407" s="5" t="n"/>
      <c r="L407" s="5" t="n"/>
      <c r="M407" s="5" t="n"/>
      <c r="N407" s="5" t="n"/>
      <c r="O407" s="5" t="n">
        <v>1107</v>
      </c>
      <c r="P407" s="5" t="n">
        <v>1107</v>
      </c>
      <c r="Q407" s="5" t="n"/>
      <c r="R407" s="5" t="n"/>
      <c r="S407" s="5">
        <f>F407*20%</f>
        <v/>
      </c>
      <c r="T407" s="5">
        <f>J407-S407</f>
        <v/>
      </c>
      <c r="U407" s="5">
        <f>F407+J407</f>
        <v/>
      </c>
      <c r="V407" s="5">
        <f>O407-U407</f>
        <v/>
      </c>
      <c r="W407" s="5">
        <f>O407-(P407+R407)</f>
        <v/>
      </c>
      <c r="X407" s="5">
        <f>O407-(P407+Q407+R407)</f>
        <v/>
      </c>
    </row>
    <row r="408">
      <c r="A408" s="2" t="inlineStr">
        <is>
          <t>EJ020424.TXT</t>
        </is>
      </c>
      <c r="B408" s="3" t="inlineStr">
        <is>
          <t>001580</t>
        </is>
      </c>
      <c r="C408" s="3" t="inlineStr">
        <is>
          <t>001015</t>
        </is>
      </c>
      <c r="D408" s="4" t="n">
        <v>45363</v>
      </c>
      <c r="E408" s="2" t="inlineStr">
        <is>
          <t>15:55</t>
        </is>
      </c>
      <c r="F408" s="5" t="n">
        <v>545</v>
      </c>
      <c r="G408" s="5" t="n"/>
      <c r="H408" s="5" t="n"/>
      <c r="I408" s="5" t="n"/>
      <c r="J408" s="5" t="n">
        <v>109</v>
      </c>
      <c r="K408" s="5" t="n"/>
      <c r="L408" s="5" t="n"/>
      <c r="M408" s="5" t="n"/>
      <c r="N408" s="5" t="n"/>
      <c r="O408" s="5" t="n">
        <v>654</v>
      </c>
      <c r="P408" s="5" t="n">
        <v>654</v>
      </c>
      <c r="Q408" s="5" t="n"/>
      <c r="R408" s="5" t="n"/>
      <c r="S408" s="5">
        <f>F408*20%</f>
        <v/>
      </c>
      <c r="T408" s="5">
        <f>J408-S408</f>
        <v/>
      </c>
      <c r="U408" s="5">
        <f>F408+J408</f>
        <v/>
      </c>
      <c r="V408" s="5">
        <f>O408-U408</f>
        <v/>
      </c>
      <c r="W408" s="5">
        <f>O408-(P408+R408)</f>
        <v/>
      </c>
      <c r="X408" s="5">
        <f>O408-(P408+Q408+R408)</f>
        <v/>
      </c>
    </row>
    <row r="409">
      <c r="A409" s="2" t="inlineStr">
        <is>
          <t>EJ020424.TXT</t>
        </is>
      </c>
      <c r="B409" s="3" t="inlineStr">
        <is>
          <t>001581</t>
        </is>
      </c>
      <c r="C409" s="3" t="inlineStr">
        <is>
          <t>001016</t>
        </is>
      </c>
      <c r="D409" s="4" t="n">
        <v>45364</v>
      </c>
      <c r="E409" s="2" t="inlineStr">
        <is>
          <t>15:54</t>
        </is>
      </c>
      <c r="F409" s="5" t="n">
        <v>548.33</v>
      </c>
      <c r="G409" s="5" t="n"/>
      <c r="H409" s="5" t="n"/>
      <c r="I409" s="5" t="n"/>
      <c r="J409" s="5" t="n">
        <v>109.67</v>
      </c>
      <c r="K409" s="5" t="n"/>
      <c r="L409" s="5" t="n"/>
      <c r="M409" s="5" t="n"/>
      <c r="N409" s="5" t="n"/>
      <c r="O409" s="5" t="n">
        <v>658</v>
      </c>
      <c r="P409" s="5" t="n"/>
      <c r="Q409" s="5" t="n">
        <v>658</v>
      </c>
      <c r="R409" s="5" t="n"/>
      <c r="S409" s="5">
        <f>F409*20%</f>
        <v/>
      </c>
      <c r="T409" s="5">
        <f>J409-S409</f>
        <v/>
      </c>
      <c r="U409" s="5">
        <f>F409+J409</f>
        <v/>
      </c>
      <c r="V409" s="5">
        <f>O409-U409</f>
        <v/>
      </c>
      <c r="W409" s="5">
        <f>O409-(P409+R409)</f>
        <v/>
      </c>
      <c r="X409" s="5">
        <f>O409-(P409+Q409+R409)</f>
        <v/>
      </c>
    </row>
    <row r="410">
      <c r="A410" s="2" t="inlineStr">
        <is>
          <t>EJ020424.TXT</t>
        </is>
      </c>
      <c r="B410" s="3" t="inlineStr">
        <is>
          <t>001582</t>
        </is>
      </c>
      <c r="C410" s="3" t="inlineStr">
        <is>
          <t>001017</t>
        </is>
      </c>
      <c r="D410" s="4" t="n">
        <v>45364</v>
      </c>
      <c r="E410" s="2" t="inlineStr">
        <is>
          <t>16:28</t>
        </is>
      </c>
      <c r="F410" s="5" t="n">
        <v>45.75</v>
      </c>
      <c r="G410" s="5" t="n"/>
      <c r="H410" s="5" t="n"/>
      <c r="I410" s="5" t="n"/>
      <c r="J410" s="5" t="n">
        <v>9.15</v>
      </c>
      <c r="K410" s="5" t="n"/>
      <c r="L410" s="5" t="n"/>
      <c r="M410" s="5" t="n"/>
      <c r="N410" s="5" t="n"/>
      <c r="O410" s="5" t="n">
        <v>54.9</v>
      </c>
      <c r="P410" s="5" t="n">
        <v>54.9</v>
      </c>
      <c r="Q410" s="5" t="n"/>
      <c r="R410" s="5" t="n"/>
      <c r="S410" s="5">
        <f>F410*20%</f>
        <v/>
      </c>
      <c r="T410" s="5">
        <f>J410-S410</f>
        <v/>
      </c>
      <c r="U410" s="5">
        <f>F410+J410</f>
        <v/>
      </c>
      <c r="V410" s="5">
        <f>O410-U410</f>
        <v/>
      </c>
      <c r="W410" s="5">
        <f>O410-(P410+R410)</f>
        <v/>
      </c>
      <c r="X410" s="5">
        <f>O410-(P410+Q410+R410)</f>
        <v/>
      </c>
    </row>
    <row r="411">
      <c r="A411" s="2" t="inlineStr">
        <is>
          <t>EJ020424.TXT</t>
        </is>
      </c>
      <c r="B411" s="3" t="inlineStr">
        <is>
          <t>001583</t>
        </is>
      </c>
      <c r="C411" s="3" t="inlineStr">
        <is>
          <t>001018</t>
        </is>
      </c>
      <c r="D411" s="4" t="n">
        <v>45365</v>
      </c>
      <c r="E411" s="2" t="inlineStr">
        <is>
          <t>12:24</t>
        </is>
      </c>
      <c r="F411" s="5" t="n">
        <v>274.17</v>
      </c>
      <c r="G411" s="5" t="n"/>
      <c r="H411" s="5" t="n"/>
      <c r="I411" s="5" t="n"/>
      <c r="J411" s="5" t="n">
        <v>54.83</v>
      </c>
      <c r="K411" s="5" t="n"/>
      <c r="L411" s="5" t="n"/>
      <c r="M411" s="5" t="n"/>
      <c r="N411" s="5" t="n"/>
      <c r="O411" s="5" t="n">
        <v>329</v>
      </c>
      <c r="P411" s="5" t="n">
        <v>329</v>
      </c>
      <c r="Q411" s="5" t="n"/>
      <c r="R411" s="5" t="n"/>
      <c r="S411" s="5">
        <f>F411*20%</f>
        <v/>
      </c>
      <c r="T411" s="5">
        <f>J411-S411</f>
        <v/>
      </c>
      <c r="U411" s="5">
        <f>F411+J411</f>
        <v/>
      </c>
      <c r="V411" s="5">
        <f>O411-U411</f>
        <v/>
      </c>
      <c r="W411" s="5">
        <f>O411-(P411+R411)</f>
        <v/>
      </c>
      <c r="X411" s="5">
        <f>O411-(P411+Q411+R411)</f>
        <v/>
      </c>
    </row>
    <row r="412">
      <c r="A412" s="2" t="inlineStr">
        <is>
          <t>EJ020424.TXT</t>
        </is>
      </c>
      <c r="B412" s="3" t="inlineStr">
        <is>
          <t>001584</t>
        </is>
      </c>
      <c r="C412" s="3" t="inlineStr">
        <is>
          <t>001019</t>
        </is>
      </c>
      <c r="D412" s="4" t="n">
        <v>45365</v>
      </c>
      <c r="E412" s="2" t="inlineStr">
        <is>
          <t>14:15</t>
        </is>
      </c>
      <c r="F412" s="5" t="n">
        <v>822.5</v>
      </c>
      <c r="G412" s="5" t="n"/>
      <c r="H412" s="5" t="n"/>
      <c r="I412" s="5" t="n"/>
      <c r="J412" s="5" t="n">
        <v>164.5</v>
      </c>
      <c r="K412" s="5" t="n"/>
      <c r="L412" s="5" t="n"/>
      <c r="M412" s="5" t="n"/>
      <c r="N412" s="5" t="n"/>
      <c r="O412" s="5" t="n">
        <v>987</v>
      </c>
      <c r="P412" s="5" t="n"/>
      <c r="Q412" s="5" t="n">
        <v>987</v>
      </c>
      <c r="R412" s="5" t="n"/>
      <c r="S412" s="5">
        <f>F412*20%</f>
        <v/>
      </c>
      <c r="T412" s="5">
        <f>J412-S412</f>
        <v/>
      </c>
      <c r="U412" s="5">
        <f>F412+J412</f>
        <v/>
      </c>
      <c r="V412" s="5">
        <f>O412-U412</f>
        <v/>
      </c>
      <c r="W412" s="5">
        <f>O412-(P412+R412)</f>
        <v/>
      </c>
      <c r="X412" s="5">
        <f>O412-(P412+Q412+R412)</f>
        <v/>
      </c>
    </row>
    <row r="413">
      <c r="A413" s="2" t="inlineStr">
        <is>
          <t>EJ020424.TXT</t>
        </is>
      </c>
      <c r="B413" s="3" t="inlineStr">
        <is>
          <t>001585</t>
        </is>
      </c>
      <c r="C413" s="3" t="inlineStr">
        <is>
          <t>001020</t>
        </is>
      </c>
      <c r="D413" s="4" t="n">
        <v>45367</v>
      </c>
      <c r="E413" s="2" t="inlineStr">
        <is>
          <t>15:56</t>
        </is>
      </c>
      <c r="F413" s="5" t="n">
        <v>274.17</v>
      </c>
      <c r="G413" s="5" t="n"/>
      <c r="H413" s="5" t="n"/>
      <c r="I413" s="5" t="n"/>
      <c r="J413" s="5" t="n">
        <v>54.83</v>
      </c>
      <c r="K413" s="5" t="n"/>
      <c r="L413" s="5" t="n"/>
      <c r="M413" s="5" t="n"/>
      <c r="N413" s="5" t="n"/>
      <c r="O413" s="5" t="n">
        <v>329</v>
      </c>
      <c r="P413" s="5" t="n">
        <v>329</v>
      </c>
      <c r="Q413" s="5" t="n"/>
      <c r="R413" s="5" t="n"/>
      <c r="S413" s="5">
        <f>F413*20%</f>
        <v/>
      </c>
      <c r="T413" s="5">
        <f>J413-S413</f>
        <v/>
      </c>
      <c r="U413" s="5">
        <f>F413+J413</f>
        <v/>
      </c>
      <c r="V413" s="5">
        <f>O413-U413</f>
        <v/>
      </c>
      <c r="W413" s="5">
        <f>O413-(P413+R413)</f>
        <v/>
      </c>
      <c r="X413" s="5">
        <f>O413-(P413+Q413+R413)</f>
        <v/>
      </c>
    </row>
    <row r="414">
      <c r="A414" s="2" t="inlineStr">
        <is>
          <t>EJ020424.TXT</t>
        </is>
      </c>
      <c r="B414" s="3" t="inlineStr">
        <is>
          <t>001586</t>
        </is>
      </c>
      <c r="C414" s="3" t="inlineStr">
        <is>
          <t>001021</t>
        </is>
      </c>
      <c r="D414" s="4" t="n">
        <v>45367</v>
      </c>
      <c r="E414" s="2" t="inlineStr">
        <is>
          <t>16:11</t>
        </is>
      </c>
      <c r="F414" s="5" t="n">
        <v>190.83</v>
      </c>
      <c r="G414" s="5" t="n"/>
      <c r="H414" s="5" t="n"/>
      <c r="I414" s="5" t="n"/>
      <c r="J414" s="5" t="n">
        <v>38.17</v>
      </c>
      <c r="K414" s="5" t="n"/>
      <c r="L414" s="5" t="n"/>
      <c r="M414" s="5" t="n"/>
      <c r="N414" s="5" t="n"/>
      <c r="O414" s="5" t="n">
        <v>229</v>
      </c>
      <c r="P414" s="5" t="n">
        <v>229</v>
      </c>
      <c r="Q414" s="5" t="n"/>
      <c r="R414" s="5" t="n"/>
      <c r="S414" s="5">
        <f>F414*20%</f>
        <v/>
      </c>
      <c r="T414" s="5">
        <f>J414-S414</f>
        <v/>
      </c>
      <c r="U414" s="5">
        <f>F414+J414</f>
        <v/>
      </c>
      <c r="V414" s="5">
        <f>O414-U414</f>
        <v/>
      </c>
      <c r="W414" s="5">
        <f>O414-(P414+R414)</f>
        <v/>
      </c>
      <c r="X414" s="5">
        <f>O414-(P414+Q414+R414)</f>
        <v/>
      </c>
    </row>
    <row r="415">
      <c r="A415" s="2" t="inlineStr">
        <is>
          <t>EJ020424.TXT</t>
        </is>
      </c>
      <c r="B415" s="3" t="inlineStr">
        <is>
          <t>001587</t>
        </is>
      </c>
      <c r="C415" s="3" t="inlineStr">
        <is>
          <t>001022</t>
        </is>
      </c>
      <c r="D415" s="4" t="n">
        <v>45367</v>
      </c>
      <c r="E415" s="2" t="inlineStr">
        <is>
          <t>16:30</t>
        </is>
      </c>
      <c r="F415" s="5" t="n">
        <v>274.17</v>
      </c>
      <c r="G415" s="5" t="n"/>
      <c r="H415" s="5" t="n"/>
      <c r="I415" s="5" t="n"/>
      <c r="J415" s="5" t="n">
        <v>54.83</v>
      </c>
      <c r="K415" s="5" t="n"/>
      <c r="L415" s="5" t="n"/>
      <c r="M415" s="5" t="n"/>
      <c r="N415" s="5" t="n"/>
      <c r="O415" s="5" t="n">
        <v>329</v>
      </c>
      <c r="P415" s="5" t="n"/>
      <c r="Q415" s="5" t="n">
        <v>329</v>
      </c>
      <c r="R415" s="5" t="n"/>
      <c r="S415" s="5">
        <f>F415*20%</f>
        <v/>
      </c>
      <c r="T415" s="5">
        <f>J415-S415</f>
        <v/>
      </c>
      <c r="U415" s="5">
        <f>F415+J415</f>
        <v/>
      </c>
      <c r="V415" s="5">
        <f>O415-U415</f>
        <v/>
      </c>
      <c r="W415" s="5">
        <f>O415-(P415+R415)</f>
        <v/>
      </c>
      <c r="X415" s="5">
        <f>O415-(P415+Q415+R415)</f>
        <v/>
      </c>
    </row>
    <row r="416">
      <c r="A416" s="2" t="inlineStr">
        <is>
          <t>EJ020424.TXT</t>
        </is>
      </c>
      <c r="B416" s="3" t="inlineStr">
        <is>
          <t>001588</t>
        </is>
      </c>
      <c r="C416" s="3" t="inlineStr">
        <is>
          <t>001023</t>
        </is>
      </c>
      <c r="D416" s="4" t="n">
        <v>45367</v>
      </c>
      <c r="E416" s="2" t="inlineStr">
        <is>
          <t>17:38</t>
        </is>
      </c>
      <c r="F416" s="5" t="n">
        <v>566.67</v>
      </c>
      <c r="G416" s="5" t="n"/>
      <c r="H416" s="5" t="n"/>
      <c r="I416" s="5" t="n"/>
      <c r="J416" s="5" t="n">
        <v>113.33</v>
      </c>
      <c r="K416" s="5" t="n"/>
      <c r="L416" s="5" t="n"/>
      <c r="M416" s="5" t="n"/>
      <c r="N416" s="5" t="n"/>
      <c r="O416" s="5" t="n">
        <v>680</v>
      </c>
      <c r="P416" s="5" t="n"/>
      <c r="Q416" s="5" t="n">
        <v>680</v>
      </c>
      <c r="R416" s="5" t="n"/>
      <c r="S416" s="5">
        <f>F416*20%</f>
        <v/>
      </c>
      <c r="T416" s="5">
        <f>J416-S416</f>
        <v/>
      </c>
      <c r="U416" s="5">
        <f>F416+J416</f>
        <v/>
      </c>
      <c r="V416" s="5">
        <f>O416-U416</f>
        <v/>
      </c>
      <c r="W416" s="5">
        <f>O416-(P416+R416)</f>
        <v/>
      </c>
      <c r="X416" s="5">
        <f>O416-(P416+Q416+R416)</f>
        <v/>
      </c>
    </row>
    <row r="417">
      <c r="A417" s="2" t="inlineStr">
        <is>
          <t>EJ020424.TXT</t>
        </is>
      </c>
      <c r="B417" s="3" t="inlineStr">
        <is>
          <t>001589</t>
        </is>
      </c>
      <c r="C417" s="3" t="inlineStr">
        <is>
          <t>001024</t>
        </is>
      </c>
      <c r="D417" s="4" t="n">
        <v>45370</v>
      </c>
      <c r="E417" s="2" t="inlineStr">
        <is>
          <t>15:31</t>
        </is>
      </c>
      <c r="F417" s="5" t="n">
        <v>244.92</v>
      </c>
      <c r="G417" s="5" t="n"/>
      <c r="H417" s="5" t="n"/>
      <c r="I417" s="5" t="n"/>
      <c r="J417" s="5" t="n">
        <v>48.98</v>
      </c>
      <c r="K417" s="5" t="n"/>
      <c r="L417" s="5" t="n"/>
      <c r="M417" s="5" t="n"/>
      <c r="N417" s="5" t="n"/>
      <c r="O417" s="5" t="n">
        <v>293.9</v>
      </c>
      <c r="P417" s="5" t="n"/>
      <c r="Q417" s="5" t="n">
        <v>293.9</v>
      </c>
      <c r="R417" s="5" t="n"/>
      <c r="S417" s="5">
        <f>F417*20%</f>
        <v/>
      </c>
      <c r="T417" s="5">
        <f>J417-S417</f>
        <v/>
      </c>
      <c r="U417" s="5">
        <f>F417+J417</f>
        <v/>
      </c>
      <c r="V417" s="5">
        <f>O417-U417</f>
        <v/>
      </c>
      <c r="W417" s="5">
        <f>O417-(P417+R417)</f>
        <v/>
      </c>
      <c r="X417" s="5">
        <f>O417-(P417+Q417+R417)</f>
        <v/>
      </c>
    </row>
    <row r="418">
      <c r="A418" s="2" t="inlineStr">
        <is>
          <t>EJ020424.TXT</t>
        </is>
      </c>
      <c r="B418" s="3" t="inlineStr">
        <is>
          <t>001590</t>
        </is>
      </c>
      <c r="C418" s="3" t="inlineStr">
        <is>
          <t>001025</t>
        </is>
      </c>
      <c r="D418" s="4" t="n">
        <v>45371</v>
      </c>
      <c r="E418" s="2" t="inlineStr">
        <is>
          <t>14:37</t>
        </is>
      </c>
      <c r="F418" s="5" t="n">
        <v>267.5</v>
      </c>
      <c r="G418" s="5" t="n"/>
      <c r="H418" s="5" t="n"/>
      <c r="I418" s="5" t="n"/>
      <c r="J418" s="5" t="n">
        <v>53.5</v>
      </c>
      <c r="K418" s="5" t="n"/>
      <c r="L418" s="5" t="n"/>
      <c r="M418" s="5" t="n"/>
      <c r="N418" s="5" t="n"/>
      <c r="O418" s="5" t="n">
        <v>321</v>
      </c>
      <c r="P418" s="5" t="n">
        <v>321</v>
      </c>
      <c r="Q418" s="5" t="n"/>
      <c r="R418" s="5" t="n"/>
      <c r="S418" s="5">
        <f>F418*20%</f>
        <v/>
      </c>
      <c r="T418" s="5">
        <f>J418-S418</f>
        <v/>
      </c>
      <c r="U418" s="5">
        <f>F418+J418</f>
        <v/>
      </c>
      <c r="V418" s="5">
        <f>O418-U418</f>
        <v/>
      </c>
      <c r="W418" s="5">
        <f>O418-(P418+R418)</f>
        <v/>
      </c>
      <c r="X418" s="5">
        <f>O418-(P418+Q418+R418)</f>
        <v/>
      </c>
    </row>
    <row r="419">
      <c r="A419" s="2" t="inlineStr">
        <is>
          <t>EJ020424.TXT</t>
        </is>
      </c>
      <c r="B419" s="3" t="inlineStr">
        <is>
          <t>001591</t>
        </is>
      </c>
      <c r="C419" s="3" t="inlineStr">
        <is>
          <t>001026</t>
        </is>
      </c>
      <c r="D419" s="4" t="n">
        <v>45371</v>
      </c>
      <c r="E419" s="2" t="inlineStr">
        <is>
          <t>14:37</t>
        </is>
      </c>
      <c r="F419" s="5" t="n">
        <v>272.5</v>
      </c>
      <c r="G419" s="5" t="n"/>
      <c r="H419" s="5" t="n"/>
      <c r="I419" s="5" t="n"/>
      <c r="J419" s="5" t="n">
        <v>54.5</v>
      </c>
      <c r="K419" s="5" t="n"/>
      <c r="L419" s="5" t="n"/>
      <c r="M419" s="5" t="n"/>
      <c r="N419" s="5" t="n"/>
      <c r="O419" s="5" t="n">
        <v>327</v>
      </c>
      <c r="P419" s="5" t="n">
        <v>327</v>
      </c>
      <c r="Q419" s="5" t="n"/>
      <c r="R419" s="5" t="n"/>
      <c r="S419" s="5">
        <f>F419*20%</f>
        <v/>
      </c>
      <c r="T419" s="5">
        <f>J419-S419</f>
        <v/>
      </c>
      <c r="U419" s="5">
        <f>F419+J419</f>
        <v/>
      </c>
      <c r="V419" s="5">
        <f>O419-U419</f>
        <v/>
      </c>
      <c r="W419" s="5">
        <f>O419-(P419+R419)</f>
        <v/>
      </c>
      <c r="X419" s="5">
        <f>O419-(P419+Q419+R419)</f>
        <v/>
      </c>
    </row>
    <row r="420">
      <c r="A420" s="2" t="inlineStr">
        <is>
          <t>EJ020424.TXT</t>
        </is>
      </c>
      <c r="B420" s="3" t="inlineStr">
        <is>
          <t>001592</t>
        </is>
      </c>
      <c r="C420" s="3" t="inlineStr">
        <is>
          <t>001027</t>
        </is>
      </c>
      <c r="D420" s="4" t="n">
        <v>45372</v>
      </c>
      <c r="E420" s="2" t="inlineStr">
        <is>
          <t>16:18</t>
        </is>
      </c>
      <c r="F420" s="5" t="n">
        <v>82.5</v>
      </c>
      <c r="G420" s="5" t="n"/>
      <c r="H420" s="5" t="n"/>
      <c r="I420" s="5" t="n"/>
      <c r="J420" s="5" t="n">
        <v>16.5</v>
      </c>
      <c r="K420" s="5" t="n"/>
      <c r="L420" s="5" t="n"/>
      <c r="M420" s="5" t="n"/>
      <c r="N420" s="5" t="n"/>
      <c r="O420" s="5" t="n">
        <v>99</v>
      </c>
      <c r="P420" s="5" t="n">
        <v>99</v>
      </c>
      <c r="Q420" s="5" t="n"/>
      <c r="R420" s="5" t="n"/>
      <c r="S420" s="5">
        <f>F420*20%</f>
        <v/>
      </c>
      <c r="T420" s="5">
        <f>J420-S420</f>
        <v/>
      </c>
      <c r="U420" s="5">
        <f>F420+J420</f>
        <v/>
      </c>
      <c r="V420" s="5">
        <f>O420-U420</f>
        <v/>
      </c>
      <c r="W420" s="5">
        <f>O420-(P420+R420)</f>
        <v/>
      </c>
      <c r="X420" s="5">
        <f>O420-(P420+Q420+R420)</f>
        <v/>
      </c>
    </row>
    <row r="421">
      <c r="A421" s="2" t="inlineStr">
        <is>
          <t>EJ020424.TXT</t>
        </is>
      </c>
      <c r="B421" s="3" t="inlineStr">
        <is>
          <t>001593</t>
        </is>
      </c>
      <c r="C421" s="3" t="inlineStr">
        <is>
          <t>001028</t>
        </is>
      </c>
      <c r="D421" s="4" t="n">
        <v>45373</v>
      </c>
      <c r="E421" s="2" t="inlineStr">
        <is>
          <t>17:20</t>
        </is>
      </c>
      <c r="F421" s="5" t="n">
        <v>33.25</v>
      </c>
      <c r="G421" s="5" t="n"/>
      <c r="H421" s="5" t="n"/>
      <c r="I421" s="5" t="n"/>
      <c r="J421" s="5" t="n">
        <v>6.65</v>
      </c>
      <c r="K421" s="5" t="n"/>
      <c r="L421" s="5" t="n"/>
      <c r="M421" s="5" t="n"/>
      <c r="N421" s="5" t="n"/>
      <c r="O421" s="5" t="n">
        <v>39.9</v>
      </c>
      <c r="P421" s="5" t="n">
        <v>39.9</v>
      </c>
      <c r="Q421" s="5" t="n"/>
      <c r="R421" s="5" t="n"/>
      <c r="S421" s="5">
        <f>F421*20%</f>
        <v/>
      </c>
      <c r="T421" s="5">
        <f>J421-S421</f>
        <v/>
      </c>
      <c r="U421" s="5">
        <f>F421+J421</f>
        <v/>
      </c>
      <c r="V421" s="5">
        <f>O421-U421</f>
        <v/>
      </c>
      <c r="W421" s="5">
        <f>O421-(P421+R421)</f>
        <v/>
      </c>
      <c r="X421" s="5">
        <f>O421-(P421+Q421+R421)</f>
        <v/>
      </c>
    </row>
    <row r="422">
      <c r="A422" s="2" t="inlineStr">
        <is>
          <t>EJ020424.TXT</t>
        </is>
      </c>
      <c r="B422" s="3" t="inlineStr">
        <is>
          <t>001594</t>
        </is>
      </c>
      <c r="C422" s="3" t="inlineStr">
        <is>
          <t>001029</t>
        </is>
      </c>
      <c r="D422" s="4" t="n">
        <v>45374</v>
      </c>
      <c r="E422" s="2" t="inlineStr">
        <is>
          <t>15:17</t>
        </is>
      </c>
      <c r="F422" s="5" t="n">
        <v>822.5</v>
      </c>
      <c r="G422" s="5" t="n"/>
      <c r="H422" s="5" t="n"/>
      <c r="I422" s="5" t="n"/>
      <c r="J422" s="5" t="n">
        <v>164.5</v>
      </c>
      <c r="K422" s="5" t="n"/>
      <c r="L422" s="5" t="n"/>
      <c r="M422" s="5" t="n"/>
      <c r="N422" s="5" t="n"/>
      <c r="O422" s="5" t="n">
        <v>987</v>
      </c>
      <c r="P422" s="5" t="n"/>
      <c r="Q422" s="5" t="n">
        <v>987</v>
      </c>
      <c r="R422" s="5" t="n"/>
      <c r="S422" s="5">
        <f>F422*20%</f>
        <v/>
      </c>
      <c r="T422" s="5">
        <f>J422-S422</f>
        <v/>
      </c>
      <c r="U422" s="5">
        <f>F422+J422</f>
        <v/>
      </c>
      <c r="V422" s="5">
        <f>O422-U422</f>
        <v/>
      </c>
      <c r="W422" s="5">
        <f>O422-(P422+R422)</f>
        <v/>
      </c>
      <c r="X422" s="5">
        <f>O422-(P422+Q422+R422)</f>
        <v/>
      </c>
    </row>
    <row r="423">
      <c r="A423" s="2" t="inlineStr">
        <is>
          <t>EJ020424.TXT</t>
        </is>
      </c>
      <c r="B423" s="3" t="inlineStr">
        <is>
          <t>001595</t>
        </is>
      </c>
      <c r="C423" s="3" t="inlineStr">
        <is>
          <t>001030</t>
        </is>
      </c>
      <c r="D423" s="4" t="n">
        <v>45374</v>
      </c>
      <c r="E423" s="2" t="inlineStr">
        <is>
          <t>15:17</t>
        </is>
      </c>
      <c r="F423" s="5" t="n">
        <v>822.5</v>
      </c>
      <c r="G423" s="5" t="n"/>
      <c r="H423" s="5" t="n"/>
      <c r="I423" s="5" t="n"/>
      <c r="J423" s="5" t="n">
        <v>164.5</v>
      </c>
      <c r="K423" s="5" t="n"/>
      <c r="L423" s="5" t="n"/>
      <c r="M423" s="5" t="n"/>
      <c r="N423" s="5" t="n"/>
      <c r="O423" s="5" t="n">
        <v>987</v>
      </c>
      <c r="P423" s="5" t="n"/>
      <c r="Q423" s="5" t="n">
        <v>987</v>
      </c>
      <c r="R423" s="5" t="n"/>
      <c r="S423" s="5">
        <f>F423*20%</f>
        <v/>
      </c>
      <c r="T423" s="5">
        <f>J423-S423</f>
        <v/>
      </c>
      <c r="U423" s="5">
        <f>F423+J423</f>
        <v/>
      </c>
      <c r="V423" s="5">
        <f>O423-U423</f>
        <v/>
      </c>
      <c r="W423" s="5">
        <f>O423-(P423+R423)</f>
        <v/>
      </c>
      <c r="X423" s="5">
        <f>O423-(P423+Q423+R423)</f>
        <v/>
      </c>
    </row>
    <row r="424">
      <c r="A424" s="2" t="inlineStr">
        <is>
          <t>EJ020424.TXT</t>
        </is>
      </c>
      <c r="B424" s="3" t="inlineStr">
        <is>
          <t>001596</t>
        </is>
      </c>
      <c r="C424" s="3" t="inlineStr">
        <is>
          <t>001031</t>
        </is>
      </c>
      <c r="D424" s="4" t="n">
        <v>45374</v>
      </c>
      <c r="E424" s="2" t="inlineStr">
        <is>
          <t>15:32</t>
        </is>
      </c>
      <c r="F424" s="5" t="n">
        <v>548.33</v>
      </c>
      <c r="G424" s="5" t="n"/>
      <c r="H424" s="5" t="n"/>
      <c r="I424" s="5" t="n"/>
      <c r="J424" s="5" t="n">
        <v>109.67</v>
      </c>
      <c r="K424" s="5" t="n"/>
      <c r="L424" s="5" t="n"/>
      <c r="M424" s="5" t="n"/>
      <c r="N424" s="5" t="n"/>
      <c r="O424" s="5" t="n">
        <v>658</v>
      </c>
      <c r="P424" s="5" t="n">
        <v>658</v>
      </c>
      <c r="Q424" s="5" t="n"/>
      <c r="R424" s="5" t="n"/>
      <c r="S424" s="5">
        <f>F424*20%</f>
        <v/>
      </c>
      <c r="T424" s="5">
        <f>J424-S424</f>
        <v/>
      </c>
      <c r="U424" s="5">
        <f>F424+J424</f>
        <v/>
      </c>
      <c r="V424" s="5">
        <f>O424-U424</f>
        <v/>
      </c>
      <c r="W424" s="5">
        <f>O424-(P424+R424)</f>
        <v/>
      </c>
      <c r="X424" s="5">
        <f>O424-(P424+Q424+R424)</f>
        <v/>
      </c>
    </row>
    <row r="425">
      <c r="A425" s="2" t="inlineStr">
        <is>
          <t>EJ020424.TXT</t>
        </is>
      </c>
      <c r="B425" s="3" t="inlineStr">
        <is>
          <t>001597</t>
        </is>
      </c>
      <c r="C425" s="3" t="inlineStr">
        <is>
          <t>001032</t>
        </is>
      </c>
      <c r="D425" s="4" t="n">
        <v>45377</v>
      </c>
      <c r="E425" s="2" t="inlineStr">
        <is>
          <t>13:58</t>
        </is>
      </c>
      <c r="F425" s="5" t="n">
        <v>863.33</v>
      </c>
      <c r="G425" s="5" t="n"/>
      <c r="H425" s="5" t="n"/>
      <c r="I425" s="5" t="n"/>
      <c r="J425" s="5" t="n">
        <v>172.67</v>
      </c>
      <c r="K425" s="5" t="n"/>
      <c r="L425" s="5" t="n"/>
      <c r="M425" s="5" t="n"/>
      <c r="N425" s="5" t="n"/>
      <c r="O425" s="5" t="n">
        <v>1036</v>
      </c>
      <c r="P425" s="5" t="n">
        <v>1036</v>
      </c>
      <c r="Q425" s="5" t="n"/>
      <c r="R425" s="5" t="n"/>
      <c r="S425" s="5">
        <f>F425*20%</f>
        <v/>
      </c>
      <c r="T425" s="5">
        <f>J425-S425</f>
        <v/>
      </c>
      <c r="U425" s="5">
        <f>F425+J425</f>
        <v/>
      </c>
      <c r="V425" s="5">
        <f>O425-U425</f>
        <v/>
      </c>
      <c r="W425" s="5">
        <f>O425-(P425+R425)</f>
        <v/>
      </c>
      <c r="X425" s="5">
        <f>O425-(P425+Q425+R425)</f>
        <v/>
      </c>
    </row>
    <row r="426">
      <c r="A426" s="2" t="inlineStr">
        <is>
          <t>EJ020424.TXT</t>
        </is>
      </c>
      <c r="B426" s="3" t="inlineStr">
        <is>
          <t>001598</t>
        </is>
      </c>
      <c r="C426" s="3" t="inlineStr">
        <is>
          <t>001033</t>
        </is>
      </c>
      <c r="D426" s="4" t="n">
        <v>45379</v>
      </c>
      <c r="E426" s="2" t="inlineStr">
        <is>
          <t>11:58</t>
        </is>
      </c>
      <c r="F426" s="5" t="n">
        <v>274.17</v>
      </c>
      <c r="G426" s="5" t="n"/>
      <c r="H426" s="5" t="n"/>
      <c r="I426" s="5" t="n"/>
      <c r="J426" s="5" t="n">
        <v>54.83</v>
      </c>
      <c r="K426" s="5" t="n"/>
      <c r="L426" s="5" t="n"/>
      <c r="M426" s="5" t="n"/>
      <c r="N426" s="5" t="n"/>
      <c r="O426" s="5" t="n">
        <v>329</v>
      </c>
      <c r="P426" s="5" t="n">
        <v>329</v>
      </c>
      <c r="Q426" s="5" t="n"/>
      <c r="R426" s="5" t="n"/>
      <c r="S426" s="5">
        <f>F426*20%</f>
        <v/>
      </c>
      <c r="T426" s="5">
        <f>J426-S426</f>
        <v/>
      </c>
      <c r="U426" s="5">
        <f>F426+J426</f>
        <v/>
      </c>
      <c r="V426" s="5">
        <f>O426-U426</f>
        <v/>
      </c>
      <c r="W426" s="5">
        <f>O426-(P426+R426)</f>
        <v/>
      </c>
      <c r="X426" s="5">
        <f>O426-(P426+Q426+R426)</f>
        <v/>
      </c>
    </row>
    <row r="427">
      <c r="A427" s="2" t="inlineStr">
        <is>
          <t>EJ020424.TXT</t>
        </is>
      </c>
      <c r="B427" s="3" t="inlineStr">
        <is>
          <t>001599</t>
        </is>
      </c>
      <c r="C427" s="3" t="inlineStr">
        <is>
          <t>001034</t>
        </is>
      </c>
      <c r="D427" s="4" t="n">
        <v>45380</v>
      </c>
      <c r="E427" s="2" t="inlineStr">
        <is>
          <t>16:02</t>
        </is>
      </c>
      <c r="F427" s="5" t="n">
        <v>274.17</v>
      </c>
      <c r="G427" s="5" t="n"/>
      <c r="H427" s="5" t="n"/>
      <c r="I427" s="5" t="n"/>
      <c r="J427" s="5" t="n">
        <v>54.83</v>
      </c>
      <c r="K427" s="5" t="n"/>
      <c r="L427" s="5" t="n"/>
      <c r="M427" s="5" t="n"/>
      <c r="N427" s="5" t="n"/>
      <c r="O427" s="5" t="n">
        <v>329</v>
      </c>
      <c r="P427" s="5" t="n">
        <v>329</v>
      </c>
      <c r="Q427" s="5" t="n"/>
      <c r="R427" s="5" t="n"/>
      <c r="S427" s="5">
        <f>F427*20%</f>
        <v/>
      </c>
      <c r="T427" s="5">
        <f>J427-S427</f>
        <v/>
      </c>
      <c r="U427" s="5">
        <f>F427+J427</f>
        <v/>
      </c>
      <c r="V427" s="5">
        <f>O427-U427</f>
        <v/>
      </c>
      <c r="W427" s="5">
        <f>O427-(P427+R427)</f>
        <v/>
      </c>
      <c r="X427" s="5">
        <f>O427-(P427+Q427+R427)</f>
        <v/>
      </c>
    </row>
    <row r="428">
      <c r="A428" s="2" t="inlineStr">
        <is>
          <t>EJ020424.TXT</t>
        </is>
      </c>
      <c r="B428" s="3" t="inlineStr">
        <is>
          <t>001600</t>
        </is>
      </c>
      <c r="C428" s="3" t="inlineStr">
        <is>
          <t>001035</t>
        </is>
      </c>
      <c r="D428" s="4" t="n">
        <v>45381</v>
      </c>
      <c r="E428" s="2" t="inlineStr">
        <is>
          <t>16:36</t>
        </is>
      </c>
      <c r="F428" s="5" t="n">
        <v>82.25</v>
      </c>
      <c r="G428" s="5" t="n"/>
      <c r="H428" s="5" t="n"/>
      <c r="I428" s="5" t="n"/>
      <c r="J428" s="5" t="n">
        <v>16.45</v>
      </c>
      <c r="K428" s="5" t="n"/>
      <c r="L428" s="5" t="n"/>
      <c r="M428" s="5" t="n"/>
      <c r="N428" s="5" t="n"/>
      <c r="O428" s="5" t="n">
        <v>98.7</v>
      </c>
      <c r="P428" s="5" t="n">
        <v>98.7</v>
      </c>
      <c r="Q428" s="5" t="n"/>
      <c r="R428" s="5" t="n"/>
      <c r="S428" s="5">
        <f>F428*20%</f>
        <v/>
      </c>
      <c r="T428" s="5">
        <f>J428-S428</f>
        <v/>
      </c>
      <c r="U428" s="5">
        <f>F428+J428</f>
        <v/>
      </c>
      <c r="V428" s="5">
        <f>O428-U428</f>
        <v/>
      </c>
      <c r="W428" s="5">
        <f>O428-(P428+R428)</f>
        <v/>
      </c>
      <c r="X428" s="5">
        <f>O428-(P428+Q428+R428)</f>
        <v/>
      </c>
    </row>
    <row r="429">
      <c r="A429" s="2" t="inlineStr">
        <is>
          <t>EJ020524.TXT</t>
        </is>
      </c>
      <c r="B429" s="3" t="inlineStr">
        <is>
          <t>001605</t>
        </is>
      </c>
      <c r="C429" s="3" t="inlineStr">
        <is>
          <t>001036</t>
        </is>
      </c>
      <c r="D429" s="4" t="n">
        <v>45386</v>
      </c>
      <c r="E429" s="2" t="inlineStr">
        <is>
          <t>13:58</t>
        </is>
      </c>
      <c r="F429" s="5" t="n">
        <v>548.33</v>
      </c>
      <c r="G429" s="5" t="n"/>
      <c r="H429" s="5" t="n"/>
      <c r="I429" s="5" t="n"/>
      <c r="J429" s="5" t="n">
        <v>109.67</v>
      </c>
      <c r="K429" s="5" t="n"/>
      <c r="L429" s="5" t="n"/>
      <c r="M429" s="5" t="n"/>
      <c r="N429" s="5" t="n"/>
      <c r="O429" s="5" t="n">
        <v>658</v>
      </c>
      <c r="P429" s="5" t="n">
        <v>658</v>
      </c>
      <c r="Q429" s="5" t="n"/>
      <c r="R429" s="5" t="n"/>
      <c r="S429" s="5">
        <f>F429*20%</f>
        <v/>
      </c>
      <c r="T429" s="5">
        <f>J429-S429</f>
        <v/>
      </c>
      <c r="U429" s="5">
        <f>F429+J429</f>
        <v/>
      </c>
      <c r="V429" s="5">
        <f>O429-U429</f>
        <v/>
      </c>
      <c r="W429" s="5">
        <f>O429-(P429+R429)</f>
        <v/>
      </c>
      <c r="X429" s="5">
        <f>O429-(P429+Q429+R429)</f>
        <v/>
      </c>
    </row>
    <row r="430">
      <c r="A430" s="2" t="inlineStr">
        <is>
          <t>EJ020524.TXT</t>
        </is>
      </c>
      <c r="B430" s="3" t="inlineStr">
        <is>
          <t>001606</t>
        </is>
      </c>
      <c r="C430" s="3" t="inlineStr">
        <is>
          <t>001037</t>
        </is>
      </c>
      <c r="D430" s="4" t="n">
        <v>45387</v>
      </c>
      <c r="E430" s="2" t="inlineStr">
        <is>
          <t>09:01</t>
        </is>
      </c>
      <c r="F430" s="5" t="n">
        <v>548.33</v>
      </c>
      <c r="G430" s="5" t="n"/>
      <c r="H430" s="5" t="n"/>
      <c r="I430" s="5" t="n"/>
      <c r="J430" s="5" t="n">
        <v>109.67</v>
      </c>
      <c r="K430" s="5" t="n"/>
      <c r="L430" s="5" t="n"/>
      <c r="M430" s="5" t="n"/>
      <c r="N430" s="5" t="n"/>
      <c r="O430" s="5" t="n">
        <v>658</v>
      </c>
      <c r="P430" s="5" t="n">
        <v>658</v>
      </c>
      <c r="Q430" s="5" t="n"/>
      <c r="R430" s="5" t="n"/>
      <c r="S430" s="5">
        <f>F430*20%</f>
        <v/>
      </c>
      <c r="T430" s="5">
        <f>J430-S430</f>
        <v/>
      </c>
      <c r="U430" s="5">
        <f>F430+J430</f>
        <v/>
      </c>
      <c r="V430" s="5">
        <f>O430-U430</f>
        <v/>
      </c>
      <c r="W430" s="5">
        <f>O430-(P430+R430)</f>
        <v/>
      </c>
      <c r="X430" s="5">
        <f>O430-(P430+Q430+R430)</f>
        <v/>
      </c>
    </row>
    <row r="431">
      <c r="A431" s="2" t="inlineStr">
        <is>
          <t>EJ020524.TXT</t>
        </is>
      </c>
      <c r="B431" s="3" t="inlineStr">
        <is>
          <t>001612</t>
        </is>
      </c>
      <c r="C431" s="3" t="inlineStr">
        <is>
          <t>001038</t>
        </is>
      </c>
      <c r="D431" s="4" t="n">
        <v>45390</v>
      </c>
      <c r="E431" s="2" t="inlineStr">
        <is>
          <t>14:35</t>
        </is>
      </c>
      <c r="F431" s="5" t="n">
        <v>658.33</v>
      </c>
      <c r="G431" s="5" t="n"/>
      <c r="H431" s="5" t="n"/>
      <c r="I431" s="5" t="n"/>
      <c r="J431" s="5" t="n">
        <v>131.67</v>
      </c>
      <c r="K431" s="5" t="n"/>
      <c r="L431" s="5" t="n"/>
      <c r="M431" s="5" t="n"/>
      <c r="N431" s="5" t="n"/>
      <c r="O431" s="5" t="n">
        <v>790</v>
      </c>
      <c r="P431" s="5" t="n">
        <v>790</v>
      </c>
      <c r="Q431" s="5" t="n"/>
      <c r="R431" s="5" t="n"/>
      <c r="S431" s="5">
        <f>F431*20%</f>
        <v/>
      </c>
      <c r="T431" s="5">
        <f>J431-S431</f>
        <v/>
      </c>
      <c r="U431" s="5">
        <f>F431+J431</f>
        <v/>
      </c>
      <c r="V431" s="5">
        <f>O431-U431</f>
        <v/>
      </c>
      <c r="W431" s="5">
        <f>O431-(P431+R431)</f>
        <v/>
      </c>
      <c r="X431" s="5">
        <f>O431-(P431+Q431+R431)</f>
        <v/>
      </c>
    </row>
    <row r="432">
      <c r="A432" s="2" t="inlineStr">
        <is>
          <t>EJ020524.TXT</t>
        </is>
      </c>
      <c r="B432" s="3" t="inlineStr">
        <is>
          <t>001613</t>
        </is>
      </c>
      <c r="C432" s="3" t="inlineStr">
        <is>
          <t>001039</t>
        </is>
      </c>
      <c r="D432" s="4" t="n">
        <v>45392</v>
      </c>
      <c r="E432" s="2" t="inlineStr">
        <is>
          <t>10:50</t>
        </is>
      </c>
      <c r="F432" s="5" t="n">
        <v>548.33</v>
      </c>
      <c r="G432" s="5" t="n"/>
      <c r="H432" s="5" t="n"/>
      <c r="I432" s="5" t="n"/>
      <c r="J432" s="5" t="n">
        <v>109.67</v>
      </c>
      <c r="K432" s="5" t="n"/>
      <c r="L432" s="5" t="n"/>
      <c r="M432" s="5" t="n"/>
      <c r="N432" s="5" t="n"/>
      <c r="O432" s="5" t="n">
        <v>658</v>
      </c>
      <c r="P432" s="5" t="n">
        <v>658</v>
      </c>
      <c r="Q432" s="5" t="n"/>
      <c r="R432" s="5" t="n"/>
      <c r="S432" s="5">
        <f>F432*20%</f>
        <v/>
      </c>
      <c r="T432" s="5">
        <f>J432-S432</f>
        <v/>
      </c>
      <c r="U432" s="5">
        <f>F432+J432</f>
        <v/>
      </c>
      <c r="V432" s="5">
        <f>O432-U432</f>
        <v/>
      </c>
      <c r="W432" s="5">
        <f>O432-(P432+R432)</f>
        <v/>
      </c>
      <c r="X432" s="5">
        <f>O432-(P432+Q432+R432)</f>
        <v/>
      </c>
    </row>
    <row r="433">
      <c r="A433" s="2" t="inlineStr">
        <is>
          <t>EJ020524.TXT</t>
        </is>
      </c>
      <c r="B433" s="3" t="inlineStr">
        <is>
          <t>001614</t>
        </is>
      </c>
      <c r="C433" s="3" t="inlineStr">
        <is>
          <t>001040</t>
        </is>
      </c>
      <c r="D433" s="4" t="n">
        <v>45392</v>
      </c>
      <c r="E433" s="2" t="inlineStr">
        <is>
          <t>10:52</t>
        </is>
      </c>
      <c r="F433" s="5" t="n">
        <v>548.33</v>
      </c>
      <c r="G433" s="5" t="n"/>
      <c r="H433" s="5" t="n"/>
      <c r="I433" s="5" t="n"/>
      <c r="J433" s="5" t="n">
        <v>109.67</v>
      </c>
      <c r="K433" s="5" t="n"/>
      <c r="L433" s="5" t="n"/>
      <c r="M433" s="5" t="n"/>
      <c r="N433" s="5" t="n"/>
      <c r="O433" s="5" t="n">
        <v>658</v>
      </c>
      <c r="P433" s="5" t="n">
        <v>658</v>
      </c>
      <c r="Q433" s="5" t="n"/>
      <c r="R433" s="5" t="n"/>
      <c r="S433" s="5">
        <f>F433*20%</f>
        <v/>
      </c>
      <c r="T433" s="5">
        <f>J433-S433</f>
        <v/>
      </c>
      <c r="U433" s="5">
        <f>F433+J433</f>
        <v/>
      </c>
      <c r="V433" s="5">
        <f>O433-U433</f>
        <v/>
      </c>
      <c r="W433" s="5">
        <f>O433-(P433+R433)</f>
        <v/>
      </c>
      <c r="X433" s="5">
        <f>O433-(P433+Q433+R433)</f>
        <v/>
      </c>
    </row>
    <row r="434">
      <c r="A434" s="2" t="inlineStr">
        <is>
          <t>EJ020524.TXT</t>
        </is>
      </c>
      <c r="B434" s="3" t="inlineStr">
        <is>
          <t>001617</t>
        </is>
      </c>
      <c r="C434" s="3" t="inlineStr">
        <is>
          <t>001041</t>
        </is>
      </c>
      <c r="D434" s="4" t="n">
        <v>45393</v>
      </c>
      <c r="E434" s="2" t="inlineStr">
        <is>
          <t>11:26</t>
        </is>
      </c>
      <c r="F434" s="5" t="n">
        <v>3190</v>
      </c>
      <c r="G434" s="5" t="n"/>
      <c r="H434" s="5" t="n"/>
      <c r="I434" s="5" t="n"/>
      <c r="J434" s="5" t="n">
        <v>638</v>
      </c>
      <c r="K434" s="5" t="n"/>
      <c r="L434" s="5" t="n"/>
      <c r="M434" s="5" t="n"/>
      <c r="N434" s="5" t="n"/>
      <c r="O434" s="5" t="n">
        <v>3828</v>
      </c>
      <c r="P434" s="5" t="n">
        <v>3828</v>
      </c>
      <c r="Q434" s="5" t="n"/>
      <c r="R434" s="5" t="n"/>
      <c r="S434" s="5">
        <f>F434*20%</f>
        <v/>
      </c>
      <c r="T434" s="5">
        <f>J434-S434</f>
        <v/>
      </c>
      <c r="U434" s="5">
        <f>F434+J434</f>
        <v/>
      </c>
      <c r="V434" s="5">
        <f>O434-U434</f>
        <v/>
      </c>
      <c r="W434" s="5">
        <f>O434-(P434+R434)</f>
        <v/>
      </c>
      <c r="X434" s="5">
        <f>O434-(P434+Q434+R434)</f>
        <v/>
      </c>
    </row>
    <row r="435">
      <c r="A435" s="2" t="inlineStr">
        <is>
          <t>EJ020524.TXT</t>
        </is>
      </c>
      <c r="B435" s="3" t="inlineStr">
        <is>
          <t>001618</t>
        </is>
      </c>
      <c r="C435" s="3" t="inlineStr">
        <is>
          <t>001042</t>
        </is>
      </c>
      <c r="D435" s="4" t="n">
        <v>45393</v>
      </c>
      <c r="E435" s="2" t="inlineStr">
        <is>
          <t>12:53</t>
        </is>
      </c>
      <c r="F435" s="5" t="n">
        <v>548.33</v>
      </c>
      <c r="G435" s="5" t="n"/>
      <c r="H435" s="5" t="n"/>
      <c r="I435" s="5" t="n"/>
      <c r="J435" s="5" t="n">
        <v>109.67</v>
      </c>
      <c r="K435" s="5" t="n"/>
      <c r="L435" s="5" t="n"/>
      <c r="M435" s="5" t="n"/>
      <c r="N435" s="5" t="n"/>
      <c r="O435" s="5" t="n">
        <v>658</v>
      </c>
      <c r="P435" s="5" t="n">
        <v>658</v>
      </c>
      <c r="Q435" s="5" t="n"/>
      <c r="R435" s="5" t="n"/>
      <c r="S435" s="5">
        <f>F435*20%</f>
        <v/>
      </c>
      <c r="T435" s="5">
        <f>J435-S435</f>
        <v/>
      </c>
      <c r="U435" s="5">
        <f>F435+J435</f>
        <v/>
      </c>
      <c r="V435" s="5">
        <f>O435-U435</f>
        <v/>
      </c>
      <c r="W435" s="5">
        <f>O435-(P435+R435)</f>
        <v/>
      </c>
      <c r="X435" s="5">
        <f>O435-(P435+Q435+R435)</f>
        <v/>
      </c>
    </row>
    <row r="436">
      <c r="A436" s="2" t="inlineStr">
        <is>
          <t>EJ020524.TXT</t>
        </is>
      </c>
      <c r="B436" s="3" t="inlineStr">
        <is>
          <t>001619</t>
        </is>
      </c>
      <c r="C436" s="3" t="inlineStr">
        <is>
          <t>001043</t>
        </is>
      </c>
      <c r="D436" s="4" t="n">
        <v>45394</v>
      </c>
      <c r="E436" s="2" t="inlineStr">
        <is>
          <t>14:50</t>
        </is>
      </c>
      <c r="F436" s="5" t="n">
        <v>279.65</v>
      </c>
      <c r="G436" s="5" t="n"/>
      <c r="H436" s="5" t="n"/>
      <c r="I436" s="5" t="n"/>
      <c r="J436" s="5" t="n">
        <v>55.93</v>
      </c>
      <c r="K436" s="5" t="n"/>
      <c r="L436" s="5" t="n"/>
      <c r="M436" s="5" t="n"/>
      <c r="N436" s="5" t="n"/>
      <c r="O436" s="5" t="n">
        <v>335.58</v>
      </c>
      <c r="P436" s="5" t="n">
        <v>335.58</v>
      </c>
      <c r="Q436" s="5" t="n"/>
      <c r="R436" s="5" t="n"/>
      <c r="S436" s="5">
        <f>F436*20%</f>
        <v/>
      </c>
      <c r="T436" s="5">
        <f>J436-S436</f>
        <v/>
      </c>
      <c r="U436" s="5">
        <f>F436+J436</f>
        <v/>
      </c>
      <c r="V436" s="5">
        <f>O436-U436</f>
        <v/>
      </c>
      <c r="W436" s="5">
        <f>O436-(P436+R436)</f>
        <v/>
      </c>
      <c r="X436" s="5">
        <f>O436-(P436+Q436+R436)</f>
        <v/>
      </c>
    </row>
    <row r="437">
      <c r="A437" s="2" t="inlineStr">
        <is>
          <t>EJ020524.TXT</t>
        </is>
      </c>
      <c r="B437" s="3" t="inlineStr">
        <is>
          <t>001620</t>
        </is>
      </c>
      <c r="C437" s="3" t="inlineStr">
        <is>
          <t>001044</t>
        </is>
      </c>
      <c r="D437" s="4" t="n">
        <v>45394</v>
      </c>
      <c r="E437" s="2" t="inlineStr">
        <is>
          <t>14:52</t>
        </is>
      </c>
      <c r="F437" s="5" t="n">
        <v>548.33</v>
      </c>
      <c r="G437" s="5" t="n"/>
      <c r="H437" s="5" t="n"/>
      <c r="I437" s="5" t="n"/>
      <c r="J437" s="5" t="n">
        <v>109.67</v>
      </c>
      <c r="K437" s="5" t="n"/>
      <c r="L437" s="5" t="n"/>
      <c r="M437" s="5" t="n"/>
      <c r="N437" s="5" t="n"/>
      <c r="O437" s="5" t="n">
        <v>658</v>
      </c>
      <c r="P437" s="5" t="n">
        <v>658</v>
      </c>
      <c r="Q437" s="5" t="n"/>
      <c r="R437" s="5" t="n"/>
      <c r="S437" s="5">
        <f>F437*20%</f>
        <v/>
      </c>
      <c r="T437" s="5">
        <f>J437-S437</f>
        <v/>
      </c>
      <c r="U437" s="5">
        <f>F437+J437</f>
        <v/>
      </c>
      <c r="V437" s="5">
        <f>O437-U437</f>
        <v/>
      </c>
      <c r="W437" s="5">
        <f>O437-(P437+R437)</f>
        <v/>
      </c>
      <c r="X437" s="5">
        <f>O437-(P437+Q437+R437)</f>
        <v/>
      </c>
    </row>
    <row r="438">
      <c r="A438" s="2" t="inlineStr">
        <is>
          <t>EJ020524.TXT</t>
        </is>
      </c>
      <c r="B438" s="3" t="inlineStr">
        <is>
          <t>001621</t>
        </is>
      </c>
      <c r="C438" s="3" t="inlineStr">
        <is>
          <t>001045</t>
        </is>
      </c>
      <c r="D438" s="4" t="n">
        <v>45397</v>
      </c>
      <c r="E438" s="2" t="inlineStr">
        <is>
          <t>09:33</t>
        </is>
      </c>
      <c r="F438" s="5" t="n">
        <v>548.33</v>
      </c>
      <c r="G438" s="5" t="n"/>
      <c r="H438" s="5" t="n"/>
      <c r="I438" s="5" t="n"/>
      <c r="J438" s="5" t="n">
        <v>109.67</v>
      </c>
      <c r="K438" s="5" t="n"/>
      <c r="L438" s="5" t="n"/>
      <c r="M438" s="5" t="n"/>
      <c r="N438" s="5" t="n"/>
      <c r="O438" s="5" t="n">
        <v>658</v>
      </c>
      <c r="P438" s="5" t="n">
        <v>658</v>
      </c>
      <c r="Q438" s="5" t="n"/>
      <c r="R438" s="5" t="n"/>
      <c r="S438" s="5">
        <f>F438*20%</f>
        <v/>
      </c>
      <c r="T438" s="5">
        <f>J438-S438</f>
        <v/>
      </c>
      <c r="U438" s="5">
        <f>F438+J438</f>
        <v/>
      </c>
      <c r="V438" s="5">
        <f>O438-U438</f>
        <v/>
      </c>
      <c r="W438" s="5">
        <f>O438-(P438+R438)</f>
        <v/>
      </c>
      <c r="X438" s="5">
        <f>O438-(P438+Q438+R438)</f>
        <v/>
      </c>
    </row>
    <row r="439">
      <c r="A439" s="2" t="inlineStr">
        <is>
          <t>EJ020524.TXT</t>
        </is>
      </c>
      <c r="B439" s="3" t="inlineStr">
        <is>
          <t>001622</t>
        </is>
      </c>
      <c r="C439" s="3" t="inlineStr">
        <is>
          <t>001046</t>
        </is>
      </c>
      <c r="D439" s="4" t="n">
        <v>45397</v>
      </c>
      <c r="E439" s="2" t="inlineStr">
        <is>
          <t>09:33</t>
        </is>
      </c>
      <c r="F439" s="5" t="n">
        <v>548.33</v>
      </c>
      <c r="G439" s="5" t="n"/>
      <c r="H439" s="5" t="n"/>
      <c r="I439" s="5" t="n"/>
      <c r="J439" s="5" t="n">
        <v>109.67</v>
      </c>
      <c r="K439" s="5" t="n"/>
      <c r="L439" s="5" t="n"/>
      <c r="M439" s="5" t="n"/>
      <c r="N439" s="5" t="n"/>
      <c r="O439" s="5" t="n">
        <v>658</v>
      </c>
      <c r="P439" s="5" t="n">
        <v>658</v>
      </c>
      <c r="Q439" s="5" t="n"/>
      <c r="R439" s="5" t="n"/>
      <c r="S439" s="5">
        <f>F439*20%</f>
        <v/>
      </c>
      <c r="T439" s="5">
        <f>J439-S439</f>
        <v/>
      </c>
      <c r="U439" s="5">
        <f>F439+J439</f>
        <v/>
      </c>
      <c r="V439" s="5">
        <f>O439-U439</f>
        <v/>
      </c>
      <c r="W439" s="5">
        <f>O439-(P439+R439)</f>
        <v/>
      </c>
      <c r="X439" s="5">
        <f>O439-(P439+Q439+R439)</f>
        <v/>
      </c>
    </row>
    <row r="440">
      <c r="A440" s="2" t="inlineStr">
        <is>
          <t>EJ020524.TXT</t>
        </is>
      </c>
      <c r="B440" s="3" t="inlineStr">
        <is>
          <t>001623</t>
        </is>
      </c>
      <c r="C440" s="3" t="inlineStr">
        <is>
          <t>001047</t>
        </is>
      </c>
      <c r="D440" s="4" t="n">
        <v>45398</v>
      </c>
      <c r="E440" s="2" t="inlineStr">
        <is>
          <t>16:31</t>
        </is>
      </c>
      <c r="F440" s="5" t="n">
        <v>548.33</v>
      </c>
      <c r="G440" s="5" t="n"/>
      <c r="H440" s="5" t="n"/>
      <c r="I440" s="5" t="n"/>
      <c r="J440" s="5" t="n">
        <v>109.67</v>
      </c>
      <c r="K440" s="5" t="n"/>
      <c r="L440" s="5" t="n"/>
      <c r="M440" s="5" t="n"/>
      <c r="N440" s="5" t="n"/>
      <c r="O440" s="5" t="n">
        <v>658</v>
      </c>
      <c r="P440" s="5" t="n">
        <v>658</v>
      </c>
      <c r="Q440" s="5" t="n"/>
      <c r="R440" s="5" t="n"/>
      <c r="S440" s="5">
        <f>F440*20%</f>
        <v/>
      </c>
      <c r="T440" s="5">
        <f>J440-S440</f>
        <v/>
      </c>
      <c r="U440" s="5">
        <f>F440+J440</f>
        <v/>
      </c>
      <c r="V440" s="5">
        <f>O440-U440</f>
        <v/>
      </c>
      <c r="W440" s="5">
        <f>O440-(P440+R440)</f>
        <v/>
      </c>
      <c r="X440" s="5">
        <f>O440-(P440+Q440+R440)</f>
        <v/>
      </c>
    </row>
    <row r="441">
      <c r="A441" s="2" t="inlineStr">
        <is>
          <t>EJ020524.TXT</t>
        </is>
      </c>
      <c r="B441" s="3" t="inlineStr">
        <is>
          <t>001625</t>
        </is>
      </c>
      <c r="C441" s="3" t="inlineStr">
        <is>
          <t>001048</t>
        </is>
      </c>
      <c r="D441" s="4" t="n">
        <v>45400</v>
      </c>
      <c r="E441" s="2" t="inlineStr">
        <is>
          <t>10:03</t>
        </is>
      </c>
      <c r="F441" s="5" t="n">
        <v>416.33</v>
      </c>
      <c r="G441" s="5" t="n"/>
      <c r="H441" s="5" t="n"/>
      <c r="I441" s="5" t="n"/>
      <c r="J441" s="5" t="n">
        <v>83.27</v>
      </c>
      <c r="K441" s="5" t="n"/>
      <c r="L441" s="5" t="n"/>
      <c r="M441" s="5" t="n"/>
      <c r="N441" s="5" t="n"/>
      <c r="O441" s="5" t="n">
        <v>499.6</v>
      </c>
      <c r="P441" s="5" t="n"/>
      <c r="Q441" s="5" t="n">
        <v>499.6</v>
      </c>
      <c r="R441" s="5" t="n"/>
      <c r="S441" s="5">
        <f>F441*20%</f>
        <v/>
      </c>
      <c r="T441" s="5">
        <f>J441-S441</f>
        <v/>
      </c>
      <c r="U441" s="5">
        <f>F441+J441</f>
        <v/>
      </c>
      <c r="V441" s="5">
        <f>O441-U441</f>
        <v/>
      </c>
      <c r="W441" s="5">
        <f>O441-(P441+R441)</f>
        <v/>
      </c>
      <c r="X441" s="5">
        <f>O441-(P441+Q441+R441)</f>
        <v/>
      </c>
    </row>
    <row r="442">
      <c r="A442" s="2" t="inlineStr">
        <is>
          <t>EJ020524.TXT</t>
        </is>
      </c>
      <c r="B442" s="3" t="inlineStr">
        <is>
          <t>001627</t>
        </is>
      </c>
      <c r="C442" s="3" t="inlineStr">
        <is>
          <t>001049</t>
        </is>
      </c>
      <c r="D442" s="4" t="n">
        <v>45400</v>
      </c>
      <c r="E442" s="2" t="inlineStr">
        <is>
          <t>11:25</t>
        </is>
      </c>
      <c r="F442" s="5" t="n">
        <v>190.83</v>
      </c>
      <c r="G442" s="5" t="n"/>
      <c r="H442" s="5" t="n"/>
      <c r="I442" s="5" t="n"/>
      <c r="J442" s="5" t="n">
        <v>38.17</v>
      </c>
      <c r="K442" s="5" t="n"/>
      <c r="L442" s="5" t="n"/>
      <c r="M442" s="5" t="n"/>
      <c r="N442" s="5" t="n"/>
      <c r="O442" s="5" t="n">
        <v>229</v>
      </c>
      <c r="P442" s="5" t="n">
        <v>229</v>
      </c>
      <c r="Q442" s="5" t="n"/>
      <c r="R442" s="5" t="n"/>
      <c r="S442" s="5">
        <f>F442*20%</f>
        <v/>
      </c>
      <c r="T442" s="5">
        <f>J442-S442</f>
        <v/>
      </c>
      <c r="U442" s="5">
        <f>F442+J442</f>
        <v/>
      </c>
      <c r="V442" s="5">
        <f>O442-U442</f>
        <v/>
      </c>
      <c r="W442" s="5">
        <f>O442-(P442+R442)</f>
        <v/>
      </c>
      <c r="X442" s="5">
        <f>O442-(P442+Q442+R442)</f>
        <v/>
      </c>
    </row>
    <row r="443">
      <c r="A443" s="2" t="inlineStr">
        <is>
          <t>EJ020524.TXT</t>
        </is>
      </c>
      <c r="B443" s="3" t="inlineStr">
        <is>
          <t>001628</t>
        </is>
      </c>
      <c r="C443" s="3" t="inlineStr">
        <is>
          <t>001050</t>
        </is>
      </c>
      <c r="D443" s="4" t="n">
        <v>45400</v>
      </c>
      <c r="E443" s="2" t="inlineStr">
        <is>
          <t>11:49</t>
        </is>
      </c>
      <c r="F443" s="5" t="n">
        <v>66.5</v>
      </c>
      <c r="G443" s="5" t="n"/>
      <c r="H443" s="5" t="n"/>
      <c r="I443" s="5" t="n"/>
      <c r="J443" s="5" t="n">
        <v>13.3</v>
      </c>
      <c r="K443" s="5" t="n"/>
      <c r="L443" s="5" t="n"/>
      <c r="M443" s="5" t="n"/>
      <c r="N443" s="5" t="n"/>
      <c r="O443" s="5" t="n">
        <v>79.8</v>
      </c>
      <c r="P443" s="5" t="n">
        <v>79.8</v>
      </c>
      <c r="Q443" s="5" t="n"/>
      <c r="R443" s="5" t="n"/>
      <c r="S443" s="5">
        <f>F443*20%</f>
        <v/>
      </c>
      <c r="T443" s="5">
        <f>J443-S443</f>
        <v/>
      </c>
      <c r="U443" s="5">
        <f>F443+J443</f>
        <v/>
      </c>
      <c r="V443" s="5">
        <f>O443-U443</f>
        <v/>
      </c>
      <c r="W443" s="5">
        <f>O443-(P443+R443)</f>
        <v/>
      </c>
      <c r="X443" s="5">
        <f>O443-(P443+Q443+R443)</f>
        <v/>
      </c>
    </row>
    <row r="444">
      <c r="A444" s="2" t="inlineStr">
        <is>
          <t>EJ020524.TXT</t>
        </is>
      </c>
      <c r="B444" s="3" t="inlineStr">
        <is>
          <t>001629</t>
        </is>
      </c>
      <c r="C444" s="3" t="inlineStr">
        <is>
          <t>001051</t>
        </is>
      </c>
      <c r="D444" s="4" t="n">
        <v>45400</v>
      </c>
      <c r="E444" s="2" t="inlineStr">
        <is>
          <t>12:47</t>
        </is>
      </c>
      <c r="F444" s="5" t="n">
        <v>60.83</v>
      </c>
      <c r="G444" s="5" t="n"/>
      <c r="H444" s="5" t="n"/>
      <c r="I444" s="5" t="n"/>
      <c r="J444" s="5" t="n">
        <v>12.17</v>
      </c>
      <c r="K444" s="5" t="n"/>
      <c r="L444" s="5" t="n"/>
      <c r="M444" s="5" t="n"/>
      <c r="N444" s="5" t="n"/>
      <c r="O444" s="5" t="n">
        <v>73</v>
      </c>
      <c r="P444" s="5" t="n">
        <v>73</v>
      </c>
      <c r="Q444" s="5" t="n"/>
      <c r="R444" s="5" t="n"/>
      <c r="S444" s="5">
        <f>F444*20%</f>
        <v/>
      </c>
      <c r="T444" s="5">
        <f>J444-S444</f>
        <v/>
      </c>
      <c r="U444" s="5">
        <f>F444+J444</f>
        <v/>
      </c>
      <c r="V444" s="5">
        <f>O444-U444</f>
        <v/>
      </c>
      <c r="W444" s="5">
        <f>O444-(P444+R444)</f>
        <v/>
      </c>
      <c r="X444" s="5">
        <f>O444-(P444+Q444+R444)</f>
        <v/>
      </c>
    </row>
    <row r="445">
      <c r="A445" s="2" t="inlineStr">
        <is>
          <t>EJ020524.TXT</t>
        </is>
      </c>
      <c r="B445" s="3" t="inlineStr">
        <is>
          <t>001630</t>
        </is>
      </c>
      <c r="C445" s="3" t="inlineStr">
        <is>
          <t>001052</t>
        </is>
      </c>
      <c r="D445" s="4" t="n">
        <v>45402</v>
      </c>
      <c r="E445" s="2" t="inlineStr">
        <is>
          <t>13:16</t>
        </is>
      </c>
      <c r="F445" s="5" t="n">
        <v>548.33</v>
      </c>
      <c r="G445" s="5" t="n"/>
      <c r="H445" s="5" t="n"/>
      <c r="I445" s="5" t="n"/>
      <c r="J445" s="5" t="n">
        <v>109.67</v>
      </c>
      <c r="K445" s="5" t="n"/>
      <c r="L445" s="5" t="n"/>
      <c r="M445" s="5" t="n"/>
      <c r="N445" s="5" t="n"/>
      <c r="O445" s="5" t="n">
        <v>658</v>
      </c>
      <c r="P445" s="5" t="n"/>
      <c r="Q445" s="5" t="n">
        <v>658</v>
      </c>
      <c r="R445" s="5" t="n"/>
      <c r="S445" s="5">
        <f>F445*20%</f>
        <v/>
      </c>
      <c r="T445" s="5">
        <f>J445-S445</f>
        <v/>
      </c>
      <c r="U445" s="5">
        <f>F445+J445</f>
        <v/>
      </c>
      <c r="V445" s="5">
        <f>O445-U445</f>
        <v/>
      </c>
      <c r="W445" s="5">
        <f>O445-(P445+R445)</f>
        <v/>
      </c>
      <c r="X445" s="5">
        <f>O445-(P445+Q445+R445)</f>
        <v/>
      </c>
    </row>
    <row r="446">
      <c r="A446" s="2" t="inlineStr">
        <is>
          <t>EJ020524.TXT</t>
        </is>
      </c>
      <c r="B446" s="3" t="inlineStr">
        <is>
          <t>001632</t>
        </is>
      </c>
      <c r="C446" s="3" t="inlineStr">
        <is>
          <t>001053</t>
        </is>
      </c>
      <c r="D446" s="4" t="n">
        <v>45404</v>
      </c>
      <c r="E446" s="2" t="inlineStr">
        <is>
          <t>10:36</t>
        </is>
      </c>
      <c r="F446" s="5" t="n">
        <v>41.58</v>
      </c>
      <c r="G446" s="5" t="n"/>
      <c r="H446" s="5" t="n"/>
      <c r="I446" s="5" t="n"/>
      <c r="J446" s="5" t="n">
        <v>8.32</v>
      </c>
      <c r="K446" s="5" t="n"/>
      <c r="L446" s="5" t="n"/>
      <c r="M446" s="5" t="n"/>
      <c r="N446" s="5" t="n"/>
      <c r="O446" s="5" t="n">
        <v>49.9</v>
      </c>
      <c r="P446" s="5" t="n">
        <v>49.9</v>
      </c>
      <c r="Q446" s="5" t="n"/>
      <c r="R446" s="5" t="n"/>
      <c r="S446" s="5">
        <f>F446*20%</f>
        <v/>
      </c>
      <c r="T446" s="5">
        <f>J446-S446</f>
        <v/>
      </c>
      <c r="U446" s="5">
        <f>F446+J446</f>
        <v/>
      </c>
      <c r="V446" s="5">
        <f>O446-U446</f>
        <v/>
      </c>
      <c r="W446" s="5">
        <f>O446-(P446+R446)</f>
        <v/>
      </c>
      <c r="X446" s="5">
        <f>O446-(P446+Q446+R446)</f>
        <v/>
      </c>
    </row>
    <row r="447">
      <c r="A447" s="2" t="inlineStr">
        <is>
          <t>EJ020524.TXT</t>
        </is>
      </c>
      <c r="B447" s="3" t="inlineStr">
        <is>
          <t>001633</t>
        </is>
      </c>
      <c r="C447" s="3" t="inlineStr">
        <is>
          <t>001054</t>
        </is>
      </c>
      <c r="D447" s="4" t="n">
        <v>45404</v>
      </c>
      <c r="E447" s="2" t="inlineStr">
        <is>
          <t>10:53</t>
        </is>
      </c>
      <c r="F447" s="5" t="n">
        <v>582.5</v>
      </c>
      <c r="G447" s="5" t="n"/>
      <c r="H447" s="5" t="n"/>
      <c r="I447" s="5" t="n"/>
      <c r="J447" s="5" t="n">
        <v>116.5</v>
      </c>
      <c r="K447" s="5" t="n"/>
      <c r="L447" s="5" t="n"/>
      <c r="M447" s="5" t="n"/>
      <c r="N447" s="5" t="n"/>
      <c r="O447" s="5" t="n">
        <v>699</v>
      </c>
      <c r="P447" s="5" t="n">
        <v>699</v>
      </c>
      <c r="Q447" s="5" t="n"/>
      <c r="R447" s="5" t="n"/>
      <c r="S447" s="5">
        <f>F447*20%</f>
        <v/>
      </c>
      <c r="T447" s="5">
        <f>J447-S447</f>
        <v/>
      </c>
      <c r="U447" s="5">
        <f>F447+J447</f>
        <v/>
      </c>
      <c r="V447" s="5">
        <f>O447-U447</f>
        <v/>
      </c>
      <c r="W447" s="5">
        <f>O447-(P447+R447)</f>
        <v/>
      </c>
      <c r="X447" s="5">
        <f>O447-(P447+Q447+R447)</f>
        <v/>
      </c>
    </row>
    <row r="448">
      <c r="A448" s="2" t="inlineStr">
        <is>
          <t>EJ020524.TXT</t>
        </is>
      </c>
      <c r="B448" s="3" t="inlineStr">
        <is>
          <t>001634</t>
        </is>
      </c>
      <c r="C448" s="3" t="inlineStr">
        <is>
          <t>001055</t>
        </is>
      </c>
      <c r="D448" s="4" t="n">
        <v>45405</v>
      </c>
      <c r="E448" s="2" t="inlineStr">
        <is>
          <t>13:45</t>
        </is>
      </c>
      <c r="F448" s="5" t="n">
        <v>2600</v>
      </c>
      <c r="G448" s="5" t="n"/>
      <c r="H448" s="5" t="n"/>
      <c r="I448" s="5" t="n"/>
      <c r="J448" s="5" t="n">
        <v>520</v>
      </c>
      <c r="K448" s="5" t="n"/>
      <c r="L448" s="5" t="n"/>
      <c r="M448" s="5" t="n"/>
      <c r="N448" s="5" t="n"/>
      <c r="O448" s="5" t="n">
        <v>3120</v>
      </c>
      <c r="P448" s="5" t="n">
        <v>3120</v>
      </c>
      <c r="Q448" s="5" t="n"/>
      <c r="R448" s="5" t="n"/>
      <c r="S448" s="5">
        <f>F448*20%</f>
        <v/>
      </c>
      <c r="T448" s="5">
        <f>J448-S448</f>
        <v/>
      </c>
      <c r="U448" s="5">
        <f>F448+J448</f>
        <v/>
      </c>
      <c r="V448" s="5">
        <f>O448-U448</f>
        <v/>
      </c>
      <c r="W448" s="5">
        <f>O448-(P448+R448)</f>
        <v/>
      </c>
      <c r="X448" s="5">
        <f>O448-(P448+Q448+R448)</f>
        <v/>
      </c>
    </row>
    <row r="449">
      <c r="A449" s="2" t="inlineStr">
        <is>
          <t>EJ020524.TXT</t>
        </is>
      </c>
      <c r="B449" s="3" t="inlineStr">
        <is>
          <t>001635</t>
        </is>
      </c>
      <c r="C449" s="3" t="inlineStr">
        <is>
          <t>001056</t>
        </is>
      </c>
      <c r="D449" s="4" t="n">
        <v>45406</v>
      </c>
      <c r="E449" s="2" t="inlineStr">
        <is>
          <t>12:23</t>
        </is>
      </c>
      <c r="F449" s="5" t="n">
        <v>329.17</v>
      </c>
      <c r="G449" s="5" t="n"/>
      <c r="H449" s="5" t="n"/>
      <c r="I449" s="5" t="n"/>
      <c r="J449" s="5" t="n">
        <v>65.83</v>
      </c>
      <c r="K449" s="5" t="n"/>
      <c r="L449" s="5" t="n"/>
      <c r="M449" s="5" t="n"/>
      <c r="N449" s="5" t="n"/>
      <c r="O449" s="5" t="n">
        <v>395</v>
      </c>
      <c r="P449" s="5" t="n"/>
      <c r="Q449" s="5" t="n">
        <v>395</v>
      </c>
      <c r="R449" s="5" t="n"/>
      <c r="S449" s="5">
        <f>F449*20%</f>
        <v/>
      </c>
      <c r="T449" s="5">
        <f>J449-S449</f>
        <v/>
      </c>
      <c r="U449" s="5">
        <f>F449+J449</f>
        <v/>
      </c>
      <c r="V449" s="5">
        <f>O449-U449</f>
        <v/>
      </c>
      <c r="W449" s="5">
        <f>O449-(P449+R449)</f>
        <v/>
      </c>
      <c r="X449" s="5">
        <f>O449-(P449+Q449+R449)</f>
        <v/>
      </c>
    </row>
    <row r="450">
      <c r="A450" s="2" t="inlineStr">
        <is>
          <t>EJ020524.TXT</t>
        </is>
      </c>
      <c r="B450" s="3" t="inlineStr">
        <is>
          <t>001637</t>
        </is>
      </c>
      <c r="C450" s="3" t="inlineStr">
        <is>
          <t>001057</t>
        </is>
      </c>
      <c r="D450" s="4" t="n">
        <v>45407</v>
      </c>
      <c r="E450" s="2" t="inlineStr">
        <is>
          <t>11:05</t>
        </is>
      </c>
      <c r="F450" s="5" t="n">
        <v>274.17</v>
      </c>
      <c r="G450" s="5" t="n"/>
      <c r="H450" s="5" t="n"/>
      <c r="I450" s="5" t="n"/>
      <c r="J450" s="5" t="n">
        <v>54.83</v>
      </c>
      <c r="K450" s="5" t="n"/>
      <c r="L450" s="5" t="n"/>
      <c r="M450" s="5" t="n"/>
      <c r="N450" s="5" t="n"/>
      <c r="O450" s="5" t="n">
        <v>329</v>
      </c>
      <c r="P450" s="5" t="n">
        <v>329</v>
      </c>
      <c r="Q450" s="5" t="n"/>
      <c r="R450" s="5" t="n"/>
      <c r="S450" s="5">
        <f>F450*20%</f>
        <v/>
      </c>
      <c r="T450" s="5">
        <f>J450-S450</f>
        <v/>
      </c>
      <c r="U450" s="5">
        <f>F450+J450</f>
        <v/>
      </c>
      <c r="V450" s="5">
        <f>O450-U450</f>
        <v/>
      </c>
      <c r="W450" s="5">
        <f>O450-(P450+R450)</f>
        <v/>
      </c>
      <c r="X450" s="5">
        <f>O450-(P450+Q450+R450)</f>
        <v/>
      </c>
    </row>
    <row r="451">
      <c r="A451" s="2" t="inlineStr">
        <is>
          <t>EJ020524.TXT</t>
        </is>
      </c>
      <c r="B451" s="3" t="inlineStr">
        <is>
          <t>001638</t>
        </is>
      </c>
      <c r="C451" s="3" t="inlineStr">
        <is>
          <t>001058</t>
        </is>
      </c>
      <c r="D451" s="4" t="n">
        <v>45407</v>
      </c>
      <c r="E451" s="2" t="inlineStr">
        <is>
          <t>12:38</t>
        </is>
      </c>
      <c r="F451" s="5" t="n">
        <v>548.33</v>
      </c>
      <c r="G451" s="5" t="n"/>
      <c r="H451" s="5" t="n"/>
      <c r="I451" s="5" t="n"/>
      <c r="J451" s="5" t="n">
        <v>109.67</v>
      </c>
      <c r="K451" s="5" t="n"/>
      <c r="L451" s="5" t="n"/>
      <c r="M451" s="5" t="n"/>
      <c r="N451" s="5" t="n"/>
      <c r="O451" s="5" t="n">
        <v>658</v>
      </c>
      <c r="P451" s="5" t="n">
        <v>658</v>
      </c>
      <c r="Q451" s="5" t="n"/>
      <c r="R451" s="5" t="n"/>
      <c r="S451" s="5">
        <f>F451*20%</f>
        <v/>
      </c>
      <c r="T451" s="5">
        <f>J451-S451</f>
        <v/>
      </c>
      <c r="U451" s="5">
        <f>F451+J451</f>
        <v/>
      </c>
      <c r="V451" s="5">
        <f>O451-U451</f>
        <v/>
      </c>
      <c r="W451" s="5">
        <f>O451-(P451+R451)</f>
        <v/>
      </c>
      <c r="X451" s="5">
        <f>O451-(P451+Q451+R451)</f>
        <v/>
      </c>
    </row>
    <row r="452">
      <c r="A452" s="2" t="inlineStr">
        <is>
          <t>EJ020524.TXT</t>
        </is>
      </c>
      <c r="B452" s="3" t="inlineStr">
        <is>
          <t>001639</t>
        </is>
      </c>
      <c r="C452" s="3" t="inlineStr">
        <is>
          <t>001059</t>
        </is>
      </c>
      <c r="D452" s="4" t="n">
        <v>45408</v>
      </c>
      <c r="E452" s="2" t="inlineStr">
        <is>
          <t>10:26</t>
        </is>
      </c>
      <c r="F452" s="5" t="n">
        <v>548.33</v>
      </c>
      <c r="G452" s="5" t="n"/>
      <c r="H452" s="5" t="n"/>
      <c r="I452" s="5" t="n"/>
      <c r="J452" s="5" t="n">
        <v>109.67</v>
      </c>
      <c r="K452" s="5" t="n"/>
      <c r="L452" s="5" t="n"/>
      <c r="M452" s="5" t="n"/>
      <c r="N452" s="5" t="n"/>
      <c r="O452" s="5" t="n">
        <v>658</v>
      </c>
      <c r="P452" s="5" t="n"/>
      <c r="Q452" s="5" t="n">
        <v>658</v>
      </c>
      <c r="R452" s="5" t="n"/>
      <c r="S452" s="5">
        <f>F452*20%</f>
        <v/>
      </c>
      <c r="T452" s="5">
        <f>J452-S452</f>
        <v/>
      </c>
      <c r="U452" s="5">
        <f>F452+J452</f>
        <v/>
      </c>
      <c r="V452" s="5">
        <f>O452-U452</f>
        <v/>
      </c>
      <c r="W452" s="5">
        <f>O452-(P452+R452)</f>
        <v/>
      </c>
      <c r="X452" s="5">
        <f>O452-(P452+Q452+R452)</f>
        <v/>
      </c>
    </row>
    <row r="453">
      <c r="A453" s="2" t="inlineStr">
        <is>
          <t>EJ020524.TXT</t>
        </is>
      </c>
      <c r="B453" s="3" t="inlineStr">
        <is>
          <t>001644</t>
        </is>
      </c>
      <c r="C453" s="3" t="inlineStr">
        <is>
          <t>001060</t>
        </is>
      </c>
      <c r="D453" s="4" t="n">
        <v>45408</v>
      </c>
      <c r="E453" s="2" t="inlineStr">
        <is>
          <t>13:49</t>
        </is>
      </c>
      <c r="F453" s="5" t="n">
        <v>183</v>
      </c>
      <c r="G453" s="5" t="n"/>
      <c r="H453" s="5" t="n"/>
      <c r="I453" s="5" t="n"/>
      <c r="J453" s="5" t="n">
        <v>36.6</v>
      </c>
      <c r="K453" s="5" t="n"/>
      <c r="L453" s="5" t="n"/>
      <c r="M453" s="5" t="n"/>
      <c r="N453" s="5" t="n"/>
      <c r="O453" s="5" t="n">
        <v>219.6</v>
      </c>
      <c r="P453" s="5" t="n"/>
      <c r="Q453" s="5" t="n">
        <v>219.6</v>
      </c>
      <c r="R453" s="5" t="n"/>
      <c r="S453" s="5">
        <f>F453*20%</f>
        <v/>
      </c>
      <c r="T453" s="5">
        <f>J453-S453</f>
        <v/>
      </c>
      <c r="U453" s="5">
        <f>F453+J453</f>
        <v/>
      </c>
      <c r="V453" s="5">
        <f>O453-U453</f>
        <v/>
      </c>
      <c r="W453" s="5">
        <f>O453-(P453+R453)</f>
        <v/>
      </c>
      <c r="X453" s="5">
        <f>O453-(P453+Q453+R453)</f>
        <v/>
      </c>
    </row>
    <row r="454">
      <c r="A454" s="2" t="inlineStr">
        <is>
          <t>EJ020524.TXT</t>
        </is>
      </c>
      <c r="B454" s="3" t="inlineStr">
        <is>
          <t>001645</t>
        </is>
      </c>
      <c r="C454" s="3" t="inlineStr">
        <is>
          <t>001061</t>
        </is>
      </c>
      <c r="D454" s="4" t="n">
        <v>45408</v>
      </c>
      <c r="E454" s="2" t="inlineStr">
        <is>
          <t>14:18</t>
        </is>
      </c>
      <c r="F454" s="5" t="n">
        <v>2375</v>
      </c>
      <c r="G454" s="5" t="n"/>
      <c r="H454" s="5" t="n"/>
      <c r="I454" s="5" t="n"/>
      <c r="J454" s="5" t="n">
        <v>475</v>
      </c>
      <c r="K454" s="5" t="n"/>
      <c r="L454" s="5" t="n"/>
      <c r="M454" s="5" t="n"/>
      <c r="N454" s="5" t="n"/>
      <c r="O454" s="5" t="n">
        <v>2850</v>
      </c>
      <c r="P454" s="5" t="n">
        <v>2850</v>
      </c>
      <c r="Q454" s="5" t="n"/>
      <c r="R454" s="5" t="n"/>
      <c r="S454" s="5">
        <f>F454*20%</f>
        <v/>
      </c>
      <c r="T454" s="5">
        <f>J454-S454</f>
        <v/>
      </c>
      <c r="U454" s="5">
        <f>F454+J454</f>
        <v/>
      </c>
      <c r="V454" s="5">
        <f>O454-U454</f>
        <v/>
      </c>
      <c r="W454" s="5">
        <f>O454-(P454+R454)</f>
        <v/>
      </c>
      <c r="X454" s="5">
        <f>O454-(P454+Q454+R454)</f>
        <v/>
      </c>
    </row>
    <row r="455">
      <c r="A455" s="2" t="inlineStr">
        <is>
          <t>EJ020524.TXT</t>
        </is>
      </c>
      <c r="B455" s="3" t="inlineStr">
        <is>
          <t>001646</t>
        </is>
      </c>
      <c r="C455" s="3" t="inlineStr">
        <is>
          <t>001062</t>
        </is>
      </c>
      <c r="D455" s="4" t="n">
        <v>45408</v>
      </c>
      <c r="E455" s="2" t="inlineStr">
        <is>
          <t>14:39</t>
        </is>
      </c>
      <c r="F455" s="5" t="n">
        <v>536.25</v>
      </c>
      <c r="G455" s="5" t="n"/>
      <c r="H455" s="5" t="n"/>
      <c r="I455" s="5" t="n"/>
      <c r="J455" s="5" t="n">
        <v>107.25</v>
      </c>
      <c r="K455" s="5" t="n"/>
      <c r="L455" s="5" t="n"/>
      <c r="M455" s="5" t="n"/>
      <c r="N455" s="5" t="n"/>
      <c r="O455" s="5" t="n">
        <v>643.5</v>
      </c>
      <c r="P455" s="5" t="n"/>
      <c r="Q455" s="5" t="n">
        <v>643.5</v>
      </c>
      <c r="R455" s="5" t="n"/>
      <c r="S455" s="5">
        <f>F455*20%</f>
        <v/>
      </c>
      <c r="T455" s="5">
        <f>J455-S455</f>
        <v/>
      </c>
      <c r="U455" s="5">
        <f>F455+J455</f>
        <v/>
      </c>
      <c r="V455" s="5">
        <f>O455-U455</f>
        <v/>
      </c>
      <c r="W455" s="5">
        <f>O455-(P455+R455)</f>
        <v/>
      </c>
      <c r="X455" s="5">
        <f>O455-(P455+Q455+R455)</f>
        <v/>
      </c>
    </row>
    <row r="456">
      <c r="A456" s="2" t="inlineStr">
        <is>
          <t>EJ020524.TXT</t>
        </is>
      </c>
      <c r="B456" s="3" t="inlineStr">
        <is>
          <t>001647</t>
        </is>
      </c>
      <c r="C456" s="3" t="inlineStr">
        <is>
          <t>001063</t>
        </is>
      </c>
      <c r="D456" s="4" t="n">
        <v>45408</v>
      </c>
      <c r="E456" s="2" t="inlineStr">
        <is>
          <t>16:00</t>
        </is>
      </c>
      <c r="F456" s="5" t="n">
        <v>274.17</v>
      </c>
      <c r="G456" s="5" t="n"/>
      <c r="H456" s="5" t="n"/>
      <c r="I456" s="5" t="n"/>
      <c r="J456" s="5" t="n">
        <v>54.83</v>
      </c>
      <c r="K456" s="5" t="n"/>
      <c r="L456" s="5" t="n"/>
      <c r="M456" s="5" t="n"/>
      <c r="N456" s="5" t="n"/>
      <c r="O456" s="5" t="n">
        <v>329</v>
      </c>
      <c r="P456" s="5" t="n">
        <v>329</v>
      </c>
      <c r="Q456" s="5" t="n"/>
      <c r="R456" s="5" t="n"/>
      <c r="S456" s="5">
        <f>F456*20%</f>
        <v/>
      </c>
      <c r="T456" s="5">
        <f>J456-S456</f>
        <v/>
      </c>
      <c r="U456" s="5">
        <f>F456+J456</f>
        <v/>
      </c>
      <c r="V456" s="5">
        <f>O456-U456</f>
        <v/>
      </c>
      <c r="W456" s="5">
        <f>O456-(P456+R456)</f>
        <v/>
      </c>
      <c r="X456" s="5">
        <f>O456-(P456+Q456+R456)</f>
        <v/>
      </c>
    </row>
    <row r="457">
      <c r="A457" s="2" t="inlineStr">
        <is>
          <t>EJ020524.TXT</t>
        </is>
      </c>
      <c r="B457" s="3" t="inlineStr">
        <is>
          <t>001648</t>
        </is>
      </c>
      <c r="C457" s="3" t="inlineStr">
        <is>
          <t>001064</t>
        </is>
      </c>
      <c r="D457" s="4" t="n">
        <v>45409</v>
      </c>
      <c r="E457" s="2" t="inlineStr">
        <is>
          <t>16:42</t>
        </is>
      </c>
      <c r="F457" s="5" t="n">
        <v>274.17</v>
      </c>
      <c r="G457" s="5" t="n"/>
      <c r="H457" s="5" t="n"/>
      <c r="I457" s="5" t="n"/>
      <c r="J457" s="5" t="n">
        <v>54.83</v>
      </c>
      <c r="K457" s="5" t="n"/>
      <c r="L457" s="5" t="n"/>
      <c r="M457" s="5" t="n"/>
      <c r="N457" s="5" t="n"/>
      <c r="O457" s="5" t="n">
        <v>329</v>
      </c>
      <c r="P457" s="5" t="n"/>
      <c r="Q457" s="5" t="n">
        <v>329</v>
      </c>
      <c r="R457" s="5" t="n"/>
      <c r="S457" s="5">
        <f>F457*20%</f>
        <v/>
      </c>
      <c r="T457" s="5">
        <f>J457-S457</f>
        <v/>
      </c>
      <c r="U457" s="5">
        <f>F457+J457</f>
        <v/>
      </c>
      <c r="V457" s="5">
        <f>O457-U457</f>
        <v/>
      </c>
      <c r="W457" s="5">
        <f>O457-(P457+R457)</f>
        <v/>
      </c>
      <c r="X457" s="5">
        <f>O457-(P457+Q457+R457)</f>
        <v/>
      </c>
    </row>
    <row r="458">
      <c r="A458" s="2" t="inlineStr">
        <is>
          <t>EJ010624.TXT</t>
        </is>
      </c>
      <c r="B458" s="3" t="inlineStr">
        <is>
          <t>001655</t>
        </is>
      </c>
      <c r="C458" s="3" t="inlineStr">
        <is>
          <t>001065</t>
        </is>
      </c>
      <c r="D458" s="4" t="n">
        <v>45414</v>
      </c>
      <c r="E458" s="2" t="inlineStr">
        <is>
          <t>15:00</t>
        </is>
      </c>
      <c r="F458" s="5" t="n">
        <v>548.33</v>
      </c>
      <c r="G458" s="5" t="n"/>
      <c r="H458" s="5" t="n"/>
      <c r="I458" s="5" t="n"/>
      <c r="J458" s="5" t="n">
        <v>109.67</v>
      </c>
      <c r="K458" s="5" t="n"/>
      <c r="L458" s="5" t="n"/>
      <c r="M458" s="5" t="n"/>
      <c r="N458" s="5" t="n"/>
      <c r="O458" s="5" t="n">
        <v>658</v>
      </c>
      <c r="P458" s="5" t="n">
        <v>658</v>
      </c>
      <c r="Q458" s="5" t="n"/>
      <c r="R458" s="5" t="n"/>
      <c r="S458" s="5">
        <f>F458*20%</f>
        <v/>
      </c>
      <c r="T458" s="5">
        <f>J458-S458</f>
        <v/>
      </c>
      <c r="U458" s="5">
        <f>F458+J458</f>
        <v/>
      </c>
      <c r="V458" s="5">
        <f>O458-U458</f>
        <v/>
      </c>
      <c r="W458" s="5">
        <f>O458-(P458+R458)</f>
        <v/>
      </c>
      <c r="X458" s="5">
        <f>O458-(P458+Q458+R458)</f>
        <v/>
      </c>
    </row>
    <row r="459">
      <c r="A459" s="2" t="inlineStr">
        <is>
          <t>EJ010624.TXT</t>
        </is>
      </c>
      <c r="B459" s="3" t="inlineStr">
        <is>
          <t>001658</t>
        </is>
      </c>
      <c r="C459" s="3" t="inlineStr">
        <is>
          <t>001066</t>
        </is>
      </c>
      <c r="D459" s="4" t="n">
        <v>45416</v>
      </c>
      <c r="E459" s="2" t="inlineStr">
        <is>
          <t>14:40</t>
        </is>
      </c>
      <c r="F459" s="5" t="n">
        <v>274.17</v>
      </c>
      <c r="G459" s="5" t="n"/>
      <c r="H459" s="5" t="n"/>
      <c r="I459" s="5" t="n"/>
      <c r="J459" s="5" t="n">
        <v>54.83</v>
      </c>
      <c r="K459" s="5" t="n"/>
      <c r="L459" s="5" t="n"/>
      <c r="M459" s="5" t="n"/>
      <c r="N459" s="5" t="n"/>
      <c r="O459" s="5" t="n">
        <v>329</v>
      </c>
      <c r="P459" s="5" t="n"/>
      <c r="Q459" s="5" t="n">
        <v>329</v>
      </c>
      <c r="R459" s="5" t="n"/>
      <c r="S459" s="5">
        <f>F459*20%</f>
        <v/>
      </c>
      <c r="T459" s="5">
        <f>J459-S459</f>
        <v/>
      </c>
      <c r="U459" s="5">
        <f>F459+J459</f>
        <v/>
      </c>
      <c r="V459" s="5">
        <f>O459-U459</f>
        <v/>
      </c>
      <c r="W459" s="5">
        <f>O459-(P459+R459)</f>
        <v/>
      </c>
      <c r="X459" s="5">
        <f>O459-(P459+Q459+R459)</f>
        <v/>
      </c>
    </row>
    <row r="460">
      <c r="A460" s="2" t="inlineStr">
        <is>
          <t>EJ010624.TXT</t>
        </is>
      </c>
      <c r="B460" s="3" t="inlineStr">
        <is>
          <t>001659</t>
        </is>
      </c>
      <c r="C460" s="3" t="inlineStr">
        <is>
          <t>001067</t>
        </is>
      </c>
      <c r="D460" s="4" t="n">
        <v>45416</v>
      </c>
      <c r="E460" s="2" t="inlineStr">
        <is>
          <t>14:53</t>
        </is>
      </c>
      <c r="F460" s="5" t="n">
        <v>274.17</v>
      </c>
      <c r="G460" s="5" t="n"/>
      <c r="H460" s="5" t="n"/>
      <c r="I460" s="5" t="n"/>
      <c r="J460" s="5" t="n">
        <v>54.83</v>
      </c>
      <c r="K460" s="5" t="n"/>
      <c r="L460" s="5" t="n"/>
      <c r="M460" s="5" t="n"/>
      <c r="N460" s="5" t="n"/>
      <c r="O460" s="5" t="n">
        <v>329</v>
      </c>
      <c r="P460" s="5" t="n">
        <v>329</v>
      </c>
      <c r="Q460" s="5" t="n"/>
      <c r="R460" s="5" t="n"/>
      <c r="S460" s="5">
        <f>F460*20%</f>
        <v/>
      </c>
      <c r="T460" s="5">
        <f>J460-S460</f>
        <v/>
      </c>
      <c r="U460" s="5">
        <f>F460+J460</f>
        <v/>
      </c>
      <c r="V460" s="5">
        <f>O460-U460</f>
        <v/>
      </c>
      <c r="W460" s="5">
        <f>O460-(P460+R460)</f>
        <v/>
      </c>
      <c r="X460" s="5">
        <f>O460-(P460+Q460+R460)</f>
        <v/>
      </c>
    </row>
    <row r="461">
      <c r="A461" s="2" t="inlineStr">
        <is>
          <t>EJ010624.TXT</t>
        </is>
      </c>
      <c r="B461" s="3" t="inlineStr">
        <is>
          <t>001661</t>
        </is>
      </c>
      <c r="C461" s="3" t="inlineStr">
        <is>
          <t>001068</t>
        </is>
      </c>
      <c r="D461" s="4" t="n">
        <v>45418</v>
      </c>
      <c r="E461" s="2" t="inlineStr">
        <is>
          <t>13:11</t>
        </is>
      </c>
      <c r="F461" s="5" t="n">
        <v>730</v>
      </c>
      <c r="G461" s="5" t="n"/>
      <c r="H461" s="5" t="n"/>
      <c r="I461" s="5" t="n"/>
      <c r="J461" s="5" t="n">
        <v>146</v>
      </c>
      <c r="K461" s="5" t="n"/>
      <c r="L461" s="5" t="n"/>
      <c r="M461" s="5" t="n"/>
      <c r="N461" s="5" t="n"/>
      <c r="O461" s="5" t="n">
        <v>876</v>
      </c>
      <c r="P461" s="5" t="n">
        <v>876</v>
      </c>
      <c r="Q461" s="5" t="n"/>
      <c r="R461" s="5" t="n"/>
      <c r="S461" s="5">
        <f>F461*20%</f>
        <v/>
      </c>
      <c r="T461" s="5">
        <f>J461-S461</f>
        <v/>
      </c>
      <c r="U461" s="5">
        <f>F461+J461</f>
        <v/>
      </c>
      <c r="V461" s="5">
        <f>O461-U461</f>
        <v/>
      </c>
      <c r="W461" s="5">
        <f>O461-(P461+R461)</f>
        <v/>
      </c>
      <c r="X461" s="5">
        <f>O461-(P461+Q461+R461)</f>
        <v/>
      </c>
    </row>
    <row r="462">
      <c r="A462" s="2" t="inlineStr">
        <is>
          <t>EJ010624.TXT</t>
        </is>
      </c>
      <c r="B462" s="3" t="inlineStr">
        <is>
          <t>001662</t>
        </is>
      </c>
      <c r="C462" s="3" t="inlineStr">
        <is>
          <t>001069</t>
        </is>
      </c>
      <c r="D462" s="4" t="n">
        <v>45422</v>
      </c>
      <c r="E462" s="2" t="inlineStr">
        <is>
          <t>11:21</t>
        </is>
      </c>
      <c r="F462" s="5" t="n">
        <v>324.08</v>
      </c>
      <c r="G462" s="5" t="n"/>
      <c r="H462" s="5" t="n"/>
      <c r="I462" s="5" t="n"/>
      <c r="J462" s="5" t="n">
        <v>64.81999999999999</v>
      </c>
      <c r="K462" s="5" t="n"/>
      <c r="L462" s="5" t="n"/>
      <c r="M462" s="5" t="n"/>
      <c r="N462" s="5" t="n"/>
      <c r="O462" s="5" t="n">
        <v>388.9</v>
      </c>
      <c r="P462" s="5" t="n">
        <v>388.9</v>
      </c>
      <c r="Q462" s="5" t="n"/>
      <c r="R462" s="5" t="n"/>
      <c r="S462" s="5">
        <f>F462*20%</f>
        <v/>
      </c>
      <c r="T462" s="5">
        <f>J462-S462</f>
        <v/>
      </c>
      <c r="U462" s="5">
        <f>F462+J462</f>
        <v/>
      </c>
      <c r="V462" s="5">
        <f>O462-U462</f>
        <v/>
      </c>
      <c r="W462" s="5">
        <f>O462-(P462+R462)</f>
        <v/>
      </c>
      <c r="X462" s="5">
        <f>O462-(P462+Q462+R462)</f>
        <v/>
      </c>
    </row>
    <row r="463">
      <c r="A463" s="2" t="inlineStr">
        <is>
          <t>EJ010624.TXT</t>
        </is>
      </c>
      <c r="B463" s="3" t="inlineStr">
        <is>
          <t>001663</t>
        </is>
      </c>
      <c r="C463" s="3" t="inlineStr">
        <is>
          <t>001070</t>
        </is>
      </c>
      <c r="D463" s="4" t="n">
        <v>45422</v>
      </c>
      <c r="E463" s="2" t="inlineStr">
        <is>
          <t>13:12</t>
        </is>
      </c>
      <c r="F463" s="5" t="n">
        <v>1096.67</v>
      </c>
      <c r="G463" s="5" t="n"/>
      <c r="H463" s="5" t="n"/>
      <c r="I463" s="5" t="n"/>
      <c r="J463" s="5" t="n">
        <v>219.33</v>
      </c>
      <c r="K463" s="5" t="n"/>
      <c r="L463" s="5" t="n"/>
      <c r="M463" s="5" t="n"/>
      <c r="N463" s="5" t="n"/>
      <c r="O463" s="5" t="n">
        <v>1316</v>
      </c>
      <c r="P463" s="5" t="n">
        <v>1316</v>
      </c>
      <c r="Q463" s="5" t="n"/>
      <c r="R463" s="5" t="n"/>
      <c r="S463" s="5">
        <f>F463*20%</f>
        <v/>
      </c>
      <c r="T463" s="5">
        <f>J463-S463</f>
        <v/>
      </c>
      <c r="U463" s="5">
        <f>F463+J463</f>
        <v/>
      </c>
      <c r="V463" s="5">
        <f>O463-U463</f>
        <v/>
      </c>
      <c r="W463" s="5">
        <f>O463-(P463+R463)</f>
        <v/>
      </c>
      <c r="X463" s="5">
        <f>O463-(P463+Q463+R463)</f>
        <v/>
      </c>
    </row>
    <row r="464">
      <c r="A464" s="2" t="inlineStr">
        <is>
          <t>EJ010624.TXT</t>
        </is>
      </c>
      <c r="B464" s="3" t="inlineStr">
        <is>
          <t>001664</t>
        </is>
      </c>
      <c r="C464" s="3" t="inlineStr">
        <is>
          <t>001071</t>
        </is>
      </c>
      <c r="D464" s="4" t="n">
        <v>45423</v>
      </c>
      <c r="E464" s="2" t="inlineStr">
        <is>
          <t>16:07</t>
        </is>
      </c>
      <c r="F464" s="5" t="n">
        <v>274.17</v>
      </c>
      <c r="G464" s="5" t="n"/>
      <c r="H464" s="5" t="n"/>
      <c r="I464" s="5" t="n"/>
      <c r="J464" s="5" t="n">
        <v>54.83</v>
      </c>
      <c r="K464" s="5" t="n"/>
      <c r="L464" s="5" t="n"/>
      <c r="M464" s="5" t="n"/>
      <c r="N464" s="5" t="n"/>
      <c r="O464" s="5" t="n">
        <v>329</v>
      </c>
      <c r="P464" s="5" t="n">
        <v>329</v>
      </c>
      <c r="Q464" s="5" t="n"/>
      <c r="R464" s="5" t="n"/>
      <c r="S464" s="5">
        <f>F464*20%</f>
        <v/>
      </c>
      <c r="T464" s="5">
        <f>J464-S464</f>
        <v/>
      </c>
      <c r="U464" s="5">
        <f>F464+J464</f>
        <v/>
      </c>
      <c r="V464" s="5">
        <f>O464-U464</f>
        <v/>
      </c>
      <c r="W464" s="5">
        <f>O464-(P464+R464)</f>
        <v/>
      </c>
      <c r="X464" s="5">
        <f>O464-(P464+Q464+R464)</f>
        <v/>
      </c>
    </row>
    <row r="465">
      <c r="A465" s="2" t="inlineStr">
        <is>
          <t>EJ010624.TXT</t>
        </is>
      </c>
      <c r="B465" s="3" t="inlineStr">
        <is>
          <t>001665</t>
        </is>
      </c>
      <c r="C465" s="3" t="inlineStr">
        <is>
          <t>001072</t>
        </is>
      </c>
      <c r="D465" s="4" t="n">
        <v>45425</v>
      </c>
      <c r="E465" s="2" t="inlineStr">
        <is>
          <t>12:30</t>
        </is>
      </c>
      <c r="F465" s="5" t="n">
        <v>274.17</v>
      </c>
      <c r="G465" s="5" t="n"/>
      <c r="H465" s="5" t="n"/>
      <c r="I465" s="5" t="n"/>
      <c r="J465" s="5" t="n">
        <v>54.83</v>
      </c>
      <c r="K465" s="5" t="n"/>
      <c r="L465" s="5" t="n"/>
      <c r="M465" s="5" t="n"/>
      <c r="N465" s="5" t="n"/>
      <c r="O465" s="5" t="n">
        <v>329</v>
      </c>
      <c r="P465" s="5" t="n"/>
      <c r="Q465" s="5" t="n">
        <v>329</v>
      </c>
      <c r="R465" s="5" t="n"/>
      <c r="S465" s="5">
        <f>F465*20%</f>
        <v/>
      </c>
      <c r="T465" s="5">
        <f>J465-S465</f>
        <v/>
      </c>
      <c r="U465" s="5">
        <f>F465+J465</f>
        <v/>
      </c>
      <c r="V465" s="5">
        <f>O465-U465</f>
        <v/>
      </c>
      <c r="W465" s="5">
        <f>O465-(P465+R465)</f>
        <v/>
      </c>
      <c r="X465" s="5">
        <f>O465-(P465+Q465+R465)</f>
        <v/>
      </c>
    </row>
    <row r="466">
      <c r="A466" s="2" t="inlineStr">
        <is>
          <t>EJ010624.TXT</t>
        </is>
      </c>
      <c r="B466" s="3" t="inlineStr">
        <is>
          <t>001667</t>
        </is>
      </c>
      <c r="C466" s="3" t="inlineStr">
        <is>
          <t>001073</t>
        </is>
      </c>
      <c r="D466" s="4" t="n">
        <v>45426</v>
      </c>
      <c r="E466" s="2" t="inlineStr">
        <is>
          <t>12:48</t>
        </is>
      </c>
      <c r="F466" s="5" t="n">
        <v>274.17</v>
      </c>
      <c r="G466" s="5" t="n"/>
      <c r="H466" s="5" t="n"/>
      <c r="I466" s="5" t="n"/>
      <c r="J466" s="5" t="n">
        <v>54.83</v>
      </c>
      <c r="K466" s="5" t="n"/>
      <c r="L466" s="5" t="n"/>
      <c r="M466" s="5" t="n"/>
      <c r="N466" s="5" t="n"/>
      <c r="O466" s="5" t="n">
        <v>329</v>
      </c>
      <c r="P466" s="5" t="n">
        <v>329</v>
      </c>
      <c r="Q466" s="5" t="n"/>
      <c r="R466" s="5" t="n"/>
      <c r="S466" s="5">
        <f>F466*20%</f>
        <v/>
      </c>
      <c r="T466" s="5">
        <f>J466-S466</f>
        <v/>
      </c>
      <c r="U466" s="5">
        <f>F466+J466</f>
        <v/>
      </c>
      <c r="V466" s="5">
        <f>O466-U466</f>
        <v/>
      </c>
      <c r="W466" s="5">
        <f>O466-(P466+R466)</f>
        <v/>
      </c>
      <c r="X466" s="5">
        <f>O466-(P466+Q466+R466)</f>
        <v/>
      </c>
    </row>
    <row r="467">
      <c r="A467" s="2" t="inlineStr">
        <is>
          <t>EJ010624.TXT</t>
        </is>
      </c>
      <c r="B467" s="3" t="inlineStr">
        <is>
          <t>001668</t>
        </is>
      </c>
      <c r="C467" s="3" t="inlineStr">
        <is>
          <t>001074</t>
        </is>
      </c>
      <c r="D467" s="4" t="n">
        <v>45426</v>
      </c>
      <c r="E467" s="2" t="inlineStr">
        <is>
          <t>12:48</t>
        </is>
      </c>
      <c r="F467" s="5" t="n">
        <v>199.17</v>
      </c>
      <c r="G467" s="5" t="n"/>
      <c r="H467" s="5" t="n"/>
      <c r="I467" s="5" t="n"/>
      <c r="J467" s="5" t="n">
        <v>39.83</v>
      </c>
      <c r="K467" s="5" t="n"/>
      <c r="L467" s="5" t="n"/>
      <c r="M467" s="5" t="n"/>
      <c r="N467" s="5" t="n"/>
      <c r="O467" s="5" t="n">
        <v>239</v>
      </c>
      <c r="P467" s="5" t="n">
        <v>239</v>
      </c>
      <c r="Q467" s="5" t="n"/>
      <c r="R467" s="5" t="n"/>
      <c r="S467" s="5">
        <f>F467*20%</f>
        <v/>
      </c>
      <c r="T467" s="5">
        <f>J467-S467</f>
        <v/>
      </c>
      <c r="U467" s="5">
        <f>F467+J467</f>
        <v/>
      </c>
      <c r="V467" s="5">
        <f>O467-U467</f>
        <v/>
      </c>
      <c r="W467" s="5">
        <f>O467-(P467+R467)</f>
        <v/>
      </c>
      <c r="X467" s="5">
        <f>O467-(P467+Q467+R467)</f>
        <v/>
      </c>
    </row>
    <row r="468">
      <c r="A468" s="2" t="inlineStr">
        <is>
          <t>EJ010624.TXT</t>
        </is>
      </c>
      <c r="B468" s="3" t="inlineStr">
        <is>
          <t>001669</t>
        </is>
      </c>
      <c r="C468" s="3" t="inlineStr">
        <is>
          <t>001075</t>
        </is>
      </c>
      <c r="D468" s="4" t="n">
        <v>45427</v>
      </c>
      <c r="E468" s="2" t="inlineStr">
        <is>
          <t>12:20</t>
        </is>
      </c>
      <c r="F468" s="5" t="n">
        <v>548.33</v>
      </c>
      <c r="G468" s="5" t="n"/>
      <c r="H468" s="5" t="n"/>
      <c r="I468" s="5" t="n"/>
      <c r="J468" s="5" t="n">
        <v>109.67</v>
      </c>
      <c r="K468" s="5" t="n"/>
      <c r="L468" s="5" t="n"/>
      <c r="M468" s="5" t="n"/>
      <c r="N468" s="5" t="n"/>
      <c r="O468" s="5" t="n">
        <v>658</v>
      </c>
      <c r="P468" s="5" t="n">
        <v>658</v>
      </c>
      <c r="Q468" s="5" t="n"/>
      <c r="R468" s="5" t="n"/>
      <c r="S468" s="5">
        <f>F468*20%</f>
        <v/>
      </c>
      <c r="T468" s="5">
        <f>J468-S468</f>
        <v/>
      </c>
      <c r="U468" s="5">
        <f>F468+J468</f>
        <v/>
      </c>
      <c r="V468" s="5">
        <f>O468-U468</f>
        <v/>
      </c>
      <c r="W468" s="5">
        <f>O468-(P468+R468)</f>
        <v/>
      </c>
      <c r="X468" s="5">
        <f>O468-(P468+Q468+R468)</f>
        <v/>
      </c>
    </row>
    <row r="469">
      <c r="A469" s="2" t="inlineStr">
        <is>
          <t>EJ010624.TXT</t>
        </is>
      </c>
      <c r="B469" s="3" t="inlineStr">
        <is>
          <t>001670</t>
        </is>
      </c>
      <c r="C469" s="3" t="inlineStr">
        <is>
          <t>001076</t>
        </is>
      </c>
      <c r="D469" s="4" t="n">
        <v>45427</v>
      </c>
      <c r="E469" s="2" t="inlineStr">
        <is>
          <t>15:00</t>
        </is>
      </c>
      <c r="F469" s="5" t="n">
        <v>548.33</v>
      </c>
      <c r="G469" s="5" t="n"/>
      <c r="H469" s="5" t="n"/>
      <c r="I469" s="5" t="n"/>
      <c r="J469" s="5" t="n">
        <v>109.67</v>
      </c>
      <c r="K469" s="5" t="n"/>
      <c r="L469" s="5" t="n"/>
      <c r="M469" s="5" t="n"/>
      <c r="N469" s="5" t="n"/>
      <c r="O469" s="5" t="n">
        <v>658</v>
      </c>
      <c r="P469" s="5" t="n"/>
      <c r="Q469" s="5" t="n">
        <v>658</v>
      </c>
      <c r="R469" s="5" t="n"/>
      <c r="S469" s="5">
        <f>F469*20%</f>
        <v/>
      </c>
      <c r="T469" s="5">
        <f>J469-S469</f>
        <v/>
      </c>
      <c r="U469" s="5">
        <f>F469+J469</f>
        <v/>
      </c>
      <c r="V469" s="5">
        <f>O469-U469</f>
        <v/>
      </c>
      <c r="W469" s="5">
        <f>O469-(P469+R469)</f>
        <v/>
      </c>
      <c r="X469" s="5">
        <f>O469-(P469+Q469+R469)</f>
        <v/>
      </c>
    </row>
    <row r="470">
      <c r="A470" s="2" t="inlineStr">
        <is>
          <t>EJ010624.TXT</t>
        </is>
      </c>
      <c r="B470" s="3" t="inlineStr">
        <is>
          <t>001671</t>
        </is>
      </c>
      <c r="C470" s="3" t="inlineStr">
        <is>
          <t>001077</t>
        </is>
      </c>
      <c r="D470" s="4" t="n">
        <v>45427</v>
      </c>
      <c r="E470" s="2" t="inlineStr">
        <is>
          <t>16:06</t>
        </is>
      </c>
      <c r="F470" s="5" t="n">
        <v>83.17</v>
      </c>
      <c r="G470" s="5" t="n"/>
      <c r="H470" s="5" t="n"/>
      <c r="I470" s="5" t="n"/>
      <c r="J470" s="5" t="n">
        <v>16.63</v>
      </c>
      <c r="K470" s="5" t="n"/>
      <c r="L470" s="5" t="n"/>
      <c r="M470" s="5" t="n"/>
      <c r="N470" s="5" t="n"/>
      <c r="O470" s="5" t="n">
        <v>99.8</v>
      </c>
      <c r="P470" s="5" t="n">
        <v>99.8</v>
      </c>
      <c r="Q470" s="5" t="n"/>
      <c r="R470" s="5" t="n"/>
      <c r="S470" s="5">
        <f>F470*20%</f>
        <v/>
      </c>
      <c r="T470" s="5">
        <f>J470-S470</f>
        <v/>
      </c>
      <c r="U470" s="5">
        <f>F470+J470</f>
        <v/>
      </c>
      <c r="V470" s="5">
        <f>O470-U470</f>
        <v/>
      </c>
      <c r="W470" s="5">
        <f>O470-(P470+R470)</f>
        <v/>
      </c>
      <c r="X470" s="5">
        <f>O470-(P470+Q470+R470)</f>
        <v/>
      </c>
    </row>
    <row r="471">
      <c r="A471" s="2" t="inlineStr">
        <is>
          <t>EJ010624.TXT</t>
        </is>
      </c>
      <c r="B471" s="3" t="inlineStr">
        <is>
          <t>001673</t>
        </is>
      </c>
      <c r="C471" s="3" t="inlineStr">
        <is>
          <t>001078</t>
        </is>
      </c>
      <c r="D471" s="4" t="n">
        <v>45434</v>
      </c>
      <c r="E471" s="2" t="inlineStr">
        <is>
          <t>15:48</t>
        </is>
      </c>
      <c r="F471" s="5" t="n">
        <v>1096.67</v>
      </c>
      <c r="G471" s="5" t="n"/>
      <c r="H471" s="5" t="n"/>
      <c r="I471" s="5" t="n"/>
      <c r="J471" s="5" t="n">
        <v>219.33</v>
      </c>
      <c r="K471" s="5" t="n"/>
      <c r="L471" s="5" t="n"/>
      <c r="M471" s="5" t="n"/>
      <c r="N471" s="5" t="n"/>
      <c r="O471" s="5" t="n">
        <v>1316</v>
      </c>
      <c r="P471" s="5" t="n"/>
      <c r="Q471" s="5" t="n">
        <v>1316</v>
      </c>
      <c r="R471" s="5" t="n"/>
      <c r="S471" s="5">
        <f>F471*20%</f>
        <v/>
      </c>
      <c r="T471" s="5">
        <f>J471-S471</f>
        <v/>
      </c>
      <c r="U471" s="5">
        <f>F471+J471</f>
        <v/>
      </c>
      <c r="V471" s="5">
        <f>O471-U471</f>
        <v/>
      </c>
      <c r="W471" s="5">
        <f>O471-(P471+R471)</f>
        <v/>
      </c>
      <c r="X471" s="5">
        <f>O471-(P471+Q471+R471)</f>
        <v/>
      </c>
    </row>
    <row r="472">
      <c r="A472" s="2" t="inlineStr">
        <is>
          <t>EJ010624.TXT</t>
        </is>
      </c>
      <c r="B472" s="3" t="inlineStr">
        <is>
          <t>001674</t>
        </is>
      </c>
      <c r="C472" s="3" t="inlineStr">
        <is>
          <t>001079</t>
        </is>
      </c>
      <c r="D472" s="4" t="n">
        <v>45435</v>
      </c>
      <c r="E472" s="2" t="inlineStr">
        <is>
          <t>12:51</t>
        </is>
      </c>
      <c r="F472" s="5" t="n">
        <v>1644.5</v>
      </c>
      <c r="G472" s="5" t="n"/>
      <c r="H472" s="5" t="n"/>
      <c r="I472" s="5" t="n"/>
      <c r="J472" s="5" t="n">
        <v>328.9</v>
      </c>
      <c r="K472" s="5" t="n"/>
      <c r="L472" s="5" t="n"/>
      <c r="M472" s="5" t="n"/>
      <c r="N472" s="5" t="n"/>
      <c r="O472" s="5" t="n">
        <v>1973.4</v>
      </c>
      <c r="P472" s="5" t="n">
        <v>1973.4</v>
      </c>
      <c r="Q472" s="5" t="n"/>
      <c r="R472" s="5" t="n"/>
      <c r="S472" s="5">
        <f>F472*20%</f>
        <v/>
      </c>
      <c r="T472" s="5">
        <f>J472-S472</f>
        <v/>
      </c>
      <c r="U472" s="5">
        <f>F472+J472</f>
        <v/>
      </c>
      <c r="V472" s="5">
        <f>O472-U472</f>
        <v/>
      </c>
      <c r="W472" s="5">
        <f>O472-(P472+R472)</f>
        <v/>
      </c>
      <c r="X472" s="5">
        <f>O472-(P472+Q472+R472)</f>
        <v/>
      </c>
    </row>
    <row r="473">
      <c r="A473" s="2" t="inlineStr">
        <is>
          <t>EJ010624.TXT</t>
        </is>
      </c>
      <c r="B473" s="3" t="inlineStr">
        <is>
          <t>001675</t>
        </is>
      </c>
      <c r="C473" s="3" t="inlineStr">
        <is>
          <t>001080</t>
        </is>
      </c>
      <c r="D473" s="4" t="n">
        <v>45435</v>
      </c>
      <c r="E473" s="2" t="inlineStr">
        <is>
          <t>14:25</t>
        </is>
      </c>
      <c r="F473" s="5" t="n">
        <v>548.33</v>
      </c>
      <c r="G473" s="5" t="n"/>
      <c r="H473" s="5" t="n"/>
      <c r="I473" s="5" t="n"/>
      <c r="J473" s="5" t="n">
        <v>109.67</v>
      </c>
      <c r="K473" s="5" t="n"/>
      <c r="L473" s="5" t="n"/>
      <c r="M473" s="5" t="n"/>
      <c r="N473" s="5" t="n"/>
      <c r="O473" s="5" t="n">
        <v>658</v>
      </c>
      <c r="P473" s="5" t="n"/>
      <c r="Q473" s="5" t="n">
        <v>658</v>
      </c>
      <c r="R473" s="5" t="n"/>
      <c r="S473" s="5">
        <f>F473*20%</f>
        <v/>
      </c>
      <c r="T473" s="5">
        <f>J473-S473</f>
        <v/>
      </c>
      <c r="U473" s="5">
        <f>F473+J473</f>
        <v/>
      </c>
      <c r="V473" s="5">
        <f>O473-U473</f>
        <v/>
      </c>
      <c r="W473" s="5">
        <f>O473-(P473+R473)</f>
        <v/>
      </c>
      <c r="X473" s="5">
        <f>O473-(P473+Q473+R473)</f>
        <v/>
      </c>
    </row>
    <row r="474">
      <c r="A474" s="2" t="inlineStr">
        <is>
          <t>EJ010624.TXT</t>
        </is>
      </c>
      <c r="B474" s="3" t="inlineStr">
        <is>
          <t>001676</t>
        </is>
      </c>
      <c r="C474" s="3" t="inlineStr">
        <is>
          <t>001081</t>
        </is>
      </c>
      <c r="D474" s="4" t="n">
        <v>45435</v>
      </c>
      <c r="E474" s="2" t="inlineStr">
        <is>
          <t>14:37</t>
        </is>
      </c>
      <c r="F474" s="5" t="n">
        <v>822.5</v>
      </c>
      <c r="G474" s="5" t="n"/>
      <c r="H474" s="5" t="n"/>
      <c r="I474" s="5" t="n"/>
      <c r="J474" s="5" t="n">
        <v>164.5</v>
      </c>
      <c r="K474" s="5" t="n"/>
      <c r="L474" s="5" t="n"/>
      <c r="M474" s="5" t="n"/>
      <c r="N474" s="5" t="n"/>
      <c r="O474" s="5" t="n">
        <v>987</v>
      </c>
      <c r="P474" s="5" t="n">
        <v>987</v>
      </c>
      <c r="Q474" s="5" t="n"/>
      <c r="R474" s="5" t="n"/>
      <c r="S474" s="5">
        <f>F474*20%</f>
        <v/>
      </c>
      <c r="T474" s="5">
        <f>J474-S474</f>
        <v/>
      </c>
      <c r="U474" s="5">
        <f>F474+J474</f>
        <v/>
      </c>
      <c r="V474" s="5">
        <f>O474-U474</f>
        <v/>
      </c>
      <c r="W474" s="5">
        <f>O474-(P474+R474)</f>
        <v/>
      </c>
      <c r="X474" s="5">
        <f>O474-(P474+Q474+R474)</f>
        <v/>
      </c>
    </row>
    <row r="475">
      <c r="A475" s="2" t="inlineStr">
        <is>
          <t>EJ010624.TXT</t>
        </is>
      </c>
      <c r="B475" s="3" t="inlineStr">
        <is>
          <t>001677</t>
        </is>
      </c>
      <c r="C475" s="3" t="inlineStr">
        <is>
          <t>001082</t>
        </is>
      </c>
      <c r="D475" s="4" t="n">
        <v>45435</v>
      </c>
      <c r="E475" s="2" t="inlineStr">
        <is>
          <t>16:28</t>
        </is>
      </c>
      <c r="F475" s="5" t="n">
        <v>548.33</v>
      </c>
      <c r="G475" s="5" t="n"/>
      <c r="H475" s="5" t="n"/>
      <c r="I475" s="5" t="n"/>
      <c r="J475" s="5" t="n">
        <v>109.67</v>
      </c>
      <c r="K475" s="5" t="n"/>
      <c r="L475" s="5" t="n"/>
      <c r="M475" s="5" t="n"/>
      <c r="N475" s="5" t="n"/>
      <c r="O475" s="5" t="n">
        <v>658</v>
      </c>
      <c r="P475" s="5" t="n">
        <v>658</v>
      </c>
      <c r="Q475" s="5" t="n"/>
      <c r="R475" s="5" t="n"/>
      <c r="S475" s="5">
        <f>F475*20%</f>
        <v/>
      </c>
      <c r="T475" s="5">
        <f>J475-S475</f>
        <v/>
      </c>
      <c r="U475" s="5">
        <f>F475+J475</f>
        <v/>
      </c>
      <c r="V475" s="5">
        <f>O475-U475</f>
        <v/>
      </c>
      <c r="W475" s="5">
        <f>O475-(P475+R475)</f>
        <v/>
      </c>
      <c r="X475" s="5">
        <f>O475-(P475+Q475+R475)</f>
        <v/>
      </c>
    </row>
    <row r="476">
      <c r="A476" s="2" t="inlineStr">
        <is>
          <t>EJ010624.TXT</t>
        </is>
      </c>
      <c r="B476" s="3" t="inlineStr">
        <is>
          <t>001678</t>
        </is>
      </c>
      <c r="C476" s="3" t="inlineStr">
        <is>
          <t>001083</t>
        </is>
      </c>
      <c r="D476" s="4" t="n">
        <v>45437</v>
      </c>
      <c r="E476" s="2" t="inlineStr">
        <is>
          <t>14:37</t>
        </is>
      </c>
      <c r="F476" s="5" t="n">
        <v>45.75</v>
      </c>
      <c r="G476" s="5" t="n"/>
      <c r="H476" s="5" t="n"/>
      <c r="I476" s="5" t="n"/>
      <c r="J476" s="5" t="n">
        <v>9.15</v>
      </c>
      <c r="K476" s="5" t="n"/>
      <c r="L476" s="5" t="n"/>
      <c r="M476" s="5" t="n"/>
      <c r="N476" s="5" t="n"/>
      <c r="O476" s="5" t="n">
        <v>54.9</v>
      </c>
      <c r="P476" s="5" t="n">
        <v>54.9</v>
      </c>
      <c r="Q476" s="5" t="n"/>
      <c r="R476" s="5" t="n"/>
      <c r="S476" s="5">
        <f>F476*20%</f>
        <v/>
      </c>
      <c r="T476" s="5">
        <f>J476-S476</f>
        <v/>
      </c>
      <c r="U476" s="5">
        <f>F476+J476</f>
        <v/>
      </c>
      <c r="V476" s="5">
        <f>O476-U476</f>
        <v/>
      </c>
      <c r="W476" s="5">
        <f>O476-(P476+R476)</f>
        <v/>
      </c>
      <c r="X476" s="5">
        <f>O476-(P476+Q476+R476)</f>
        <v/>
      </c>
    </row>
    <row r="477">
      <c r="A477" s="2" t="inlineStr">
        <is>
          <t>EJ010624.TXT</t>
        </is>
      </c>
      <c r="B477" s="3" t="inlineStr">
        <is>
          <t>001679</t>
        </is>
      </c>
      <c r="C477" s="3" t="inlineStr">
        <is>
          <t>001084</t>
        </is>
      </c>
      <c r="D477" s="4" t="n">
        <v>45439</v>
      </c>
      <c r="E477" s="2" t="inlineStr">
        <is>
          <t>16:38</t>
        </is>
      </c>
      <c r="F477" s="5" t="n">
        <v>548.33</v>
      </c>
      <c r="G477" s="5" t="n"/>
      <c r="H477" s="5" t="n"/>
      <c r="I477" s="5" t="n"/>
      <c r="J477" s="5" t="n">
        <v>109.67</v>
      </c>
      <c r="K477" s="5" t="n"/>
      <c r="L477" s="5" t="n"/>
      <c r="M477" s="5" t="n"/>
      <c r="N477" s="5" t="n"/>
      <c r="O477" s="5" t="n">
        <v>658</v>
      </c>
      <c r="P477" s="5" t="n">
        <v>658</v>
      </c>
      <c r="Q477" s="5" t="n"/>
      <c r="R477" s="5" t="n"/>
      <c r="S477" s="5">
        <f>F477*20%</f>
        <v/>
      </c>
      <c r="T477" s="5">
        <f>J477-S477</f>
        <v/>
      </c>
      <c r="U477" s="5">
        <f>F477+J477</f>
        <v/>
      </c>
      <c r="V477" s="5">
        <f>O477-U477</f>
        <v/>
      </c>
      <c r="W477" s="5">
        <f>O477-(P477+R477)</f>
        <v/>
      </c>
      <c r="X477" s="5">
        <f>O477-(P477+Q477+R477)</f>
        <v/>
      </c>
    </row>
    <row r="478">
      <c r="A478" s="2" t="inlineStr">
        <is>
          <t>EJ010624.TXT</t>
        </is>
      </c>
      <c r="B478" s="3" t="inlineStr">
        <is>
          <t>001681</t>
        </is>
      </c>
      <c r="C478" s="3" t="inlineStr">
        <is>
          <t>001085</t>
        </is>
      </c>
      <c r="D478" s="4" t="n">
        <v>45440</v>
      </c>
      <c r="E478" s="2" t="inlineStr">
        <is>
          <t>14:43</t>
        </is>
      </c>
      <c r="F478" s="5" t="n">
        <v>274.17</v>
      </c>
      <c r="G478" s="5" t="n"/>
      <c r="H478" s="5" t="n"/>
      <c r="I478" s="5" t="n"/>
      <c r="J478" s="5" t="n">
        <v>54.83</v>
      </c>
      <c r="K478" s="5" t="n"/>
      <c r="L478" s="5" t="n"/>
      <c r="M478" s="5" t="n"/>
      <c r="N478" s="5" t="n"/>
      <c r="O478" s="5" t="n">
        <v>329</v>
      </c>
      <c r="P478" s="5" t="n"/>
      <c r="Q478" s="5" t="n">
        <v>329</v>
      </c>
      <c r="R478" s="5" t="n"/>
      <c r="S478" s="5">
        <f>F478*20%</f>
        <v/>
      </c>
      <c r="T478" s="5">
        <f>J478-S478</f>
        <v/>
      </c>
      <c r="U478" s="5">
        <f>F478+J478</f>
        <v/>
      </c>
      <c r="V478" s="5">
        <f>O478-U478</f>
        <v/>
      </c>
      <c r="W478" s="5">
        <f>O478-(P478+R478)</f>
        <v/>
      </c>
      <c r="X478" s="5">
        <f>O478-(P478+Q478+R478)</f>
        <v/>
      </c>
    </row>
    <row r="479">
      <c r="A479" s="2" t="inlineStr">
        <is>
          <t>EJ010624.TXT</t>
        </is>
      </c>
      <c r="B479" s="3" t="inlineStr">
        <is>
          <t>001683</t>
        </is>
      </c>
      <c r="C479" s="3" t="inlineStr">
        <is>
          <t>001086</t>
        </is>
      </c>
      <c r="D479" s="4" t="n">
        <v>45441</v>
      </c>
      <c r="E479" s="2" t="inlineStr">
        <is>
          <t>09:27</t>
        </is>
      </c>
      <c r="F479" s="5" t="n">
        <v>548.33</v>
      </c>
      <c r="G479" s="5" t="n"/>
      <c r="H479" s="5" t="n"/>
      <c r="I479" s="5" t="n"/>
      <c r="J479" s="5" t="n">
        <v>109.67</v>
      </c>
      <c r="K479" s="5" t="n"/>
      <c r="L479" s="5" t="n"/>
      <c r="M479" s="5" t="n"/>
      <c r="N479" s="5" t="n"/>
      <c r="O479" s="5" t="n">
        <v>658</v>
      </c>
      <c r="P479" s="5" t="n">
        <v>658</v>
      </c>
      <c r="Q479" s="5" t="n"/>
      <c r="R479" s="5" t="n"/>
      <c r="S479" s="5">
        <f>F479*20%</f>
        <v/>
      </c>
      <c r="T479" s="5">
        <f>J479-S479</f>
        <v/>
      </c>
      <c r="U479" s="5">
        <f>F479+J479</f>
        <v/>
      </c>
      <c r="V479" s="5">
        <f>O479-U479</f>
        <v/>
      </c>
      <c r="W479" s="5">
        <f>O479-(P479+R479)</f>
        <v/>
      </c>
      <c r="X479" s="5">
        <f>O479-(P479+Q479+R479)</f>
        <v/>
      </c>
    </row>
    <row r="480">
      <c r="A480" s="2" t="inlineStr">
        <is>
          <t>EJ010624.TXT</t>
        </is>
      </c>
      <c r="B480" s="3" t="inlineStr">
        <is>
          <t>001684</t>
        </is>
      </c>
      <c r="C480" s="3" t="inlineStr">
        <is>
          <t>001087</t>
        </is>
      </c>
      <c r="D480" s="4" t="n">
        <v>45441</v>
      </c>
      <c r="E480" s="2" t="inlineStr">
        <is>
          <t>13:59</t>
        </is>
      </c>
      <c r="F480" s="5" t="n">
        <v>548.33</v>
      </c>
      <c r="G480" s="5" t="n"/>
      <c r="H480" s="5" t="n"/>
      <c r="I480" s="5" t="n"/>
      <c r="J480" s="5" t="n">
        <v>109.67</v>
      </c>
      <c r="K480" s="5" t="n"/>
      <c r="L480" s="5" t="n"/>
      <c r="M480" s="5" t="n"/>
      <c r="N480" s="5" t="n"/>
      <c r="O480" s="5" t="n">
        <v>658</v>
      </c>
      <c r="P480" s="5" t="n">
        <v>658</v>
      </c>
      <c r="Q480" s="5" t="n"/>
      <c r="R480" s="5" t="n"/>
      <c r="S480" s="5">
        <f>F480*20%</f>
        <v/>
      </c>
      <c r="T480" s="5">
        <f>J480-S480</f>
        <v/>
      </c>
      <c r="U480" s="5">
        <f>F480+J480</f>
        <v/>
      </c>
      <c r="V480" s="5">
        <f>O480-U480</f>
        <v/>
      </c>
      <c r="W480" s="5">
        <f>O480-(P480+R480)</f>
        <v/>
      </c>
      <c r="X480" s="5">
        <f>O480-(P480+Q480+R480)</f>
        <v/>
      </c>
    </row>
    <row r="481">
      <c r="A481" s="2" t="inlineStr">
        <is>
          <t>EJ010624.TXT</t>
        </is>
      </c>
      <c r="B481" s="3" t="inlineStr">
        <is>
          <t>001685</t>
        </is>
      </c>
      <c r="C481" s="3" t="inlineStr">
        <is>
          <t>001088</t>
        </is>
      </c>
      <c r="D481" s="4" t="n">
        <v>45441</v>
      </c>
      <c r="E481" s="2" t="inlineStr">
        <is>
          <t>14:10</t>
        </is>
      </c>
      <c r="F481" s="5" t="n">
        <v>274.17</v>
      </c>
      <c r="G481" s="5" t="n"/>
      <c r="H481" s="5" t="n"/>
      <c r="I481" s="5" t="n"/>
      <c r="J481" s="5" t="n">
        <v>54.83</v>
      </c>
      <c r="K481" s="5" t="n"/>
      <c r="L481" s="5" t="n"/>
      <c r="M481" s="5" t="n"/>
      <c r="N481" s="5" t="n"/>
      <c r="O481" s="5" t="n">
        <v>329</v>
      </c>
      <c r="P481" s="5" t="n"/>
      <c r="Q481" s="5" t="n">
        <v>329</v>
      </c>
      <c r="R481" s="5" t="n"/>
      <c r="S481" s="5">
        <f>F481*20%</f>
        <v/>
      </c>
      <c r="T481" s="5">
        <f>J481-S481</f>
        <v/>
      </c>
      <c r="U481" s="5">
        <f>F481+J481</f>
        <v/>
      </c>
      <c r="V481" s="5">
        <f>O481-U481</f>
        <v/>
      </c>
      <c r="W481" s="5">
        <f>O481-(P481+R481)</f>
        <v/>
      </c>
      <c r="X481" s="5">
        <f>O481-(P481+Q481+R481)</f>
        <v/>
      </c>
    </row>
    <row r="482">
      <c r="A482" s="2" t="inlineStr">
        <is>
          <t>EJ010624.TXT</t>
        </is>
      </c>
      <c r="B482" s="3" t="inlineStr">
        <is>
          <t>001686</t>
        </is>
      </c>
      <c r="C482" s="3" t="inlineStr">
        <is>
          <t>001089</t>
        </is>
      </c>
      <c r="D482" s="4" t="n">
        <v>45444</v>
      </c>
      <c r="E482" s="2" t="inlineStr">
        <is>
          <t>13:35</t>
        </is>
      </c>
      <c r="F482" s="5" t="n">
        <v>1733.33</v>
      </c>
      <c r="G482" s="5" t="n"/>
      <c r="H482" s="5" t="n"/>
      <c r="I482" s="5" t="n"/>
      <c r="J482" s="5" t="n">
        <v>346.67</v>
      </c>
      <c r="K482" s="5" t="n"/>
      <c r="L482" s="5" t="n"/>
      <c r="M482" s="5" t="n"/>
      <c r="N482" s="5" t="n"/>
      <c r="O482" s="5" t="n">
        <v>2080</v>
      </c>
      <c r="P482" s="5" t="n">
        <v>2080</v>
      </c>
      <c r="Q482" s="5" t="n"/>
      <c r="R482" s="5" t="n"/>
      <c r="S482" s="5">
        <f>F482*20%</f>
        <v/>
      </c>
      <c r="T482" s="5">
        <f>J482-S482</f>
        <v/>
      </c>
      <c r="U482" s="5">
        <f>F482+J482</f>
        <v/>
      </c>
      <c r="V482" s="5">
        <f>O482-U482</f>
        <v/>
      </c>
      <c r="W482" s="5">
        <f>O482-(P482+R482)</f>
        <v/>
      </c>
      <c r="X482" s="5">
        <f>O482-(P482+Q482+R482)</f>
        <v/>
      </c>
    </row>
    <row r="483">
      <c r="A483" s="2" t="inlineStr">
        <is>
          <t>EJ010724.TXT</t>
        </is>
      </c>
      <c r="B483" s="3" t="inlineStr">
        <is>
          <t>001690</t>
        </is>
      </c>
      <c r="C483" s="3" t="inlineStr">
        <is>
          <t>001090</t>
        </is>
      </c>
      <c r="D483" s="4" t="n">
        <v>45444</v>
      </c>
      <c r="E483" s="2" t="inlineStr">
        <is>
          <t>15:02</t>
        </is>
      </c>
      <c r="F483" s="5" t="n">
        <v>66.5</v>
      </c>
      <c r="G483" s="5" t="n"/>
      <c r="H483" s="5" t="n"/>
      <c r="I483" s="5" t="n"/>
      <c r="J483" s="5" t="n">
        <v>13.3</v>
      </c>
      <c r="K483" s="5" t="n"/>
      <c r="L483" s="5" t="n"/>
      <c r="M483" s="5" t="n"/>
      <c r="N483" s="5" t="n"/>
      <c r="O483" s="5" t="n">
        <v>79.8</v>
      </c>
      <c r="P483" s="5" t="n"/>
      <c r="Q483" s="5" t="n">
        <v>79.8</v>
      </c>
      <c r="R483" s="5" t="n"/>
      <c r="S483" s="5">
        <f>F483*20%</f>
        <v/>
      </c>
      <c r="T483" s="5">
        <f>J483-S483</f>
        <v/>
      </c>
      <c r="U483" s="5">
        <f>F483+J483</f>
        <v/>
      </c>
      <c r="V483" s="5">
        <f>O483-U483</f>
        <v/>
      </c>
      <c r="W483" s="5">
        <f>O483-(P483+R483)</f>
        <v/>
      </c>
      <c r="X483" s="5">
        <f>O483-(P483+Q483+R483)</f>
        <v/>
      </c>
    </row>
    <row r="484">
      <c r="A484" s="2" t="inlineStr">
        <is>
          <t>EJ010724.TXT</t>
        </is>
      </c>
      <c r="B484" s="3" t="inlineStr">
        <is>
          <t>001691</t>
        </is>
      </c>
      <c r="C484" s="3" t="inlineStr">
        <is>
          <t>001091</t>
        </is>
      </c>
      <c r="D484" s="4" t="n">
        <v>45444</v>
      </c>
      <c r="E484" s="2" t="inlineStr">
        <is>
          <t>16:23</t>
        </is>
      </c>
      <c r="F484" s="5" t="n">
        <v>73.33</v>
      </c>
      <c r="G484" s="5" t="n"/>
      <c r="H484" s="5" t="n"/>
      <c r="I484" s="5" t="n"/>
      <c r="J484" s="5" t="n">
        <v>14.67</v>
      </c>
      <c r="K484" s="5" t="n"/>
      <c r="L484" s="5" t="n"/>
      <c r="M484" s="5" t="n"/>
      <c r="N484" s="5" t="n"/>
      <c r="O484" s="5" t="n">
        <v>88</v>
      </c>
      <c r="P484" s="5" t="n">
        <v>88</v>
      </c>
      <c r="Q484" s="5" t="n"/>
      <c r="R484" s="5" t="n"/>
      <c r="S484" s="5">
        <f>F484*20%</f>
        <v/>
      </c>
      <c r="T484" s="5">
        <f>J484-S484</f>
        <v/>
      </c>
      <c r="U484" s="5">
        <f>F484+J484</f>
        <v/>
      </c>
      <c r="V484" s="5">
        <f>O484-U484</f>
        <v/>
      </c>
      <c r="W484" s="5">
        <f>O484-(P484+R484)</f>
        <v/>
      </c>
      <c r="X484" s="5">
        <f>O484-(P484+Q484+R484)</f>
        <v/>
      </c>
    </row>
    <row r="485">
      <c r="A485" s="2" t="inlineStr">
        <is>
          <t>EJ010724.TXT</t>
        </is>
      </c>
      <c r="B485" s="3" t="inlineStr">
        <is>
          <t>001692</t>
        </is>
      </c>
      <c r="C485" s="3" t="inlineStr">
        <is>
          <t>001092</t>
        </is>
      </c>
      <c r="D485" s="4" t="n">
        <v>45444</v>
      </c>
      <c r="E485" s="2" t="inlineStr">
        <is>
          <t>16:27</t>
        </is>
      </c>
      <c r="F485" s="5" t="n">
        <v>41.58</v>
      </c>
      <c r="G485" s="5" t="n"/>
      <c r="H485" s="5" t="n"/>
      <c r="I485" s="5" t="n"/>
      <c r="J485" s="5" t="n">
        <v>8.32</v>
      </c>
      <c r="K485" s="5" t="n"/>
      <c r="L485" s="5" t="n"/>
      <c r="M485" s="5" t="n"/>
      <c r="N485" s="5" t="n"/>
      <c r="O485" s="5" t="n">
        <v>49.9</v>
      </c>
      <c r="P485" s="5" t="n">
        <v>49.9</v>
      </c>
      <c r="Q485" s="5" t="n"/>
      <c r="R485" s="5" t="n"/>
      <c r="S485" s="5">
        <f>F485*20%</f>
        <v/>
      </c>
      <c r="T485" s="5">
        <f>J485-S485</f>
        <v/>
      </c>
      <c r="U485" s="5">
        <f>F485+J485</f>
        <v/>
      </c>
      <c r="V485" s="5">
        <f>O485-U485</f>
        <v/>
      </c>
      <c r="W485" s="5">
        <f>O485-(P485+R485)</f>
        <v/>
      </c>
      <c r="X485" s="5">
        <f>O485-(P485+Q485+R485)</f>
        <v/>
      </c>
    </row>
    <row r="486">
      <c r="A486" s="2" t="inlineStr">
        <is>
          <t>EJ010724.TXT</t>
        </is>
      </c>
      <c r="B486" s="3" t="inlineStr">
        <is>
          <t>001696</t>
        </is>
      </c>
      <c r="C486" s="3" t="inlineStr">
        <is>
          <t>001093</t>
        </is>
      </c>
      <c r="D486" s="4" t="n">
        <v>45446</v>
      </c>
      <c r="E486" s="2" t="inlineStr">
        <is>
          <t>10:10</t>
        </is>
      </c>
      <c r="F486" s="5" t="n">
        <v>274.17</v>
      </c>
      <c r="G486" s="5" t="n"/>
      <c r="H486" s="5" t="n"/>
      <c r="I486" s="5" t="n"/>
      <c r="J486" s="5" t="n">
        <v>54.83</v>
      </c>
      <c r="K486" s="5" t="n"/>
      <c r="L486" s="5" t="n"/>
      <c r="M486" s="5" t="n"/>
      <c r="N486" s="5" t="n"/>
      <c r="O486" s="5" t="n">
        <v>329</v>
      </c>
      <c r="P486" s="5" t="n">
        <v>329</v>
      </c>
      <c r="Q486" s="5" t="n"/>
      <c r="R486" s="5" t="n"/>
      <c r="S486" s="5">
        <f>F486*20%</f>
        <v/>
      </c>
      <c r="T486" s="5">
        <f>J486-S486</f>
        <v/>
      </c>
      <c r="U486" s="5">
        <f>F486+J486</f>
        <v/>
      </c>
      <c r="V486" s="5">
        <f>O486-U486</f>
        <v/>
      </c>
      <c r="W486" s="5">
        <f>O486-(P486+R486)</f>
        <v/>
      </c>
      <c r="X486" s="5">
        <f>O486-(P486+Q486+R486)</f>
        <v/>
      </c>
    </row>
    <row r="487">
      <c r="A487" s="2" t="inlineStr">
        <is>
          <t>EJ010724.TXT</t>
        </is>
      </c>
      <c r="B487" s="3" t="inlineStr">
        <is>
          <t>001701</t>
        </is>
      </c>
      <c r="C487" s="3" t="inlineStr">
        <is>
          <t>001094</t>
        </is>
      </c>
      <c r="D487" s="4" t="n">
        <v>45446</v>
      </c>
      <c r="E487" s="2" t="inlineStr">
        <is>
          <t>14:20</t>
        </is>
      </c>
      <c r="F487" s="5" t="n">
        <v>548.33</v>
      </c>
      <c r="G487" s="5" t="n"/>
      <c r="H487" s="5" t="n"/>
      <c r="I487" s="5" t="n"/>
      <c r="J487" s="5" t="n">
        <v>109.67</v>
      </c>
      <c r="K487" s="5" t="n"/>
      <c r="L487" s="5" t="n"/>
      <c r="M487" s="5" t="n"/>
      <c r="N487" s="5" t="n"/>
      <c r="O487" s="5" t="n">
        <v>658</v>
      </c>
      <c r="P487" s="5" t="n">
        <v>658</v>
      </c>
      <c r="Q487" s="5" t="n"/>
      <c r="R487" s="5" t="n"/>
      <c r="S487" s="5">
        <f>F487*20%</f>
        <v/>
      </c>
      <c r="T487" s="5">
        <f>J487-S487</f>
        <v/>
      </c>
      <c r="U487" s="5">
        <f>F487+J487</f>
        <v/>
      </c>
      <c r="V487" s="5">
        <f>O487-U487</f>
        <v/>
      </c>
      <c r="W487" s="5">
        <f>O487-(P487+R487)</f>
        <v/>
      </c>
      <c r="X487" s="5">
        <f>O487-(P487+Q487+R487)</f>
        <v/>
      </c>
    </row>
    <row r="488">
      <c r="A488" s="2" t="inlineStr">
        <is>
          <t>EJ010724.TXT</t>
        </is>
      </c>
      <c r="B488" s="3" t="inlineStr">
        <is>
          <t>001706</t>
        </is>
      </c>
      <c r="C488" s="3" t="inlineStr">
        <is>
          <t>001095</t>
        </is>
      </c>
      <c r="D488" s="4" t="n">
        <v>45449</v>
      </c>
      <c r="E488" s="2" t="inlineStr">
        <is>
          <t>14:23</t>
        </is>
      </c>
      <c r="F488" s="5" t="n">
        <v>274.17</v>
      </c>
      <c r="G488" s="5" t="n"/>
      <c r="H488" s="5" t="n"/>
      <c r="I488" s="5" t="n"/>
      <c r="J488" s="5" t="n">
        <v>54.83</v>
      </c>
      <c r="K488" s="5" t="n"/>
      <c r="L488" s="5" t="n"/>
      <c r="M488" s="5" t="n"/>
      <c r="N488" s="5" t="n"/>
      <c r="O488" s="5" t="n">
        <v>329</v>
      </c>
      <c r="P488" s="5" t="n">
        <v>329</v>
      </c>
      <c r="Q488" s="5" t="n"/>
      <c r="R488" s="5" t="n"/>
      <c r="S488" s="5">
        <f>F488*20%</f>
        <v/>
      </c>
      <c r="T488" s="5">
        <f>J488-S488</f>
        <v/>
      </c>
      <c r="U488" s="5">
        <f>F488+J488</f>
        <v/>
      </c>
      <c r="V488" s="5">
        <f>O488-U488</f>
        <v/>
      </c>
      <c r="W488" s="5">
        <f>O488-(P488+R488)</f>
        <v/>
      </c>
      <c r="X488" s="5">
        <f>O488-(P488+Q488+R488)</f>
        <v/>
      </c>
    </row>
    <row r="489">
      <c r="A489" s="2" t="inlineStr">
        <is>
          <t>EJ010724.TXT</t>
        </is>
      </c>
      <c r="B489" s="3" t="inlineStr">
        <is>
          <t>001707</t>
        </is>
      </c>
      <c r="C489" s="3" t="inlineStr">
        <is>
          <t>001096</t>
        </is>
      </c>
      <c r="D489" s="4" t="n">
        <v>45456</v>
      </c>
      <c r="E489" s="2" t="inlineStr">
        <is>
          <t>14:18</t>
        </is>
      </c>
      <c r="F489" s="5" t="n">
        <v>274.17</v>
      </c>
      <c r="G489" s="5" t="n"/>
      <c r="H489" s="5" t="n"/>
      <c r="I489" s="5" t="n"/>
      <c r="J489" s="5" t="n">
        <v>54.83</v>
      </c>
      <c r="K489" s="5" t="n"/>
      <c r="L489" s="5" t="n"/>
      <c r="M489" s="5" t="n"/>
      <c r="N489" s="5" t="n"/>
      <c r="O489" s="5" t="n">
        <v>329</v>
      </c>
      <c r="P489" s="5" t="n">
        <v>329</v>
      </c>
      <c r="Q489" s="5" t="n"/>
      <c r="R489" s="5" t="n"/>
      <c r="S489" s="5">
        <f>F489*20%</f>
        <v/>
      </c>
      <c r="T489" s="5">
        <f>J489-S489</f>
        <v/>
      </c>
      <c r="U489" s="5">
        <f>F489+J489</f>
        <v/>
      </c>
      <c r="V489" s="5">
        <f>O489-U489</f>
        <v/>
      </c>
      <c r="W489" s="5">
        <f>O489-(P489+R489)</f>
        <v/>
      </c>
      <c r="X489" s="5">
        <f>O489-(P489+Q489+R489)</f>
        <v/>
      </c>
    </row>
    <row r="490">
      <c r="A490" s="2" t="inlineStr">
        <is>
          <t>EJ010724.TXT</t>
        </is>
      </c>
      <c r="B490" s="3" t="inlineStr">
        <is>
          <t>001708</t>
        </is>
      </c>
      <c r="C490" s="3" t="inlineStr">
        <is>
          <t>001097</t>
        </is>
      </c>
      <c r="D490" s="4" t="n">
        <v>45456</v>
      </c>
      <c r="E490" s="2" t="inlineStr">
        <is>
          <t>14:19</t>
        </is>
      </c>
      <c r="F490" s="5" t="n">
        <v>274.17</v>
      </c>
      <c r="G490" s="5" t="n"/>
      <c r="H490" s="5" t="n"/>
      <c r="I490" s="5" t="n"/>
      <c r="J490" s="5" t="n">
        <v>54.83</v>
      </c>
      <c r="K490" s="5" t="n"/>
      <c r="L490" s="5" t="n"/>
      <c r="M490" s="5" t="n"/>
      <c r="N490" s="5" t="n"/>
      <c r="O490" s="5" t="n">
        <v>329</v>
      </c>
      <c r="P490" s="5" t="n">
        <v>329</v>
      </c>
      <c r="Q490" s="5" t="n"/>
      <c r="R490" s="5" t="n"/>
      <c r="S490" s="5">
        <f>F490*20%</f>
        <v/>
      </c>
      <c r="T490" s="5">
        <f>J490-S490</f>
        <v/>
      </c>
      <c r="U490" s="5">
        <f>F490+J490</f>
        <v/>
      </c>
      <c r="V490" s="5">
        <f>O490-U490</f>
        <v/>
      </c>
      <c r="W490" s="5">
        <f>O490-(P490+R490)</f>
        <v/>
      </c>
      <c r="X490" s="5">
        <f>O490-(P490+Q490+R490)</f>
        <v/>
      </c>
    </row>
    <row r="491">
      <c r="A491" s="2" t="inlineStr">
        <is>
          <t>EJ010724.TXT</t>
        </is>
      </c>
      <c r="B491" s="3" t="inlineStr">
        <is>
          <t>001709</t>
        </is>
      </c>
      <c r="C491" s="3" t="inlineStr">
        <is>
          <t>001098</t>
        </is>
      </c>
      <c r="D491" s="4" t="n">
        <v>45456</v>
      </c>
      <c r="E491" s="2" t="inlineStr">
        <is>
          <t>14:19</t>
        </is>
      </c>
      <c r="F491" s="5" t="n">
        <v>274.17</v>
      </c>
      <c r="G491" s="5" t="n"/>
      <c r="H491" s="5" t="n"/>
      <c r="I491" s="5" t="n"/>
      <c r="J491" s="5" t="n">
        <v>54.83</v>
      </c>
      <c r="K491" s="5" t="n"/>
      <c r="L491" s="5" t="n"/>
      <c r="M491" s="5" t="n"/>
      <c r="N491" s="5" t="n"/>
      <c r="O491" s="5" t="n">
        <v>329</v>
      </c>
      <c r="P491" s="5" t="n">
        <v>329</v>
      </c>
      <c r="Q491" s="5" t="n"/>
      <c r="R491" s="5" t="n"/>
      <c r="S491" s="5">
        <f>F491*20%</f>
        <v/>
      </c>
      <c r="T491" s="5">
        <f>J491-S491</f>
        <v/>
      </c>
      <c r="U491" s="5">
        <f>F491+J491</f>
        <v/>
      </c>
      <c r="V491" s="5">
        <f>O491-U491</f>
        <v/>
      </c>
      <c r="W491" s="5">
        <f>O491-(P491+R491)</f>
        <v/>
      </c>
      <c r="X491" s="5">
        <f>O491-(P491+Q491+R491)</f>
        <v/>
      </c>
    </row>
    <row r="492">
      <c r="A492" s="2" t="inlineStr">
        <is>
          <t>EJ010724.TXT</t>
        </is>
      </c>
      <c r="B492" s="3" t="inlineStr">
        <is>
          <t>001710</t>
        </is>
      </c>
      <c r="C492" s="3" t="inlineStr">
        <is>
          <t>001099</t>
        </is>
      </c>
      <c r="D492" s="4" t="n">
        <v>45456</v>
      </c>
      <c r="E492" s="2" t="inlineStr">
        <is>
          <t>14:19</t>
        </is>
      </c>
      <c r="F492" s="5" t="n">
        <v>274.17</v>
      </c>
      <c r="G492" s="5" t="n"/>
      <c r="H492" s="5" t="n"/>
      <c r="I492" s="5" t="n"/>
      <c r="J492" s="5" t="n">
        <v>54.83</v>
      </c>
      <c r="K492" s="5" t="n"/>
      <c r="L492" s="5" t="n"/>
      <c r="M492" s="5" t="n"/>
      <c r="N492" s="5" t="n"/>
      <c r="O492" s="5" t="n">
        <v>329</v>
      </c>
      <c r="P492" s="5" t="n">
        <v>329</v>
      </c>
      <c r="Q492" s="5" t="n"/>
      <c r="R492" s="5" t="n"/>
      <c r="S492" s="5">
        <f>F492*20%</f>
        <v/>
      </c>
      <c r="T492" s="5">
        <f>J492-S492</f>
        <v/>
      </c>
      <c r="U492" s="5">
        <f>F492+J492</f>
        <v/>
      </c>
      <c r="V492" s="5">
        <f>O492-U492</f>
        <v/>
      </c>
      <c r="W492" s="5">
        <f>O492-(P492+R492)</f>
        <v/>
      </c>
      <c r="X492" s="5">
        <f>O492-(P492+Q492+R492)</f>
        <v/>
      </c>
    </row>
    <row r="493">
      <c r="A493" s="2" t="inlineStr">
        <is>
          <t>EJ010724.TXT</t>
        </is>
      </c>
      <c r="B493" s="3" t="inlineStr">
        <is>
          <t>001711</t>
        </is>
      </c>
      <c r="C493" s="3" t="inlineStr">
        <is>
          <t>001100</t>
        </is>
      </c>
      <c r="D493" s="4" t="n">
        <v>45457</v>
      </c>
      <c r="E493" s="2" t="inlineStr">
        <is>
          <t>14:54</t>
        </is>
      </c>
      <c r="F493" s="5" t="n">
        <v>582.5</v>
      </c>
      <c r="G493" s="5" t="n"/>
      <c r="H493" s="5" t="n"/>
      <c r="I493" s="5" t="n"/>
      <c r="J493" s="5" t="n">
        <v>116.5</v>
      </c>
      <c r="K493" s="5" t="n"/>
      <c r="L493" s="5" t="n"/>
      <c r="M493" s="5" t="n"/>
      <c r="N493" s="5" t="n"/>
      <c r="O493" s="5" t="n">
        <v>699</v>
      </c>
      <c r="P493" s="5" t="n"/>
      <c r="Q493" s="5" t="n">
        <v>699</v>
      </c>
      <c r="R493" s="5" t="n"/>
      <c r="S493" s="5">
        <f>F493*20%</f>
        <v/>
      </c>
      <c r="T493" s="5">
        <f>J493-S493</f>
        <v/>
      </c>
      <c r="U493" s="5">
        <f>F493+J493</f>
        <v/>
      </c>
      <c r="V493" s="5">
        <f>O493-U493</f>
        <v/>
      </c>
      <c r="W493" s="5">
        <f>O493-(P493+R493)</f>
        <v/>
      </c>
      <c r="X493" s="5">
        <f>O493-(P493+Q493+R493)</f>
        <v/>
      </c>
    </row>
    <row r="494">
      <c r="A494" s="2" t="inlineStr">
        <is>
          <t>EJ010724.TXT</t>
        </is>
      </c>
      <c r="B494" s="3" t="inlineStr">
        <is>
          <t>001713</t>
        </is>
      </c>
      <c r="C494" s="3" t="inlineStr">
        <is>
          <t>001101</t>
        </is>
      </c>
      <c r="D494" s="4" t="n">
        <v>45458</v>
      </c>
      <c r="E494" s="2" t="inlineStr">
        <is>
          <t>14:45</t>
        </is>
      </c>
      <c r="F494" s="5" t="n">
        <v>415</v>
      </c>
      <c r="G494" s="5" t="n"/>
      <c r="H494" s="5" t="n"/>
      <c r="I494" s="5" t="n"/>
      <c r="J494" s="5" t="n">
        <v>83</v>
      </c>
      <c r="K494" s="5" t="n"/>
      <c r="L494" s="5" t="n"/>
      <c r="M494" s="5" t="n"/>
      <c r="N494" s="5" t="n"/>
      <c r="O494" s="5" t="n">
        <v>498</v>
      </c>
      <c r="P494" s="5" t="n"/>
      <c r="Q494" s="5" t="n">
        <v>498</v>
      </c>
      <c r="R494" s="5" t="n"/>
      <c r="S494" s="5">
        <f>F494*20%</f>
        <v/>
      </c>
      <c r="T494" s="5">
        <f>J494-S494</f>
        <v/>
      </c>
      <c r="U494" s="5">
        <f>F494+J494</f>
        <v/>
      </c>
      <c r="V494" s="5">
        <f>O494-U494</f>
        <v/>
      </c>
      <c r="W494" s="5">
        <f>O494-(P494+R494)</f>
        <v/>
      </c>
      <c r="X494" s="5">
        <f>O494-(P494+Q494+R494)</f>
        <v/>
      </c>
    </row>
    <row r="495">
      <c r="A495" s="2" t="inlineStr">
        <is>
          <t>EJ010724.TXT</t>
        </is>
      </c>
      <c r="B495" s="3" t="inlineStr">
        <is>
          <t>001714</t>
        </is>
      </c>
      <c r="C495" s="3" t="inlineStr">
        <is>
          <t>001102</t>
        </is>
      </c>
      <c r="D495" s="4" t="n">
        <v>45458</v>
      </c>
      <c r="E495" s="2" t="inlineStr">
        <is>
          <t>16:09</t>
        </is>
      </c>
      <c r="F495" s="5" t="n">
        <v>274.17</v>
      </c>
      <c r="G495" s="5" t="n"/>
      <c r="H495" s="5" t="n"/>
      <c r="I495" s="5" t="n"/>
      <c r="J495" s="5" t="n">
        <v>54.83</v>
      </c>
      <c r="K495" s="5" t="n"/>
      <c r="L495" s="5" t="n"/>
      <c r="M495" s="5" t="n"/>
      <c r="N495" s="5" t="n"/>
      <c r="O495" s="5" t="n">
        <v>329</v>
      </c>
      <c r="P495" s="5" t="n"/>
      <c r="Q495" s="5" t="n">
        <v>329</v>
      </c>
      <c r="R495" s="5" t="n"/>
      <c r="S495" s="5">
        <f>F495*20%</f>
        <v/>
      </c>
      <c r="T495" s="5">
        <f>J495-S495</f>
        <v/>
      </c>
      <c r="U495" s="5">
        <f>F495+J495</f>
        <v/>
      </c>
      <c r="V495" s="5">
        <f>O495-U495</f>
        <v/>
      </c>
      <c r="W495" s="5">
        <f>O495-(P495+R495)</f>
        <v/>
      </c>
      <c r="X495" s="5">
        <f>O495-(P495+Q495+R495)</f>
        <v/>
      </c>
    </row>
    <row r="496">
      <c r="A496" s="2" t="inlineStr">
        <is>
          <t>EJ010724.TXT</t>
        </is>
      </c>
      <c r="B496" s="3" t="inlineStr">
        <is>
          <t>001715</t>
        </is>
      </c>
      <c r="C496" s="3" t="inlineStr">
        <is>
          <t>001103</t>
        </is>
      </c>
      <c r="D496" s="4" t="n">
        <v>45461</v>
      </c>
      <c r="E496" s="2" t="inlineStr">
        <is>
          <t>08:59</t>
        </is>
      </c>
      <c r="F496" s="5" t="n">
        <v>548.33</v>
      </c>
      <c r="G496" s="5" t="n"/>
      <c r="H496" s="5" t="n"/>
      <c r="I496" s="5" t="n"/>
      <c r="J496" s="5" t="n">
        <v>109.67</v>
      </c>
      <c r="K496" s="5" t="n"/>
      <c r="L496" s="5" t="n"/>
      <c r="M496" s="5" t="n"/>
      <c r="N496" s="5" t="n"/>
      <c r="O496" s="5" t="n">
        <v>658</v>
      </c>
      <c r="P496" s="5" t="n"/>
      <c r="Q496" s="5" t="n">
        <v>658</v>
      </c>
      <c r="R496" s="5" t="n"/>
      <c r="S496" s="5">
        <f>F496*20%</f>
        <v/>
      </c>
      <c r="T496" s="5">
        <f>J496-S496</f>
        <v/>
      </c>
      <c r="U496" s="5">
        <f>F496+J496</f>
        <v/>
      </c>
      <c r="V496" s="5">
        <f>O496-U496</f>
        <v/>
      </c>
      <c r="W496" s="5">
        <f>O496-(P496+R496)</f>
        <v/>
      </c>
      <c r="X496" s="5">
        <f>O496-(P496+Q496+R496)</f>
        <v/>
      </c>
    </row>
    <row r="497">
      <c r="A497" s="2" t="inlineStr">
        <is>
          <t>EJ010724.TXT</t>
        </is>
      </c>
      <c r="B497" s="3" t="inlineStr">
        <is>
          <t>001717</t>
        </is>
      </c>
      <c r="C497" s="3" t="inlineStr">
        <is>
          <t>001104</t>
        </is>
      </c>
      <c r="D497" s="4" t="n">
        <v>45463</v>
      </c>
      <c r="E497" s="2" t="inlineStr">
        <is>
          <t>10:19</t>
        </is>
      </c>
      <c r="F497" s="5" t="n">
        <v>548.33</v>
      </c>
      <c r="G497" s="5" t="n"/>
      <c r="H497" s="5" t="n"/>
      <c r="I497" s="5" t="n"/>
      <c r="J497" s="5" t="n">
        <v>109.67</v>
      </c>
      <c r="K497" s="5" t="n"/>
      <c r="L497" s="5" t="n"/>
      <c r="M497" s="5" t="n"/>
      <c r="N497" s="5" t="n"/>
      <c r="O497" s="5" t="n">
        <v>658</v>
      </c>
      <c r="P497" s="5" t="n">
        <v>658</v>
      </c>
      <c r="Q497" s="5" t="n"/>
      <c r="R497" s="5" t="n"/>
      <c r="S497" s="5">
        <f>F497*20%</f>
        <v/>
      </c>
      <c r="T497" s="5">
        <f>J497-S497</f>
        <v/>
      </c>
      <c r="U497" s="5">
        <f>F497+J497</f>
        <v/>
      </c>
      <c r="V497" s="5">
        <f>O497-U497</f>
        <v/>
      </c>
      <c r="W497" s="5">
        <f>O497-(P497+R497)</f>
        <v/>
      </c>
      <c r="X497" s="5">
        <f>O497-(P497+Q497+R497)</f>
        <v/>
      </c>
    </row>
    <row r="498">
      <c r="A498" s="2" t="inlineStr">
        <is>
          <t>EJ010724.TXT</t>
        </is>
      </c>
      <c r="B498" s="3" t="inlineStr">
        <is>
          <t>001718</t>
        </is>
      </c>
      <c r="C498" s="3" t="inlineStr">
        <is>
          <t>001105</t>
        </is>
      </c>
      <c r="D498" s="4" t="n">
        <v>45468</v>
      </c>
      <c r="E498" s="2" t="inlineStr">
        <is>
          <t>15:12</t>
        </is>
      </c>
      <c r="F498" s="5" t="n">
        <v>20500</v>
      </c>
      <c r="G498" s="5" t="n"/>
      <c r="H498" s="5" t="n"/>
      <c r="I498" s="5" t="n"/>
      <c r="J498" s="5" t="n">
        <v>4100</v>
      </c>
      <c r="K498" s="5" t="n"/>
      <c r="L498" s="5" t="n"/>
      <c r="M498" s="5" t="n"/>
      <c r="N498" s="5" t="n"/>
      <c r="O498" s="5" t="n">
        <v>24600</v>
      </c>
      <c r="P498" s="5" t="n">
        <v>24600</v>
      </c>
      <c r="Q498" s="5" t="n"/>
      <c r="R498" s="5" t="n"/>
      <c r="S498" s="5">
        <f>F498*20%</f>
        <v/>
      </c>
      <c r="T498" s="5">
        <f>J498-S498</f>
        <v/>
      </c>
      <c r="U498" s="5">
        <f>F498+J498</f>
        <v/>
      </c>
      <c r="V498" s="5">
        <f>O498-U498</f>
        <v/>
      </c>
      <c r="W498" s="5">
        <f>O498-(P498+R498)</f>
        <v/>
      </c>
      <c r="X498" s="5">
        <f>O498-(P498+Q498+R498)</f>
        <v/>
      </c>
    </row>
    <row r="499">
      <c r="A499" s="2" t="inlineStr">
        <is>
          <t>EJ010724.TXT</t>
        </is>
      </c>
      <c r="B499" s="3" t="inlineStr">
        <is>
          <t>001719</t>
        </is>
      </c>
      <c r="C499" s="3" t="inlineStr">
        <is>
          <t>001106</t>
        </is>
      </c>
      <c r="D499" s="4" t="n">
        <v>45469</v>
      </c>
      <c r="E499" s="2" t="inlineStr">
        <is>
          <t>10:55</t>
        </is>
      </c>
      <c r="F499" s="5" t="n">
        <v>531.67</v>
      </c>
      <c r="G499" s="5" t="n"/>
      <c r="H499" s="5" t="n"/>
      <c r="I499" s="5" t="n"/>
      <c r="J499" s="5" t="n">
        <v>106.33</v>
      </c>
      <c r="K499" s="5" t="n"/>
      <c r="L499" s="5" t="n"/>
      <c r="M499" s="5" t="n"/>
      <c r="N499" s="5" t="n"/>
      <c r="O499" s="5" t="n">
        <v>638</v>
      </c>
      <c r="P499" s="5" t="n"/>
      <c r="Q499" s="5" t="n">
        <v>638</v>
      </c>
      <c r="R499" s="5" t="n"/>
      <c r="S499" s="5">
        <f>F499*20%</f>
        <v/>
      </c>
      <c r="T499" s="5">
        <f>J499-S499</f>
        <v/>
      </c>
      <c r="U499" s="5">
        <f>F499+J499</f>
        <v/>
      </c>
      <c r="V499" s="5">
        <f>O499-U499</f>
        <v/>
      </c>
      <c r="W499" s="5">
        <f>O499-(P499+R499)</f>
        <v/>
      </c>
      <c r="X499" s="5">
        <f>O499-(P499+Q499+R499)</f>
        <v/>
      </c>
    </row>
    <row r="500">
      <c r="A500" s="2" t="inlineStr">
        <is>
          <t>EJ010724.TXT</t>
        </is>
      </c>
      <c r="B500" s="3" t="inlineStr">
        <is>
          <t>001720</t>
        </is>
      </c>
      <c r="C500" s="3" t="inlineStr">
        <is>
          <t>001107</t>
        </is>
      </c>
      <c r="D500" s="4" t="n">
        <v>45469</v>
      </c>
      <c r="E500" s="2" t="inlineStr">
        <is>
          <t>12:56</t>
        </is>
      </c>
      <c r="F500" s="5" t="n">
        <v>274.17</v>
      </c>
      <c r="G500" s="5" t="n"/>
      <c r="H500" s="5" t="n"/>
      <c r="I500" s="5" t="n"/>
      <c r="J500" s="5" t="n">
        <v>54.83</v>
      </c>
      <c r="K500" s="5" t="n"/>
      <c r="L500" s="5" t="n"/>
      <c r="M500" s="5" t="n"/>
      <c r="N500" s="5" t="n"/>
      <c r="O500" s="5" t="n">
        <v>329</v>
      </c>
      <c r="P500" s="5" t="n">
        <v>329</v>
      </c>
      <c r="Q500" s="5" t="n"/>
      <c r="R500" s="5" t="n"/>
      <c r="S500" s="5">
        <f>F500*20%</f>
        <v/>
      </c>
      <c r="T500" s="5">
        <f>J500-S500</f>
        <v/>
      </c>
      <c r="U500" s="5">
        <f>F500+J500</f>
        <v/>
      </c>
      <c r="V500" s="5">
        <f>O500-U500</f>
        <v/>
      </c>
      <c r="W500" s="5">
        <f>O500-(P500+R500)</f>
        <v/>
      </c>
      <c r="X500" s="5">
        <f>O500-(P500+Q500+R500)</f>
        <v/>
      </c>
    </row>
    <row r="501">
      <c r="A501" s="2" t="inlineStr">
        <is>
          <t>EJ010724.TXT</t>
        </is>
      </c>
      <c r="B501" s="3" t="inlineStr">
        <is>
          <t>001721</t>
        </is>
      </c>
      <c r="C501" s="3" t="inlineStr">
        <is>
          <t>001108</t>
        </is>
      </c>
      <c r="D501" s="4" t="n">
        <v>45469</v>
      </c>
      <c r="E501" s="2" t="inlineStr">
        <is>
          <t>13:17</t>
        </is>
      </c>
      <c r="F501" s="5" t="n">
        <v>548.33</v>
      </c>
      <c r="G501" s="5" t="n"/>
      <c r="H501" s="5" t="n"/>
      <c r="I501" s="5" t="n"/>
      <c r="J501" s="5" t="n">
        <v>109.67</v>
      </c>
      <c r="K501" s="5" t="n"/>
      <c r="L501" s="5" t="n"/>
      <c r="M501" s="5" t="n"/>
      <c r="N501" s="5" t="n"/>
      <c r="O501" s="5" t="n">
        <v>658</v>
      </c>
      <c r="P501" s="5" t="n">
        <v>658</v>
      </c>
      <c r="Q501" s="5" t="n"/>
      <c r="R501" s="5" t="n"/>
      <c r="S501" s="5">
        <f>F501*20%</f>
        <v/>
      </c>
      <c r="T501" s="5">
        <f>J501-S501</f>
        <v/>
      </c>
      <c r="U501" s="5">
        <f>F501+J501</f>
        <v/>
      </c>
      <c r="V501" s="5">
        <f>O501-U501</f>
        <v/>
      </c>
      <c r="W501" s="5">
        <f>O501-(P501+R501)</f>
        <v/>
      </c>
      <c r="X501" s="5">
        <f>O501-(P501+Q501+R501)</f>
        <v/>
      </c>
    </row>
    <row r="502">
      <c r="A502" s="2" t="inlineStr">
        <is>
          <t>EJ010724.TXT</t>
        </is>
      </c>
      <c r="B502" s="3" t="inlineStr">
        <is>
          <t>001722</t>
        </is>
      </c>
      <c r="C502" s="3" t="inlineStr">
        <is>
          <t>001109</t>
        </is>
      </c>
      <c r="D502" s="4" t="n">
        <v>45469</v>
      </c>
      <c r="E502" s="2" t="inlineStr">
        <is>
          <t>15:56</t>
        </is>
      </c>
      <c r="F502" s="5" t="n">
        <v>90.83</v>
      </c>
      <c r="G502" s="5" t="n"/>
      <c r="H502" s="5" t="n"/>
      <c r="I502" s="5" t="n"/>
      <c r="J502" s="5" t="n">
        <v>18.17</v>
      </c>
      <c r="K502" s="5" t="n"/>
      <c r="L502" s="5" t="n"/>
      <c r="M502" s="5" t="n"/>
      <c r="N502" s="5" t="n"/>
      <c r="O502" s="5" t="n">
        <v>109</v>
      </c>
      <c r="P502" s="5" t="n"/>
      <c r="Q502" s="5" t="n">
        <v>109</v>
      </c>
      <c r="R502" s="5" t="n"/>
      <c r="S502" s="5">
        <f>F502*20%</f>
        <v/>
      </c>
      <c r="T502" s="5">
        <f>J502-S502</f>
        <v/>
      </c>
      <c r="U502" s="5">
        <f>F502+J502</f>
        <v/>
      </c>
      <c r="V502" s="5">
        <f>O502-U502</f>
        <v/>
      </c>
      <c r="W502" s="5">
        <f>O502-(P502+R502)</f>
        <v/>
      </c>
      <c r="X502" s="5">
        <f>O502-(P502+Q502+R502)</f>
        <v/>
      </c>
    </row>
    <row r="503">
      <c r="A503" s="2" t="inlineStr">
        <is>
          <t>EJ010724.TXT</t>
        </is>
      </c>
      <c r="B503" s="3" t="inlineStr">
        <is>
          <t>001724</t>
        </is>
      </c>
      <c r="C503" s="3" t="inlineStr">
        <is>
          <t>001110</t>
        </is>
      </c>
      <c r="D503" s="4" t="n">
        <v>45471</v>
      </c>
      <c r="E503" s="2" t="inlineStr">
        <is>
          <t>11:37</t>
        </is>
      </c>
      <c r="F503" s="5" t="n">
        <v>40.75</v>
      </c>
      <c r="G503" s="5" t="n"/>
      <c r="H503" s="5" t="n"/>
      <c r="I503" s="5" t="n"/>
      <c r="J503" s="5" t="n">
        <v>8.15</v>
      </c>
      <c r="K503" s="5" t="n"/>
      <c r="L503" s="5" t="n"/>
      <c r="M503" s="5" t="n"/>
      <c r="N503" s="5" t="n"/>
      <c r="O503" s="5" t="n">
        <v>48.9</v>
      </c>
      <c r="P503" s="5" t="n">
        <v>48.9</v>
      </c>
      <c r="Q503" s="5" t="n"/>
      <c r="R503" s="5" t="n"/>
      <c r="S503" s="5">
        <f>F503*20%</f>
        <v/>
      </c>
      <c r="T503" s="5">
        <f>J503-S503</f>
        <v/>
      </c>
      <c r="U503" s="5">
        <f>F503+J503</f>
        <v/>
      </c>
      <c r="V503" s="5">
        <f>O503-U503</f>
        <v/>
      </c>
      <c r="W503" s="5">
        <f>O503-(P503+R503)</f>
        <v/>
      </c>
      <c r="X503" s="5">
        <f>O503-(P503+Q503+R503)</f>
        <v/>
      </c>
    </row>
    <row r="504">
      <c r="A504" s="2" t="inlineStr">
        <is>
          <t>EJ010724.TXT</t>
        </is>
      </c>
      <c r="B504" s="3" t="inlineStr">
        <is>
          <t>001725</t>
        </is>
      </c>
      <c r="C504" s="3" t="inlineStr">
        <is>
          <t>001111</t>
        </is>
      </c>
      <c r="D504" s="4" t="n">
        <v>45472</v>
      </c>
      <c r="E504" s="2" t="inlineStr">
        <is>
          <t>13:34</t>
        </is>
      </c>
      <c r="F504" s="5" t="n">
        <v>329.17</v>
      </c>
      <c r="G504" s="5" t="n"/>
      <c r="H504" s="5" t="n"/>
      <c r="I504" s="5" t="n"/>
      <c r="J504" s="5" t="n">
        <v>65.83</v>
      </c>
      <c r="K504" s="5" t="n"/>
      <c r="L504" s="5" t="n"/>
      <c r="M504" s="5" t="n"/>
      <c r="N504" s="5" t="n"/>
      <c r="O504" s="5" t="n">
        <v>395</v>
      </c>
      <c r="P504" s="5" t="n">
        <v>395</v>
      </c>
      <c r="Q504" s="5" t="n"/>
      <c r="R504" s="5" t="n"/>
      <c r="S504" s="5">
        <f>F504*20%</f>
        <v/>
      </c>
      <c r="T504" s="5">
        <f>J504-S504</f>
        <v/>
      </c>
      <c r="U504" s="5">
        <f>F504+J504</f>
        <v/>
      </c>
      <c r="V504" s="5">
        <f>O504-U504</f>
        <v/>
      </c>
      <c r="W504" s="5">
        <f>O504-(P504+R504)</f>
        <v/>
      </c>
      <c r="X504" s="5">
        <f>O504-(P504+Q504+R504)</f>
        <v/>
      </c>
    </row>
    <row r="505">
      <c r="A505" s="2" t="inlineStr">
        <is>
          <t>EJ010724.TXT</t>
        </is>
      </c>
      <c r="B505" s="3" t="inlineStr">
        <is>
          <t>001726</t>
        </is>
      </c>
      <c r="C505" s="3" t="inlineStr">
        <is>
          <t>001112</t>
        </is>
      </c>
      <c r="D505" s="4" t="n">
        <v>45472</v>
      </c>
      <c r="E505" s="2" t="inlineStr">
        <is>
          <t>14:05</t>
        </is>
      </c>
      <c r="F505" s="5" t="n">
        <v>548.33</v>
      </c>
      <c r="G505" s="5" t="n"/>
      <c r="H505" s="5" t="n"/>
      <c r="I505" s="5" t="n"/>
      <c r="J505" s="5" t="n">
        <v>109.67</v>
      </c>
      <c r="K505" s="5" t="n"/>
      <c r="L505" s="5" t="n"/>
      <c r="M505" s="5" t="n"/>
      <c r="N505" s="5" t="n"/>
      <c r="O505" s="5" t="n">
        <v>658</v>
      </c>
      <c r="P505" s="5" t="n">
        <v>658</v>
      </c>
      <c r="Q505" s="5" t="n"/>
      <c r="R505" s="5" t="n"/>
      <c r="S505" s="5">
        <f>F505*20%</f>
        <v/>
      </c>
      <c r="T505" s="5">
        <f>J505-S505</f>
        <v/>
      </c>
      <c r="U505" s="5">
        <f>F505+J505</f>
        <v/>
      </c>
      <c r="V505" s="5">
        <f>O505-U505</f>
        <v/>
      </c>
      <c r="W505" s="5">
        <f>O505-(P505+R505)</f>
        <v/>
      </c>
      <c r="X505" s="5">
        <f>O505-(P505+Q505+R505)</f>
        <v/>
      </c>
    </row>
    <row r="506">
      <c r="A506" s="2" t="inlineStr">
        <is>
          <t>EJ010824.TXT</t>
        </is>
      </c>
      <c r="B506" s="3" t="inlineStr">
        <is>
          <t>001732</t>
        </is>
      </c>
      <c r="C506" s="3" t="inlineStr">
        <is>
          <t>001113</t>
        </is>
      </c>
      <c r="D506" s="4" t="n">
        <v>45474</v>
      </c>
      <c r="E506" s="2" t="inlineStr">
        <is>
          <t>16:08</t>
        </is>
      </c>
      <c r="F506" s="5" t="n">
        <v>397.5</v>
      </c>
      <c r="G506" s="5" t="n"/>
      <c r="H506" s="5" t="n"/>
      <c r="I506" s="5" t="n"/>
      <c r="J506" s="5" t="n">
        <v>79.5</v>
      </c>
      <c r="K506" s="5" t="n"/>
      <c r="L506" s="5" t="n"/>
      <c r="M506" s="5" t="n"/>
      <c r="N506" s="5" t="n"/>
      <c r="O506" s="5" t="n">
        <v>477</v>
      </c>
      <c r="P506" s="5" t="n"/>
      <c r="Q506" s="5" t="n">
        <v>477</v>
      </c>
      <c r="R506" s="5" t="n"/>
      <c r="S506" s="5">
        <f>F506*20%</f>
        <v/>
      </c>
      <c r="T506" s="5">
        <f>J506-S506</f>
        <v/>
      </c>
      <c r="U506" s="5">
        <f>F506+J506</f>
        <v/>
      </c>
      <c r="V506" s="5">
        <f>O506-U506</f>
        <v/>
      </c>
      <c r="W506" s="5">
        <f>O506-(P506+R506)</f>
        <v/>
      </c>
      <c r="X506" s="5">
        <f>O506-(P506+Q506+R506)</f>
        <v/>
      </c>
    </row>
    <row r="507">
      <c r="A507" s="2" t="inlineStr">
        <is>
          <t>EJ010824.TXT</t>
        </is>
      </c>
      <c r="B507" s="3" t="inlineStr">
        <is>
          <t>001733</t>
        </is>
      </c>
      <c r="C507" s="3" t="inlineStr">
        <is>
          <t>001114</t>
        </is>
      </c>
      <c r="D507" s="4" t="n">
        <v>45475</v>
      </c>
      <c r="E507" s="2" t="inlineStr">
        <is>
          <t>09:55</t>
        </is>
      </c>
      <c r="F507" s="5" t="n">
        <v>20500</v>
      </c>
      <c r="G507" s="5" t="n"/>
      <c r="H507" s="5" t="n"/>
      <c r="I507" s="5" t="n"/>
      <c r="J507" s="5" t="n">
        <v>4100</v>
      </c>
      <c r="K507" s="5" t="n"/>
      <c r="L507" s="5" t="n"/>
      <c r="M507" s="5" t="n"/>
      <c r="N507" s="5" t="n"/>
      <c r="O507" s="5" t="n">
        <v>24600</v>
      </c>
      <c r="P507" s="5" t="n">
        <v>24600</v>
      </c>
      <c r="Q507" s="5" t="n"/>
      <c r="R507" s="5" t="n"/>
      <c r="S507" s="5">
        <f>F507*20%</f>
        <v/>
      </c>
      <c r="T507" s="5">
        <f>J507-S507</f>
        <v/>
      </c>
      <c r="U507" s="5">
        <f>F507+J507</f>
        <v/>
      </c>
      <c r="V507" s="5">
        <f>O507-U507</f>
        <v/>
      </c>
      <c r="W507" s="5">
        <f>O507-(P507+R507)</f>
        <v/>
      </c>
      <c r="X507" s="5">
        <f>O507-(P507+Q507+R507)</f>
        <v/>
      </c>
    </row>
    <row r="508">
      <c r="A508" s="2" t="inlineStr">
        <is>
          <t>EJ010824.TXT</t>
        </is>
      </c>
      <c r="B508" s="3" t="inlineStr">
        <is>
          <t>001734</t>
        </is>
      </c>
      <c r="C508" s="3" t="inlineStr">
        <is>
          <t>001115</t>
        </is>
      </c>
      <c r="D508" s="4" t="n">
        <v>45475</v>
      </c>
      <c r="E508" s="2" t="inlineStr">
        <is>
          <t>12:08</t>
        </is>
      </c>
      <c r="F508" s="5" t="n">
        <v>274.17</v>
      </c>
      <c r="G508" s="5" t="n"/>
      <c r="H508" s="5" t="n"/>
      <c r="I508" s="5" t="n"/>
      <c r="J508" s="5" t="n">
        <v>54.83</v>
      </c>
      <c r="K508" s="5" t="n"/>
      <c r="L508" s="5" t="n"/>
      <c r="M508" s="5" t="n"/>
      <c r="N508" s="5" t="n"/>
      <c r="O508" s="5" t="n">
        <v>329</v>
      </c>
      <c r="P508" s="5" t="n">
        <v>329</v>
      </c>
      <c r="Q508" s="5" t="n"/>
      <c r="R508" s="5" t="n"/>
      <c r="S508" s="5">
        <f>F508*20%</f>
        <v/>
      </c>
      <c r="T508" s="5">
        <f>J508-S508</f>
        <v/>
      </c>
      <c r="U508" s="5">
        <f>F508+J508</f>
        <v/>
      </c>
      <c r="V508" s="5">
        <f>O508-U508</f>
        <v/>
      </c>
      <c r="W508" s="5">
        <f>O508-(P508+R508)</f>
        <v/>
      </c>
      <c r="X508" s="5">
        <f>O508-(P508+Q508+R508)</f>
        <v/>
      </c>
    </row>
    <row r="509">
      <c r="A509" s="2" t="inlineStr">
        <is>
          <t>EJ010824.TXT</t>
        </is>
      </c>
      <c r="B509" s="3" t="inlineStr">
        <is>
          <t>001735</t>
        </is>
      </c>
      <c r="C509" s="3" t="inlineStr">
        <is>
          <t>001116</t>
        </is>
      </c>
      <c r="D509" s="4" t="n">
        <v>45476</v>
      </c>
      <c r="E509" s="2" t="inlineStr">
        <is>
          <t>15:17</t>
        </is>
      </c>
      <c r="F509" s="5" t="n">
        <v>274.17</v>
      </c>
      <c r="G509" s="5" t="n"/>
      <c r="H509" s="5" t="n"/>
      <c r="I509" s="5" t="n"/>
      <c r="J509" s="5" t="n">
        <v>54.83</v>
      </c>
      <c r="K509" s="5" t="n"/>
      <c r="L509" s="5" t="n"/>
      <c r="M509" s="5" t="n"/>
      <c r="N509" s="5" t="n"/>
      <c r="O509" s="5" t="n">
        <v>329</v>
      </c>
      <c r="P509" s="5" t="n"/>
      <c r="Q509" s="5" t="n">
        <v>329</v>
      </c>
      <c r="R509" s="5" t="n"/>
      <c r="S509" s="5">
        <f>F509*20%</f>
        <v/>
      </c>
      <c r="T509" s="5">
        <f>J509-S509</f>
        <v/>
      </c>
      <c r="U509" s="5">
        <f>F509+J509</f>
        <v/>
      </c>
      <c r="V509" s="5">
        <f>O509-U509</f>
        <v/>
      </c>
      <c r="W509" s="5">
        <f>O509-(P509+R509)</f>
        <v/>
      </c>
      <c r="X509" s="5">
        <f>O509-(P509+Q509+R509)</f>
        <v/>
      </c>
    </row>
    <row r="510">
      <c r="A510" s="2" t="inlineStr">
        <is>
          <t>EJ010824.TXT</t>
        </is>
      </c>
      <c r="B510" s="3" t="inlineStr">
        <is>
          <t>001736</t>
        </is>
      </c>
      <c r="C510" s="3" t="inlineStr">
        <is>
          <t>001117</t>
        </is>
      </c>
      <c r="D510" s="4" t="n">
        <v>45481</v>
      </c>
      <c r="E510" s="2" t="inlineStr">
        <is>
          <t>09:03</t>
        </is>
      </c>
      <c r="F510" s="5" t="n">
        <v>347.5</v>
      </c>
      <c r="G510" s="5" t="n"/>
      <c r="H510" s="5" t="n"/>
      <c r="I510" s="5" t="n"/>
      <c r="J510" s="5" t="n">
        <v>69.5</v>
      </c>
      <c r="K510" s="5" t="n"/>
      <c r="L510" s="5" t="n"/>
      <c r="M510" s="5" t="n"/>
      <c r="N510" s="5" t="n"/>
      <c r="O510" s="5" t="n">
        <v>417</v>
      </c>
      <c r="P510" s="5" t="n"/>
      <c r="Q510" s="5" t="n">
        <v>417</v>
      </c>
      <c r="R510" s="5" t="n"/>
      <c r="S510" s="5">
        <f>F510*20%</f>
        <v/>
      </c>
      <c r="T510" s="5">
        <f>J510-S510</f>
        <v/>
      </c>
      <c r="U510" s="5">
        <f>F510+J510</f>
        <v/>
      </c>
      <c r="V510" s="5">
        <f>O510-U510</f>
        <v/>
      </c>
      <c r="W510" s="5">
        <f>O510-(P510+R510)</f>
        <v/>
      </c>
      <c r="X510" s="5">
        <f>O510-(P510+Q510+R510)</f>
        <v/>
      </c>
    </row>
    <row r="511">
      <c r="A511" s="2" t="inlineStr">
        <is>
          <t>EJ010824.TXT</t>
        </is>
      </c>
      <c r="B511" s="3" t="inlineStr">
        <is>
          <t>001737</t>
        </is>
      </c>
      <c r="C511" s="3" t="inlineStr">
        <is>
          <t>001118</t>
        </is>
      </c>
      <c r="D511" s="4" t="n">
        <v>45482</v>
      </c>
      <c r="E511" s="2" t="inlineStr">
        <is>
          <t>10:48</t>
        </is>
      </c>
      <c r="F511" s="5" t="n">
        <v>274.17</v>
      </c>
      <c r="G511" s="5" t="n"/>
      <c r="H511" s="5" t="n"/>
      <c r="I511" s="5" t="n"/>
      <c r="J511" s="5" t="n">
        <v>54.83</v>
      </c>
      <c r="K511" s="5" t="n"/>
      <c r="L511" s="5" t="n"/>
      <c r="M511" s="5" t="n"/>
      <c r="N511" s="5" t="n"/>
      <c r="O511" s="5" t="n">
        <v>329</v>
      </c>
      <c r="P511" s="5" t="n">
        <v>329</v>
      </c>
      <c r="Q511" s="5" t="n"/>
      <c r="R511" s="5" t="n"/>
      <c r="S511" s="5">
        <f>F511*20%</f>
        <v/>
      </c>
      <c r="T511" s="5">
        <f>J511-S511</f>
        <v/>
      </c>
      <c r="U511" s="5">
        <f>F511+J511</f>
        <v/>
      </c>
      <c r="V511" s="5">
        <f>O511-U511</f>
        <v/>
      </c>
      <c r="W511" s="5">
        <f>O511-(P511+R511)</f>
        <v/>
      </c>
      <c r="X511" s="5">
        <f>O511-(P511+Q511+R511)</f>
        <v/>
      </c>
    </row>
    <row r="512">
      <c r="A512" s="2" t="inlineStr">
        <is>
          <t>EJ010824.TXT</t>
        </is>
      </c>
      <c r="B512" s="3" t="inlineStr">
        <is>
          <t>001738</t>
        </is>
      </c>
      <c r="C512" s="3" t="inlineStr">
        <is>
          <t>001119</t>
        </is>
      </c>
      <c r="D512" s="4" t="n">
        <v>45483</v>
      </c>
      <c r="E512" s="2" t="inlineStr">
        <is>
          <t>10:31</t>
        </is>
      </c>
      <c r="F512" s="5" t="n">
        <v>1096.67</v>
      </c>
      <c r="G512" s="5" t="n"/>
      <c r="H512" s="5" t="n"/>
      <c r="I512" s="5" t="n"/>
      <c r="J512" s="5" t="n">
        <v>219.33</v>
      </c>
      <c r="K512" s="5" t="n"/>
      <c r="L512" s="5" t="n"/>
      <c r="M512" s="5" t="n"/>
      <c r="N512" s="5" t="n"/>
      <c r="O512" s="5" t="n">
        <v>1316</v>
      </c>
      <c r="P512" s="5" t="n">
        <v>1316</v>
      </c>
      <c r="Q512" s="5" t="n"/>
      <c r="R512" s="5" t="n"/>
      <c r="S512" s="5">
        <f>F512*20%</f>
        <v/>
      </c>
      <c r="T512" s="5">
        <f>J512-S512</f>
        <v/>
      </c>
      <c r="U512" s="5">
        <f>F512+J512</f>
        <v/>
      </c>
      <c r="V512" s="5">
        <f>O512-U512</f>
        <v/>
      </c>
      <c r="W512" s="5">
        <f>O512-(P512+R512)</f>
        <v/>
      </c>
      <c r="X512" s="5">
        <f>O512-(P512+Q512+R512)</f>
        <v/>
      </c>
    </row>
    <row r="513">
      <c r="A513" s="2" t="inlineStr">
        <is>
          <t>EJ010824.TXT</t>
        </is>
      </c>
      <c r="B513" s="3" t="inlineStr">
        <is>
          <t>001741</t>
        </is>
      </c>
      <c r="C513" s="3" t="inlineStr">
        <is>
          <t>001120</t>
        </is>
      </c>
      <c r="D513" s="4" t="n">
        <v>45483</v>
      </c>
      <c r="E513" s="2" t="inlineStr">
        <is>
          <t>13:58</t>
        </is>
      </c>
      <c r="F513" s="5" t="n">
        <v>2075</v>
      </c>
      <c r="G513" s="5" t="n"/>
      <c r="H513" s="5" t="n"/>
      <c r="I513" s="5" t="n"/>
      <c r="J513" s="5" t="n">
        <v>415</v>
      </c>
      <c r="K513" s="5" t="n"/>
      <c r="L513" s="5" t="n"/>
      <c r="M513" s="5" t="n"/>
      <c r="N513" s="5" t="n"/>
      <c r="O513" s="5" t="n">
        <v>2490</v>
      </c>
      <c r="P513" s="5" t="n"/>
      <c r="Q513" s="5" t="n">
        <v>2490</v>
      </c>
      <c r="R513" s="5" t="n"/>
      <c r="S513" s="5">
        <f>F513*20%</f>
        <v/>
      </c>
      <c r="T513" s="5">
        <f>J513-S513</f>
        <v/>
      </c>
      <c r="U513" s="5">
        <f>F513+J513</f>
        <v/>
      </c>
      <c r="V513" s="5">
        <f>O513-U513</f>
        <v/>
      </c>
      <c r="W513" s="5">
        <f>O513-(P513+R513)</f>
        <v/>
      </c>
      <c r="X513" s="5">
        <f>O513-(P513+Q513+R513)</f>
        <v/>
      </c>
    </row>
    <row r="514">
      <c r="A514" s="2" t="inlineStr">
        <is>
          <t>EJ010824.TXT</t>
        </is>
      </c>
      <c r="B514" s="3" t="inlineStr">
        <is>
          <t>001742</t>
        </is>
      </c>
      <c r="C514" s="3" t="inlineStr">
        <is>
          <t>001121</t>
        </is>
      </c>
      <c r="D514" s="4" t="n">
        <v>45483</v>
      </c>
      <c r="E514" s="2" t="inlineStr">
        <is>
          <t>14:05</t>
        </is>
      </c>
      <c r="F514" s="5" t="n">
        <v>548.33</v>
      </c>
      <c r="G514" s="5" t="n"/>
      <c r="H514" s="5" t="n"/>
      <c r="I514" s="5" t="n"/>
      <c r="J514" s="5" t="n">
        <v>109.67</v>
      </c>
      <c r="K514" s="5" t="n"/>
      <c r="L514" s="5" t="n"/>
      <c r="M514" s="5" t="n"/>
      <c r="N514" s="5" t="n"/>
      <c r="O514" s="5" t="n">
        <v>658</v>
      </c>
      <c r="P514" s="5" t="n">
        <v>658</v>
      </c>
      <c r="Q514" s="5" t="n"/>
      <c r="R514" s="5" t="n"/>
      <c r="S514" s="5">
        <f>F514*20%</f>
        <v/>
      </c>
      <c r="T514" s="5">
        <f>J514-S514</f>
        <v/>
      </c>
      <c r="U514" s="5">
        <f>F514+J514</f>
        <v/>
      </c>
      <c r="V514" s="5">
        <f>O514-U514</f>
        <v/>
      </c>
      <c r="W514" s="5">
        <f>O514-(P514+R514)</f>
        <v/>
      </c>
      <c r="X514" s="5">
        <f>O514-(P514+Q514+R514)</f>
        <v/>
      </c>
    </row>
    <row r="515">
      <c r="A515" s="2" t="inlineStr">
        <is>
          <t>EJ010824.TXT</t>
        </is>
      </c>
      <c r="B515" s="3" t="inlineStr">
        <is>
          <t>001746</t>
        </is>
      </c>
      <c r="C515" s="3" t="inlineStr">
        <is>
          <t>001122</t>
        </is>
      </c>
      <c r="D515" s="4" t="n">
        <v>45484</v>
      </c>
      <c r="E515" s="2" t="inlineStr">
        <is>
          <t>12:05</t>
        </is>
      </c>
      <c r="F515" s="5" t="n">
        <v>548.33</v>
      </c>
      <c r="G515" s="5" t="n"/>
      <c r="H515" s="5" t="n"/>
      <c r="I515" s="5" t="n"/>
      <c r="J515" s="5" t="n">
        <v>109.67</v>
      </c>
      <c r="K515" s="5" t="n"/>
      <c r="L515" s="5" t="n"/>
      <c r="M515" s="5" t="n"/>
      <c r="N515" s="5" t="n"/>
      <c r="O515" s="5" t="n">
        <v>658</v>
      </c>
      <c r="P515" s="5" t="n">
        <v>658</v>
      </c>
      <c r="Q515" s="5" t="n"/>
      <c r="R515" s="5" t="n"/>
      <c r="S515" s="5">
        <f>F515*20%</f>
        <v/>
      </c>
      <c r="T515" s="5">
        <f>J515-S515</f>
        <v/>
      </c>
      <c r="U515" s="5">
        <f>F515+J515</f>
        <v/>
      </c>
      <c r="V515" s="5">
        <f>O515-U515</f>
        <v/>
      </c>
      <c r="W515" s="5">
        <f>O515-(P515+R515)</f>
        <v/>
      </c>
      <c r="X515" s="5">
        <f>O515-(P515+Q515+R515)</f>
        <v/>
      </c>
    </row>
    <row r="516">
      <c r="A516" s="2" t="inlineStr">
        <is>
          <t>EJ010824.TXT</t>
        </is>
      </c>
      <c r="B516" s="3" t="inlineStr">
        <is>
          <t>001747</t>
        </is>
      </c>
      <c r="C516" s="3" t="inlineStr">
        <is>
          <t>001123</t>
        </is>
      </c>
      <c r="D516" s="4" t="n">
        <v>45490</v>
      </c>
      <c r="E516" s="2" t="inlineStr">
        <is>
          <t>15:43</t>
        </is>
      </c>
      <c r="F516" s="5" t="n">
        <v>548.33</v>
      </c>
      <c r="G516" s="5" t="n"/>
      <c r="H516" s="5" t="n"/>
      <c r="I516" s="5" t="n"/>
      <c r="J516" s="5" t="n">
        <v>109.67</v>
      </c>
      <c r="K516" s="5" t="n"/>
      <c r="L516" s="5" t="n"/>
      <c r="M516" s="5" t="n"/>
      <c r="N516" s="5" t="n"/>
      <c r="O516" s="5" t="n">
        <v>658</v>
      </c>
      <c r="P516" s="5" t="n"/>
      <c r="Q516" s="5" t="n">
        <v>658</v>
      </c>
      <c r="R516" s="5" t="n"/>
      <c r="S516" s="5">
        <f>F516*20%</f>
        <v/>
      </c>
      <c r="T516" s="5">
        <f>J516-S516</f>
        <v/>
      </c>
      <c r="U516" s="5">
        <f>F516+J516</f>
        <v/>
      </c>
      <c r="V516" s="5">
        <f>O516-U516</f>
        <v/>
      </c>
      <c r="W516" s="5">
        <f>O516-(P516+R516)</f>
        <v/>
      </c>
      <c r="X516" s="5">
        <f>O516-(P516+Q516+R516)</f>
        <v/>
      </c>
    </row>
    <row r="517">
      <c r="A517" s="2" t="inlineStr">
        <is>
          <t>EJ010824.TXT</t>
        </is>
      </c>
      <c r="B517" s="3" t="inlineStr">
        <is>
          <t>001748</t>
        </is>
      </c>
      <c r="C517" s="3" t="inlineStr">
        <is>
          <t>001124</t>
        </is>
      </c>
      <c r="D517" s="4" t="n">
        <v>45490</v>
      </c>
      <c r="E517" s="2" t="inlineStr">
        <is>
          <t>16:40</t>
        </is>
      </c>
      <c r="F517" s="5" t="n">
        <v>1096.67</v>
      </c>
      <c r="G517" s="5" t="n"/>
      <c r="H517" s="5" t="n"/>
      <c r="I517" s="5" t="n"/>
      <c r="J517" s="5" t="n">
        <v>219.33</v>
      </c>
      <c r="K517" s="5" t="n"/>
      <c r="L517" s="5" t="n"/>
      <c r="M517" s="5" t="n"/>
      <c r="N517" s="5" t="n"/>
      <c r="O517" s="5" t="n">
        <v>1316</v>
      </c>
      <c r="P517" s="5" t="n">
        <v>1316</v>
      </c>
      <c r="Q517" s="5" t="n"/>
      <c r="R517" s="5" t="n"/>
      <c r="S517" s="5">
        <f>F517*20%</f>
        <v/>
      </c>
      <c r="T517" s="5">
        <f>J517-S517</f>
        <v/>
      </c>
      <c r="U517" s="5">
        <f>F517+J517</f>
        <v/>
      </c>
      <c r="V517" s="5">
        <f>O517-U517</f>
        <v/>
      </c>
      <c r="W517" s="5">
        <f>O517-(P517+R517)</f>
        <v/>
      </c>
      <c r="X517" s="5">
        <f>O517-(P517+Q517+R517)</f>
        <v/>
      </c>
    </row>
    <row r="518">
      <c r="A518" s="2" t="inlineStr">
        <is>
          <t>EJ010824.TXT</t>
        </is>
      </c>
      <c r="B518" s="3" t="inlineStr">
        <is>
          <t>001750</t>
        </is>
      </c>
      <c r="C518" s="3" t="inlineStr">
        <is>
          <t>001125</t>
        </is>
      </c>
      <c r="D518" s="4" t="n">
        <v>45492</v>
      </c>
      <c r="E518" s="2" t="inlineStr">
        <is>
          <t>11:02</t>
        </is>
      </c>
      <c r="F518" s="5" t="n">
        <v>822.5</v>
      </c>
      <c r="G518" s="5" t="n"/>
      <c r="H518" s="5" t="n"/>
      <c r="I518" s="5" t="n"/>
      <c r="J518" s="5" t="n">
        <v>164.5</v>
      </c>
      <c r="K518" s="5" t="n"/>
      <c r="L518" s="5" t="n"/>
      <c r="M518" s="5" t="n"/>
      <c r="N518" s="5" t="n"/>
      <c r="O518" s="5" t="n">
        <v>987</v>
      </c>
      <c r="P518" s="5" t="n"/>
      <c r="Q518" s="5" t="n">
        <v>987</v>
      </c>
      <c r="R518" s="5" t="n"/>
      <c r="S518" s="5">
        <f>F518*20%</f>
        <v/>
      </c>
      <c r="T518" s="5">
        <f>J518-S518</f>
        <v/>
      </c>
      <c r="U518" s="5">
        <f>F518+J518</f>
        <v/>
      </c>
      <c r="V518" s="5">
        <f>O518-U518</f>
        <v/>
      </c>
      <c r="W518" s="5">
        <f>O518-(P518+R518)</f>
        <v/>
      </c>
      <c r="X518" s="5">
        <f>O518-(P518+Q518+R518)</f>
        <v/>
      </c>
    </row>
    <row r="519">
      <c r="A519" s="2" t="inlineStr">
        <is>
          <t>EJ010824.TXT</t>
        </is>
      </c>
      <c r="B519" s="3" t="inlineStr">
        <is>
          <t>001751</t>
        </is>
      </c>
      <c r="C519" s="3" t="inlineStr">
        <is>
          <t>001126</t>
        </is>
      </c>
      <c r="D519" s="4" t="n">
        <v>45492</v>
      </c>
      <c r="E519" s="2" t="inlineStr">
        <is>
          <t>11:03</t>
        </is>
      </c>
      <c r="F519" s="5" t="n">
        <v>822.5</v>
      </c>
      <c r="G519" s="5" t="n"/>
      <c r="H519" s="5" t="n"/>
      <c r="I519" s="5" t="n"/>
      <c r="J519" s="5" t="n">
        <v>164.5</v>
      </c>
      <c r="K519" s="5" t="n"/>
      <c r="L519" s="5" t="n"/>
      <c r="M519" s="5" t="n"/>
      <c r="N519" s="5" t="n"/>
      <c r="O519" s="5" t="n">
        <v>987</v>
      </c>
      <c r="P519" s="5" t="n"/>
      <c r="Q519" s="5" t="n">
        <v>987</v>
      </c>
      <c r="R519" s="5" t="n"/>
      <c r="S519" s="5">
        <f>F519*20%</f>
        <v/>
      </c>
      <c r="T519" s="5">
        <f>J519-S519</f>
        <v/>
      </c>
      <c r="U519" s="5">
        <f>F519+J519</f>
        <v/>
      </c>
      <c r="V519" s="5">
        <f>O519-U519</f>
        <v/>
      </c>
      <c r="W519" s="5">
        <f>O519-(P519+R519)</f>
        <v/>
      </c>
      <c r="X519" s="5">
        <f>O519-(P519+Q519+R519)</f>
        <v/>
      </c>
    </row>
    <row r="520">
      <c r="A520" s="2" t="inlineStr">
        <is>
          <t>EJ010824.TXT</t>
        </is>
      </c>
      <c r="B520" s="3" t="inlineStr">
        <is>
          <t>001752</t>
        </is>
      </c>
      <c r="C520" s="3" t="inlineStr">
        <is>
          <t>001127</t>
        </is>
      </c>
      <c r="D520" s="4" t="n">
        <v>45492</v>
      </c>
      <c r="E520" s="2" t="inlineStr">
        <is>
          <t>11:03</t>
        </is>
      </c>
      <c r="F520" s="5" t="n">
        <v>822.5</v>
      </c>
      <c r="G520" s="5" t="n"/>
      <c r="H520" s="5" t="n"/>
      <c r="I520" s="5" t="n"/>
      <c r="J520" s="5" t="n">
        <v>164.5</v>
      </c>
      <c r="K520" s="5" t="n"/>
      <c r="L520" s="5" t="n"/>
      <c r="M520" s="5" t="n"/>
      <c r="N520" s="5" t="n"/>
      <c r="O520" s="5" t="n">
        <v>987</v>
      </c>
      <c r="P520" s="5" t="n"/>
      <c r="Q520" s="5" t="n">
        <v>987</v>
      </c>
      <c r="R520" s="5" t="n"/>
      <c r="S520" s="5">
        <f>F520*20%</f>
        <v/>
      </c>
      <c r="T520" s="5">
        <f>J520-S520</f>
        <v/>
      </c>
      <c r="U520" s="5">
        <f>F520+J520</f>
        <v/>
      </c>
      <c r="V520" s="5">
        <f>O520-U520</f>
        <v/>
      </c>
      <c r="W520" s="5">
        <f>O520-(P520+R520)</f>
        <v/>
      </c>
      <c r="X520" s="5">
        <f>O520-(P520+Q520+R520)</f>
        <v/>
      </c>
    </row>
    <row r="521">
      <c r="A521" s="2" t="inlineStr">
        <is>
          <t>EJ010824.TXT</t>
        </is>
      </c>
      <c r="B521" s="3" t="inlineStr">
        <is>
          <t>001753</t>
        </is>
      </c>
      <c r="C521" s="3" t="inlineStr">
        <is>
          <t>001128</t>
        </is>
      </c>
      <c r="D521" s="4" t="n">
        <v>45492</v>
      </c>
      <c r="E521" s="2" t="inlineStr">
        <is>
          <t>11:03</t>
        </is>
      </c>
      <c r="F521" s="5" t="n">
        <v>822.5</v>
      </c>
      <c r="G521" s="5" t="n"/>
      <c r="H521" s="5" t="n"/>
      <c r="I521" s="5" t="n"/>
      <c r="J521" s="5" t="n">
        <v>164.5</v>
      </c>
      <c r="K521" s="5" t="n"/>
      <c r="L521" s="5" t="n"/>
      <c r="M521" s="5" t="n"/>
      <c r="N521" s="5" t="n"/>
      <c r="O521" s="5" t="n">
        <v>987</v>
      </c>
      <c r="P521" s="5" t="n"/>
      <c r="Q521" s="5" t="n">
        <v>987</v>
      </c>
      <c r="R521" s="5" t="n"/>
      <c r="S521" s="5">
        <f>F521*20%</f>
        <v/>
      </c>
      <c r="T521" s="5">
        <f>J521-S521</f>
        <v/>
      </c>
      <c r="U521" s="5">
        <f>F521+J521</f>
        <v/>
      </c>
      <c r="V521" s="5">
        <f>O521-U521</f>
        <v/>
      </c>
      <c r="W521" s="5">
        <f>O521-(P521+R521)</f>
        <v/>
      </c>
      <c r="X521" s="5">
        <f>O521-(P521+Q521+R521)</f>
        <v/>
      </c>
    </row>
    <row r="522">
      <c r="A522" s="2" t="inlineStr">
        <is>
          <t>EJ010824.TXT</t>
        </is>
      </c>
      <c r="B522" s="3" t="inlineStr">
        <is>
          <t>001754</t>
        </is>
      </c>
      <c r="C522" s="3" t="inlineStr">
        <is>
          <t>001129</t>
        </is>
      </c>
      <c r="D522" s="4" t="n">
        <v>45492</v>
      </c>
      <c r="E522" s="2" t="inlineStr">
        <is>
          <t>11:05</t>
        </is>
      </c>
      <c r="F522" s="5" t="n">
        <v>210</v>
      </c>
      <c r="G522" s="5" t="n"/>
      <c r="H522" s="5" t="n"/>
      <c r="I522" s="5" t="n"/>
      <c r="J522" s="5" t="n">
        <v>42</v>
      </c>
      <c r="K522" s="5" t="n"/>
      <c r="L522" s="5" t="n"/>
      <c r="M522" s="5" t="n"/>
      <c r="N522" s="5" t="n"/>
      <c r="O522" s="5" t="n">
        <v>252</v>
      </c>
      <c r="P522" s="5" t="n"/>
      <c r="Q522" s="5" t="n">
        <v>252</v>
      </c>
      <c r="R522" s="5" t="n"/>
      <c r="S522" s="5">
        <f>F522*20%</f>
        <v/>
      </c>
      <c r="T522" s="5">
        <f>J522-S522</f>
        <v/>
      </c>
      <c r="U522" s="5">
        <f>F522+J522</f>
        <v/>
      </c>
      <c r="V522" s="5">
        <f>O522-U522</f>
        <v/>
      </c>
      <c r="W522" s="5">
        <f>O522-(P522+R522)</f>
        <v/>
      </c>
      <c r="X522" s="5">
        <f>O522-(P522+Q522+R522)</f>
        <v/>
      </c>
    </row>
    <row r="523">
      <c r="A523" s="2" t="inlineStr">
        <is>
          <t>EJ010824.TXT</t>
        </is>
      </c>
      <c r="B523" s="3" t="inlineStr">
        <is>
          <t>001755</t>
        </is>
      </c>
      <c r="C523" s="3" t="inlineStr">
        <is>
          <t>001130</t>
        </is>
      </c>
      <c r="D523" s="4" t="n">
        <v>45492</v>
      </c>
      <c r="E523" s="2" t="inlineStr">
        <is>
          <t>15:43</t>
        </is>
      </c>
      <c r="F523" s="5" t="n">
        <v>274.17</v>
      </c>
      <c r="G523" s="5" t="n"/>
      <c r="H523" s="5" t="n"/>
      <c r="I523" s="5" t="n"/>
      <c r="J523" s="5" t="n">
        <v>54.83</v>
      </c>
      <c r="K523" s="5" t="n"/>
      <c r="L523" s="5" t="n"/>
      <c r="M523" s="5" t="n"/>
      <c r="N523" s="5" t="n"/>
      <c r="O523" s="5" t="n">
        <v>329</v>
      </c>
      <c r="P523" s="5" t="n"/>
      <c r="Q523" s="5" t="n">
        <v>329</v>
      </c>
      <c r="R523" s="5" t="n"/>
      <c r="S523" s="5">
        <f>F523*20%</f>
        <v/>
      </c>
      <c r="T523" s="5">
        <f>J523-S523</f>
        <v/>
      </c>
      <c r="U523" s="5">
        <f>F523+J523</f>
        <v/>
      </c>
      <c r="V523" s="5">
        <f>O523-U523</f>
        <v/>
      </c>
      <c r="W523" s="5">
        <f>O523-(P523+R523)</f>
        <v/>
      </c>
      <c r="X523" s="5">
        <f>O523-(P523+Q523+R523)</f>
        <v/>
      </c>
    </row>
    <row r="524">
      <c r="A524" s="2" t="inlineStr">
        <is>
          <t>EJ010824.TXT</t>
        </is>
      </c>
      <c r="B524" s="3" t="inlineStr">
        <is>
          <t>001759</t>
        </is>
      </c>
      <c r="C524" s="3" t="inlineStr">
        <is>
          <t>001131</t>
        </is>
      </c>
      <c r="D524" s="4" t="n">
        <v>45495</v>
      </c>
      <c r="E524" s="2" t="inlineStr">
        <is>
          <t>15:11</t>
        </is>
      </c>
      <c r="F524" s="5" t="n">
        <v>265.83</v>
      </c>
      <c r="G524" s="5" t="n"/>
      <c r="H524" s="5" t="n"/>
      <c r="I524" s="5" t="n"/>
      <c r="J524" s="5" t="n">
        <v>53.17</v>
      </c>
      <c r="K524" s="5" t="n"/>
      <c r="L524" s="5" t="n"/>
      <c r="M524" s="5" t="n"/>
      <c r="N524" s="5" t="n"/>
      <c r="O524" s="5" t="n">
        <v>319</v>
      </c>
      <c r="P524" s="5" t="n">
        <v>50</v>
      </c>
      <c r="Q524" s="5" t="n">
        <v>269</v>
      </c>
      <c r="R524" s="5" t="n"/>
      <c r="S524" s="5">
        <f>F524*20%</f>
        <v/>
      </c>
      <c r="T524" s="5">
        <f>J524-S524</f>
        <v/>
      </c>
      <c r="U524" s="5">
        <f>F524+J524</f>
        <v/>
      </c>
      <c r="V524" s="5">
        <f>O524-U524</f>
        <v/>
      </c>
      <c r="W524" s="5">
        <f>O524-(P524+R524)</f>
        <v/>
      </c>
      <c r="X524" s="5">
        <f>O524-(P524+Q524+R524)</f>
        <v/>
      </c>
    </row>
    <row r="525">
      <c r="A525" s="2" t="inlineStr">
        <is>
          <t>EJ010824.TXT</t>
        </is>
      </c>
      <c r="B525" s="3" t="inlineStr">
        <is>
          <t>001764</t>
        </is>
      </c>
      <c r="C525" s="3" t="inlineStr">
        <is>
          <t>001132</t>
        </is>
      </c>
      <c r="D525" s="4" t="n">
        <v>45496</v>
      </c>
      <c r="E525" s="2" t="inlineStr">
        <is>
          <t>15:57</t>
        </is>
      </c>
      <c r="F525" s="5" t="n">
        <v>329.17</v>
      </c>
      <c r="G525" s="5" t="n"/>
      <c r="H525" s="5" t="n"/>
      <c r="I525" s="5" t="n"/>
      <c r="J525" s="5" t="n">
        <v>65.83</v>
      </c>
      <c r="K525" s="5" t="n"/>
      <c r="L525" s="5" t="n"/>
      <c r="M525" s="5" t="n"/>
      <c r="N525" s="5" t="n"/>
      <c r="O525" s="5" t="n">
        <v>395</v>
      </c>
      <c r="P525" s="5" t="n"/>
      <c r="Q525" s="5" t="n">
        <v>395</v>
      </c>
      <c r="R525" s="5" t="n"/>
      <c r="S525" s="5">
        <f>F525*20%</f>
        <v/>
      </c>
      <c r="T525" s="5">
        <f>J525-S525</f>
        <v/>
      </c>
      <c r="U525" s="5">
        <f>F525+J525</f>
        <v/>
      </c>
      <c r="V525" s="5">
        <f>O525-U525</f>
        <v/>
      </c>
      <c r="W525" s="5">
        <f>O525-(P525+R525)</f>
        <v/>
      </c>
      <c r="X525" s="5">
        <f>O525-(P525+Q525+R525)</f>
        <v/>
      </c>
    </row>
    <row r="526">
      <c r="A526" s="2" t="inlineStr">
        <is>
          <t>EJ010824.TXT</t>
        </is>
      </c>
      <c r="B526" s="3" t="inlineStr">
        <is>
          <t>001765</t>
        </is>
      </c>
      <c r="C526" s="3" t="inlineStr">
        <is>
          <t>001133</t>
        </is>
      </c>
      <c r="D526" s="4" t="n">
        <v>45496</v>
      </c>
      <c r="E526" s="2" t="inlineStr">
        <is>
          <t>15:58</t>
        </is>
      </c>
      <c r="F526" s="5" t="n">
        <v>329.17</v>
      </c>
      <c r="G526" s="5" t="n"/>
      <c r="H526" s="5" t="n"/>
      <c r="I526" s="5" t="n"/>
      <c r="J526" s="5" t="n">
        <v>65.83</v>
      </c>
      <c r="K526" s="5" t="n"/>
      <c r="L526" s="5" t="n"/>
      <c r="M526" s="5" t="n"/>
      <c r="N526" s="5" t="n"/>
      <c r="O526" s="5" t="n">
        <v>395</v>
      </c>
      <c r="P526" s="5" t="n"/>
      <c r="Q526" s="5" t="n">
        <v>395</v>
      </c>
      <c r="R526" s="5" t="n"/>
      <c r="S526" s="5">
        <f>F526*20%</f>
        <v/>
      </c>
      <c r="T526" s="5">
        <f>J526-S526</f>
        <v/>
      </c>
      <c r="U526" s="5">
        <f>F526+J526</f>
        <v/>
      </c>
      <c r="V526" s="5">
        <f>O526-U526</f>
        <v/>
      </c>
      <c r="W526" s="5">
        <f>O526-(P526+R526)</f>
        <v/>
      </c>
      <c r="X526" s="5">
        <f>O526-(P526+Q526+R526)</f>
        <v/>
      </c>
    </row>
    <row r="527">
      <c r="A527" s="2" t="inlineStr">
        <is>
          <t>EJ010824.TXT</t>
        </is>
      </c>
      <c r="B527" s="3" t="inlineStr">
        <is>
          <t>001766</t>
        </is>
      </c>
      <c r="C527" s="3" t="inlineStr">
        <is>
          <t>001134</t>
        </is>
      </c>
      <c r="D527" s="4" t="n">
        <v>45496</v>
      </c>
      <c r="E527" s="2" t="inlineStr">
        <is>
          <t>16:14</t>
        </is>
      </c>
      <c r="F527" s="5" t="n">
        <v>474.17</v>
      </c>
      <c r="G527" s="5" t="n"/>
      <c r="H527" s="5" t="n"/>
      <c r="I527" s="5" t="n"/>
      <c r="J527" s="5" t="n">
        <v>94.83</v>
      </c>
      <c r="K527" s="5" t="n"/>
      <c r="L527" s="5" t="n"/>
      <c r="M527" s="5" t="n"/>
      <c r="N527" s="5" t="n"/>
      <c r="O527" s="5" t="n">
        <v>569</v>
      </c>
      <c r="P527" s="5" t="n">
        <v>569</v>
      </c>
      <c r="Q527" s="5" t="n"/>
      <c r="R527" s="5" t="n"/>
      <c r="S527" s="5">
        <f>F527*20%</f>
        <v/>
      </c>
      <c r="T527" s="5">
        <f>J527-S527</f>
        <v/>
      </c>
      <c r="U527" s="5">
        <f>F527+J527</f>
        <v/>
      </c>
      <c r="V527" s="5">
        <f>O527-U527</f>
        <v/>
      </c>
      <c r="W527" s="5">
        <f>O527-(P527+R527)</f>
        <v/>
      </c>
      <c r="X527" s="5">
        <f>O527-(P527+Q527+R527)</f>
        <v/>
      </c>
    </row>
    <row r="528">
      <c r="A528" s="2" t="inlineStr">
        <is>
          <t>EJ010824.TXT</t>
        </is>
      </c>
      <c r="B528" s="3" t="inlineStr">
        <is>
          <t>001767</t>
        </is>
      </c>
      <c r="C528" s="3" t="inlineStr">
        <is>
          <t>001135</t>
        </is>
      </c>
      <c r="D528" s="4" t="n">
        <v>45496</v>
      </c>
      <c r="E528" s="2" t="inlineStr">
        <is>
          <t>16:15</t>
        </is>
      </c>
      <c r="F528" s="5" t="n">
        <v>274.17</v>
      </c>
      <c r="G528" s="5" t="n"/>
      <c r="H528" s="5" t="n"/>
      <c r="I528" s="5" t="n"/>
      <c r="J528" s="5" t="n">
        <v>54.83</v>
      </c>
      <c r="K528" s="5" t="n"/>
      <c r="L528" s="5" t="n"/>
      <c r="M528" s="5" t="n"/>
      <c r="N528" s="5" t="n"/>
      <c r="O528" s="5" t="n">
        <v>329</v>
      </c>
      <c r="P528" s="5" t="n"/>
      <c r="Q528" s="5" t="n">
        <v>329</v>
      </c>
      <c r="R528" s="5" t="n"/>
      <c r="S528" s="5">
        <f>F528*20%</f>
        <v/>
      </c>
      <c r="T528" s="5">
        <f>J528-S528</f>
        <v/>
      </c>
      <c r="U528" s="5">
        <f>F528+J528</f>
        <v/>
      </c>
      <c r="V528" s="5">
        <f>O528-U528</f>
        <v/>
      </c>
      <c r="W528" s="5">
        <f>O528-(P528+R528)</f>
        <v/>
      </c>
      <c r="X528" s="5">
        <f>O528-(P528+Q528+R528)</f>
        <v/>
      </c>
    </row>
    <row r="529">
      <c r="A529" s="2" t="inlineStr">
        <is>
          <t>EJ010824.TXT</t>
        </is>
      </c>
      <c r="B529" s="3" t="inlineStr">
        <is>
          <t>001768</t>
        </is>
      </c>
      <c r="C529" s="3" t="inlineStr">
        <is>
          <t>001136</t>
        </is>
      </c>
      <c r="D529" s="4" t="n">
        <v>45499</v>
      </c>
      <c r="E529" s="2" t="inlineStr">
        <is>
          <t>12:26</t>
        </is>
      </c>
      <c r="F529" s="5" t="n">
        <v>548.33</v>
      </c>
      <c r="G529" s="5" t="n"/>
      <c r="H529" s="5" t="n"/>
      <c r="I529" s="5" t="n"/>
      <c r="J529" s="5" t="n">
        <v>109.67</v>
      </c>
      <c r="K529" s="5" t="n"/>
      <c r="L529" s="5" t="n"/>
      <c r="M529" s="5" t="n"/>
      <c r="N529" s="5" t="n"/>
      <c r="O529" s="5" t="n">
        <v>658</v>
      </c>
      <c r="P529" s="5" t="n">
        <v>658</v>
      </c>
      <c r="Q529" s="5" t="n"/>
      <c r="R529" s="5" t="n"/>
      <c r="S529" s="5">
        <f>F529*20%</f>
        <v/>
      </c>
      <c r="T529" s="5">
        <f>J529-S529</f>
        <v/>
      </c>
      <c r="U529" s="5">
        <f>F529+J529</f>
        <v/>
      </c>
      <c r="V529" s="5">
        <f>O529-U529</f>
        <v/>
      </c>
      <c r="W529" s="5">
        <f>O529-(P529+R529)</f>
        <v/>
      </c>
      <c r="X529" s="5">
        <f>O529-(P529+Q529+R529)</f>
        <v/>
      </c>
    </row>
    <row r="530">
      <c r="A530" s="2" t="inlineStr">
        <is>
          <t>EJ010824.TXT</t>
        </is>
      </c>
      <c r="B530" s="3" t="inlineStr">
        <is>
          <t>001769</t>
        </is>
      </c>
      <c r="C530" s="3" t="inlineStr">
        <is>
          <t>001137</t>
        </is>
      </c>
      <c r="D530" s="4" t="n">
        <v>45500</v>
      </c>
      <c r="E530" s="2" t="inlineStr">
        <is>
          <t>14:34</t>
        </is>
      </c>
      <c r="F530" s="5" t="n">
        <v>274.17</v>
      </c>
      <c r="G530" s="5" t="n"/>
      <c r="H530" s="5" t="n"/>
      <c r="I530" s="5" t="n"/>
      <c r="J530" s="5" t="n">
        <v>54.83</v>
      </c>
      <c r="K530" s="5" t="n"/>
      <c r="L530" s="5" t="n"/>
      <c r="M530" s="5" t="n"/>
      <c r="N530" s="5" t="n"/>
      <c r="O530" s="5" t="n">
        <v>329</v>
      </c>
      <c r="P530" s="5" t="n">
        <v>329</v>
      </c>
      <c r="Q530" s="5" t="n"/>
      <c r="R530" s="5" t="n"/>
      <c r="S530" s="5">
        <f>F530*20%</f>
        <v/>
      </c>
      <c r="T530" s="5">
        <f>J530-S530</f>
        <v/>
      </c>
      <c r="U530" s="5">
        <f>F530+J530</f>
        <v/>
      </c>
      <c r="V530" s="5">
        <f>O530-U530</f>
        <v/>
      </c>
      <c r="W530" s="5">
        <f>O530-(P530+R530)</f>
        <v/>
      </c>
      <c r="X530" s="5">
        <f>O530-(P530+Q530+R530)</f>
        <v/>
      </c>
    </row>
    <row r="531">
      <c r="A531" s="2" t="inlineStr">
        <is>
          <t>EJ010824.TXT</t>
        </is>
      </c>
      <c r="B531" s="3" t="inlineStr">
        <is>
          <t>001770</t>
        </is>
      </c>
      <c r="C531" s="3" t="inlineStr">
        <is>
          <t>001138</t>
        </is>
      </c>
      <c r="D531" s="4" t="n">
        <v>45502</v>
      </c>
      <c r="E531" s="2" t="inlineStr">
        <is>
          <t>12:10</t>
        </is>
      </c>
      <c r="F531" s="5" t="n">
        <v>274.17</v>
      </c>
      <c r="G531" s="5" t="n"/>
      <c r="H531" s="5" t="n"/>
      <c r="I531" s="5" t="n"/>
      <c r="J531" s="5" t="n">
        <v>54.83</v>
      </c>
      <c r="K531" s="5" t="n"/>
      <c r="L531" s="5" t="n"/>
      <c r="M531" s="5" t="n"/>
      <c r="N531" s="5" t="n"/>
      <c r="O531" s="5" t="n">
        <v>329</v>
      </c>
      <c r="P531" s="5" t="n">
        <v>329</v>
      </c>
      <c r="Q531" s="5" t="n"/>
      <c r="R531" s="5" t="n"/>
      <c r="S531" s="5">
        <f>F531*20%</f>
        <v/>
      </c>
      <c r="T531" s="5">
        <f>J531-S531</f>
        <v/>
      </c>
      <c r="U531" s="5">
        <f>F531+J531</f>
        <v/>
      </c>
      <c r="V531" s="5">
        <f>O531-U531</f>
        <v/>
      </c>
      <c r="W531" s="5">
        <f>O531-(P531+R531)</f>
        <v/>
      </c>
      <c r="X531" s="5">
        <f>O531-(P531+Q531+R531)</f>
        <v/>
      </c>
    </row>
    <row r="532">
      <c r="A532" s="2" t="inlineStr">
        <is>
          <t>EJ010824.TXT</t>
        </is>
      </c>
      <c r="B532" s="3" t="inlineStr">
        <is>
          <t>001771</t>
        </is>
      </c>
      <c r="C532" s="3" t="inlineStr">
        <is>
          <t>001139</t>
        </is>
      </c>
      <c r="D532" s="4" t="n">
        <v>45502</v>
      </c>
      <c r="E532" s="2" t="inlineStr">
        <is>
          <t>15:17</t>
        </is>
      </c>
      <c r="F532" s="5" t="n">
        <v>548.33</v>
      </c>
      <c r="G532" s="5" t="n"/>
      <c r="H532" s="5" t="n"/>
      <c r="I532" s="5" t="n"/>
      <c r="J532" s="5" t="n">
        <v>109.67</v>
      </c>
      <c r="K532" s="5" t="n"/>
      <c r="L532" s="5" t="n"/>
      <c r="M532" s="5" t="n"/>
      <c r="N532" s="5" t="n"/>
      <c r="O532" s="5" t="n">
        <v>658</v>
      </c>
      <c r="P532" s="5" t="n">
        <v>658</v>
      </c>
      <c r="Q532" s="5" t="n"/>
      <c r="R532" s="5" t="n"/>
      <c r="S532" s="5">
        <f>F532*20%</f>
        <v/>
      </c>
      <c r="T532" s="5">
        <f>J532-S532</f>
        <v/>
      </c>
      <c r="U532" s="5">
        <f>F532+J532</f>
        <v/>
      </c>
      <c r="V532" s="5">
        <f>O532-U532</f>
        <v/>
      </c>
      <c r="W532" s="5">
        <f>O532-(P532+R532)</f>
        <v/>
      </c>
      <c r="X532" s="5">
        <f>O532-(P532+Q532+R532)</f>
        <v/>
      </c>
    </row>
    <row r="533">
      <c r="A533" s="2" t="inlineStr">
        <is>
          <t>EJ010824.TXT</t>
        </is>
      </c>
      <c r="B533" s="3" t="inlineStr">
        <is>
          <t>001773</t>
        </is>
      </c>
      <c r="C533" s="3" t="inlineStr">
        <is>
          <t>001140</t>
        </is>
      </c>
      <c r="D533" s="4" t="n">
        <v>45503</v>
      </c>
      <c r="E533" s="2" t="inlineStr">
        <is>
          <t>09:16</t>
        </is>
      </c>
      <c r="F533" s="5" t="n">
        <v>548.33</v>
      </c>
      <c r="G533" s="5" t="n"/>
      <c r="H533" s="5" t="n"/>
      <c r="I533" s="5" t="n"/>
      <c r="J533" s="5" t="n">
        <v>109.67</v>
      </c>
      <c r="K533" s="5" t="n"/>
      <c r="L533" s="5" t="n"/>
      <c r="M533" s="5" t="n"/>
      <c r="N533" s="5" t="n"/>
      <c r="O533" s="5" t="n">
        <v>658</v>
      </c>
      <c r="P533" s="5" t="n"/>
      <c r="Q533" s="5" t="n">
        <v>658</v>
      </c>
      <c r="R533" s="5" t="n"/>
      <c r="S533" s="5">
        <f>F533*20%</f>
        <v/>
      </c>
      <c r="T533" s="5">
        <f>J533-S533</f>
        <v/>
      </c>
      <c r="U533" s="5">
        <f>F533+J533</f>
        <v/>
      </c>
      <c r="V533" s="5">
        <f>O533-U533</f>
        <v/>
      </c>
      <c r="W533" s="5">
        <f>O533-(P533+R533)</f>
        <v/>
      </c>
      <c r="X533" s="5">
        <f>O533-(P533+Q533+R533)</f>
        <v/>
      </c>
    </row>
    <row r="534">
      <c r="A534" s="2" t="inlineStr">
        <is>
          <t>EJ010824.TXT</t>
        </is>
      </c>
      <c r="B534" s="3" t="inlineStr">
        <is>
          <t>001775</t>
        </is>
      </c>
      <c r="C534" s="3" t="inlineStr">
        <is>
          <t>001141</t>
        </is>
      </c>
      <c r="D534" s="4" t="n">
        <v>45504</v>
      </c>
      <c r="E534" s="2" t="inlineStr">
        <is>
          <t>12:57</t>
        </is>
      </c>
      <c r="F534" s="5" t="n">
        <v>274.17</v>
      </c>
      <c r="G534" s="5" t="n"/>
      <c r="H534" s="5" t="n"/>
      <c r="I534" s="5" t="n"/>
      <c r="J534" s="5" t="n">
        <v>54.83</v>
      </c>
      <c r="K534" s="5" t="n"/>
      <c r="L534" s="5" t="n"/>
      <c r="M534" s="5" t="n"/>
      <c r="N534" s="5" t="n"/>
      <c r="O534" s="5" t="n">
        <v>329</v>
      </c>
      <c r="P534" s="5" t="n"/>
      <c r="Q534" s="5" t="n">
        <v>329</v>
      </c>
      <c r="R534" s="5" t="n"/>
      <c r="S534" s="5">
        <f>F534*20%</f>
        <v/>
      </c>
      <c r="T534" s="5">
        <f>J534-S534</f>
        <v/>
      </c>
      <c r="U534" s="5">
        <f>F534+J534</f>
        <v/>
      </c>
      <c r="V534" s="5">
        <f>O534-U534</f>
        <v/>
      </c>
      <c r="W534" s="5">
        <f>O534-(P534+R534)</f>
        <v/>
      </c>
      <c r="X534" s="5">
        <f>O534-(P534+Q534+R534)</f>
        <v/>
      </c>
    </row>
    <row r="535">
      <c r="A535" s="2" t="inlineStr">
        <is>
          <t>EJ300824.TXT</t>
        </is>
      </c>
      <c r="B535" s="3" t="inlineStr">
        <is>
          <t>001783</t>
        </is>
      </c>
      <c r="C535" s="3" t="inlineStr">
        <is>
          <t>001142</t>
        </is>
      </c>
      <c r="D535" s="4" t="n">
        <v>45505</v>
      </c>
      <c r="E535" s="2" t="inlineStr">
        <is>
          <t>13:59</t>
        </is>
      </c>
      <c r="F535" s="5" t="n">
        <v>1645</v>
      </c>
      <c r="G535" s="5" t="n"/>
      <c r="H535" s="5" t="n"/>
      <c r="I535" s="5" t="n"/>
      <c r="J535" s="5" t="n">
        <v>329</v>
      </c>
      <c r="K535" s="5" t="n"/>
      <c r="L535" s="5" t="n"/>
      <c r="M535" s="5" t="n"/>
      <c r="N535" s="5" t="n"/>
      <c r="O535" s="5" t="n">
        <v>1974</v>
      </c>
      <c r="P535" s="5" t="n">
        <v>1974</v>
      </c>
      <c r="Q535" s="5" t="n"/>
      <c r="R535" s="5" t="n"/>
      <c r="S535" s="5">
        <f>F535*20%</f>
        <v/>
      </c>
      <c r="T535" s="5">
        <f>J535-S535</f>
        <v/>
      </c>
      <c r="U535" s="5">
        <f>F535+J535</f>
        <v/>
      </c>
      <c r="V535" s="5">
        <f>O535-U535</f>
        <v/>
      </c>
      <c r="W535" s="5">
        <f>O535-(P535+R535)</f>
        <v/>
      </c>
      <c r="X535" s="5">
        <f>O535-(P535+Q535+R535)</f>
        <v/>
      </c>
    </row>
    <row r="536">
      <c r="A536" s="2" t="inlineStr">
        <is>
          <t>EJ300824.TXT</t>
        </is>
      </c>
      <c r="B536" s="3" t="inlineStr">
        <is>
          <t>001784</t>
        </is>
      </c>
      <c r="C536" s="3" t="inlineStr">
        <is>
          <t>001143</t>
        </is>
      </c>
      <c r="D536" s="4" t="n">
        <v>45506</v>
      </c>
      <c r="E536" s="2" t="inlineStr">
        <is>
          <t>09:49</t>
        </is>
      </c>
      <c r="F536" s="5" t="n">
        <v>175</v>
      </c>
      <c r="G536" s="5" t="n"/>
      <c r="H536" s="5" t="n"/>
      <c r="I536" s="5" t="n"/>
      <c r="J536" s="5" t="n">
        <v>35</v>
      </c>
      <c r="K536" s="5" t="n"/>
      <c r="L536" s="5" t="n"/>
      <c r="M536" s="5" t="n"/>
      <c r="N536" s="5" t="n"/>
      <c r="O536" s="5" t="n">
        <v>210</v>
      </c>
      <c r="P536" s="5" t="n">
        <v>80</v>
      </c>
      <c r="Q536" s="5" t="n">
        <v>130</v>
      </c>
      <c r="R536" s="5" t="n"/>
      <c r="S536" s="5">
        <f>F536*20%</f>
        <v/>
      </c>
      <c r="T536" s="5">
        <f>J536-S536</f>
        <v/>
      </c>
      <c r="U536" s="5">
        <f>F536+J536</f>
        <v/>
      </c>
      <c r="V536" s="5">
        <f>O536-U536</f>
        <v/>
      </c>
      <c r="W536" s="5">
        <f>O536-(P536+R536)</f>
        <v/>
      </c>
      <c r="X536" s="5">
        <f>O536-(P536+Q536+R536)</f>
        <v/>
      </c>
    </row>
    <row r="537">
      <c r="A537" s="2" t="inlineStr">
        <is>
          <t>EJ300824.TXT</t>
        </is>
      </c>
      <c r="B537" s="3" t="inlineStr">
        <is>
          <t>001785</t>
        </is>
      </c>
      <c r="C537" s="3" t="inlineStr">
        <is>
          <t>001144</t>
        </is>
      </c>
      <c r="D537" s="4" t="n">
        <v>45506</v>
      </c>
      <c r="E537" s="2" t="inlineStr">
        <is>
          <t>09:51</t>
        </is>
      </c>
      <c r="F537" s="5" t="n">
        <v>796.67</v>
      </c>
      <c r="G537" s="5" t="n"/>
      <c r="H537" s="5" t="n"/>
      <c r="I537" s="5" t="n"/>
      <c r="J537" s="5" t="n">
        <v>159.33</v>
      </c>
      <c r="K537" s="5" t="n"/>
      <c r="L537" s="5" t="n"/>
      <c r="M537" s="5" t="n"/>
      <c r="N537" s="5" t="n"/>
      <c r="O537" s="5" t="n">
        <v>956</v>
      </c>
      <c r="P537" s="5" t="n">
        <v>856</v>
      </c>
      <c r="Q537" s="5" t="n">
        <v>100</v>
      </c>
      <c r="R537" s="5" t="n"/>
      <c r="S537" s="5">
        <f>F537*20%</f>
        <v/>
      </c>
      <c r="T537" s="5">
        <f>J537-S537</f>
        <v/>
      </c>
      <c r="U537" s="5">
        <f>F537+J537</f>
        <v/>
      </c>
      <c r="V537" s="5">
        <f>O537-U537</f>
        <v/>
      </c>
      <c r="W537" s="5">
        <f>O537-(P537+R537)</f>
        <v/>
      </c>
      <c r="X537" s="5">
        <f>O537-(P537+Q537+R537)</f>
        <v/>
      </c>
    </row>
    <row r="538">
      <c r="A538" s="2" t="inlineStr">
        <is>
          <t>EJ300824.TXT</t>
        </is>
      </c>
      <c r="B538" s="3" t="inlineStr">
        <is>
          <t>001787</t>
        </is>
      </c>
      <c r="C538" s="3" t="inlineStr">
        <is>
          <t>001145</t>
        </is>
      </c>
      <c r="D538" s="4" t="n">
        <v>45506</v>
      </c>
      <c r="E538" s="2" t="inlineStr">
        <is>
          <t>15:08</t>
        </is>
      </c>
      <c r="F538" s="5" t="n">
        <v>1165</v>
      </c>
      <c r="G538" s="5" t="n"/>
      <c r="H538" s="5" t="n"/>
      <c r="I538" s="5" t="n"/>
      <c r="J538" s="5" t="n">
        <v>233</v>
      </c>
      <c r="K538" s="5" t="n"/>
      <c r="L538" s="5" t="n"/>
      <c r="M538" s="5" t="n"/>
      <c r="N538" s="5" t="n"/>
      <c r="O538" s="5" t="n">
        <v>1398</v>
      </c>
      <c r="P538" s="5" t="n">
        <v>1398</v>
      </c>
      <c r="Q538" s="5" t="n"/>
      <c r="R538" s="5" t="n"/>
      <c r="S538" s="5">
        <f>F538*20%</f>
        <v/>
      </c>
      <c r="T538" s="5">
        <f>J538-S538</f>
        <v/>
      </c>
      <c r="U538" s="5">
        <f>F538+J538</f>
        <v/>
      </c>
      <c r="V538" s="5">
        <f>O538-U538</f>
        <v/>
      </c>
      <c r="W538" s="5">
        <f>O538-(P538+R538)</f>
        <v/>
      </c>
      <c r="X538" s="5">
        <f>O538-(P538+Q538+R538)</f>
        <v/>
      </c>
    </row>
    <row r="539">
      <c r="A539" s="2" t="inlineStr">
        <is>
          <t>EJ300824.TXT</t>
        </is>
      </c>
      <c r="B539" s="3" t="inlineStr">
        <is>
          <t>001788</t>
        </is>
      </c>
      <c r="C539" s="3" t="inlineStr">
        <is>
          <t>001146</t>
        </is>
      </c>
      <c r="D539" s="4" t="n">
        <v>45506</v>
      </c>
      <c r="E539" s="2" t="inlineStr">
        <is>
          <t>15:09</t>
        </is>
      </c>
      <c r="F539" s="5" t="n">
        <v>324.17</v>
      </c>
      <c r="G539" s="5" t="n"/>
      <c r="H539" s="5" t="n"/>
      <c r="I539" s="5" t="n"/>
      <c r="J539" s="5" t="n">
        <v>64.83</v>
      </c>
      <c r="K539" s="5" t="n"/>
      <c r="L539" s="5" t="n"/>
      <c r="M539" s="5" t="n"/>
      <c r="N539" s="5" t="n"/>
      <c r="O539" s="5" t="n">
        <v>389</v>
      </c>
      <c r="P539" s="5" t="n">
        <v>389</v>
      </c>
      <c r="Q539" s="5" t="n"/>
      <c r="R539" s="5" t="n"/>
      <c r="S539" s="5">
        <f>F539*20%</f>
        <v/>
      </c>
      <c r="T539" s="5">
        <f>J539-S539</f>
        <v/>
      </c>
      <c r="U539" s="5">
        <f>F539+J539</f>
        <v/>
      </c>
      <c r="V539" s="5">
        <f>O539-U539</f>
        <v/>
      </c>
      <c r="W539" s="5">
        <f>O539-(P539+R539)</f>
        <v/>
      </c>
      <c r="X539" s="5">
        <f>O539-(P539+Q539+R539)</f>
        <v/>
      </c>
    </row>
    <row r="540">
      <c r="A540" s="2" t="inlineStr">
        <is>
          <t>EJ300824.TXT</t>
        </is>
      </c>
      <c r="B540" s="3" t="inlineStr">
        <is>
          <t>001790</t>
        </is>
      </c>
      <c r="C540" s="3" t="inlineStr">
        <is>
          <t>001147</t>
        </is>
      </c>
      <c r="D540" s="4" t="n">
        <v>45507</v>
      </c>
      <c r="E540" s="2" t="inlineStr">
        <is>
          <t>14:26</t>
        </is>
      </c>
      <c r="F540" s="5" t="n">
        <v>548.33</v>
      </c>
      <c r="G540" s="5" t="n"/>
      <c r="H540" s="5" t="n"/>
      <c r="I540" s="5" t="n"/>
      <c r="J540" s="5" t="n">
        <v>109.67</v>
      </c>
      <c r="K540" s="5" t="n"/>
      <c r="L540" s="5" t="n"/>
      <c r="M540" s="5" t="n"/>
      <c r="N540" s="5" t="n"/>
      <c r="O540" s="5" t="n">
        <v>658</v>
      </c>
      <c r="P540" s="5" t="n">
        <v>658</v>
      </c>
      <c r="Q540" s="5" t="n"/>
      <c r="R540" s="5" t="n"/>
      <c r="S540" s="5">
        <f>F540*20%</f>
        <v/>
      </c>
      <c r="T540" s="5">
        <f>J540-S540</f>
        <v/>
      </c>
      <c r="U540" s="5">
        <f>F540+J540</f>
        <v/>
      </c>
      <c r="V540" s="5">
        <f>O540-U540</f>
        <v/>
      </c>
      <c r="W540" s="5">
        <f>O540-(P540+R540)</f>
        <v/>
      </c>
      <c r="X540" s="5">
        <f>O540-(P540+Q540+R540)</f>
        <v/>
      </c>
    </row>
    <row r="541">
      <c r="A541" s="2" t="inlineStr">
        <is>
          <t>EJ300824.TXT</t>
        </is>
      </c>
      <c r="B541" s="3" t="inlineStr">
        <is>
          <t>001791</t>
        </is>
      </c>
      <c r="C541" s="3" t="inlineStr">
        <is>
          <t>001148</t>
        </is>
      </c>
      <c r="D541" s="4" t="n">
        <v>45507</v>
      </c>
      <c r="E541" s="2" t="inlineStr">
        <is>
          <t>14:38</t>
        </is>
      </c>
      <c r="F541" s="5" t="n">
        <v>274.17</v>
      </c>
      <c r="G541" s="5" t="n"/>
      <c r="H541" s="5" t="n"/>
      <c r="I541" s="5" t="n"/>
      <c r="J541" s="5" t="n">
        <v>54.83</v>
      </c>
      <c r="K541" s="5" t="n"/>
      <c r="L541" s="5" t="n"/>
      <c r="M541" s="5" t="n"/>
      <c r="N541" s="5" t="n"/>
      <c r="O541" s="5" t="n">
        <v>329</v>
      </c>
      <c r="P541" s="5" t="n">
        <v>329</v>
      </c>
      <c r="Q541" s="5" t="n"/>
      <c r="R541" s="5" t="n"/>
      <c r="S541" s="5">
        <f>F541*20%</f>
        <v/>
      </c>
      <c r="T541" s="5">
        <f>J541-S541</f>
        <v/>
      </c>
      <c r="U541" s="5">
        <f>F541+J541</f>
        <v/>
      </c>
      <c r="V541" s="5">
        <f>O541-U541</f>
        <v/>
      </c>
      <c r="W541" s="5">
        <f>O541-(P541+R541)</f>
        <v/>
      </c>
      <c r="X541" s="5">
        <f>O541-(P541+Q541+R541)</f>
        <v/>
      </c>
    </row>
    <row r="542">
      <c r="A542" s="2" t="inlineStr">
        <is>
          <t>EJ300824.TXT</t>
        </is>
      </c>
      <c r="B542" s="3" t="inlineStr">
        <is>
          <t>001792</t>
        </is>
      </c>
      <c r="C542" s="3" t="inlineStr">
        <is>
          <t>001149</t>
        </is>
      </c>
      <c r="D542" s="4" t="n">
        <v>45509</v>
      </c>
      <c r="E542" s="2" t="inlineStr">
        <is>
          <t>09:32</t>
        </is>
      </c>
      <c r="F542" s="5" t="n">
        <v>582.5</v>
      </c>
      <c r="G542" s="5" t="n"/>
      <c r="H542" s="5" t="n"/>
      <c r="I542" s="5" t="n"/>
      <c r="J542" s="5" t="n">
        <v>116.5</v>
      </c>
      <c r="K542" s="5" t="n"/>
      <c r="L542" s="5" t="n"/>
      <c r="M542" s="5" t="n"/>
      <c r="N542" s="5" t="n"/>
      <c r="O542" s="5" t="n">
        <v>699</v>
      </c>
      <c r="P542" s="5" t="n">
        <v>699</v>
      </c>
      <c r="Q542" s="5" t="n"/>
      <c r="R542" s="5" t="n"/>
      <c r="S542" s="5">
        <f>F542*20%</f>
        <v/>
      </c>
      <c r="T542" s="5">
        <f>J542-S542</f>
        <v/>
      </c>
      <c r="U542" s="5">
        <f>F542+J542</f>
        <v/>
      </c>
      <c r="V542" s="5">
        <f>O542-U542</f>
        <v/>
      </c>
      <c r="W542" s="5">
        <f>O542-(P542+R542)</f>
        <v/>
      </c>
      <c r="X542" s="5">
        <f>O542-(P542+Q542+R542)</f>
        <v/>
      </c>
    </row>
    <row r="543">
      <c r="A543" s="2" t="inlineStr">
        <is>
          <t>EJ300824.TXT</t>
        </is>
      </c>
      <c r="B543" s="3" t="inlineStr">
        <is>
          <t>001793</t>
        </is>
      </c>
      <c r="C543" s="3" t="inlineStr">
        <is>
          <t>001150</t>
        </is>
      </c>
      <c r="D543" s="4" t="n">
        <v>45509</v>
      </c>
      <c r="E543" s="2" t="inlineStr">
        <is>
          <t>11:49</t>
        </is>
      </c>
      <c r="F543" s="5" t="n">
        <v>822.5</v>
      </c>
      <c r="G543" s="5" t="n"/>
      <c r="H543" s="5" t="n"/>
      <c r="I543" s="5" t="n"/>
      <c r="J543" s="5" t="n">
        <v>164.5</v>
      </c>
      <c r="K543" s="5" t="n"/>
      <c r="L543" s="5" t="n"/>
      <c r="M543" s="5" t="n"/>
      <c r="N543" s="5" t="n"/>
      <c r="O543" s="5" t="n">
        <v>987</v>
      </c>
      <c r="P543" s="5" t="n">
        <v>987</v>
      </c>
      <c r="Q543" s="5" t="n"/>
      <c r="R543" s="5" t="n"/>
      <c r="S543" s="5">
        <f>F543*20%</f>
        <v/>
      </c>
      <c r="T543" s="5">
        <f>J543-S543</f>
        <v/>
      </c>
      <c r="U543" s="5">
        <f>F543+J543</f>
        <v/>
      </c>
      <c r="V543" s="5">
        <f>O543-U543</f>
        <v/>
      </c>
      <c r="W543" s="5">
        <f>O543-(P543+R543)</f>
        <v/>
      </c>
      <c r="X543" s="5">
        <f>O543-(P543+Q543+R543)</f>
        <v/>
      </c>
    </row>
    <row r="544">
      <c r="A544" s="2" t="inlineStr">
        <is>
          <t>EJ300824.TXT</t>
        </is>
      </c>
      <c r="B544" s="3" t="inlineStr">
        <is>
          <t>001795</t>
        </is>
      </c>
      <c r="C544" s="3" t="inlineStr">
        <is>
          <t>001151</t>
        </is>
      </c>
      <c r="D544" s="4" t="n">
        <v>45510</v>
      </c>
      <c r="E544" s="2" t="inlineStr">
        <is>
          <t>08:56</t>
        </is>
      </c>
      <c r="F544" s="5" t="n">
        <v>548.33</v>
      </c>
      <c r="G544" s="5" t="n"/>
      <c r="H544" s="5" t="n"/>
      <c r="I544" s="5" t="n"/>
      <c r="J544" s="5" t="n">
        <v>109.67</v>
      </c>
      <c r="K544" s="5" t="n"/>
      <c r="L544" s="5" t="n"/>
      <c r="M544" s="5" t="n"/>
      <c r="N544" s="5" t="n"/>
      <c r="O544" s="5" t="n">
        <v>658</v>
      </c>
      <c r="P544" s="5" t="n">
        <v>658</v>
      </c>
      <c r="Q544" s="5" t="n"/>
      <c r="R544" s="5" t="n"/>
      <c r="S544" s="5">
        <f>F544*20%</f>
        <v/>
      </c>
      <c r="T544" s="5">
        <f>J544-S544</f>
        <v/>
      </c>
      <c r="U544" s="5">
        <f>F544+J544</f>
        <v/>
      </c>
      <c r="V544" s="5">
        <f>O544-U544</f>
        <v/>
      </c>
      <c r="W544" s="5">
        <f>O544-(P544+R544)</f>
        <v/>
      </c>
      <c r="X544" s="5">
        <f>O544-(P544+Q544+R544)</f>
        <v/>
      </c>
    </row>
    <row r="545">
      <c r="A545" s="2" t="inlineStr">
        <is>
          <t>EJ300824.TXT</t>
        </is>
      </c>
      <c r="B545" s="3" t="inlineStr">
        <is>
          <t>001798</t>
        </is>
      </c>
      <c r="C545" s="3" t="inlineStr">
        <is>
          <t>001152</t>
        </is>
      </c>
      <c r="D545" s="4" t="n">
        <v>45510</v>
      </c>
      <c r="E545" s="2" t="inlineStr">
        <is>
          <t>16:05</t>
        </is>
      </c>
      <c r="F545" s="5" t="n">
        <v>199.17</v>
      </c>
      <c r="G545" s="5" t="n"/>
      <c r="H545" s="5" t="n"/>
      <c r="I545" s="5" t="n"/>
      <c r="J545" s="5" t="n">
        <v>39.83</v>
      </c>
      <c r="K545" s="5" t="n"/>
      <c r="L545" s="5" t="n"/>
      <c r="M545" s="5" t="n"/>
      <c r="N545" s="5" t="n"/>
      <c r="O545" s="5" t="n">
        <v>239</v>
      </c>
      <c r="P545" s="5" t="n">
        <v>239</v>
      </c>
      <c r="Q545" s="5" t="n"/>
      <c r="R545" s="5" t="n"/>
      <c r="S545" s="5">
        <f>F545*20%</f>
        <v/>
      </c>
      <c r="T545" s="5">
        <f>J545-S545</f>
        <v/>
      </c>
      <c r="U545" s="5">
        <f>F545+J545</f>
        <v/>
      </c>
      <c r="V545" s="5">
        <f>O545-U545</f>
        <v/>
      </c>
      <c r="W545" s="5">
        <f>O545-(P545+R545)</f>
        <v/>
      </c>
      <c r="X545" s="5">
        <f>O545-(P545+Q545+R545)</f>
        <v/>
      </c>
    </row>
    <row r="546">
      <c r="A546" s="2" t="inlineStr">
        <is>
          <t>EJ300824.TXT</t>
        </is>
      </c>
      <c r="B546" s="3" t="inlineStr">
        <is>
          <t>001799</t>
        </is>
      </c>
      <c r="C546" s="3" t="inlineStr">
        <is>
          <t>001153</t>
        </is>
      </c>
      <c r="D546" s="4" t="n">
        <v>45511</v>
      </c>
      <c r="E546" s="2" t="inlineStr">
        <is>
          <t>09:41</t>
        </is>
      </c>
      <c r="F546" s="5" t="n">
        <v>75</v>
      </c>
      <c r="G546" s="5" t="n"/>
      <c r="H546" s="5" t="n"/>
      <c r="I546" s="5" t="n"/>
      <c r="J546" s="5" t="n">
        <v>15</v>
      </c>
      <c r="K546" s="5" t="n"/>
      <c r="L546" s="5" t="n"/>
      <c r="M546" s="5" t="n"/>
      <c r="N546" s="5" t="n"/>
      <c r="O546" s="5" t="n">
        <v>90</v>
      </c>
      <c r="P546" s="5" t="n">
        <v>90</v>
      </c>
      <c r="Q546" s="5" t="n"/>
      <c r="R546" s="5" t="n"/>
      <c r="S546" s="5">
        <f>F546*20%</f>
        <v/>
      </c>
      <c r="T546" s="5">
        <f>J546-S546</f>
        <v/>
      </c>
      <c r="U546" s="5">
        <f>F546+J546</f>
        <v/>
      </c>
      <c r="V546" s="5">
        <f>O546-U546</f>
        <v/>
      </c>
      <c r="W546" s="5">
        <f>O546-(P546+R546)</f>
        <v/>
      </c>
      <c r="X546" s="5">
        <f>O546-(P546+Q546+R546)</f>
        <v/>
      </c>
    </row>
    <row r="547">
      <c r="A547" s="2" t="inlineStr">
        <is>
          <t>EJ300824.TXT</t>
        </is>
      </c>
      <c r="B547" s="3" t="inlineStr">
        <is>
          <t>001801</t>
        </is>
      </c>
      <c r="C547" s="3" t="inlineStr">
        <is>
          <t>001154</t>
        </is>
      </c>
      <c r="D547" s="4" t="n">
        <v>45514</v>
      </c>
      <c r="E547" s="2" t="inlineStr">
        <is>
          <t>13:37</t>
        </is>
      </c>
      <c r="F547" s="5" t="n">
        <v>74.92</v>
      </c>
      <c r="G547" s="5" t="n"/>
      <c r="H547" s="5" t="n"/>
      <c r="I547" s="5" t="n"/>
      <c r="J547" s="5" t="n">
        <v>14.98</v>
      </c>
      <c r="K547" s="5" t="n"/>
      <c r="L547" s="5" t="n"/>
      <c r="M547" s="5" t="n"/>
      <c r="N547" s="5" t="n"/>
      <c r="O547" s="5" t="n">
        <v>89.90000000000001</v>
      </c>
      <c r="P547" s="5" t="n">
        <v>89.90000000000001</v>
      </c>
      <c r="Q547" s="5" t="n"/>
      <c r="R547" s="5" t="n"/>
      <c r="S547" s="5">
        <f>F547*20%</f>
        <v/>
      </c>
      <c r="T547" s="5">
        <f>J547-S547</f>
        <v/>
      </c>
      <c r="U547" s="5">
        <f>F547+J547</f>
        <v/>
      </c>
      <c r="V547" s="5">
        <f>O547-U547</f>
        <v/>
      </c>
      <c r="W547" s="5">
        <f>O547-(P547+R547)</f>
        <v/>
      </c>
      <c r="X547" s="5">
        <f>O547-(P547+Q547+R547)</f>
        <v/>
      </c>
    </row>
    <row r="548">
      <c r="A548" s="2" t="inlineStr">
        <is>
          <t>EJ300824.TXT</t>
        </is>
      </c>
      <c r="B548" s="3" t="inlineStr">
        <is>
          <t>001802</t>
        </is>
      </c>
      <c r="C548" s="3" t="inlineStr">
        <is>
          <t>001155</t>
        </is>
      </c>
      <c r="D548" s="4" t="n">
        <v>45520</v>
      </c>
      <c r="E548" s="2" t="inlineStr">
        <is>
          <t>14:13</t>
        </is>
      </c>
      <c r="F548" s="5" t="n">
        <v>415</v>
      </c>
      <c r="G548" s="5" t="n"/>
      <c r="H548" s="5" t="n"/>
      <c r="I548" s="5" t="n"/>
      <c r="J548" s="5" t="n">
        <v>83</v>
      </c>
      <c r="K548" s="5" t="n"/>
      <c r="L548" s="5" t="n"/>
      <c r="M548" s="5" t="n"/>
      <c r="N548" s="5" t="n"/>
      <c r="O548" s="5" t="n">
        <v>498</v>
      </c>
      <c r="P548" s="5" t="n">
        <v>498</v>
      </c>
      <c r="Q548" s="5" t="n"/>
      <c r="R548" s="5" t="n"/>
      <c r="S548" s="5">
        <f>F548*20%</f>
        <v/>
      </c>
      <c r="T548" s="5">
        <f>J548-S548</f>
        <v/>
      </c>
      <c r="U548" s="5">
        <f>F548+J548</f>
        <v/>
      </c>
      <c r="V548" s="5">
        <f>O548-U548</f>
        <v/>
      </c>
      <c r="W548" s="5">
        <f>O548-(P548+R548)</f>
        <v/>
      </c>
      <c r="X548" s="5">
        <f>O548-(P548+Q548+R548)</f>
        <v/>
      </c>
    </row>
    <row r="549">
      <c r="A549" s="2" t="inlineStr">
        <is>
          <t>EJ300824.TXT</t>
        </is>
      </c>
      <c r="B549" s="3" t="inlineStr">
        <is>
          <t>001803</t>
        </is>
      </c>
      <c r="C549" s="3" t="inlineStr">
        <is>
          <t>001156</t>
        </is>
      </c>
      <c r="D549" s="4" t="n">
        <v>45521</v>
      </c>
      <c r="E549" s="2" t="inlineStr">
        <is>
          <t>14:58</t>
        </is>
      </c>
      <c r="F549" s="5" t="n">
        <v>1566.67</v>
      </c>
      <c r="G549" s="5" t="n"/>
      <c r="H549" s="5" t="n"/>
      <c r="I549" s="5" t="n"/>
      <c r="J549" s="5" t="n">
        <v>313.33</v>
      </c>
      <c r="K549" s="5" t="n"/>
      <c r="L549" s="5" t="n"/>
      <c r="M549" s="5" t="n"/>
      <c r="N549" s="5" t="n"/>
      <c r="O549" s="5" t="n">
        <v>1880</v>
      </c>
      <c r="P549" s="5" t="n">
        <v>1880</v>
      </c>
      <c r="Q549" s="5" t="n"/>
      <c r="R549" s="5" t="n"/>
      <c r="S549" s="5">
        <f>F549*20%</f>
        <v/>
      </c>
      <c r="T549" s="5">
        <f>J549-S549</f>
        <v/>
      </c>
      <c r="U549" s="5">
        <f>F549+J549</f>
        <v/>
      </c>
      <c r="V549" s="5">
        <f>O549-U549</f>
        <v/>
      </c>
      <c r="W549" s="5">
        <f>O549-(P549+R549)</f>
        <v/>
      </c>
      <c r="X549" s="5">
        <f>O549-(P549+Q549+R549)</f>
        <v/>
      </c>
    </row>
    <row r="550">
      <c r="A550" s="2" t="inlineStr">
        <is>
          <t>EJ300824.TXT</t>
        </is>
      </c>
      <c r="B550" s="3" t="inlineStr">
        <is>
          <t>001804</t>
        </is>
      </c>
      <c r="C550" s="3" t="inlineStr">
        <is>
          <t>001157</t>
        </is>
      </c>
      <c r="D550" s="4" t="n">
        <v>45521</v>
      </c>
      <c r="E550" s="2" t="inlineStr">
        <is>
          <t>15:20</t>
        </is>
      </c>
      <c r="F550" s="5" t="n">
        <v>548.33</v>
      </c>
      <c r="G550" s="5" t="n"/>
      <c r="H550" s="5" t="n"/>
      <c r="I550" s="5" t="n"/>
      <c r="J550" s="5" t="n">
        <v>109.67</v>
      </c>
      <c r="K550" s="5" t="n"/>
      <c r="L550" s="5" t="n"/>
      <c r="M550" s="5" t="n"/>
      <c r="N550" s="5" t="n"/>
      <c r="O550" s="5" t="n">
        <v>658</v>
      </c>
      <c r="P550" s="5" t="n">
        <v>278</v>
      </c>
      <c r="Q550" s="5" t="n">
        <v>380</v>
      </c>
      <c r="R550" s="5" t="n"/>
      <c r="S550" s="5">
        <f>F550*20%</f>
        <v/>
      </c>
      <c r="T550" s="5">
        <f>J550-S550</f>
        <v/>
      </c>
      <c r="U550" s="5">
        <f>F550+J550</f>
        <v/>
      </c>
      <c r="V550" s="5">
        <f>O550-U550</f>
        <v/>
      </c>
      <c r="W550" s="5">
        <f>O550-(P550+R550)</f>
        <v/>
      </c>
      <c r="X550" s="5">
        <f>O550-(P550+Q550+R550)</f>
        <v/>
      </c>
    </row>
    <row r="551">
      <c r="A551" s="2" t="inlineStr">
        <is>
          <t>EJ300824.TXT</t>
        </is>
      </c>
      <c r="B551" s="3" t="inlineStr">
        <is>
          <t>001806</t>
        </is>
      </c>
      <c r="C551" s="3" t="inlineStr">
        <is>
          <t>001158</t>
        </is>
      </c>
      <c r="D551" s="4" t="n">
        <v>45521</v>
      </c>
      <c r="E551" s="2" t="inlineStr">
        <is>
          <t>15:45</t>
        </is>
      </c>
      <c r="F551" s="5" t="n">
        <v>191.42</v>
      </c>
      <c r="G551" s="5" t="n"/>
      <c r="H551" s="5" t="n"/>
      <c r="I551" s="5" t="n"/>
      <c r="J551" s="5" t="n">
        <v>38.28</v>
      </c>
      <c r="K551" s="5" t="n"/>
      <c r="L551" s="5" t="n"/>
      <c r="M551" s="5" t="n"/>
      <c r="N551" s="5" t="n"/>
      <c r="O551" s="5" t="n">
        <v>229.7</v>
      </c>
      <c r="P551" s="5" t="n">
        <v>229.7</v>
      </c>
      <c r="Q551" s="5" t="n"/>
      <c r="R551" s="5" t="n"/>
      <c r="S551" s="5">
        <f>F551*20%</f>
        <v/>
      </c>
      <c r="T551" s="5">
        <f>J551-S551</f>
        <v/>
      </c>
      <c r="U551" s="5">
        <f>F551+J551</f>
        <v/>
      </c>
      <c r="V551" s="5">
        <f>O551-U551</f>
        <v/>
      </c>
      <c r="W551" s="5">
        <f>O551-(P551+R551)</f>
        <v/>
      </c>
      <c r="X551" s="5">
        <f>O551-(P551+Q551+R551)</f>
        <v/>
      </c>
    </row>
    <row r="552">
      <c r="A552" s="2" t="inlineStr">
        <is>
          <t>EJ300824.TXT</t>
        </is>
      </c>
      <c r="B552" s="3" t="inlineStr">
        <is>
          <t>001807</t>
        </is>
      </c>
      <c r="C552" s="3" t="inlineStr">
        <is>
          <t>001159</t>
        </is>
      </c>
      <c r="D552" s="4" t="n">
        <v>45523</v>
      </c>
      <c r="E552" s="2" t="inlineStr">
        <is>
          <t>15:02</t>
        </is>
      </c>
      <c r="F552" s="5" t="n">
        <v>548.33</v>
      </c>
      <c r="G552" s="5" t="n"/>
      <c r="H552" s="5" t="n"/>
      <c r="I552" s="5" t="n"/>
      <c r="J552" s="5" t="n">
        <v>109.67</v>
      </c>
      <c r="K552" s="5" t="n"/>
      <c r="L552" s="5" t="n"/>
      <c r="M552" s="5" t="n"/>
      <c r="N552" s="5" t="n"/>
      <c r="O552" s="5" t="n">
        <v>658</v>
      </c>
      <c r="P552" s="5" t="n"/>
      <c r="Q552" s="5" t="n">
        <v>658</v>
      </c>
      <c r="R552" s="5" t="n"/>
      <c r="S552" s="5">
        <f>F552*20%</f>
        <v/>
      </c>
      <c r="T552" s="5">
        <f>J552-S552</f>
        <v/>
      </c>
      <c r="U552" s="5">
        <f>F552+J552</f>
        <v/>
      </c>
      <c r="V552" s="5">
        <f>O552-U552</f>
        <v/>
      </c>
      <c r="W552" s="5">
        <f>O552-(P552+R552)</f>
        <v/>
      </c>
      <c r="X552" s="5">
        <f>O552-(P552+Q552+R552)</f>
        <v/>
      </c>
    </row>
    <row r="553">
      <c r="A553" s="2" t="inlineStr">
        <is>
          <t>EJ300824.TXT</t>
        </is>
      </c>
      <c r="B553" s="3" t="inlineStr">
        <is>
          <t>001808</t>
        </is>
      </c>
      <c r="C553" s="3" t="inlineStr">
        <is>
          <t>001160</t>
        </is>
      </c>
      <c r="D553" s="4" t="n">
        <v>45524</v>
      </c>
      <c r="E553" s="2" t="inlineStr">
        <is>
          <t>11:43</t>
        </is>
      </c>
      <c r="F553" s="5" t="n">
        <v>496.67</v>
      </c>
      <c r="G553" s="5" t="n"/>
      <c r="H553" s="5" t="n"/>
      <c r="I553" s="5" t="n"/>
      <c r="J553" s="5" t="n">
        <v>99.33</v>
      </c>
      <c r="K553" s="5" t="n"/>
      <c r="L553" s="5" t="n"/>
      <c r="M553" s="5" t="n"/>
      <c r="N553" s="5" t="n"/>
      <c r="O553" s="5" t="n">
        <v>596</v>
      </c>
      <c r="P553" s="5" t="n">
        <v>596</v>
      </c>
      <c r="Q553" s="5" t="n"/>
      <c r="R553" s="5" t="n"/>
      <c r="S553" s="5">
        <f>F553*20%</f>
        <v/>
      </c>
      <c r="T553" s="5">
        <f>J553-S553</f>
        <v/>
      </c>
      <c r="U553" s="5">
        <f>F553+J553</f>
        <v/>
      </c>
      <c r="V553" s="5">
        <f>O553-U553</f>
        <v/>
      </c>
      <c r="W553" s="5">
        <f>O553-(P553+R553)</f>
        <v/>
      </c>
      <c r="X553" s="5">
        <f>O553-(P553+Q553+R553)</f>
        <v/>
      </c>
    </row>
    <row r="554">
      <c r="A554" s="2" t="inlineStr">
        <is>
          <t>EJ300824.TXT</t>
        </is>
      </c>
      <c r="B554" s="3" t="inlineStr">
        <is>
          <t>001809</t>
        </is>
      </c>
      <c r="C554" s="3" t="inlineStr">
        <is>
          <t>001161</t>
        </is>
      </c>
      <c r="D554" s="4" t="n">
        <v>45525</v>
      </c>
      <c r="E554" s="2" t="inlineStr">
        <is>
          <t>12:54</t>
        </is>
      </c>
      <c r="F554" s="5" t="n">
        <v>2338.33</v>
      </c>
      <c r="G554" s="5" t="n"/>
      <c r="H554" s="5" t="n"/>
      <c r="I554" s="5" t="n"/>
      <c r="J554" s="5" t="n">
        <v>467.67</v>
      </c>
      <c r="K554" s="5" t="n"/>
      <c r="L554" s="5" t="n"/>
      <c r="M554" s="5" t="n"/>
      <c r="N554" s="5" t="n"/>
      <c r="O554" s="5" t="n">
        <v>2806</v>
      </c>
      <c r="P554" s="5" t="n">
        <v>2806</v>
      </c>
      <c r="Q554" s="5" t="n"/>
      <c r="R554" s="5" t="n"/>
      <c r="S554" s="5">
        <f>F554*20%</f>
        <v/>
      </c>
      <c r="T554" s="5">
        <f>J554-S554</f>
        <v/>
      </c>
      <c r="U554" s="5">
        <f>F554+J554</f>
        <v/>
      </c>
      <c r="V554" s="5">
        <f>O554-U554</f>
        <v/>
      </c>
      <c r="W554" s="5">
        <f>O554-(P554+R554)</f>
        <v/>
      </c>
      <c r="X554" s="5">
        <f>O554-(P554+Q554+R554)</f>
        <v/>
      </c>
    </row>
    <row r="555">
      <c r="A555" s="2" t="inlineStr">
        <is>
          <t>EJ300824.TXT</t>
        </is>
      </c>
      <c r="B555" s="3" t="inlineStr">
        <is>
          <t>001810</t>
        </is>
      </c>
      <c r="C555" s="3" t="inlineStr">
        <is>
          <t>001162</t>
        </is>
      </c>
      <c r="D555" s="4" t="n">
        <v>45526</v>
      </c>
      <c r="E555" s="2" t="inlineStr">
        <is>
          <t>10:38</t>
        </is>
      </c>
      <c r="F555" s="5" t="n">
        <v>274.17</v>
      </c>
      <c r="G555" s="5" t="n"/>
      <c r="H555" s="5" t="n"/>
      <c r="I555" s="5" t="n"/>
      <c r="J555" s="5" t="n">
        <v>54.83</v>
      </c>
      <c r="K555" s="5" t="n"/>
      <c r="L555" s="5" t="n"/>
      <c r="M555" s="5" t="n"/>
      <c r="N555" s="5" t="n"/>
      <c r="O555" s="5" t="n">
        <v>329</v>
      </c>
      <c r="P555" s="5" t="n"/>
      <c r="Q555" s="5" t="n">
        <v>329</v>
      </c>
      <c r="R555" s="5" t="n"/>
      <c r="S555" s="5">
        <f>F555*20%</f>
        <v/>
      </c>
      <c r="T555" s="5">
        <f>J555-S555</f>
        <v/>
      </c>
      <c r="U555" s="5">
        <f>F555+J555</f>
        <v/>
      </c>
      <c r="V555" s="5">
        <f>O555-U555</f>
        <v/>
      </c>
      <c r="W555" s="5">
        <f>O555-(P555+R555)</f>
        <v/>
      </c>
      <c r="X555" s="5">
        <f>O555-(P555+Q555+R555)</f>
        <v/>
      </c>
    </row>
    <row r="556">
      <c r="A556" s="2" t="inlineStr">
        <is>
          <t>EJ300824.TXT</t>
        </is>
      </c>
      <c r="B556" s="3" t="inlineStr">
        <is>
          <t>001811</t>
        </is>
      </c>
      <c r="C556" s="3" t="inlineStr">
        <is>
          <t>001163</t>
        </is>
      </c>
      <c r="D556" s="4" t="n">
        <v>45527</v>
      </c>
      <c r="E556" s="2" t="inlineStr">
        <is>
          <t>15:17</t>
        </is>
      </c>
      <c r="F556" s="5" t="n">
        <v>49.92</v>
      </c>
      <c r="G556" s="5" t="n"/>
      <c r="H556" s="5" t="n"/>
      <c r="I556" s="5" t="n"/>
      <c r="J556" s="5" t="n">
        <v>9.98</v>
      </c>
      <c r="K556" s="5" t="n"/>
      <c r="L556" s="5" t="n"/>
      <c r="M556" s="5" t="n"/>
      <c r="N556" s="5" t="n"/>
      <c r="O556" s="5" t="n">
        <v>59.9</v>
      </c>
      <c r="P556" s="5" t="n">
        <v>59.9</v>
      </c>
      <c r="Q556" s="5" t="n"/>
      <c r="R556" s="5" t="n"/>
      <c r="S556" s="5">
        <f>F556*20%</f>
        <v/>
      </c>
      <c r="T556" s="5">
        <f>J556-S556</f>
        <v/>
      </c>
      <c r="U556" s="5">
        <f>F556+J556</f>
        <v/>
      </c>
      <c r="V556" s="5">
        <f>O556-U556</f>
        <v/>
      </c>
      <c r="W556" s="5">
        <f>O556-(P556+R556)</f>
        <v/>
      </c>
      <c r="X556" s="5">
        <f>O556-(P556+Q556+R556)</f>
        <v/>
      </c>
    </row>
    <row r="557">
      <c r="A557" s="2" t="inlineStr">
        <is>
          <t>EJ300824.TXT</t>
        </is>
      </c>
      <c r="B557" s="3" t="inlineStr">
        <is>
          <t>001812</t>
        </is>
      </c>
      <c r="C557" s="3" t="inlineStr">
        <is>
          <t>001164</t>
        </is>
      </c>
      <c r="D557" s="4" t="n">
        <v>45530</v>
      </c>
      <c r="E557" s="2" t="inlineStr">
        <is>
          <t>09:32</t>
        </is>
      </c>
      <c r="F557" s="5" t="n">
        <v>1096.67</v>
      </c>
      <c r="G557" s="5" t="n"/>
      <c r="H557" s="5" t="n"/>
      <c r="I557" s="5" t="n"/>
      <c r="J557" s="5" t="n">
        <v>219.33</v>
      </c>
      <c r="K557" s="5" t="n"/>
      <c r="L557" s="5" t="n"/>
      <c r="M557" s="5" t="n"/>
      <c r="N557" s="5" t="n"/>
      <c r="O557" s="5" t="n">
        <v>1316</v>
      </c>
      <c r="P557" s="5" t="n">
        <v>316</v>
      </c>
      <c r="Q557" s="5" t="n">
        <v>1000</v>
      </c>
      <c r="R557" s="5" t="n"/>
      <c r="S557" s="5">
        <f>F557*20%</f>
        <v/>
      </c>
      <c r="T557" s="5">
        <f>J557-S557</f>
        <v/>
      </c>
      <c r="U557" s="5">
        <f>F557+J557</f>
        <v/>
      </c>
      <c r="V557" s="5">
        <f>O557-U557</f>
        <v/>
      </c>
      <c r="W557" s="5">
        <f>O557-(P557+R557)</f>
        <v/>
      </c>
      <c r="X557" s="5">
        <f>O557-(P557+Q557+R557)</f>
        <v/>
      </c>
    </row>
    <row r="558">
      <c r="A558" s="2" t="inlineStr">
        <is>
          <t>EJ300824.TXT</t>
        </is>
      </c>
      <c r="B558" s="3" t="inlineStr">
        <is>
          <t>001814</t>
        </is>
      </c>
      <c r="C558" s="3" t="inlineStr">
        <is>
          <t>001165</t>
        </is>
      </c>
      <c r="D558" s="4" t="n">
        <v>45533</v>
      </c>
      <c r="E558" s="2" t="inlineStr">
        <is>
          <t>11:10</t>
        </is>
      </c>
      <c r="F558" s="5" t="n">
        <v>17500</v>
      </c>
      <c r="G558" s="5" t="n"/>
      <c r="H558" s="5" t="n"/>
      <c r="I558" s="5" t="n"/>
      <c r="J558" s="5" t="n">
        <v>3500</v>
      </c>
      <c r="K558" s="5" t="n"/>
      <c r="L558" s="5" t="n"/>
      <c r="M558" s="5" t="n"/>
      <c r="N558" s="5" t="n"/>
      <c r="O558" s="5" t="n">
        <v>21000</v>
      </c>
      <c r="P558" s="5" t="n">
        <v>21000</v>
      </c>
      <c r="Q558" s="5" t="n"/>
      <c r="R558" s="5" t="n"/>
      <c r="S558" s="5">
        <f>F558*20%</f>
        <v/>
      </c>
      <c r="T558" s="5">
        <f>J558-S558</f>
        <v/>
      </c>
      <c r="U558" s="5">
        <f>F558+J558</f>
        <v/>
      </c>
      <c r="V558" s="5">
        <f>O558-U558</f>
        <v/>
      </c>
      <c r="W558" s="5">
        <f>O558-(P558+R558)</f>
        <v/>
      </c>
      <c r="X558" s="5">
        <f>O558-(P558+Q558+R558)</f>
        <v/>
      </c>
    </row>
    <row r="559">
      <c r="A559" s="2" t="inlineStr">
        <is>
          <t>EJ300924.TXT</t>
        </is>
      </c>
      <c r="B559" s="3" t="inlineStr">
        <is>
          <t>001822</t>
        </is>
      </c>
      <c r="C559" s="3" t="inlineStr">
        <is>
          <t>001166</t>
        </is>
      </c>
      <c r="D559" s="4" t="n">
        <v>45537</v>
      </c>
      <c r="E559" s="2" t="inlineStr">
        <is>
          <t>14:49</t>
        </is>
      </c>
      <c r="F559" s="5" t="n">
        <v>411.83</v>
      </c>
      <c r="G559" s="5" t="n"/>
      <c r="H559" s="5" t="n"/>
      <c r="I559" s="5" t="n"/>
      <c r="J559" s="5" t="n">
        <v>82.37</v>
      </c>
      <c r="K559" s="5" t="n"/>
      <c r="L559" s="5" t="n"/>
      <c r="M559" s="5" t="n"/>
      <c r="N559" s="5" t="n"/>
      <c r="O559" s="5" t="n">
        <v>494.2</v>
      </c>
      <c r="P559" s="5" t="n"/>
      <c r="Q559" s="5" t="n">
        <v>494.2</v>
      </c>
      <c r="R559" s="5" t="n"/>
      <c r="S559" s="5">
        <f>F559*20%</f>
        <v/>
      </c>
      <c r="T559" s="5">
        <f>J559-S559</f>
        <v/>
      </c>
      <c r="U559" s="5">
        <f>F559+J559</f>
        <v/>
      </c>
      <c r="V559" s="5">
        <f>O559-U559</f>
        <v/>
      </c>
      <c r="W559" s="5">
        <f>O559-(P559+R559)</f>
        <v/>
      </c>
      <c r="X559" s="5">
        <f>O559-(P559+Q559+R559)</f>
        <v/>
      </c>
    </row>
    <row r="560">
      <c r="A560" s="2" t="inlineStr">
        <is>
          <t>EJ300924.TXT</t>
        </is>
      </c>
      <c r="B560" s="3" t="inlineStr">
        <is>
          <t>001825</t>
        </is>
      </c>
      <c r="C560" s="3" t="inlineStr">
        <is>
          <t>001167</t>
        </is>
      </c>
      <c r="D560" s="4" t="n">
        <v>45538</v>
      </c>
      <c r="E560" s="2" t="inlineStr">
        <is>
          <t>09:38</t>
        </is>
      </c>
      <c r="F560" s="5" t="n">
        <v>190.83</v>
      </c>
      <c r="G560" s="5" t="n"/>
      <c r="H560" s="5" t="n"/>
      <c r="I560" s="5" t="n"/>
      <c r="J560" s="5" t="n">
        <v>38.17</v>
      </c>
      <c r="K560" s="5" t="n"/>
      <c r="L560" s="5" t="n"/>
      <c r="M560" s="5" t="n"/>
      <c r="N560" s="5" t="n"/>
      <c r="O560" s="5" t="n">
        <v>229</v>
      </c>
      <c r="P560" s="5" t="n"/>
      <c r="Q560" s="5" t="n">
        <v>229</v>
      </c>
      <c r="R560" s="5" t="n"/>
      <c r="S560" s="5">
        <f>F560*20%</f>
        <v/>
      </c>
      <c r="T560" s="5">
        <f>J560-S560</f>
        <v/>
      </c>
      <c r="U560" s="5">
        <f>F560+J560</f>
        <v/>
      </c>
      <c r="V560" s="5">
        <f>O560-U560</f>
        <v/>
      </c>
      <c r="W560" s="5">
        <f>O560-(P560+R560)</f>
        <v/>
      </c>
      <c r="X560" s="5">
        <f>O560-(P560+Q560+R560)</f>
        <v/>
      </c>
    </row>
    <row r="561">
      <c r="A561" s="2" t="inlineStr">
        <is>
          <t>EJ300924.TXT</t>
        </is>
      </c>
      <c r="B561" s="3" t="inlineStr">
        <is>
          <t>001826</t>
        </is>
      </c>
      <c r="C561" s="3" t="inlineStr">
        <is>
          <t>001168</t>
        </is>
      </c>
      <c r="D561" s="4" t="n">
        <v>45538</v>
      </c>
      <c r="E561" s="2" t="inlineStr">
        <is>
          <t>15:10</t>
        </is>
      </c>
      <c r="F561" s="5" t="n">
        <v>1096.67</v>
      </c>
      <c r="G561" s="5" t="n"/>
      <c r="H561" s="5" t="n"/>
      <c r="I561" s="5" t="n"/>
      <c r="J561" s="5" t="n">
        <v>219.33</v>
      </c>
      <c r="K561" s="5" t="n"/>
      <c r="L561" s="5" t="n"/>
      <c r="M561" s="5" t="n"/>
      <c r="N561" s="5" t="n"/>
      <c r="O561" s="5" t="n">
        <v>1316</v>
      </c>
      <c r="P561" s="5" t="n">
        <v>316</v>
      </c>
      <c r="Q561" s="5" t="n">
        <v>1000</v>
      </c>
      <c r="R561" s="5" t="n"/>
      <c r="S561" s="5">
        <f>F561*20%</f>
        <v/>
      </c>
      <c r="T561" s="5">
        <f>J561-S561</f>
        <v/>
      </c>
      <c r="U561" s="5">
        <f>F561+J561</f>
        <v/>
      </c>
      <c r="V561" s="5">
        <f>O561-U561</f>
        <v/>
      </c>
      <c r="W561" s="5">
        <f>O561-(P561+R561)</f>
        <v/>
      </c>
      <c r="X561" s="5">
        <f>O561-(P561+Q561+R561)</f>
        <v/>
      </c>
    </row>
    <row r="562">
      <c r="A562" s="2" t="inlineStr">
        <is>
          <t>EJ300924.TXT</t>
        </is>
      </c>
      <c r="B562" s="3" t="inlineStr">
        <is>
          <t>001829</t>
        </is>
      </c>
      <c r="C562" s="3" t="inlineStr">
        <is>
          <t>001169</t>
        </is>
      </c>
      <c r="D562" s="4" t="n">
        <v>45541</v>
      </c>
      <c r="E562" s="2" t="inlineStr">
        <is>
          <t>12:13</t>
        </is>
      </c>
      <c r="F562" s="5" t="n">
        <v>45.75</v>
      </c>
      <c r="G562" s="5" t="n"/>
      <c r="H562" s="5" t="n"/>
      <c r="I562" s="5" t="n"/>
      <c r="J562" s="5" t="n">
        <v>9.15</v>
      </c>
      <c r="K562" s="5" t="n"/>
      <c r="L562" s="5" t="n"/>
      <c r="M562" s="5" t="n"/>
      <c r="N562" s="5" t="n"/>
      <c r="O562" s="5" t="n">
        <v>54.9</v>
      </c>
      <c r="P562" s="5" t="n">
        <v>54.9</v>
      </c>
      <c r="Q562" s="5" t="n"/>
      <c r="R562" s="5" t="n"/>
      <c r="S562" s="5">
        <f>F562*20%</f>
        <v/>
      </c>
      <c r="T562" s="5">
        <f>J562-S562</f>
        <v/>
      </c>
      <c r="U562" s="5">
        <f>F562+J562</f>
        <v/>
      </c>
      <c r="V562" s="5">
        <f>O562-U562</f>
        <v/>
      </c>
      <c r="W562" s="5">
        <f>O562-(P562+R562)</f>
        <v/>
      </c>
      <c r="X562" s="5">
        <f>O562-(P562+Q562+R562)</f>
        <v/>
      </c>
    </row>
    <row r="563">
      <c r="A563" s="2" t="inlineStr">
        <is>
          <t>EJ300924.TXT</t>
        </is>
      </c>
      <c r="B563" s="3" t="inlineStr">
        <is>
          <t>001830</t>
        </is>
      </c>
      <c r="C563" s="3" t="inlineStr">
        <is>
          <t>001170</t>
        </is>
      </c>
      <c r="D563" s="4" t="n">
        <v>45541</v>
      </c>
      <c r="E563" s="2" t="inlineStr">
        <is>
          <t>12:18</t>
        </is>
      </c>
      <c r="F563" s="5" t="n">
        <v>548.33</v>
      </c>
      <c r="G563" s="5" t="n"/>
      <c r="H563" s="5" t="n"/>
      <c r="I563" s="5" t="n"/>
      <c r="J563" s="5" t="n">
        <v>109.67</v>
      </c>
      <c r="K563" s="5" t="n"/>
      <c r="L563" s="5" t="n"/>
      <c r="M563" s="5" t="n"/>
      <c r="N563" s="5" t="n"/>
      <c r="O563" s="5" t="n">
        <v>658</v>
      </c>
      <c r="P563" s="5" t="n"/>
      <c r="Q563" s="5" t="n">
        <v>658</v>
      </c>
      <c r="R563" s="5" t="n"/>
      <c r="S563" s="5">
        <f>F563*20%</f>
        <v/>
      </c>
      <c r="T563" s="5">
        <f>J563-S563</f>
        <v/>
      </c>
      <c r="U563" s="5">
        <f>F563+J563</f>
        <v/>
      </c>
      <c r="V563" s="5">
        <f>O563-U563</f>
        <v/>
      </c>
      <c r="W563" s="5">
        <f>O563-(P563+R563)</f>
        <v/>
      </c>
      <c r="X563" s="5">
        <f>O563-(P563+Q563+R563)</f>
        <v/>
      </c>
    </row>
    <row r="564">
      <c r="A564" s="2" t="inlineStr">
        <is>
          <t>EJ300924.TXT</t>
        </is>
      </c>
      <c r="B564" s="3" t="inlineStr">
        <is>
          <t>001831</t>
        </is>
      </c>
      <c r="C564" s="3" t="inlineStr">
        <is>
          <t>001171</t>
        </is>
      </c>
      <c r="D564" s="4" t="n">
        <v>45541</v>
      </c>
      <c r="E564" s="2" t="inlineStr">
        <is>
          <t>16:36</t>
        </is>
      </c>
      <c r="F564" s="5" t="n">
        <v>750</v>
      </c>
      <c r="G564" s="5" t="n"/>
      <c r="H564" s="5" t="n"/>
      <c r="I564" s="5" t="n"/>
      <c r="J564" s="5" t="n">
        <v>150</v>
      </c>
      <c r="K564" s="5" t="n"/>
      <c r="L564" s="5" t="n"/>
      <c r="M564" s="5" t="n"/>
      <c r="N564" s="5" t="n"/>
      <c r="O564" s="5" t="n">
        <v>900</v>
      </c>
      <c r="P564" s="5" t="n"/>
      <c r="Q564" s="5" t="n">
        <v>900</v>
      </c>
      <c r="R564" s="5" t="n"/>
      <c r="S564" s="5">
        <f>F564*20%</f>
        <v/>
      </c>
      <c r="T564" s="5">
        <f>J564-S564</f>
        <v/>
      </c>
      <c r="U564" s="5">
        <f>F564+J564</f>
        <v/>
      </c>
      <c r="V564" s="5">
        <f>O564-U564</f>
        <v/>
      </c>
      <c r="W564" s="5">
        <f>O564-(P564+R564)</f>
        <v/>
      </c>
      <c r="X564" s="5">
        <f>O564-(P564+Q564+R564)</f>
        <v/>
      </c>
    </row>
    <row r="565">
      <c r="A565" s="2" t="inlineStr">
        <is>
          <t>EJ300924.TXT</t>
        </is>
      </c>
      <c r="B565" s="3" t="inlineStr">
        <is>
          <t>001832</t>
        </is>
      </c>
      <c r="C565" s="3" t="inlineStr">
        <is>
          <t>001172</t>
        </is>
      </c>
      <c r="D565" s="4" t="n">
        <v>45541</v>
      </c>
      <c r="E565" s="2" t="inlineStr">
        <is>
          <t>16:37</t>
        </is>
      </c>
      <c r="F565" s="5" t="n">
        <v>106.67</v>
      </c>
      <c r="G565" s="5" t="n"/>
      <c r="H565" s="5" t="n"/>
      <c r="I565" s="5" t="n"/>
      <c r="J565" s="5" t="n">
        <v>21.33</v>
      </c>
      <c r="K565" s="5" t="n"/>
      <c r="L565" s="5" t="n"/>
      <c r="M565" s="5" t="n"/>
      <c r="N565" s="5" t="n"/>
      <c r="O565" s="5" t="n">
        <v>128</v>
      </c>
      <c r="P565" s="5" t="n">
        <v>128</v>
      </c>
      <c r="Q565" s="5" t="n"/>
      <c r="R565" s="5" t="n"/>
      <c r="S565" s="5">
        <f>F565*20%</f>
        <v/>
      </c>
      <c r="T565" s="5">
        <f>J565-S565</f>
        <v/>
      </c>
      <c r="U565" s="5">
        <f>F565+J565</f>
        <v/>
      </c>
      <c r="V565" s="5">
        <f>O565-U565</f>
        <v/>
      </c>
      <c r="W565" s="5">
        <f>O565-(P565+R565)</f>
        <v/>
      </c>
      <c r="X565" s="5">
        <f>O565-(P565+Q565+R565)</f>
        <v/>
      </c>
    </row>
    <row r="566">
      <c r="A566" s="2" t="inlineStr">
        <is>
          <t>EJ300924.TXT</t>
        </is>
      </c>
      <c r="B566" s="3" t="inlineStr">
        <is>
          <t>001833</t>
        </is>
      </c>
      <c r="C566" s="3" t="inlineStr">
        <is>
          <t>001173</t>
        </is>
      </c>
      <c r="D566" s="4" t="n">
        <v>45541</v>
      </c>
      <c r="E566" s="2" t="inlineStr">
        <is>
          <t>16:49</t>
        </is>
      </c>
      <c r="F566" s="5" t="n">
        <v>140.83</v>
      </c>
      <c r="G566" s="5" t="n"/>
      <c r="H566" s="5" t="n"/>
      <c r="I566" s="5" t="n"/>
      <c r="J566" s="5" t="n">
        <v>28.17</v>
      </c>
      <c r="K566" s="5" t="n"/>
      <c r="L566" s="5" t="n"/>
      <c r="M566" s="5" t="n"/>
      <c r="N566" s="5" t="n"/>
      <c r="O566" s="5" t="n">
        <v>169</v>
      </c>
      <c r="P566" s="5" t="n">
        <v>169</v>
      </c>
      <c r="Q566" s="5" t="n"/>
      <c r="R566" s="5" t="n"/>
      <c r="S566" s="5">
        <f>F566*20%</f>
        <v/>
      </c>
      <c r="T566" s="5">
        <f>J566-S566</f>
        <v/>
      </c>
      <c r="U566" s="5">
        <f>F566+J566</f>
        <v/>
      </c>
      <c r="V566" s="5">
        <f>O566-U566</f>
        <v/>
      </c>
      <c r="W566" s="5">
        <f>O566-(P566+R566)</f>
        <v/>
      </c>
      <c r="X566" s="5">
        <f>O566-(P566+Q566+R566)</f>
        <v/>
      </c>
    </row>
    <row r="567">
      <c r="A567" s="2" t="inlineStr">
        <is>
          <t>EJ300924.TXT</t>
        </is>
      </c>
      <c r="B567" s="3" t="inlineStr">
        <is>
          <t>001834</t>
        </is>
      </c>
      <c r="C567" s="3" t="inlineStr">
        <is>
          <t>001174</t>
        </is>
      </c>
      <c r="D567" s="4" t="n">
        <v>45544</v>
      </c>
      <c r="E567" s="2" t="inlineStr">
        <is>
          <t>12:33</t>
        </is>
      </c>
      <c r="F567" s="5" t="n">
        <v>548.33</v>
      </c>
      <c r="G567" s="5" t="n"/>
      <c r="H567" s="5" t="n"/>
      <c r="I567" s="5" t="n"/>
      <c r="J567" s="5" t="n">
        <v>109.67</v>
      </c>
      <c r="K567" s="5" t="n"/>
      <c r="L567" s="5" t="n"/>
      <c r="M567" s="5" t="n"/>
      <c r="N567" s="5" t="n"/>
      <c r="O567" s="5" t="n">
        <v>658</v>
      </c>
      <c r="P567" s="5" t="n">
        <v>658</v>
      </c>
      <c r="Q567" s="5" t="n"/>
      <c r="R567" s="5" t="n"/>
      <c r="S567" s="5">
        <f>F567*20%</f>
        <v/>
      </c>
      <c r="T567" s="5">
        <f>J567-S567</f>
        <v/>
      </c>
      <c r="U567" s="5">
        <f>F567+J567</f>
        <v/>
      </c>
      <c r="V567" s="5">
        <f>O567-U567</f>
        <v/>
      </c>
      <c r="W567" s="5">
        <f>O567-(P567+R567)</f>
        <v/>
      </c>
      <c r="X567" s="5">
        <f>O567-(P567+Q567+R567)</f>
        <v/>
      </c>
    </row>
    <row r="568">
      <c r="A568" s="2" t="inlineStr">
        <is>
          <t>EJ300924.TXT</t>
        </is>
      </c>
      <c r="B568" s="3" t="inlineStr">
        <is>
          <t>001835</t>
        </is>
      </c>
      <c r="C568" s="3" t="inlineStr">
        <is>
          <t>001175</t>
        </is>
      </c>
      <c r="D568" s="4" t="n">
        <v>45545</v>
      </c>
      <c r="E568" s="2" t="inlineStr">
        <is>
          <t>14:31</t>
        </is>
      </c>
      <c r="F568" s="5" t="n">
        <v>548.33</v>
      </c>
      <c r="G568" s="5" t="n"/>
      <c r="H568" s="5" t="n"/>
      <c r="I568" s="5" t="n"/>
      <c r="J568" s="5" t="n">
        <v>109.67</v>
      </c>
      <c r="K568" s="5" t="n"/>
      <c r="L568" s="5" t="n"/>
      <c r="M568" s="5" t="n"/>
      <c r="N568" s="5" t="n"/>
      <c r="O568" s="5" t="n">
        <v>658</v>
      </c>
      <c r="P568" s="5" t="n">
        <v>658</v>
      </c>
      <c r="Q568" s="5" t="n"/>
      <c r="R568" s="5" t="n"/>
      <c r="S568" s="5">
        <f>F568*20%</f>
        <v/>
      </c>
      <c r="T568" s="5">
        <f>J568-S568</f>
        <v/>
      </c>
      <c r="U568" s="5">
        <f>F568+J568</f>
        <v/>
      </c>
      <c r="V568" s="5">
        <f>O568-U568</f>
        <v/>
      </c>
      <c r="W568" s="5">
        <f>O568-(P568+R568)</f>
        <v/>
      </c>
      <c r="X568" s="5">
        <f>O568-(P568+Q568+R568)</f>
        <v/>
      </c>
    </row>
    <row r="569">
      <c r="A569" s="2" t="inlineStr">
        <is>
          <t>EJ300924.TXT</t>
        </is>
      </c>
      <c r="B569" s="3" t="inlineStr">
        <is>
          <t>001837</t>
        </is>
      </c>
      <c r="C569" s="3" t="inlineStr">
        <is>
          <t>001176</t>
        </is>
      </c>
      <c r="D569" s="4" t="n">
        <v>45548</v>
      </c>
      <c r="E569" s="2" t="inlineStr">
        <is>
          <t>12:15</t>
        </is>
      </c>
      <c r="F569" s="5" t="n">
        <v>73.33</v>
      </c>
      <c r="G569" s="5" t="n"/>
      <c r="H569" s="5" t="n"/>
      <c r="I569" s="5" t="n"/>
      <c r="J569" s="5" t="n">
        <v>14.67</v>
      </c>
      <c r="K569" s="5" t="n"/>
      <c r="L569" s="5" t="n"/>
      <c r="M569" s="5" t="n"/>
      <c r="N569" s="5" t="n"/>
      <c r="O569" s="5" t="n">
        <v>88</v>
      </c>
      <c r="P569" s="5" t="n"/>
      <c r="Q569" s="5" t="n">
        <v>88</v>
      </c>
      <c r="R569" s="5" t="n"/>
      <c r="S569" s="5">
        <f>F569*20%</f>
        <v/>
      </c>
      <c r="T569" s="5">
        <f>J569-S569</f>
        <v/>
      </c>
      <c r="U569" s="5">
        <f>F569+J569</f>
        <v/>
      </c>
      <c r="V569" s="5">
        <f>O569-U569</f>
        <v/>
      </c>
      <c r="W569" s="5">
        <f>O569-(P569+R569)</f>
        <v/>
      </c>
      <c r="X569" s="5">
        <f>O569-(P569+Q569+R569)</f>
        <v/>
      </c>
    </row>
    <row r="570">
      <c r="A570" s="2" t="inlineStr">
        <is>
          <t>EJ300924.TXT</t>
        </is>
      </c>
      <c r="B570" s="3" t="inlineStr">
        <is>
          <t>001838</t>
        </is>
      </c>
      <c r="C570" s="3" t="inlineStr">
        <is>
          <t>001177</t>
        </is>
      </c>
      <c r="D570" s="4" t="n">
        <v>45552</v>
      </c>
      <c r="E570" s="2" t="inlineStr">
        <is>
          <t>11:36</t>
        </is>
      </c>
      <c r="F570" s="5" t="n">
        <v>796.67</v>
      </c>
      <c r="G570" s="5" t="n"/>
      <c r="H570" s="5" t="n"/>
      <c r="I570" s="5" t="n"/>
      <c r="J570" s="5" t="n">
        <v>159.33</v>
      </c>
      <c r="K570" s="5" t="n"/>
      <c r="L570" s="5" t="n"/>
      <c r="M570" s="5" t="n"/>
      <c r="N570" s="5" t="n"/>
      <c r="O570" s="5" t="n">
        <v>956</v>
      </c>
      <c r="P570" s="5" t="n">
        <v>956</v>
      </c>
      <c r="Q570" s="5" t="n"/>
      <c r="R570" s="5" t="n"/>
      <c r="S570" s="5">
        <f>F570*20%</f>
        <v/>
      </c>
      <c r="T570" s="5">
        <f>J570-S570</f>
        <v/>
      </c>
      <c r="U570" s="5">
        <f>F570+J570</f>
        <v/>
      </c>
      <c r="V570" s="5">
        <f>O570-U570</f>
        <v/>
      </c>
      <c r="W570" s="5">
        <f>O570-(P570+R570)</f>
        <v/>
      </c>
      <c r="X570" s="5">
        <f>O570-(P570+Q570+R570)</f>
        <v/>
      </c>
    </row>
    <row r="571">
      <c r="A571" s="2" t="inlineStr">
        <is>
          <t>EJ300924.TXT</t>
        </is>
      </c>
      <c r="B571" s="3" t="inlineStr">
        <is>
          <t>001839</t>
        </is>
      </c>
      <c r="C571" s="3" t="inlineStr">
        <is>
          <t>001178</t>
        </is>
      </c>
      <c r="D571" s="4" t="n">
        <v>45553</v>
      </c>
      <c r="E571" s="2" t="inlineStr">
        <is>
          <t>09:38</t>
        </is>
      </c>
      <c r="F571" s="5" t="n">
        <v>548.33</v>
      </c>
      <c r="G571" s="5" t="n"/>
      <c r="H571" s="5" t="n"/>
      <c r="I571" s="5" t="n"/>
      <c r="J571" s="5" t="n">
        <v>109.67</v>
      </c>
      <c r="K571" s="5" t="n"/>
      <c r="L571" s="5" t="n"/>
      <c r="M571" s="5" t="n"/>
      <c r="N571" s="5" t="n"/>
      <c r="O571" s="5" t="n">
        <v>658</v>
      </c>
      <c r="P571" s="5" t="n"/>
      <c r="Q571" s="5" t="n">
        <v>658</v>
      </c>
      <c r="R571" s="5" t="n"/>
      <c r="S571" s="5">
        <f>F571*20%</f>
        <v/>
      </c>
      <c r="T571" s="5">
        <f>J571-S571</f>
        <v/>
      </c>
      <c r="U571" s="5">
        <f>F571+J571</f>
        <v/>
      </c>
      <c r="V571" s="5">
        <f>O571-U571</f>
        <v/>
      </c>
      <c r="W571" s="5">
        <f>O571-(P571+R571)</f>
        <v/>
      </c>
      <c r="X571" s="5">
        <f>O571-(P571+Q571+R571)</f>
        <v/>
      </c>
    </row>
    <row r="572">
      <c r="A572" s="2" t="inlineStr">
        <is>
          <t>EJ300924.TXT</t>
        </is>
      </c>
      <c r="B572" s="3" t="inlineStr">
        <is>
          <t>001840</t>
        </is>
      </c>
      <c r="C572" s="3" t="inlineStr">
        <is>
          <t>001179</t>
        </is>
      </c>
      <c r="D572" s="4" t="n">
        <v>45553</v>
      </c>
      <c r="E572" s="2" t="inlineStr">
        <is>
          <t>10:12</t>
        </is>
      </c>
      <c r="F572" s="5" t="n">
        <v>548.33</v>
      </c>
      <c r="G572" s="5" t="n"/>
      <c r="H572" s="5" t="n"/>
      <c r="I572" s="5" t="n"/>
      <c r="J572" s="5" t="n">
        <v>109.67</v>
      </c>
      <c r="K572" s="5" t="n"/>
      <c r="L572" s="5" t="n"/>
      <c r="M572" s="5" t="n"/>
      <c r="N572" s="5" t="n"/>
      <c r="O572" s="5" t="n">
        <v>658</v>
      </c>
      <c r="P572" s="5" t="n">
        <v>658</v>
      </c>
      <c r="Q572" s="5" t="n"/>
      <c r="R572" s="5" t="n"/>
      <c r="S572" s="5">
        <f>F572*20%</f>
        <v/>
      </c>
      <c r="T572" s="5">
        <f>J572-S572</f>
        <v/>
      </c>
      <c r="U572" s="5">
        <f>F572+J572</f>
        <v/>
      </c>
      <c r="V572" s="5">
        <f>O572-U572</f>
        <v/>
      </c>
      <c r="W572" s="5">
        <f>O572-(P572+R572)</f>
        <v/>
      </c>
      <c r="X572" s="5">
        <f>O572-(P572+Q572+R572)</f>
        <v/>
      </c>
    </row>
    <row r="573">
      <c r="A573" s="2" t="inlineStr">
        <is>
          <t>EJ300924.TXT</t>
        </is>
      </c>
      <c r="B573" s="3" t="inlineStr">
        <is>
          <t>001841</t>
        </is>
      </c>
      <c r="C573" s="3" t="inlineStr">
        <is>
          <t>001180</t>
        </is>
      </c>
      <c r="D573" s="4" t="n">
        <v>45553</v>
      </c>
      <c r="E573" s="2" t="inlineStr">
        <is>
          <t>15:18</t>
        </is>
      </c>
      <c r="F573" s="5" t="n">
        <v>1894.83</v>
      </c>
      <c r="G573" s="5" t="n"/>
      <c r="H573" s="5" t="n"/>
      <c r="I573" s="5" t="n"/>
      <c r="J573" s="5" t="n">
        <v>378.97</v>
      </c>
      <c r="K573" s="5" t="n"/>
      <c r="L573" s="5" t="n"/>
      <c r="M573" s="5" t="n"/>
      <c r="N573" s="5" t="n"/>
      <c r="O573" s="5" t="n">
        <v>2273.8</v>
      </c>
      <c r="P573" s="5" t="n">
        <v>1273.8</v>
      </c>
      <c r="Q573" s="5" t="n">
        <v>1000</v>
      </c>
      <c r="R573" s="5" t="n"/>
      <c r="S573" s="5">
        <f>F573*20%</f>
        <v/>
      </c>
      <c r="T573" s="5">
        <f>J573-S573</f>
        <v/>
      </c>
      <c r="U573" s="5">
        <f>F573+J573</f>
        <v/>
      </c>
      <c r="V573" s="5">
        <f>O573-U573</f>
        <v/>
      </c>
      <c r="W573" s="5">
        <f>O573-(P573+R573)</f>
        <v/>
      </c>
      <c r="X573" s="5">
        <f>O573-(P573+Q573+R573)</f>
        <v/>
      </c>
    </row>
    <row r="574">
      <c r="A574" s="2" t="inlineStr">
        <is>
          <t>EJ300924.TXT</t>
        </is>
      </c>
      <c r="B574" s="3" t="inlineStr">
        <is>
          <t>001843</t>
        </is>
      </c>
      <c r="C574" s="3" t="inlineStr">
        <is>
          <t>001181</t>
        </is>
      </c>
      <c r="D574" s="4" t="n">
        <v>45556</v>
      </c>
      <c r="E574" s="2" t="inlineStr">
        <is>
          <t>13:24</t>
        </is>
      </c>
      <c r="F574" s="5" t="n">
        <v>1896.67</v>
      </c>
      <c r="G574" s="5" t="n"/>
      <c r="H574" s="5" t="n"/>
      <c r="I574" s="5" t="n"/>
      <c r="J574" s="5" t="n">
        <v>379.33</v>
      </c>
      <c r="K574" s="5" t="n"/>
      <c r="L574" s="5" t="n"/>
      <c r="M574" s="5" t="n"/>
      <c r="N574" s="5" t="n"/>
      <c r="O574" s="5" t="n">
        <v>2276</v>
      </c>
      <c r="P574" s="5" t="n">
        <v>2276</v>
      </c>
      <c r="Q574" s="5" t="n"/>
      <c r="R574" s="5" t="n"/>
      <c r="S574" s="5">
        <f>F574*20%</f>
        <v/>
      </c>
      <c r="T574" s="5">
        <f>J574-S574</f>
        <v/>
      </c>
      <c r="U574" s="5">
        <f>F574+J574</f>
        <v/>
      </c>
      <c r="V574" s="5">
        <f>O574-U574</f>
        <v/>
      </c>
      <c r="W574" s="5">
        <f>O574-(P574+R574)</f>
        <v/>
      </c>
      <c r="X574" s="5">
        <f>O574-(P574+Q574+R574)</f>
        <v/>
      </c>
    </row>
    <row r="575">
      <c r="A575" s="2" t="inlineStr">
        <is>
          <t>EJ300924.TXT</t>
        </is>
      </c>
      <c r="B575" s="3" t="inlineStr">
        <is>
          <t>001844</t>
        </is>
      </c>
      <c r="C575" s="3" t="inlineStr">
        <is>
          <t>001182</t>
        </is>
      </c>
      <c r="D575" s="4" t="n">
        <v>45556</v>
      </c>
      <c r="E575" s="2" t="inlineStr">
        <is>
          <t>13:48</t>
        </is>
      </c>
      <c r="F575" s="5" t="n">
        <v>822.5</v>
      </c>
      <c r="G575" s="5" t="n"/>
      <c r="H575" s="5" t="n"/>
      <c r="I575" s="5" t="n"/>
      <c r="J575" s="5" t="n">
        <v>164.5</v>
      </c>
      <c r="K575" s="5" t="n"/>
      <c r="L575" s="5" t="n"/>
      <c r="M575" s="5" t="n"/>
      <c r="N575" s="5" t="n"/>
      <c r="O575" s="5" t="n">
        <v>987</v>
      </c>
      <c r="P575" s="5" t="n">
        <v>987</v>
      </c>
      <c r="Q575" s="5" t="n"/>
      <c r="R575" s="5" t="n"/>
      <c r="S575" s="5">
        <f>F575*20%</f>
        <v/>
      </c>
      <c r="T575" s="5">
        <f>J575-S575</f>
        <v/>
      </c>
      <c r="U575" s="5">
        <f>F575+J575</f>
        <v/>
      </c>
      <c r="V575" s="5">
        <f>O575-U575</f>
        <v/>
      </c>
      <c r="W575" s="5">
        <f>O575-(P575+R575)</f>
        <v/>
      </c>
      <c r="X575" s="5">
        <f>O575-(P575+Q575+R575)</f>
        <v/>
      </c>
    </row>
    <row r="576">
      <c r="A576" s="2" t="inlineStr">
        <is>
          <t>EJ300924.TXT</t>
        </is>
      </c>
      <c r="B576" s="3" t="inlineStr">
        <is>
          <t>001845</t>
        </is>
      </c>
      <c r="C576" s="3" t="inlineStr">
        <is>
          <t>001183</t>
        </is>
      </c>
      <c r="D576" s="4" t="n">
        <v>45556</v>
      </c>
      <c r="E576" s="2" t="inlineStr">
        <is>
          <t>16:17</t>
        </is>
      </c>
      <c r="F576" s="5" t="n">
        <v>548.33</v>
      </c>
      <c r="G576" s="5" t="n"/>
      <c r="H576" s="5" t="n"/>
      <c r="I576" s="5" t="n"/>
      <c r="J576" s="5" t="n">
        <v>109.67</v>
      </c>
      <c r="K576" s="5" t="n"/>
      <c r="L576" s="5" t="n"/>
      <c r="M576" s="5" t="n"/>
      <c r="N576" s="5" t="n"/>
      <c r="O576" s="5" t="n">
        <v>658</v>
      </c>
      <c r="P576" s="5" t="n">
        <v>658</v>
      </c>
      <c r="Q576" s="5" t="n"/>
      <c r="R576" s="5" t="n"/>
      <c r="S576" s="5">
        <f>F576*20%</f>
        <v/>
      </c>
      <c r="T576" s="5">
        <f>J576-S576</f>
        <v/>
      </c>
      <c r="U576" s="5">
        <f>F576+J576</f>
        <v/>
      </c>
      <c r="V576" s="5">
        <f>O576-U576</f>
        <v/>
      </c>
      <c r="W576" s="5">
        <f>O576-(P576+R576)</f>
        <v/>
      </c>
      <c r="X576" s="5">
        <f>O576-(P576+Q576+R576)</f>
        <v/>
      </c>
    </row>
    <row r="577">
      <c r="A577" s="2" t="inlineStr">
        <is>
          <t>EJ300924.TXT</t>
        </is>
      </c>
      <c r="B577" s="3" t="inlineStr">
        <is>
          <t>001846</t>
        </is>
      </c>
      <c r="C577" s="3" t="inlineStr">
        <is>
          <t>001184</t>
        </is>
      </c>
      <c r="D577" s="4" t="n">
        <v>45559</v>
      </c>
      <c r="E577" s="2" t="inlineStr">
        <is>
          <t>10:07</t>
        </is>
      </c>
      <c r="F577" s="5" t="n">
        <v>796.67</v>
      </c>
      <c r="G577" s="5" t="n"/>
      <c r="H577" s="5" t="n"/>
      <c r="I577" s="5" t="n"/>
      <c r="J577" s="5" t="n">
        <v>159.33</v>
      </c>
      <c r="K577" s="5" t="n"/>
      <c r="L577" s="5" t="n"/>
      <c r="M577" s="5" t="n"/>
      <c r="N577" s="5" t="n"/>
      <c r="O577" s="5" t="n">
        <v>956</v>
      </c>
      <c r="P577" s="5" t="n">
        <v>956</v>
      </c>
      <c r="Q577" s="5" t="n"/>
      <c r="R577" s="5" t="n"/>
      <c r="S577" s="5">
        <f>F577*20%</f>
        <v/>
      </c>
      <c r="T577" s="5">
        <f>J577-S577</f>
        <v/>
      </c>
      <c r="U577" s="5">
        <f>F577+J577</f>
        <v/>
      </c>
      <c r="V577" s="5">
        <f>O577-U577</f>
        <v/>
      </c>
      <c r="W577" s="5">
        <f>O577-(P577+R577)</f>
        <v/>
      </c>
      <c r="X577" s="5">
        <f>O577-(P577+Q577+R577)</f>
        <v/>
      </c>
    </row>
    <row r="578">
      <c r="A578" s="2" t="inlineStr">
        <is>
          <t>EJ300924.TXT</t>
        </is>
      </c>
      <c r="B578" s="3" t="inlineStr">
        <is>
          <t>001847</t>
        </is>
      </c>
      <c r="C578" s="3" t="inlineStr">
        <is>
          <t>001185</t>
        </is>
      </c>
      <c r="D578" s="4" t="n">
        <v>45560</v>
      </c>
      <c r="E578" s="2" t="inlineStr">
        <is>
          <t>10:06</t>
        </is>
      </c>
      <c r="F578" s="5" t="n">
        <v>1530</v>
      </c>
      <c r="G578" s="5" t="n"/>
      <c r="H578" s="5" t="n"/>
      <c r="I578" s="5" t="n"/>
      <c r="J578" s="5" t="n">
        <v>306</v>
      </c>
      <c r="K578" s="5" t="n"/>
      <c r="L578" s="5" t="n"/>
      <c r="M578" s="5" t="n"/>
      <c r="N578" s="5" t="n"/>
      <c r="O578" s="5" t="n">
        <v>1836</v>
      </c>
      <c r="P578" s="5" t="n">
        <v>1836</v>
      </c>
      <c r="Q578" s="5" t="n"/>
      <c r="R578" s="5" t="n"/>
      <c r="S578" s="5">
        <f>F578*20%</f>
        <v/>
      </c>
      <c r="T578" s="5">
        <f>J578-S578</f>
        <v/>
      </c>
      <c r="U578" s="5">
        <f>F578+J578</f>
        <v/>
      </c>
      <c r="V578" s="5">
        <f>O578-U578</f>
        <v/>
      </c>
      <c r="W578" s="5">
        <f>O578-(P578+R578)</f>
        <v/>
      </c>
      <c r="X578" s="5">
        <f>O578-(P578+Q578+R578)</f>
        <v/>
      </c>
    </row>
    <row r="579">
      <c r="A579" s="2" t="inlineStr">
        <is>
          <t>EJ300924.TXT</t>
        </is>
      </c>
      <c r="B579" s="3" t="inlineStr">
        <is>
          <t>001849</t>
        </is>
      </c>
      <c r="C579" s="3" t="inlineStr">
        <is>
          <t>001186</t>
        </is>
      </c>
      <c r="D579" s="4" t="n">
        <v>45561</v>
      </c>
      <c r="E579" s="2" t="inlineStr">
        <is>
          <t>09:53</t>
        </is>
      </c>
      <c r="F579" s="5" t="n">
        <v>2261.67</v>
      </c>
      <c r="G579" s="5" t="n"/>
      <c r="H579" s="5" t="n"/>
      <c r="I579" s="5" t="n"/>
      <c r="J579" s="5" t="n">
        <v>452.33</v>
      </c>
      <c r="K579" s="5" t="n"/>
      <c r="L579" s="5" t="n"/>
      <c r="M579" s="5" t="n"/>
      <c r="N579" s="5" t="n"/>
      <c r="O579" s="5" t="n">
        <v>2714</v>
      </c>
      <c r="P579" s="5" t="n">
        <v>2714</v>
      </c>
      <c r="Q579" s="5" t="n"/>
      <c r="R579" s="5" t="n"/>
      <c r="S579" s="5">
        <f>F579*20%</f>
        <v/>
      </c>
      <c r="T579" s="5">
        <f>J579-S579</f>
        <v/>
      </c>
      <c r="U579" s="5">
        <f>F579+J579</f>
        <v/>
      </c>
      <c r="V579" s="5">
        <f>O579-U579</f>
        <v/>
      </c>
      <c r="W579" s="5">
        <f>O579-(P579+R579)</f>
        <v/>
      </c>
      <c r="X579" s="5">
        <f>O579-(P579+Q579+R579)</f>
        <v/>
      </c>
    </row>
    <row r="580">
      <c r="A580" s="2" t="inlineStr">
        <is>
          <t>EJ300924.TXT</t>
        </is>
      </c>
      <c r="B580" s="3" t="inlineStr">
        <is>
          <t>001850</t>
        </is>
      </c>
      <c r="C580" s="3" t="inlineStr">
        <is>
          <t>001187</t>
        </is>
      </c>
      <c r="D580" s="4" t="n">
        <v>45563</v>
      </c>
      <c r="E580" s="2" t="inlineStr">
        <is>
          <t>13:07</t>
        </is>
      </c>
      <c r="F580" s="5" t="n">
        <v>548.33</v>
      </c>
      <c r="G580" s="5" t="n"/>
      <c r="H580" s="5" t="n"/>
      <c r="I580" s="5" t="n"/>
      <c r="J580" s="5" t="n">
        <v>109.67</v>
      </c>
      <c r="K580" s="5" t="n"/>
      <c r="L580" s="5" t="n"/>
      <c r="M580" s="5" t="n"/>
      <c r="N580" s="5" t="n"/>
      <c r="O580" s="5" t="n">
        <v>658</v>
      </c>
      <c r="P580" s="5" t="n">
        <v>658</v>
      </c>
      <c r="Q580" s="5" t="n"/>
      <c r="R580" s="5" t="n"/>
      <c r="S580" s="5">
        <f>F580*20%</f>
        <v/>
      </c>
      <c r="T580" s="5">
        <f>J580-S580</f>
        <v/>
      </c>
      <c r="U580" s="5">
        <f>F580+J580</f>
        <v/>
      </c>
      <c r="V580" s="5">
        <f>O580-U580</f>
        <v/>
      </c>
      <c r="W580" s="5">
        <f>O580-(P580+R580)</f>
        <v/>
      </c>
      <c r="X580" s="5">
        <f>O580-(P580+Q580+R580)</f>
        <v/>
      </c>
    </row>
    <row r="581">
      <c r="A581" s="2" t="inlineStr">
        <is>
          <t>EJ021124.TXT</t>
        </is>
      </c>
      <c r="B581" s="3" t="inlineStr">
        <is>
          <t>001856</t>
        </is>
      </c>
      <c r="C581" s="3" t="inlineStr">
        <is>
          <t>001188</t>
        </is>
      </c>
      <c r="D581" s="4" t="n">
        <v>45566</v>
      </c>
      <c r="E581" s="2" t="inlineStr">
        <is>
          <t>11:37</t>
        </is>
      </c>
      <c r="F581" s="5" t="n">
        <v>49.92</v>
      </c>
      <c r="G581" s="5" t="n"/>
      <c r="H581" s="5" t="n"/>
      <c r="I581" s="5" t="n"/>
      <c r="J581" s="5" t="n">
        <v>9.98</v>
      </c>
      <c r="K581" s="5" t="n"/>
      <c r="L581" s="5" t="n"/>
      <c r="M581" s="5" t="n"/>
      <c r="N581" s="5" t="n"/>
      <c r="O581" s="5" t="n">
        <v>59.9</v>
      </c>
      <c r="P581" s="5" t="n">
        <v>59.9</v>
      </c>
      <c r="Q581" s="5" t="n"/>
      <c r="R581" s="5" t="n"/>
      <c r="S581" s="5">
        <f>F581*20%</f>
        <v/>
      </c>
      <c r="T581" s="5">
        <f>J581-S581</f>
        <v/>
      </c>
      <c r="U581" s="5">
        <f>F581+J581</f>
        <v/>
      </c>
      <c r="V581" s="5">
        <f>O581-U581</f>
        <v/>
      </c>
      <c r="W581" s="5">
        <f>O581-(P581+R581)</f>
        <v/>
      </c>
      <c r="X581" s="5">
        <f>O581-(P581+Q581+R581)</f>
        <v/>
      </c>
    </row>
    <row r="582">
      <c r="A582" s="2" t="inlineStr">
        <is>
          <t>EJ021124.TXT</t>
        </is>
      </c>
      <c r="B582" s="3" t="inlineStr">
        <is>
          <t>001857</t>
        </is>
      </c>
      <c r="C582" s="3" t="inlineStr">
        <is>
          <t>001189</t>
        </is>
      </c>
      <c r="D582" s="4" t="n">
        <v>45567</v>
      </c>
      <c r="E582" s="2" t="inlineStr">
        <is>
          <t>13:48</t>
        </is>
      </c>
      <c r="F582" s="5" t="n">
        <v>73.33</v>
      </c>
      <c r="G582" s="5" t="n"/>
      <c r="H582" s="5" t="n"/>
      <c r="I582" s="5" t="n"/>
      <c r="J582" s="5" t="n">
        <v>14.67</v>
      </c>
      <c r="K582" s="5" t="n"/>
      <c r="L582" s="5" t="n"/>
      <c r="M582" s="5" t="n"/>
      <c r="N582" s="5" t="n"/>
      <c r="O582" s="5" t="n">
        <v>88</v>
      </c>
      <c r="P582" s="5" t="n">
        <v>88</v>
      </c>
      <c r="Q582" s="5" t="n"/>
      <c r="R582" s="5" t="n"/>
      <c r="S582" s="5">
        <f>F582*20%</f>
        <v/>
      </c>
      <c r="T582" s="5">
        <f>J582-S582</f>
        <v/>
      </c>
      <c r="U582" s="5">
        <f>F582+J582</f>
        <v/>
      </c>
      <c r="V582" s="5">
        <f>O582-U582</f>
        <v/>
      </c>
      <c r="W582" s="5">
        <f>O582-(P582+R582)</f>
        <v/>
      </c>
      <c r="X582" s="5">
        <f>O582-(P582+Q582+R582)</f>
        <v/>
      </c>
    </row>
    <row r="583">
      <c r="A583" s="2" t="inlineStr">
        <is>
          <t>EJ021124.TXT</t>
        </is>
      </c>
      <c r="B583" s="3" t="inlineStr">
        <is>
          <t>001860</t>
        </is>
      </c>
      <c r="C583" s="3" t="inlineStr">
        <is>
          <t>001190</t>
        </is>
      </c>
      <c r="D583" s="4" t="n">
        <v>45569</v>
      </c>
      <c r="E583" s="2" t="inlineStr">
        <is>
          <t>16:03</t>
        </is>
      </c>
      <c r="F583" s="5" t="n">
        <v>45.75</v>
      </c>
      <c r="G583" s="5" t="n"/>
      <c r="H583" s="5" t="n"/>
      <c r="I583" s="5" t="n"/>
      <c r="J583" s="5" t="n">
        <v>9.15</v>
      </c>
      <c r="K583" s="5" t="n"/>
      <c r="L583" s="5" t="n"/>
      <c r="M583" s="5" t="n"/>
      <c r="N583" s="5" t="n"/>
      <c r="O583" s="5" t="n">
        <v>54.9</v>
      </c>
      <c r="P583" s="5" t="n">
        <v>54.9</v>
      </c>
      <c r="Q583" s="5" t="n"/>
      <c r="R583" s="5" t="n"/>
      <c r="S583" s="5">
        <f>F583*20%</f>
        <v/>
      </c>
      <c r="T583" s="5">
        <f>J583-S583</f>
        <v/>
      </c>
      <c r="U583" s="5">
        <f>F583+J583</f>
        <v/>
      </c>
      <c r="V583" s="5">
        <f>O583-U583</f>
        <v/>
      </c>
      <c r="W583" s="5">
        <f>O583-(P583+R583)</f>
        <v/>
      </c>
      <c r="X583" s="5">
        <f>O583-(P583+Q583+R583)</f>
        <v/>
      </c>
    </row>
    <row r="584">
      <c r="A584" s="2" t="inlineStr">
        <is>
          <t>EJ021124.TXT</t>
        </is>
      </c>
      <c r="B584" s="3" t="inlineStr">
        <is>
          <t>001861</t>
        </is>
      </c>
      <c r="C584" s="3" t="inlineStr">
        <is>
          <t>001191</t>
        </is>
      </c>
      <c r="D584" s="4" t="n">
        <v>45572</v>
      </c>
      <c r="E584" s="2" t="inlineStr">
        <is>
          <t>10:14</t>
        </is>
      </c>
      <c r="F584" s="5" t="n">
        <v>21000</v>
      </c>
      <c r="G584" s="5" t="n"/>
      <c r="H584" s="5" t="n"/>
      <c r="I584" s="5" t="n"/>
      <c r="J584" s="5" t="n">
        <v>4200</v>
      </c>
      <c r="K584" s="5" t="n"/>
      <c r="L584" s="5" t="n"/>
      <c r="M584" s="5" t="n"/>
      <c r="N584" s="5" t="n"/>
      <c r="O584" s="5" t="n">
        <v>25200</v>
      </c>
      <c r="P584" s="5" t="n">
        <v>25200</v>
      </c>
      <c r="Q584" s="5" t="n"/>
      <c r="R584" s="5" t="n"/>
      <c r="S584" s="5">
        <f>F584*20%</f>
        <v/>
      </c>
      <c r="T584" s="5">
        <f>J584-S584</f>
        <v/>
      </c>
      <c r="U584" s="5">
        <f>F584+J584</f>
        <v/>
      </c>
      <c r="V584" s="5">
        <f>O584-U584</f>
        <v/>
      </c>
      <c r="W584" s="5">
        <f>O584-(P584+R584)</f>
        <v/>
      </c>
      <c r="X584" s="5">
        <f>O584-(P584+Q584+R584)</f>
        <v/>
      </c>
    </row>
    <row r="585">
      <c r="A585" s="2" t="inlineStr">
        <is>
          <t>EJ021124.TXT</t>
        </is>
      </c>
      <c r="B585" s="3" t="inlineStr">
        <is>
          <t>001862</t>
        </is>
      </c>
      <c r="C585" s="3" t="inlineStr">
        <is>
          <t>001192</t>
        </is>
      </c>
      <c r="D585" s="4" t="n">
        <v>45574</v>
      </c>
      <c r="E585" s="2" t="inlineStr">
        <is>
          <t>15:23</t>
        </is>
      </c>
      <c r="F585" s="5" t="n">
        <v>274.17</v>
      </c>
      <c r="G585" s="5" t="n"/>
      <c r="H585" s="5" t="n"/>
      <c r="I585" s="5" t="n"/>
      <c r="J585" s="5" t="n">
        <v>54.83</v>
      </c>
      <c r="K585" s="5" t="n"/>
      <c r="L585" s="5" t="n"/>
      <c r="M585" s="5" t="n"/>
      <c r="N585" s="5" t="n"/>
      <c r="O585" s="5" t="n">
        <v>329</v>
      </c>
      <c r="P585" s="5" t="n">
        <v>329</v>
      </c>
      <c r="Q585" s="5" t="n"/>
      <c r="R585" s="5" t="n"/>
      <c r="S585" s="5">
        <f>F585*20%</f>
        <v/>
      </c>
      <c r="T585" s="5">
        <f>J585-S585</f>
        <v/>
      </c>
      <c r="U585" s="5">
        <f>F585+J585</f>
        <v/>
      </c>
      <c r="V585" s="5">
        <f>O585-U585</f>
        <v/>
      </c>
      <c r="W585" s="5">
        <f>O585-(P585+R585)</f>
        <v/>
      </c>
      <c r="X585" s="5">
        <f>O585-(P585+Q585+R585)</f>
        <v/>
      </c>
    </row>
    <row r="586">
      <c r="A586" s="2" t="inlineStr">
        <is>
          <t>EJ021124.TXT</t>
        </is>
      </c>
      <c r="B586" s="3" t="inlineStr">
        <is>
          <t>001863</t>
        </is>
      </c>
      <c r="C586" s="3" t="inlineStr">
        <is>
          <t>001193</t>
        </is>
      </c>
      <c r="D586" s="4" t="n">
        <v>45575</v>
      </c>
      <c r="E586" s="2" t="inlineStr">
        <is>
          <t>13:18</t>
        </is>
      </c>
      <c r="F586" s="5" t="n">
        <v>2413.33</v>
      </c>
      <c r="G586" s="5" t="n"/>
      <c r="H586" s="5" t="n"/>
      <c r="I586" s="5" t="n"/>
      <c r="J586" s="5" t="n">
        <v>482.67</v>
      </c>
      <c r="K586" s="5" t="n"/>
      <c r="L586" s="5" t="n"/>
      <c r="M586" s="5" t="n"/>
      <c r="N586" s="5" t="n"/>
      <c r="O586" s="5" t="n">
        <v>2896</v>
      </c>
      <c r="P586" s="5" t="n">
        <v>1896</v>
      </c>
      <c r="Q586" s="5" t="n">
        <v>1000</v>
      </c>
      <c r="R586" s="5" t="n"/>
      <c r="S586" s="5">
        <f>F586*20%</f>
        <v/>
      </c>
      <c r="T586" s="5">
        <f>J586-S586</f>
        <v/>
      </c>
      <c r="U586" s="5">
        <f>F586+J586</f>
        <v/>
      </c>
      <c r="V586" s="5">
        <f>O586-U586</f>
        <v/>
      </c>
      <c r="W586" s="5">
        <f>O586-(P586+R586)</f>
        <v/>
      </c>
      <c r="X586" s="5">
        <f>O586-(P586+Q586+R586)</f>
        <v/>
      </c>
    </row>
    <row r="587">
      <c r="A587" s="2" t="inlineStr">
        <is>
          <t>EJ021124.TXT</t>
        </is>
      </c>
      <c r="B587" s="3" t="inlineStr">
        <is>
          <t>001867</t>
        </is>
      </c>
      <c r="C587" s="3" t="inlineStr">
        <is>
          <t>001194</t>
        </is>
      </c>
      <c r="D587" s="4" t="n">
        <v>45581</v>
      </c>
      <c r="E587" s="2" t="inlineStr">
        <is>
          <t>14:16</t>
        </is>
      </c>
      <c r="F587" s="5" t="n">
        <v>82.33</v>
      </c>
      <c r="G587" s="5" t="n"/>
      <c r="H587" s="5" t="n"/>
      <c r="I587" s="5" t="n"/>
      <c r="J587" s="5" t="n">
        <v>16.47</v>
      </c>
      <c r="K587" s="5" t="n"/>
      <c r="L587" s="5" t="n"/>
      <c r="M587" s="5" t="n"/>
      <c r="N587" s="5" t="n"/>
      <c r="O587" s="5" t="n">
        <v>98.8</v>
      </c>
      <c r="P587" s="5" t="n"/>
      <c r="Q587" s="5" t="n">
        <v>98.8</v>
      </c>
      <c r="R587" s="5" t="n"/>
      <c r="S587" s="5">
        <f>F587*20%</f>
        <v/>
      </c>
      <c r="T587" s="5">
        <f>J587-S587</f>
        <v/>
      </c>
      <c r="U587" s="5">
        <f>F587+J587</f>
        <v/>
      </c>
      <c r="V587" s="5">
        <f>O587-U587</f>
        <v/>
      </c>
      <c r="W587" s="5">
        <f>O587-(P587+R587)</f>
        <v/>
      </c>
      <c r="X587" s="5">
        <f>O587-(P587+Q587+R587)</f>
        <v/>
      </c>
    </row>
    <row r="588">
      <c r="A588" s="2" t="inlineStr">
        <is>
          <t>EJ021124.TXT</t>
        </is>
      </c>
      <c r="B588" s="3" t="inlineStr">
        <is>
          <t>001868</t>
        </is>
      </c>
      <c r="C588" s="3" t="inlineStr">
        <is>
          <t>001195</t>
        </is>
      </c>
      <c r="D588" s="4" t="n">
        <v>45583</v>
      </c>
      <c r="E588" s="2" t="inlineStr">
        <is>
          <t>15:57</t>
        </is>
      </c>
      <c r="F588" s="5" t="n">
        <v>3200</v>
      </c>
      <c r="G588" s="5" t="n"/>
      <c r="H588" s="5" t="n"/>
      <c r="I588" s="5" t="n"/>
      <c r="J588" s="5" t="n">
        <v>640</v>
      </c>
      <c r="K588" s="5" t="n"/>
      <c r="L588" s="5" t="n"/>
      <c r="M588" s="5" t="n"/>
      <c r="N588" s="5" t="n"/>
      <c r="O588" s="5" t="n">
        <v>3840</v>
      </c>
      <c r="P588" s="5" t="n">
        <v>3840</v>
      </c>
      <c r="Q588" s="5" t="n"/>
      <c r="R588" s="5" t="n"/>
      <c r="S588" s="5">
        <f>F588*20%</f>
        <v/>
      </c>
      <c r="T588" s="5">
        <f>J588-S588</f>
        <v/>
      </c>
      <c r="U588" s="5">
        <f>F588+J588</f>
        <v/>
      </c>
      <c r="V588" s="5">
        <f>O588-U588</f>
        <v/>
      </c>
      <c r="W588" s="5">
        <f>O588-(P588+R588)</f>
        <v/>
      </c>
      <c r="X588" s="5">
        <f>O588-(P588+Q588+R588)</f>
        <v/>
      </c>
    </row>
    <row r="589">
      <c r="A589" s="2" t="inlineStr">
        <is>
          <t>EJ021124.TXT</t>
        </is>
      </c>
      <c r="B589" s="3" t="inlineStr">
        <is>
          <t>001869</t>
        </is>
      </c>
      <c r="C589" s="3" t="inlineStr">
        <is>
          <t>001196</t>
        </is>
      </c>
      <c r="D589" s="4" t="n">
        <v>45587</v>
      </c>
      <c r="E589" s="2" t="inlineStr">
        <is>
          <t>13:53</t>
        </is>
      </c>
      <c r="F589" s="5" t="n">
        <v>274.17</v>
      </c>
      <c r="G589" s="5" t="n"/>
      <c r="H589" s="5" t="n"/>
      <c r="I589" s="5" t="n"/>
      <c r="J589" s="5" t="n">
        <v>54.83</v>
      </c>
      <c r="K589" s="5" t="n"/>
      <c r="L589" s="5" t="n"/>
      <c r="M589" s="5" t="n"/>
      <c r="N589" s="5" t="n"/>
      <c r="O589" s="5" t="n">
        <v>329</v>
      </c>
      <c r="P589" s="5" t="n">
        <v>329</v>
      </c>
      <c r="Q589" s="5" t="n"/>
      <c r="R589" s="5" t="n"/>
      <c r="S589" s="5">
        <f>F589*20%</f>
        <v/>
      </c>
      <c r="T589" s="5">
        <f>J589-S589</f>
        <v/>
      </c>
      <c r="U589" s="5">
        <f>F589+J589</f>
        <v/>
      </c>
      <c r="V589" s="5">
        <f>O589-U589</f>
        <v/>
      </c>
      <c r="W589" s="5">
        <f>O589-(P589+R589)</f>
        <v/>
      </c>
      <c r="X589" s="5">
        <f>O589-(P589+Q589+R589)</f>
        <v/>
      </c>
    </row>
    <row r="590">
      <c r="A590" s="2" t="inlineStr">
        <is>
          <t>EJ021124.TXT</t>
        </is>
      </c>
      <c r="B590" s="3" t="inlineStr">
        <is>
          <t>001870</t>
        </is>
      </c>
      <c r="C590" s="3" t="inlineStr">
        <is>
          <t>001197</t>
        </is>
      </c>
      <c r="D590" s="4" t="n">
        <v>45587</v>
      </c>
      <c r="E590" s="2" t="inlineStr">
        <is>
          <t>14:42</t>
        </is>
      </c>
      <c r="F590" s="5" t="n">
        <v>175</v>
      </c>
      <c r="G590" s="5" t="n"/>
      <c r="H590" s="5" t="n"/>
      <c r="I590" s="5" t="n"/>
      <c r="J590" s="5" t="n">
        <v>35</v>
      </c>
      <c r="K590" s="5" t="n"/>
      <c r="L590" s="5" t="n"/>
      <c r="M590" s="5" t="n"/>
      <c r="N590" s="5" t="n"/>
      <c r="O590" s="5" t="n">
        <v>210</v>
      </c>
      <c r="P590" s="5" t="n"/>
      <c r="Q590" s="5" t="n">
        <v>210</v>
      </c>
      <c r="R590" s="5" t="n"/>
      <c r="S590" s="5">
        <f>F590*20%</f>
        <v/>
      </c>
      <c r="T590" s="5">
        <f>J590-S590</f>
        <v/>
      </c>
      <c r="U590" s="5">
        <f>F590+J590</f>
        <v/>
      </c>
      <c r="V590" s="5">
        <f>O590-U590</f>
        <v/>
      </c>
      <c r="W590" s="5">
        <f>O590-(P590+R590)</f>
        <v/>
      </c>
      <c r="X590" s="5">
        <f>O590-(P590+Q590+R590)</f>
        <v/>
      </c>
    </row>
    <row r="591">
      <c r="A591" s="2" t="inlineStr">
        <is>
          <t>EJ021124.TXT</t>
        </is>
      </c>
      <c r="B591" s="3" t="inlineStr">
        <is>
          <t>001871</t>
        </is>
      </c>
      <c r="C591" s="3" t="inlineStr">
        <is>
          <t>001198</t>
        </is>
      </c>
      <c r="D591" s="4" t="n">
        <v>45593</v>
      </c>
      <c r="E591" s="2" t="inlineStr">
        <is>
          <t>11:38</t>
        </is>
      </c>
      <c r="F591" s="5" t="n">
        <v>274.17</v>
      </c>
      <c r="G591" s="5" t="n"/>
      <c r="H591" s="5" t="n"/>
      <c r="I591" s="5" t="n"/>
      <c r="J591" s="5" t="n">
        <v>54.83</v>
      </c>
      <c r="K591" s="5" t="n"/>
      <c r="L591" s="5" t="n"/>
      <c r="M591" s="5" t="n"/>
      <c r="N591" s="5" t="n"/>
      <c r="O591" s="5" t="n">
        <v>329</v>
      </c>
      <c r="P591" s="5" t="n"/>
      <c r="Q591" s="5" t="n">
        <v>329</v>
      </c>
      <c r="R591" s="5" t="n"/>
      <c r="S591" s="5">
        <f>F591*20%</f>
        <v/>
      </c>
      <c r="T591" s="5">
        <f>J591-S591</f>
        <v/>
      </c>
      <c r="U591" s="5">
        <f>F591+J591</f>
        <v/>
      </c>
      <c r="V591" s="5">
        <f>O591-U591</f>
        <v/>
      </c>
      <c r="W591" s="5">
        <f>O591-(P591+R591)</f>
        <v/>
      </c>
      <c r="X591" s="5">
        <f>O591-(P591+Q591+R591)</f>
        <v/>
      </c>
    </row>
    <row r="592">
      <c r="A592" s="2" t="inlineStr">
        <is>
          <t>EJ021124.TXT</t>
        </is>
      </c>
      <c r="B592" s="3" t="inlineStr">
        <is>
          <t>001872</t>
        </is>
      </c>
      <c r="C592" s="3" t="inlineStr">
        <is>
          <t>001199</t>
        </is>
      </c>
      <c r="D592" s="4" t="n">
        <v>45594</v>
      </c>
      <c r="E592" s="2" t="inlineStr">
        <is>
          <t>16:48</t>
        </is>
      </c>
      <c r="F592" s="5" t="n">
        <v>2298.33</v>
      </c>
      <c r="G592" s="5" t="n"/>
      <c r="H592" s="5" t="n"/>
      <c r="I592" s="5" t="n"/>
      <c r="J592" s="5" t="n">
        <v>459.67</v>
      </c>
      <c r="K592" s="5" t="n"/>
      <c r="L592" s="5" t="n"/>
      <c r="M592" s="5" t="n"/>
      <c r="N592" s="5" t="n"/>
      <c r="O592" s="5" t="n">
        <v>2758</v>
      </c>
      <c r="P592" s="5" t="n">
        <v>2758</v>
      </c>
      <c r="Q592" s="5" t="n"/>
      <c r="R592" s="5" t="n"/>
      <c r="S592" s="5">
        <f>F592*20%</f>
        <v/>
      </c>
      <c r="T592" s="5">
        <f>J592-S592</f>
        <v/>
      </c>
      <c r="U592" s="5">
        <f>F592+J592</f>
        <v/>
      </c>
      <c r="V592" s="5">
        <f>O592-U592</f>
        <v/>
      </c>
      <c r="W592" s="5">
        <f>O592-(P592+R592)</f>
        <v/>
      </c>
      <c r="X592" s="5">
        <f>O592-(P592+Q592+R592)</f>
        <v/>
      </c>
    </row>
    <row r="593">
      <c r="A593" s="2" t="inlineStr">
        <is>
          <t>EJ021124.TXT</t>
        </is>
      </c>
      <c r="B593" s="3" t="inlineStr">
        <is>
          <t>001873</t>
        </is>
      </c>
      <c r="C593" s="3" t="inlineStr">
        <is>
          <t>001200</t>
        </is>
      </c>
      <c r="D593" s="4" t="n">
        <v>45596</v>
      </c>
      <c r="E593" s="2" t="inlineStr">
        <is>
          <t>12:57</t>
        </is>
      </c>
      <c r="F593" s="5" t="n">
        <v>124.17</v>
      </c>
      <c r="G593" s="5" t="n"/>
      <c r="H593" s="5" t="n"/>
      <c r="I593" s="5" t="n"/>
      <c r="J593" s="5" t="n">
        <v>24.83</v>
      </c>
      <c r="K593" s="5" t="n"/>
      <c r="L593" s="5" t="n"/>
      <c r="M593" s="5" t="n"/>
      <c r="N593" s="5" t="n"/>
      <c r="O593" s="5" t="n">
        <v>149</v>
      </c>
      <c r="P593" s="5" t="n">
        <v>149</v>
      </c>
      <c r="Q593" s="5" t="n"/>
      <c r="R593" s="5" t="n"/>
      <c r="S593" s="5">
        <f>F593*20%</f>
        <v/>
      </c>
      <c r="T593" s="5">
        <f>J593-S593</f>
        <v/>
      </c>
      <c r="U593" s="5">
        <f>F593+J593</f>
        <v/>
      </c>
      <c r="V593" s="5">
        <f>O593-U593</f>
        <v/>
      </c>
      <c r="W593" s="5">
        <f>O593-(P593+R593)</f>
        <v/>
      </c>
      <c r="X593" s="5">
        <f>O593-(P593+Q593+R593)</f>
        <v/>
      </c>
    </row>
    <row r="594">
      <c r="A594" s="2" t="inlineStr">
        <is>
          <t>EJ021124.TXT</t>
        </is>
      </c>
      <c r="B594" s="3" t="inlineStr">
        <is>
          <t>001874</t>
        </is>
      </c>
      <c r="C594" s="3" t="inlineStr">
        <is>
          <t>001201</t>
        </is>
      </c>
      <c r="D594" s="4" t="n">
        <v>45598</v>
      </c>
      <c r="E594" s="2" t="inlineStr">
        <is>
          <t>14:11</t>
        </is>
      </c>
      <c r="F594" s="5" t="n">
        <v>830</v>
      </c>
      <c r="G594" s="5" t="n"/>
      <c r="H594" s="5" t="n"/>
      <c r="I594" s="5" t="n"/>
      <c r="J594" s="5" t="n">
        <v>166</v>
      </c>
      <c r="K594" s="5" t="n"/>
      <c r="L594" s="5" t="n"/>
      <c r="M594" s="5" t="n"/>
      <c r="N594" s="5" t="n"/>
      <c r="O594" s="5" t="n">
        <v>996</v>
      </c>
      <c r="P594" s="5" t="n"/>
      <c r="Q594" s="5" t="n">
        <v>996</v>
      </c>
      <c r="R594" s="5" t="n"/>
      <c r="S594" s="5">
        <f>F594*20%</f>
        <v/>
      </c>
      <c r="T594" s="5">
        <f>J594-S594</f>
        <v/>
      </c>
      <c r="U594" s="5">
        <f>F594+J594</f>
        <v/>
      </c>
      <c r="V594" s="5">
        <f>O594-U594</f>
        <v/>
      </c>
      <c r="W594" s="5">
        <f>O594-(P594+R594)</f>
        <v/>
      </c>
      <c r="X594" s="5">
        <f>O594-(P594+Q594+R594)</f>
        <v/>
      </c>
    </row>
    <row r="595">
      <c r="A595" s="2" t="inlineStr">
        <is>
          <t>EJ021224.TXT</t>
        </is>
      </c>
      <c r="B595" s="3" t="inlineStr">
        <is>
          <t>001881</t>
        </is>
      </c>
      <c r="C595" s="3" t="inlineStr">
        <is>
          <t>001202</t>
        </is>
      </c>
      <c r="D595" s="4" t="n">
        <v>45609</v>
      </c>
      <c r="E595" s="2" t="inlineStr">
        <is>
          <t>12:46</t>
        </is>
      </c>
      <c r="F595" s="5" t="n">
        <v>1096.67</v>
      </c>
      <c r="G595" s="5" t="n"/>
      <c r="H595" s="5" t="n"/>
      <c r="I595" s="5" t="n"/>
      <c r="J595" s="5" t="n">
        <v>219.33</v>
      </c>
      <c r="K595" s="5" t="n"/>
      <c r="L595" s="5" t="n"/>
      <c r="M595" s="5" t="n"/>
      <c r="N595" s="5" t="n"/>
      <c r="O595" s="5" t="n">
        <v>1316</v>
      </c>
      <c r="P595" s="5" t="n">
        <v>1316</v>
      </c>
      <c r="Q595" s="5" t="n"/>
      <c r="R595" s="5" t="n"/>
      <c r="S595" s="5">
        <f>F595*20%</f>
        <v/>
      </c>
      <c r="T595" s="5">
        <f>J595-S595</f>
        <v/>
      </c>
      <c r="U595" s="5">
        <f>F595+J595</f>
        <v/>
      </c>
      <c r="V595" s="5">
        <f>O595-U595</f>
        <v/>
      </c>
      <c r="W595" s="5">
        <f>O595-(P595+R595)</f>
        <v/>
      </c>
      <c r="X595" s="5">
        <f>O595-(P595+Q595+R595)</f>
        <v/>
      </c>
    </row>
    <row r="596">
      <c r="A596" s="2" t="inlineStr">
        <is>
          <t>EJ021224.TXT</t>
        </is>
      </c>
      <c r="B596" s="3" t="inlineStr">
        <is>
          <t>001885</t>
        </is>
      </c>
      <c r="C596" s="3" t="inlineStr">
        <is>
          <t>001203</t>
        </is>
      </c>
      <c r="D596" s="4" t="n">
        <v>45617</v>
      </c>
      <c r="E596" s="2" t="inlineStr">
        <is>
          <t>13:23</t>
        </is>
      </c>
      <c r="F596" s="5" t="n">
        <v>73.33</v>
      </c>
      <c r="G596" s="5" t="n"/>
      <c r="H596" s="5" t="n"/>
      <c r="I596" s="5" t="n"/>
      <c r="J596" s="5" t="n">
        <v>14.67</v>
      </c>
      <c r="K596" s="5" t="n"/>
      <c r="L596" s="5" t="n"/>
      <c r="M596" s="5" t="n"/>
      <c r="N596" s="5" t="n"/>
      <c r="O596" s="5" t="n">
        <v>88</v>
      </c>
      <c r="P596" s="5" t="n">
        <v>88</v>
      </c>
      <c r="Q596" s="5" t="n"/>
      <c r="R596" s="5" t="n"/>
      <c r="S596" s="5">
        <f>F596*20%</f>
        <v/>
      </c>
      <c r="T596" s="5">
        <f>J596-S596</f>
        <v/>
      </c>
      <c r="U596" s="5">
        <f>F596+J596</f>
        <v/>
      </c>
      <c r="V596" s="5">
        <f>O596-U596</f>
        <v/>
      </c>
      <c r="W596" s="5">
        <f>O596-(P596+R596)</f>
        <v/>
      </c>
      <c r="X596" s="5">
        <f>O596-(P596+Q596+R596)</f>
        <v/>
      </c>
    </row>
    <row r="597">
      <c r="A597" s="2" t="inlineStr">
        <is>
          <t>EJ021224.TXT</t>
        </is>
      </c>
      <c r="B597" s="3" t="inlineStr">
        <is>
          <t>001886</t>
        </is>
      </c>
      <c r="C597" s="3" t="inlineStr">
        <is>
          <t>001204</t>
        </is>
      </c>
      <c r="D597" s="4" t="n">
        <v>45617</v>
      </c>
      <c r="E597" s="2" t="inlineStr">
        <is>
          <t>13:33</t>
        </is>
      </c>
      <c r="F597" s="5" t="n">
        <v>199.17</v>
      </c>
      <c r="G597" s="5" t="n"/>
      <c r="H597" s="5" t="n"/>
      <c r="I597" s="5" t="n"/>
      <c r="J597" s="5" t="n">
        <v>39.83</v>
      </c>
      <c r="K597" s="5" t="n"/>
      <c r="L597" s="5" t="n"/>
      <c r="M597" s="5" t="n"/>
      <c r="N597" s="5" t="n"/>
      <c r="O597" s="5" t="n">
        <v>239</v>
      </c>
      <c r="P597" s="5" t="n">
        <v>239</v>
      </c>
      <c r="Q597" s="5" t="n"/>
      <c r="R597" s="5" t="n"/>
      <c r="S597" s="5">
        <f>F597*20%</f>
        <v/>
      </c>
      <c r="T597" s="5">
        <f>J597-S597</f>
        <v/>
      </c>
      <c r="U597" s="5">
        <f>F597+J597</f>
        <v/>
      </c>
      <c r="V597" s="5">
        <f>O597-U597</f>
        <v/>
      </c>
      <c r="W597" s="5">
        <f>O597-(P597+R597)</f>
        <v/>
      </c>
      <c r="X597" s="5">
        <f>O597-(P597+Q597+R597)</f>
        <v/>
      </c>
    </row>
    <row r="598">
      <c r="A598" s="2" t="inlineStr">
        <is>
          <t>EJ021224.TXT</t>
        </is>
      </c>
      <c r="B598" s="3" t="inlineStr">
        <is>
          <t>001887</t>
        </is>
      </c>
      <c r="C598" s="3" t="inlineStr">
        <is>
          <t>001205</t>
        </is>
      </c>
      <c r="D598" s="4" t="n">
        <v>45618</v>
      </c>
      <c r="E598" s="2" t="inlineStr">
        <is>
          <t>13:01</t>
        </is>
      </c>
      <c r="F598" s="5" t="n">
        <v>57.42</v>
      </c>
      <c r="G598" s="5" t="n"/>
      <c r="H598" s="5" t="n"/>
      <c r="I598" s="5" t="n"/>
      <c r="J598" s="5" t="n">
        <v>11.48</v>
      </c>
      <c r="K598" s="5" t="n"/>
      <c r="L598" s="5" t="n"/>
      <c r="M598" s="5" t="n"/>
      <c r="N598" s="5" t="n"/>
      <c r="O598" s="5" t="n">
        <v>68.90000000000001</v>
      </c>
      <c r="P598" s="5" t="n">
        <v>68.90000000000001</v>
      </c>
      <c r="Q598" s="5" t="n"/>
      <c r="R598" s="5" t="n"/>
      <c r="S598" s="5">
        <f>F598*20%</f>
        <v/>
      </c>
      <c r="T598" s="5">
        <f>J598-S598</f>
        <v/>
      </c>
      <c r="U598" s="5">
        <f>F598+J598</f>
        <v/>
      </c>
      <c r="V598" s="5">
        <f>O598-U598</f>
        <v/>
      </c>
      <c r="W598" s="5">
        <f>O598-(P598+R598)</f>
        <v/>
      </c>
      <c r="X598" s="5">
        <f>O598-(P598+Q598+R598)</f>
        <v/>
      </c>
    </row>
    <row r="599">
      <c r="A599" s="2" t="inlineStr">
        <is>
          <t>EJ021224.TXT</t>
        </is>
      </c>
      <c r="B599" s="3" t="inlineStr">
        <is>
          <t>001888</t>
        </is>
      </c>
      <c r="C599" s="3" t="inlineStr">
        <is>
          <t>001206</t>
        </is>
      </c>
      <c r="D599" s="4" t="n">
        <v>45618</v>
      </c>
      <c r="E599" s="2" t="inlineStr">
        <is>
          <t>15:52</t>
        </is>
      </c>
      <c r="F599" s="5" t="n">
        <v>548.33</v>
      </c>
      <c r="G599" s="5" t="n"/>
      <c r="H599" s="5" t="n"/>
      <c r="I599" s="5" t="n"/>
      <c r="J599" s="5" t="n">
        <v>109.67</v>
      </c>
      <c r="K599" s="5" t="n"/>
      <c r="L599" s="5" t="n"/>
      <c r="M599" s="5" t="n"/>
      <c r="N599" s="5" t="n"/>
      <c r="O599" s="5" t="n">
        <v>658</v>
      </c>
      <c r="P599" s="5" t="n">
        <v>658</v>
      </c>
      <c r="Q599" s="5" t="n"/>
      <c r="R599" s="5" t="n"/>
      <c r="S599" s="5">
        <f>F599*20%</f>
        <v/>
      </c>
      <c r="T599" s="5">
        <f>J599-S599</f>
        <v/>
      </c>
      <c r="U599" s="5">
        <f>F599+J599</f>
        <v/>
      </c>
      <c r="V599" s="5">
        <f>O599-U599</f>
        <v/>
      </c>
      <c r="W599" s="5">
        <f>O599-(P599+R599)</f>
        <v/>
      </c>
      <c r="X599" s="5">
        <f>O599-(P599+Q599+R599)</f>
        <v/>
      </c>
    </row>
    <row r="600">
      <c r="A600" s="2" t="inlineStr">
        <is>
          <t>EJ021224.TXT</t>
        </is>
      </c>
      <c r="B600" s="3" t="inlineStr">
        <is>
          <t>001889</t>
        </is>
      </c>
      <c r="C600" s="3" t="inlineStr">
        <is>
          <t>001207</t>
        </is>
      </c>
      <c r="D600" s="4" t="n">
        <v>45622</v>
      </c>
      <c r="E600" s="2" t="inlineStr">
        <is>
          <t>10:35</t>
        </is>
      </c>
      <c r="F600" s="5" t="n">
        <v>1096.67</v>
      </c>
      <c r="G600" s="5" t="n"/>
      <c r="H600" s="5" t="n"/>
      <c r="I600" s="5" t="n"/>
      <c r="J600" s="5" t="n">
        <v>219.33</v>
      </c>
      <c r="K600" s="5" t="n"/>
      <c r="L600" s="5" t="n"/>
      <c r="M600" s="5" t="n"/>
      <c r="N600" s="5" t="n"/>
      <c r="O600" s="5" t="n">
        <v>1316</v>
      </c>
      <c r="P600" s="5" t="n">
        <v>1316</v>
      </c>
      <c r="Q600" s="5" t="n"/>
      <c r="R600" s="5" t="n"/>
      <c r="S600" s="5">
        <f>F600*20%</f>
        <v/>
      </c>
      <c r="T600" s="5">
        <f>J600-S600</f>
        <v/>
      </c>
      <c r="U600" s="5">
        <f>F600+J600</f>
        <v/>
      </c>
      <c r="V600" s="5">
        <f>O600-U600</f>
        <v/>
      </c>
      <c r="W600" s="5">
        <f>O600-(P600+R600)</f>
        <v/>
      </c>
      <c r="X600" s="5">
        <f>O600-(P600+Q600+R600)</f>
        <v/>
      </c>
    </row>
    <row r="601">
      <c r="A601" s="2" t="inlineStr">
        <is>
          <t>EJ021224.TXT</t>
        </is>
      </c>
      <c r="B601" s="3" t="inlineStr">
        <is>
          <t>001891</t>
        </is>
      </c>
      <c r="C601" s="3" t="inlineStr">
        <is>
          <t>001208</t>
        </is>
      </c>
      <c r="D601" s="4" t="n">
        <v>45624</v>
      </c>
      <c r="E601" s="2" t="inlineStr">
        <is>
          <t>14:31</t>
        </is>
      </c>
      <c r="F601" s="5" t="n">
        <v>1096.67</v>
      </c>
      <c r="G601" s="5" t="n"/>
      <c r="H601" s="5" t="n"/>
      <c r="I601" s="5" t="n"/>
      <c r="J601" s="5" t="n">
        <v>219.33</v>
      </c>
      <c r="K601" s="5" t="n"/>
      <c r="L601" s="5" t="n"/>
      <c r="M601" s="5" t="n"/>
      <c r="N601" s="5" t="n"/>
      <c r="O601" s="5" t="n">
        <v>1316</v>
      </c>
      <c r="P601" s="5" t="n">
        <v>1316</v>
      </c>
      <c r="Q601" s="5" t="n"/>
      <c r="R601" s="5" t="n"/>
      <c r="S601" s="5">
        <f>F601*20%</f>
        <v/>
      </c>
      <c r="T601" s="5">
        <f>J601-S601</f>
        <v/>
      </c>
      <c r="U601" s="5">
        <f>F601+J601</f>
        <v/>
      </c>
      <c r="V601" s="5">
        <f>O601-U601</f>
        <v/>
      </c>
      <c r="W601" s="5">
        <f>O601-(P601+R601)</f>
        <v/>
      </c>
      <c r="X601" s="5">
        <f>O601-(P601+Q601+R601)</f>
        <v/>
      </c>
    </row>
    <row r="602">
      <c r="A602" s="2" t="inlineStr">
        <is>
          <t>EJ311224.TXT</t>
        </is>
      </c>
      <c r="B602" s="3" t="inlineStr">
        <is>
          <t>001900</t>
        </is>
      </c>
      <c r="C602" s="3" t="inlineStr">
        <is>
          <t>001209</t>
        </is>
      </c>
      <c r="D602" s="4" t="n">
        <v>45629</v>
      </c>
      <c r="E602" s="2" t="inlineStr">
        <is>
          <t>14:03</t>
        </is>
      </c>
      <c r="F602" s="5" t="n">
        <v>531.67</v>
      </c>
      <c r="G602" s="5" t="n"/>
      <c r="H602" s="5" t="n"/>
      <c r="I602" s="5" t="n"/>
      <c r="J602" s="5" t="n">
        <v>106.33</v>
      </c>
      <c r="K602" s="5" t="n"/>
      <c r="L602" s="5" t="n"/>
      <c r="M602" s="5" t="n"/>
      <c r="N602" s="5" t="n"/>
      <c r="O602" s="5" t="n">
        <v>638</v>
      </c>
      <c r="P602" s="5" t="n">
        <v>638</v>
      </c>
      <c r="Q602" s="5" t="n"/>
      <c r="R602" s="5" t="n"/>
      <c r="S602" s="5">
        <f>F602*20%</f>
        <v/>
      </c>
      <c r="T602" s="5">
        <f>J602-S602</f>
        <v/>
      </c>
      <c r="U602" s="5">
        <f>F602+J602</f>
        <v/>
      </c>
      <c r="V602" s="5">
        <f>O602-U602</f>
        <v/>
      </c>
      <c r="W602" s="5">
        <f>O602-(P602+R602)</f>
        <v/>
      </c>
      <c r="X602" s="5">
        <f>O602-(P602+Q602+R602)</f>
        <v/>
      </c>
    </row>
    <row r="603">
      <c r="A603" s="2" t="inlineStr">
        <is>
          <t>EJ311224.TXT</t>
        </is>
      </c>
      <c r="B603" s="3" t="inlineStr">
        <is>
          <t>001901</t>
        </is>
      </c>
      <c r="C603" s="3" t="inlineStr">
        <is>
          <t>001210</t>
        </is>
      </c>
      <c r="D603" s="4" t="n">
        <v>45631</v>
      </c>
      <c r="E603" s="2" t="inlineStr">
        <is>
          <t>10:42</t>
        </is>
      </c>
      <c r="F603" s="5" t="n">
        <v>531.67</v>
      </c>
      <c r="G603" s="5" t="n"/>
      <c r="H603" s="5" t="n"/>
      <c r="I603" s="5" t="n"/>
      <c r="J603" s="5" t="n">
        <v>106.33</v>
      </c>
      <c r="K603" s="5" t="n"/>
      <c r="L603" s="5" t="n"/>
      <c r="M603" s="5" t="n"/>
      <c r="N603" s="5" t="n"/>
      <c r="O603" s="5" t="n">
        <v>638</v>
      </c>
      <c r="P603" s="5" t="n">
        <v>638</v>
      </c>
      <c r="Q603" s="5" t="n"/>
      <c r="R603" s="5" t="n"/>
      <c r="S603" s="5">
        <f>F603*20%</f>
        <v/>
      </c>
      <c r="T603" s="5">
        <f>J603-S603</f>
        <v/>
      </c>
      <c r="U603" s="5">
        <f>F603+J603</f>
        <v/>
      </c>
      <c r="V603" s="5">
        <f>O603-U603</f>
        <v/>
      </c>
      <c r="W603" s="5">
        <f>O603-(P603+R603)</f>
        <v/>
      </c>
      <c r="X603" s="5">
        <f>O603-(P603+Q603+R603)</f>
        <v/>
      </c>
    </row>
    <row r="604">
      <c r="A604" s="2" t="inlineStr">
        <is>
          <t>EJ311224.TXT</t>
        </is>
      </c>
      <c r="B604" s="3" t="inlineStr">
        <is>
          <t>001902</t>
        </is>
      </c>
      <c r="C604" s="3" t="inlineStr">
        <is>
          <t>001211</t>
        </is>
      </c>
      <c r="D604" s="4" t="n">
        <v>45631</v>
      </c>
      <c r="E604" s="2" t="inlineStr">
        <is>
          <t>13:27</t>
        </is>
      </c>
      <c r="F604" s="5" t="n">
        <v>175</v>
      </c>
      <c r="G604" s="5" t="n"/>
      <c r="H604" s="5" t="n"/>
      <c r="I604" s="5" t="n"/>
      <c r="J604" s="5" t="n">
        <v>35</v>
      </c>
      <c r="K604" s="5" t="n"/>
      <c r="L604" s="5" t="n"/>
      <c r="M604" s="5" t="n"/>
      <c r="N604" s="5" t="n"/>
      <c r="O604" s="5" t="n">
        <v>210</v>
      </c>
      <c r="P604" s="5" t="n">
        <v>210</v>
      </c>
      <c r="Q604" s="5" t="n"/>
      <c r="R604" s="5" t="n"/>
      <c r="S604" s="5">
        <f>F604*20%</f>
        <v/>
      </c>
      <c r="T604" s="5">
        <f>J604-S604</f>
        <v/>
      </c>
      <c r="U604" s="5">
        <f>F604+J604</f>
        <v/>
      </c>
      <c r="V604" s="5">
        <f>O604-U604</f>
        <v/>
      </c>
      <c r="W604" s="5">
        <f>O604-(P604+R604)</f>
        <v/>
      </c>
      <c r="X604" s="5">
        <f>O604-(P604+Q604+R604)</f>
        <v/>
      </c>
    </row>
    <row r="605">
      <c r="A605" s="2" t="inlineStr">
        <is>
          <t>EJ311224.TXT</t>
        </is>
      </c>
      <c r="B605" s="3" t="inlineStr">
        <is>
          <t>001903</t>
        </is>
      </c>
      <c r="C605" s="3" t="inlineStr">
        <is>
          <t>001212</t>
        </is>
      </c>
      <c r="D605" s="4" t="n">
        <v>45632</v>
      </c>
      <c r="E605" s="2" t="inlineStr">
        <is>
          <t>14:23</t>
        </is>
      </c>
      <c r="F605" s="5" t="n">
        <v>548.33</v>
      </c>
      <c r="G605" s="5" t="n"/>
      <c r="H605" s="5" t="n"/>
      <c r="I605" s="5" t="n"/>
      <c r="J605" s="5" t="n">
        <v>109.67</v>
      </c>
      <c r="K605" s="5" t="n"/>
      <c r="L605" s="5" t="n"/>
      <c r="M605" s="5" t="n"/>
      <c r="N605" s="5" t="n"/>
      <c r="O605" s="5" t="n">
        <v>658</v>
      </c>
      <c r="P605" s="5" t="n">
        <v>658</v>
      </c>
      <c r="Q605" s="5" t="n"/>
      <c r="R605" s="5" t="n"/>
      <c r="S605" s="5">
        <f>F605*20%</f>
        <v/>
      </c>
      <c r="T605" s="5">
        <f>J605-S605</f>
        <v/>
      </c>
      <c r="U605" s="5">
        <f>F605+J605</f>
        <v/>
      </c>
      <c r="V605" s="5">
        <f>O605-U605</f>
        <v/>
      </c>
      <c r="W605" s="5">
        <f>O605-(P605+R605)</f>
        <v/>
      </c>
      <c r="X605" s="5">
        <f>O605-(P605+Q605+R605)</f>
        <v/>
      </c>
    </row>
    <row r="606">
      <c r="A606" s="2" t="inlineStr">
        <is>
          <t>EJ311224.TXT</t>
        </is>
      </c>
      <c r="B606" s="3" t="inlineStr">
        <is>
          <t>001904</t>
        </is>
      </c>
      <c r="C606" s="3" t="inlineStr">
        <is>
          <t>001213</t>
        </is>
      </c>
      <c r="D606" s="4" t="n">
        <v>45632</v>
      </c>
      <c r="E606" s="2" t="inlineStr">
        <is>
          <t>15:51</t>
        </is>
      </c>
      <c r="F606" s="5" t="n">
        <v>199.17</v>
      </c>
      <c r="G606" s="5" t="n"/>
      <c r="H606" s="5" t="n"/>
      <c r="I606" s="5" t="n"/>
      <c r="J606" s="5" t="n">
        <v>39.83</v>
      </c>
      <c r="K606" s="5" t="n"/>
      <c r="L606" s="5" t="n"/>
      <c r="M606" s="5" t="n"/>
      <c r="N606" s="5" t="n"/>
      <c r="O606" s="5" t="n">
        <v>239</v>
      </c>
      <c r="P606" s="5" t="n">
        <v>239</v>
      </c>
      <c r="Q606" s="5" t="n"/>
      <c r="R606" s="5" t="n"/>
      <c r="S606" s="5">
        <f>F606*20%</f>
        <v/>
      </c>
      <c r="T606" s="5">
        <f>J606-S606</f>
        <v/>
      </c>
      <c r="U606" s="5">
        <f>F606+J606</f>
        <v/>
      </c>
      <c r="V606" s="5">
        <f>O606-U606</f>
        <v/>
      </c>
      <c r="W606" s="5">
        <f>O606-(P606+R606)</f>
        <v/>
      </c>
      <c r="X606" s="5">
        <f>O606-(P606+Q606+R606)</f>
        <v/>
      </c>
    </row>
    <row r="607">
      <c r="A607" s="2" t="inlineStr">
        <is>
          <t>EJ311224.TXT</t>
        </is>
      </c>
      <c r="B607" s="3" t="inlineStr">
        <is>
          <t>001905</t>
        </is>
      </c>
      <c r="C607" s="3" t="inlineStr">
        <is>
          <t>001214</t>
        </is>
      </c>
      <c r="D607" s="4" t="n">
        <v>45632</v>
      </c>
      <c r="E607" s="2" t="inlineStr">
        <is>
          <t>17:09</t>
        </is>
      </c>
      <c r="F607" s="5" t="n">
        <v>548.33</v>
      </c>
      <c r="G607" s="5" t="n"/>
      <c r="H607" s="5" t="n"/>
      <c r="I607" s="5" t="n"/>
      <c r="J607" s="5" t="n">
        <v>109.67</v>
      </c>
      <c r="K607" s="5" t="n"/>
      <c r="L607" s="5" t="n"/>
      <c r="M607" s="5" t="n"/>
      <c r="N607" s="5" t="n"/>
      <c r="O607" s="5" t="n">
        <v>658</v>
      </c>
      <c r="P607" s="5" t="n"/>
      <c r="Q607" s="5" t="n">
        <v>658</v>
      </c>
      <c r="R607" s="5" t="n"/>
      <c r="S607" s="5">
        <f>F607*20%</f>
        <v/>
      </c>
      <c r="T607" s="5">
        <f>J607-S607</f>
        <v/>
      </c>
      <c r="U607" s="5">
        <f>F607+J607</f>
        <v/>
      </c>
      <c r="V607" s="5">
        <f>O607-U607</f>
        <v/>
      </c>
      <c r="W607" s="5">
        <f>O607-(P607+R607)</f>
        <v/>
      </c>
      <c r="X607" s="5">
        <f>O607-(P607+Q607+R607)</f>
        <v/>
      </c>
    </row>
    <row r="608">
      <c r="A608" s="2" t="inlineStr">
        <is>
          <t>EJ311224.TXT</t>
        </is>
      </c>
      <c r="B608" s="3" t="inlineStr">
        <is>
          <t>001906</t>
        </is>
      </c>
      <c r="C608" s="3" t="inlineStr">
        <is>
          <t>001215</t>
        </is>
      </c>
      <c r="D608" s="4" t="n">
        <v>45643</v>
      </c>
      <c r="E608" s="2" t="inlineStr">
        <is>
          <t>10:06</t>
        </is>
      </c>
      <c r="F608" s="5" t="n">
        <v>548.33</v>
      </c>
      <c r="G608" s="5" t="n"/>
      <c r="H608" s="5" t="n"/>
      <c r="I608" s="5" t="n"/>
      <c r="J608" s="5" t="n">
        <v>109.67</v>
      </c>
      <c r="K608" s="5" t="n"/>
      <c r="L608" s="5" t="n"/>
      <c r="M608" s="5" t="n"/>
      <c r="N608" s="5" t="n"/>
      <c r="O608" s="5" t="n">
        <v>658</v>
      </c>
      <c r="P608" s="5" t="n">
        <v>658</v>
      </c>
      <c r="Q608" s="5" t="n"/>
      <c r="R608" s="5" t="n"/>
      <c r="S608" s="5">
        <f>F608*20%</f>
        <v/>
      </c>
      <c r="T608" s="5">
        <f>J608-S608</f>
        <v/>
      </c>
      <c r="U608" s="5">
        <f>F608+J608</f>
        <v/>
      </c>
      <c r="V608" s="5">
        <f>O608-U608</f>
        <v/>
      </c>
      <c r="W608" s="5">
        <f>O608-(P608+R608)</f>
        <v/>
      </c>
      <c r="X608" s="5">
        <f>O608-(P608+Q608+R608)</f>
        <v/>
      </c>
    </row>
    <row r="609">
      <c r="A609" s="2" t="inlineStr">
        <is>
          <t>EJ311224.TXT</t>
        </is>
      </c>
      <c r="B609" s="3" t="inlineStr">
        <is>
          <t>001907</t>
        </is>
      </c>
      <c r="C609" s="3" t="inlineStr">
        <is>
          <t>001216</t>
        </is>
      </c>
      <c r="D609" s="4" t="n">
        <v>45643</v>
      </c>
      <c r="E609" s="2" t="inlineStr">
        <is>
          <t>10:06</t>
        </is>
      </c>
      <c r="F609" s="5" t="n">
        <v>548.33</v>
      </c>
      <c r="G609" s="5" t="n"/>
      <c r="H609" s="5" t="n"/>
      <c r="I609" s="5" t="n"/>
      <c r="J609" s="5" t="n">
        <v>109.67</v>
      </c>
      <c r="K609" s="5" t="n"/>
      <c r="L609" s="5" t="n"/>
      <c r="M609" s="5" t="n"/>
      <c r="N609" s="5" t="n"/>
      <c r="O609" s="5" t="n">
        <v>658</v>
      </c>
      <c r="P609" s="5" t="n">
        <v>658</v>
      </c>
      <c r="Q609" s="5" t="n"/>
      <c r="R609" s="5" t="n"/>
      <c r="S609" s="5">
        <f>F609*20%</f>
        <v/>
      </c>
      <c r="T609" s="5">
        <f>J609-S609</f>
        <v/>
      </c>
      <c r="U609" s="5">
        <f>F609+J609</f>
        <v/>
      </c>
      <c r="V609" s="5">
        <f>O609-U609</f>
        <v/>
      </c>
      <c r="W609" s="5">
        <f>O609-(P609+R609)</f>
        <v/>
      </c>
      <c r="X609" s="5">
        <f>O609-(P609+Q609+R609)</f>
        <v/>
      </c>
    </row>
    <row r="610">
      <c r="A610" s="2" t="inlineStr">
        <is>
          <t>EJ311224.TXT</t>
        </is>
      </c>
      <c r="B610" s="3" t="inlineStr">
        <is>
          <t>001908</t>
        </is>
      </c>
      <c r="C610" s="3" t="inlineStr">
        <is>
          <t>001217</t>
        </is>
      </c>
      <c r="D610" s="4" t="n">
        <v>45643</v>
      </c>
      <c r="E610" s="2" t="inlineStr">
        <is>
          <t>12:32</t>
        </is>
      </c>
      <c r="F610" s="5" t="n">
        <v>58.25</v>
      </c>
      <c r="G610" s="5" t="n"/>
      <c r="H610" s="5" t="n"/>
      <c r="I610" s="5" t="n"/>
      <c r="J610" s="5" t="n">
        <v>11.65</v>
      </c>
      <c r="K610" s="5" t="n"/>
      <c r="L610" s="5" t="n"/>
      <c r="M610" s="5" t="n"/>
      <c r="N610" s="5" t="n"/>
      <c r="O610" s="5" t="n">
        <v>69.90000000000001</v>
      </c>
      <c r="P610" s="5" t="n">
        <v>69.90000000000001</v>
      </c>
      <c r="Q610" s="5" t="n"/>
      <c r="R610" s="5" t="n"/>
      <c r="S610" s="5">
        <f>F610*20%</f>
        <v/>
      </c>
      <c r="T610" s="5">
        <f>J610-S610</f>
        <v/>
      </c>
      <c r="U610" s="5">
        <f>F610+J610</f>
        <v/>
      </c>
      <c r="V610" s="5">
        <f>O610-U610</f>
        <v/>
      </c>
      <c r="W610" s="5">
        <f>O610-(P610+R610)</f>
        <v/>
      </c>
      <c r="X610" s="5">
        <f>O610-(P610+Q610+R610)</f>
        <v/>
      </c>
    </row>
    <row r="611">
      <c r="A611" s="2" t="inlineStr">
        <is>
          <t>EJ311224.TXT</t>
        </is>
      </c>
      <c r="B611" s="3" t="inlineStr">
        <is>
          <t>001909</t>
        </is>
      </c>
      <c r="C611" s="3" t="inlineStr">
        <is>
          <t>001218</t>
        </is>
      </c>
      <c r="D611" s="4" t="n">
        <v>45645</v>
      </c>
      <c r="E611" s="2" t="inlineStr">
        <is>
          <t>13:54</t>
        </is>
      </c>
      <c r="F611" s="5" t="n">
        <v>574</v>
      </c>
      <c r="G611" s="5" t="n"/>
      <c r="H611" s="5" t="n"/>
      <c r="I611" s="5" t="n"/>
      <c r="J611" s="5" t="n">
        <v>114.8</v>
      </c>
      <c r="K611" s="5" t="n"/>
      <c r="L611" s="5" t="n"/>
      <c r="M611" s="5" t="n"/>
      <c r="N611" s="5" t="n"/>
      <c r="O611" s="5" t="n">
        <v>688.8</v>
      </c>
      <c r="P611" s="5" t="n">
        <v>688.8</v>
      </c>
      <c r="Q611" s="5" t="n"/>
      <c r="R611" s="5" t="n"/>
      <c r="S611" s="5">
        <f>F611*20%</f>
        <v/>
      </c>
      <c r="T611" s="5">
        <f>J611-S611</f>
        <v/>
      </c>
      <c r="U611" s="5">
        <f>F611+J611</f>
        <v/>
      </c>
      <c r="V611" s="5">
        <f>O611-U611</f>
        <v/>
      </c>
      <c r="W611" s="5">
        <f>O611-(P611+R611)</f>
        <v/>
      </c>
      <c r="X611" s="5">
        <f>O611-(P611+Q611+R611)</f>
        <v/>
      </c>
    </row>
    <row r="612">
      <c r="A612" s="2" t="inlineStr">
        <is>
          <t>EJ311224.TXT</t>
        </is>
      </c>
      <c r="B612" s="3" t="inlineStr">
        <is>
          <t>001910</t>
        </is>
      </c>
      <c r="C612" s="3" t="inlineStr">
        <is>
          <t>001219</t>
        </is>
      </c>
      <c r="D612" s="4" t="n">
        <v>45646</v>
      </c>
      <c r="E612" s="2" t="inlineStr">
        <is>
          <t>15:26</t>
        </is>
      </c>
      <c r="F612" s="5" t="n">
        <v>948.33</v>
      </c>
      <c r="G612" s="5" t="n"/>
      <c r="H612" s="5" t="n"/>
      <c r="I612" s="5" t="n"/>
      <c r="J612" s="5" t="n">
        <v>189.67</v>
      </c>
      <c r="K612" s="5" t="n"/>
      <c r="L612" s="5" t="n"/>
      <c r="M612" s="5" t="n"/>
      <c r="N612" s="5" t="n"/>
      <c r="O612" s="5" t="n">
        <v>1138</v>
      </c>
      <c r="P612" s="5" t="n">
        <v>1138</v>
      </c>
      <c r="Q612" s="5" t="n"/>
      <c r="R612" s="5" t="n"/>
      <c r="S612" s="5">
        <f>F612*20%</f>
        <v/>
      </c>
      <c r="T612" s="5">
        <f>J612-S612</f>
        <v/>
      </c>
      <c r="U612" s="5">
        <f>F612+J612</f>
        <v/>
      </c>
      <c r="V612" s="5">
        <f>O612-U612</f>
        <v/>
      </c>
      <c r="W612" s="5">
        <f>O612-(P612+R612)</f>
        <v/>
      </c>
      <c r="X612" s="5">
        <f>O612-(P612+Q612+R612)</f>
        <v/>
      </c>
    </row>
    <row r="613">
      <c r="A613" s="2" t="inlineStr">
        <is>
          <t>EJ311224.TXT</t>
        </is>
      </c>
      <c r="B613" s="3" t="inlineStr">
        <is>
          <t>001911</t>
        </is>
      </c>
      <c r="C613" s="3" t="inlineStr">
        <is>
          <t>001220</t>
        </is>
      </c>
      <c r="D613" s="4" t="n">
        <v>45649</v>
      </c>
      <c r="E613" s="2" t="inlineStr">
        <is>
          <t>16:49</t>
        </is>
      </c>
      <c r="F613" s="5" t="n">
        <v>58.25</v>
      </c>
      <c r="G613" s="5" t="n"/>
      <c r="H613" s="5" t="n"/>
      <c r="I613" s="5" t="n"/>
      <c r="J613" s="5" t="n">
        <v>11.65</v>
      </c>
      <c r="K613" s="5" t="n"/>
      <c r="L613" s="5" t="n"/>
      <c r="M613" s="5" t="n"/>
      <c r="N613" s="5" t="n"/>
      <c r="O613" s="5" t="n">
        <v>69.90000000000001</v>
      </c>
      <c r="P613" s="5" t="n">
        <v>69.90000000000001</v>
      </c>
      <c r="Q613" s="5" t="n"/>
      <c r="R613" s="5" t="n"/>
      <c r="S613" s="5">
        <f>F613*20%</f>
        <v/>
      </c>
      <c r="T613" s="5">
        <f>J613-S613</f>
        <v/>
      </c>
      <c r="U613" s="5">
        <f>F613+J613</f>
        <v/>
      </c>
      <c r="V613" s="5">
        <f>O613-U613</f>
        <v/>
      </c>
      <c r="W613" s="5">
        <f>O613-(P613+R613)</f>
        <v/>
      </c>
      <c r="X613" s="5">
        <f>O613-(P613+Q613+R613)</f>
        <v/>
      </c>
    </row>
    <row r="614">
      <c r="A614" s="2" t="inlineStr">
        <is>
          <t>EJ311224.TXT</t>
        </is>
      </c>
      <c r="B614" s="3" t="inlineStr">
        <is>
          <t>001912</t>
        </is>
      </c>
      <c r="C614" s="3" t="inlineStr">
        <is>
          <t>001221</t>
        </is>
      </c>
      <c r="D614" s="4" t="n">
        <v>45649</v>
      </c>
      <c r="E614" s="2" t="inlineStr">
        <is>
          <t>17:18</t>
        </is>
      </c>
      <c r="F614" s="5" t="n">
        <v>274.17</v>
      </c>
      <c r="G614" s="5" t="n"/>
      <c r="H614" s="5" t="n"/>
      <c r="I614" s="5" t="n"/>
      <c r="J614" s="5" t="n">
        <v>54.83</v>
      </c>
      <c r="K614" s="5" t="n"/>
      <c r="L614" s="5" t="n"/>
      <c r="M614" s="5" t="n"/>
      <c r="N614" s="5" t="n"/>
      <c r="O614" s="5" t="n">
        <v>329</v>
      </c>
      <c r="P614" s="5" t="n">
        <v>329</v>
      </c>
      <c r="Q614" s="5" t="n"/>
      <c r="R614" s="5" t="n"/>
      <c r="S614" s="5">
        <f>F614*20%</f>
        <v/>
      </c>
      <c r="T614" s="5">
        <f>J614-S614</f>
        <v/>
      </c>
      <c r="U614" s="5">
        <f>F614+J614</f>
        <v/>
      </c>
      <c r="V614" s="5">
        <f>O614-U614</f>
        <v/>
      </c>
      <c r="W614" s="5">
        <f>O614-(P614+R614)</f>
        <v/>
      </c>
      <c r="X614" s="5">
        <f>O614-(P614+Q614+R614)</f>
        <v/>
      </c>
    </row>
    <row r="615">
      <c r="A615" s="2" t="inlineStr">
        <is>
          <t>EJ311224.TXT</t>
        </is>
      </c>
      <c r="B615" s="3" t="inlineStr">
        <is>
          <t>001913</t>
        </is>
      </c>
      <c r="C615" s="3" t="inlineStr">
        <is>
          <t>001222</t>
        </is>
      </c>
      <c r="D615" s="4" t="n">
        <v>45654</v>
      </c>
      <c r="E615" s="2" t="inlineStr">
        <is>
          <t>14:18</t>
        </is>
      </c>
      <c r="F615" s="5" t="n">
        <v>274.17</v>
      </c>
      <c r="G615" s="5" t="n"/>
      <c r="H615" s="5" t="n"/>
      <c r="I615" s="5" t="n"/>
      <c r="J615" s="5" t="n">
        <v>54.83</v>
      </c>
      <c r="K615" s="5" t="n"/>
      <c r="L615" s="5" t="n"/>
      <c r="M615" s="5" t="n"/>
      <c r="N615" s="5" t="n"/>
      <c r="O615" s="5" t="n">
        <v>329</v>
      </c>
      <c r="P615" s="5" t="n"/>
      <c r="Q615" s="5" t="n">
        <v>329</v>
      </c>
      <c r="R615" s="5" t="n"/>
      <c r="S615" s="5">
        <f>F615*20%</f>
        <v/>
      </c>
      <c r="T615" s="5">
        <f>J615-S615</f>
        <v/>
      </c>
      <c r="U615" s="5">
        <f>F615+J615</f>
        <v/>
      </c>
      <c r="V615" s="5">
        <f>O615-U615</f>
        <v/>
      </c>
      <c r="W615" s="5">
        <f>O615-(P615+R615)</f>
        <v/>
      </c>
      <c r="X615" s="5">
        <f>O615-(P615+Q615+R615)</f>
        <v/>
      </c>
    </row>
    <row r="616">
      <c r="A616" s="2" t="inlineStr">
        <is>
          <t>EJ311224.TXT</t>
        </is>
      </c>
      <c r="B616" s="3" t="inlineStr">
        <is>
          <t>001914</t>
        </is>
      </c>
      <c r="C616" s="3" t="inlineStr">
        <is>
          <t>001223</t>
        </is>
      </c>
      <c r="D616" s="4" t="n">
        <v>45654</v>
      </c>
      <c r="E616" s="2" t="inlineStr">
        <is>
          <t>15:24</t>
        </is>
      </c>
      <c r="F616" s="5" t="n">
        <v>822.5</v>
      </c>
      <c r="G616" s="5" t="n"/>
      <c r="H616" s="5" t="n"/>
      <c r="I616" s="5" t="n"/>
      <c r="J616" s="5" t="n">
        <v>164.5</v>
      </c>
      <c r="K616" s="5" t="n"/>
      <c r="L616" s="5" t="n"/>
      <c r="M616" s="5" t="n"/>
      <c r="N616" s="5" t="n"/>
      <c r="O616" s="5" t="n">
        <v>987</v>
      </c>
      <c r="P616" s="5" t="n"/>
      <c r="Q616" s="5" t="n">
        <v>987</v>
      </c>
      <c r="R616" s="5" t="n"/>
      <c r="S616" s="5">
        <f>F616*20%</f>
        <v/>
      </c>
      <c r="T616" s="5">
        <f>J616-S616</f>
        <v/>
      </c>
      <c r="U616" s="5">
        <f>F616+J616</f>
        <v/>
      </c>
      <c r="V616" s="5">
        <f>O616-U616</f>
        <v/>
      </c>
      <c r="W616" s="5">
        <f>O616-(P616+R616)</f>
        <v/>
      </c>
      <c r="X616" s="5">
        <f>O616-(P616+Q616+R616)</f>
        <v/>
      </c>
    </row>
    <row r="617">
      <c r="A617" s="2" t="inlineStr">
        <is>
          <t>EJ311224.TXT</t>
        </is>
      </c>
      <c r="B617" s="3" t="inlineStr">
        <is>
          <t>001915</t>
        </is>
      </c>
      <c r="C617" s="3" t="inlineStr">
        <is>
          <t>001224</t>
        </is>
      </c>
      <c r="D617" s="4" t="n">
        <v>45656</v>
      </c>
      <c r="E617" s="2" t="inlineStr">
        <is>
          <t>15:06</t>
        </is>
      </c>
      <c r="F617" s="5" t="n">
        <v>2392.5</v>
      </c>
      <c r="G617" s="5" t="n"/>
      <c r="H617" s="5" t="n"/>
      <c r="I617" s="5" t="n"/>
      <c r="J617" s="5" t="n">
        <v>478.5</v>
      </c>
      <c r="K617" s="5" t="n"/>
      <c r="L617" s="5" t="n"/>
      <c r="M617" s="5" t="n"/>
      <c r="N617" s="5" t="n"/>
      <c r="O617" s="5" t="n">
        <v>2871</v>
      </c>
      <c r="P617" s="5" t="n">
        <v>1871</v>
      </c>
      <c r="Q617" s="5" t="n">
        <v>1000</v>
      </c>
      <c r="R617" s="5" t="n"/>
      <c r="S617" s="5">
        <f>F617*20%</f>
        <v/>
      </c>
      <c r="T617" s="5">
        <f>J617-S617</f>
        <v/>
      </c>
      <c r="U617" s="5">
        <f>F617+J617</f>
        <v/>
      </c>
      <c r="V617" s="5">
        <f>O617-U617</f>
        <v/>
      </c>
      <c r="W617" s="5">
        <f>O617-(P617+R617)</f>
        <v/>
      </c>
      <c r="X617" s="5">
        <f>O617-(P617+Q617+R617)</f>
        <v/>
      </c>
    </row>
    <row r="618">
      <c r="A618" s="2" t="inlineStr">
        <is>
          <t>EJ311224.TXT</t>
        </is>
      </c>
      <c r="B618" s="3" t="inlineStr">
        <is>
          <t>001917</t>
        </is>
      </c>
      <c r="C618" s="3" t="inlineStr">
        <is>
          <t>001225</t>
        </is>
      </c>
      <c r="D618" s="4" t="n">
        <v>45657</v>
      </c>
      <c r="E618" s="2" t="inlineStr">
        <is>
          <t>10:55</t>
        </is>
      </c>
      <c r="F618" s="5" t="n">
        <v>73.33</v>
      </c>
      <c r="G618" s="5" t="n"/>
      <c r="H618" s="5" t="n"/>
      <c r="I618" s="5" t="n"/>
      <c r="J618" s="5" t="n">
        <v>14.67</v>
      </c>
      <c r="K618" s="5" t="n"/>
      <c r="L618" s="5" t="n"/>
      <c r="M618" s="5" t="n"/>
      <c r="N618" s="5" t="n"/>
      <c r="O618" s="5" t="n">
        <v>88</v>
      </c>
      <c r="P618" s="5" t="n"/>
      <c r="Q618" s="5" t="n">
        <v>88</v>
      </c>
      <c r="R618" s="5" t="n"/>
      <c r="S618" s="5">
        <f>F618*20%</f>
        <v/>
      </c>
      <c r="T618" s="5">
        <f>J618-S618</f>
        <v/>
      </c>
      <c r="U618" s="5">
        <f>F618+J618</f>
        <v/>
      </c>
      <c r="V618" s="5">
        <f>O618-U618</f>
        <v/>
      </c>
      <c r="W618" s="5">
        <f>O618-(P618+R618)</f>
        <v/>
      </c>
      <c r="X618" s="5">
        <f>O618-(P618+Q618+R618)</f>
        <v/>
      </c>
    </row>
    <row r="619">
      <c r="A619" s="2" t="inlineStr">
        <is>
          <t>EJ010225.TXT</t>
        </is>
      </c>
      <c r="B619" s="3" t="inlineStr">
        <is>
          <t>001925</t>
        </is>
      </c>
      <c r="C619" s="3" t="inlineStr">
        <is>
          <t>001226</t>
        </is>
      </c>
      <c r="D619" s="4" t="n">
        <v>45661</v>
      </c>
      <c r="E619" s="2" t="inlineStr">
        <is>
          <t>14:58</t>
        </is>
      </c>
      <c r="F619" s="5" t="n">
        <v>548.33</v>
      </c>
      <c r="G619" s="5" t="n"/>
      <c r="H619" s="5" t="n"/>
      <c r="I619" s="5" t="n"/>
      <c r="J619" s="5" t="n">
        <v>109.67</v>
      </c>
      <c r="K619" s="5" t="n"/>
      <c r="L619" s="5" t="n"/>
      <c r="M619" s="5" t="n"/>
      <c r="N619" s="5" t="n"/>
      <c r="O619" s="5" t="n">
        <v>658</v>
      </c>
      <c r="P619" s="5" t="n"/>
      <c r="Q619" s="5" t="n">
        <v>658</v>
      </c>
      <c r="R619" s="5" t="n"/>
      <c r="S619" s="5">
        <f>F619*20%</f>
        <v/>
      </c>
      <c r="T619" s="5">
        <f>J619-S619</f>
        <v/>
      </c>
      <c r="U619" s="5">
        <f>F619+J619</f>
        <v/>
      </c>
      <c r="V619" s="5">
        <f>O619-U619</f>
        <v/>
      </c>
      <c r="W619" s="5">
        <f>O619-(P619+R619)</f>
        <v/>
      </c>
      <c r="X619" s="5">
        <f>O619-(P619+Q619+R619)</f>
        <v/>
      </c>
    </row>
    <row r="620">
      <c r="A620" s="2" t="inlineStr">
        <is>
          <t>EJ010225.TXT</t>
        </is>
      </c>
      <c r="B620" s="3" t="inlineStr">
        <is>
          <t>001926</t>
        </is>
      </c>
      <c r="C620" s="3" t="inlineStr">
        <is>
          <t>001227</t>
        </is>
      </c>
      <c r="D620" s="4" t="n">
        <v>45663</v>
      </c>
      <c r="E620" s="2" t="inlineStr">
        <is>
          <t>10:57</t>
        </is>
      </c>
      <c r="F620" s="5" t="n">
        <v>4275</v>
      </c>
      <c r="G620" s="5" t="n"/>
      <c r="H620" s="5" t="n"/>
      <c r="I620" s="5" t="n"/>
      <c r="J620" s="5" t="n">
        <v>855</v>
      </c>
      <c r="K620" s="5" t="n"/>
      <c r="L620" s="5" t="n"/>
      <c r="M620" s="5" t="n"/>
      <c r="N620" s="5" t="n"/>
      <c r="O620" s="5" t="n">
        <v>5130</v>
      </c>
      <c r="P620" s="5" t="n">
        <v>5130</v>
      </c>
      <c r="Q620" s="5" t="n"/>
      <c r="R620" s="5" t="n"/>
      <c r="S620" s="5">
        <f>F620*20%</f>
        <v/>
      </c>
      <c r="T620" s="5">
        <f>J620-S620</f>
        <v/>
      </c>
      <c r="U620" s="5">
        <f>F620+J620</f>
        <v/>
      </c>
      <c r="V620" s="5">
        <f>O620-U620</f>
        <v/>
      </c>
      <c r="W620" s="5">
        <f>O620-(P620+R620)</f>
        <v/>
      </c>
      <c r="X620" s="5">
        <f>O620-(P620+Q620+R620)</f>
        <v/>
      </c>
    </row>
    <row r="621">
      <c r="A621" s="2" t="inlineStr">
        <is>
          <t>EJ010225.TXT</t>
        </is>
      </c>
      <c r="B621" s="3" t="inlineStr">
        <is>
          <t>001927</t>
        </is>
      </c>
      <c r="C621" s="3" t="inlineStr">
        <is>
          <t>001228</t>
        </is>
      </c>
      <c r="D621" s="4" t="n">
        <v>45664</v>
      </c>
      <c r="E621" s="2" t="inlineStr">
        <is>
          <t>17:38</t>
        </is>
      </c>
      <c r="F621" s="5" t="n">
        <v>548.33</v>
      </c>
      <c r="G621" s="5" t="n"/>
      <c r="H621" s="5" t="n"/>
      <c r="I621" s="5" t="n"/>
      <c r="J621" s="5" t="n">
        <v>109.67</v>
      </c>
      <c r="K621" s="5" t="n"/>
      <c r="L621" s="5" t="n"/>
      <c r="M621" s="5" t="n"/>
      <c r="N621" s="5" t="n"/>
      <c r="O621" s="5" t="n">
        <v>658</v>
      </c>
      <c r="P621" s="5" t="n">
        <v>658</v>
      </c>
      <c r="Q621" s="5" t="n"/>
      <c r="R621" s="5" t="n"/>
      <c r="S621" s="5">
        <f>F621*20%</f>
        <v/>
      </c>
      <c r="T621" s="5">
        <f>J621-S621</f>
        <v/>
      </c>
      <c r="U621" s="5">
        <f>F621+J621</f>
        <v/>
      </c>
      <c r="V621" s="5">
        <f>O621-U621</f>
        <v/>
      </c>
      <c r="W621" s="5">
        <f>O621-(P621+R621)</f>
        <v/>
      </c>
      <c r="X621" s="5">
        <f>O621-(P621+Q621+R621)</f>
        <v/>
      </c>
    </row>
    <row r="622">
      <c r="A622" s="2" t="inlineStr">
        <is>
          <t>EJ010225.TXT</t>
        </is>
      </c>
      <c r="B622" s="3" t="inlineStr">
        <is>
          <t>001928</t>
        </is>
      </c>
      <c r="C622" s="3" t="inlineStr">
        <is>
          <t>001229</t>
        </is>
      </c>
      <c r="D622" s="4" t="n">
        <v>45667</v>
      </c>
      <c r="E622" s="2" t="inlineStr">
        <is>
          <t>17:10</t>
        </is>
      </c>
      <c r="F622" s="5" t="n">
        <v>395</v>
      </c>
      <c r="G622" s="5" t="n"/>
      <c r="H622" s="5" t="n"/>
      <c r="I622" s="5" t="n"/>
      <c r="J622" s="5" t="n">
        <v>79</v>
      </c>
      <c r="K622" s="5" t="n"/>
      <c r="L622" s="5" t="n"/>
      <c r="M622" s="5" t="n"/>
      <c r="N622" s="5" t="n"/>
      <c r="O622" s="5" t="n">
        <v>474</v>
      </c>
      <c r="P622" s="5" t="n">
        <v>474</v>
      </c>
      <c r="Q622" s="5" t="n"/>
      <c r="R622" s="5" t="n"/>
      <c r="S622" s="5">
        <f>F622*20%</f>
        <v/>
      </c>
      <c r="T622" s="5">
        <f>J622-S622</f>
        <v/>
      </c>
      <c r="U622" s="5">
        <f>F622+J622</f>
        <v/>
      </c>
      <c r="V622" s="5">
        <f>O622-U622</f>
        <v/>
      </c>
      <c r="W622" s="5">
        <f>O622-(P622+R622)</f>
        <v/>
      </c>
      <c r="X622" s="5">
        <f>O622-(P622+Q622+R622)</f>
        <v/>
      </c>
    </row>
    <row r="623">
      <c r="A623" s="2" t="inlineStr">
        <is>
          <t>EJ010225.TXT</t>
        </is>
      </c>
      <c r="B623" s="3" t="inlineStr">
        <is>
          <t>001929</t>
        </is>
      </c>
      <c r="C623" s="3" t="inlineStr">
        <is>
          <t>001230</t>
        </is>
      </c>
      <c r="D623" s="4" t="n">
        <v>45672</v>
      </c>
      <c r="E623" s="2" t="inlineStr">
        <is>
          <t>16:06</t>
        </is>
      </c>
      <c r="F623" s="5" t="n">
        <v>340.67</v>
      </c>
      <c r="G623" s="5" t="n"/>
      <c r="H623" s="5" t="n"/>
      <c r="I623" s="5" t="n"/>
      <c r="J623" s="5" t="n">
        <v>68.13</v>
      </c>
      <c r="K623" s="5" t="n"/>
      <c r="L623" s="5" t="n"/>
      <c r="M623" s="5" t="n"/>
      <c r="N623" s="5" t="n"/>
      <c r="O623" s="5" t="n">
        <v>408.8</v>
      </c>
      <c r="P623" s="5" t="n"/>
      <c r="Q623" s="5" t="n">
        <v>408.8</v>
      </c>
      <c r="R623" s="5" t="n"/>
      <c r="S623" s="5">
        <f>F623*20%</f>
        <v/>
      </c>
      <c r="T623" s="5">
        <f>J623-S623</f>
        <v/>
      </c>
      <c r="U623" s="5">
        <f>F623+J623</f>
        <v/>
      </c>
      <c r="V623" s="5">
        <f>O623-U623</f>
        <v/>
      </c>
      <c r="W623" s="5">
        <f>O623-(P623+R623)</f>
        <v/>
      </c>
      <c r="X623" s="5">
        <f>O623-(P623+Q623+R623)</f>
        <v/>
      </c>
    </row>
    <row r="624">
      <c r="A624" s="2" t="inlineStr">
        <is>
          <t>EJ010225.TXT</t>
        </is>
      </c>
      <c r="B624" s="3" t="inlineStr">
        <is>
          <t>001931</t>
        </is>
      </c>
      <c r="C624" s="3" t="inlineStr">
        <is>
          <t>001231</t>
        </is>
      </c>
      <c r="D624" s="4" t="n">
        <v>45678</v>
      </c>
      <c r="E624" s="2" t="inlineStr">
        <is>
          <t>14:24</t>
        </is>
      </c>
      <c r="F624" s="5" t="n">
        <v>274.17</v>
      </c>
      <c r="G624" s="5" t="n"/>
      <c r="H624" s="5" t="n"/>
      <c r="I624" s="5" t="n"/>
      <c r="J624" s="5" t="n">
        <v>54.83</v>
      </c>
      <c r="K624" s="5" t="n"/>
      <c r="L624" s="5" t="n"/>
      <c r="M624" s="5" t="n"/>
      <c r="N624" s="5" t="n"/>
      <c r="O624" s="5" t="n">
        <v>329</v>
      </c>
      <c r="P624" s="5" t="n">
        <v>329</v>
      </c>
      <c r="Q624" s="5" t="n"/>
      <c r="R624" s="5" t="n"/>
      <c r="S624" s="5">
        <f>F624*20%</f>
        <v/>
      </c>
      <c r="T624" s="5">
        <f>J624-S624</f>
        <v/>
      </c>
      <c r="U624" s="5">
        <f>F624+J624</f>
        <v/>
      </c>
      <c r="V624" s="5">
        <f>O624-U624</f>
        <v/>
      </c>
      <c r="W624" s="5">
        <f>O624-(P624+R624)</f>
        <v/>
      </c>
      <c r="X624" s="5">
        <f>O624-(P624+Q624+R624)</f>
        <v/>
      </c>
    </row>
    <row r="625">
      <c r="A625" s="2" t="inlineStr">
        <is>
          <t>EJ010225.TXT</t>
        </is>
      </c>
      <c r="B625" s="3" t="inlineStr">
        <is>
          <t>001932</t>
        </is>
      </c>
      <c r="C625" s="3" t="inlineStr">
        <is>
          <t>001232</t>
        </is>
      </c>
      <c r="D625" s="4" t="n">
        <v>45678</v>
      </c>
      <c r="E625" s="2" t="inlineStr">
        <is>
          <t>14:27</t>
        </is>
      </c>
      <c r="F625" s="5" t="n">
        <v>274.17</v>
      </c>
      <c r="G625" s="5" t="n"/>
      <c r="H625" s="5" t="n"/>
      <c r="I625" s="5" t="n"/>
      <c r="J625" s="5" t="n">
        <v>54.83</v>
      </c>
      <c r="K625" s="5" t="n"/>
      <c r="L625" s="5" t="n"/>
      <c r="M625" s="5" t="n"/>
      <c r="N625" s="5" t="n"/>
      <c r="O625" s="5" t="n">
        <v>329</v>
      </c>
      <c r="P625" s="5" t="n">
        <v>329</v>
      </c>
      <c r="Q625" s="5" t="n"/>
      <c r="R625" s="5" t="n"/>
      <c r="S625" s="5">
        <f>F625*20%</f>
        <v/>
      </c>
      <c r="T625" s="5">
        <f>J625-S625</f>
        <v/>
      </c>
      <c r="U625" s="5">
        <f>F625+J625</f>
        <v/>
      </c>
      <c r="V625" s="5">
        <f>O625-U625</f>
        <v/>
      </c>
      <c r="W625" s="5">
        <f>O625-(P625+R625)</f>
        <v/>
      </c>
      <c r="X625" s="5">
        <f>O625-(P625+Q625+R625)</f>
        <v/>
      </c>
    </row>
    <row r="626">
      <c r="A626" s="2" t="inlineStr">
        <is>
          <t>EJ010225.TXT</t>
        </is>
      </c>
      <c r="B626" s="3" t="inlineStr">
        <is>
          <t>001933</t>
        </is>
      </c>
      <c r="C626" s="3" t="inlineStr">
        <is>
          <t>001233</t>
        </is>
      </c>
      <c r="D626" s="4" t="n">
        <v>45678</v>
      </c>
      <c r="E626" s="2" t="inlineStr">
        <is>
          <t>17:18</t>
        </is>
      </c>
      <c r="F626" s="5" t="n">
        <v>73.33</v>
      </c>
      <c r="G626" s="5" t="n"/>
      <c r="H626" s="5" t="n"/>
      <c r="I626" s="5" t="n"/>
      <c r="J626" s="5" t="n">
        <v>14.67</v>
      </c>
      <c r="K626" s="5" t="n"/>
      <c r="L626" s="5" t="n"/>
      <c r="M626" s="5" t="n"/>
      <c r="N626" s="5" t="n"/>
      <c r="O626" s="5" t="n">
        <v>88</v>
      </c>
      <c r="P626" s="5" t="n">
        <v>88</v>
      </c>
      <c r="Q626" s="5" t="n"/>
      <c r="R626" s="5" t="n"/>
      <c r="S626" s="5">
        <f>F626*20%</f>
        <v/>
      </c>
      <c r="T626" s="5">
        <f>J626-S626</f>
        <v/>
      </c>
      <c r="U626" s="5">
        <f>F626+J626</f>
        <v/>
      </c>
      <c r="V626" s="5">
        <f>O626-U626</f>
        <v/>
      </c>
      <c r="W626" s="5">
        <f>O626-(P626+R626)</f>
        <v/>
      </c>
      <c r="X626" s="5">
        <f>O626-(P626+Q626+R626)</f>
        <v/>
      </c>
    </row>
    <row r="627">
      <c r="A627" s="2" t="inlineStr">
        <is>
          <t>EJ010225.TXT</t>
        </is>
      </c>
      <c r="B627" s="3" t="inlineStr">
        <is>
          <t>001935</t>
        </is>
      </c>
      <c r="C627" s="3" t="inlineStr">
        <is>
          <t>001234</t>
        </is>
      </c>
      <c r="D627" s="4" t="n">
        <v>45679</v>
      </c>
      <c r="E627" s="2" t="inlineStr">
        <is>
          <t>15:13</t>
        </is>
      </c>
      <c r="F627" s="5" t="n">
        <v>49.92</v>
      </c>
      <c r="G627" s="5" t="n"/>
      <c r="H627" s="5" t="n"/>
      <c r="I627" s="5" t="n"/>
      <c r="J627" s="5" t="n">
        <v>9.98</v>
      </c>
      <c r="K627" s="5" t="n"/>
      <c r="L627" s="5" t="n"/>
      <c r="M627" s="5" t="n"/>
      <c r="N627" s="5" t="n"/>
      <c r="O627" s="5" t="n">
        <v>59.9</v>
      </c>
      <c r="P627" s="5" t="n">
        <v>59.9</v>
      </c>
      <c r="Q627" s="5" t="n"/>
      <c r="R627" s="5" t="n"/>
      <c r="S627" s="5">
        <f>F627*20%</f>
        <v/>
      </c>
      <c r="T627" s="5">
        <f>J627-S627</f>
        <v/>
      </c>
      <c r="U627" s="5">
        <f>F627+J627</f>
        <v/>
      </c>
      <c r="V627" s="5">
        <f>O627-U627</f>
        <v/>
      </c>
      <c r="W627" s="5">
        <f>O627-(P627+R627)</f>
        <v/>
      </c>
      <c r="X627" s="5">
        <f>O627-(P627+Q627+R627)</f>
        <v/>
      </c>
    </row>
    <row r="628">
      <c r="A628" s="2" t="inlineStr">
        <is>
          <t>EJ010225.TXT</t>
        </is>
      </c>
      <c r="B628" s="3" t="inlineStr">
        <is>
          <t>001937</t>
        </is>
      </c>
      <c r="C628" s="3" t="inlineStr">
        <is>
          <t>001235</t>
        </is>
      </c>
      <c r="D628" s="4" t="n">
        <v>45680</v>
      </c>
      <c r="E628" s="2" t="inlineStr">
        <is>
          <t>10:20</t>
        </is>
      </c>
      <c r="F628" s="5" t="n">
        <v>548.33</v>
      </c>
      <c r="G628" s="5" t="n"/>
      <c r="H628" s="5" t="n"/>
      <c r="I628" s="5" t="n"/>
      <c r="J628" s="5" t="n">
        <v>109.67</v>
      </c>
      <c r="K628" s="5" t="n"/>
      <c r="L628" s="5" t="n"/>
      <c r="M628" s="5" t="n"/>
      <c r="N628" s="5" t="n"/>
      <c r="O628" s="5" t="n">
        <v>658</v>
      </c>
      <c r="P628" s="5" t="n"/>
      <c r="Q628" s="5" t="n">
        <v>658</v>
      </c>
      <c r="R628" s="5" t="n"/>
      <c r="S628" s="5">
        <f>F628*20%</f>
        <v/>
      </c>
      <c r="T628" s="5">
        <f>J628-S628</f>
        <v/>
      </c>
      <c r="U628" s="5">
        <f>F628+J628</f>
        <v/>
      </c>
      <c r="V628" s="5">
        <f>O628-U628</f>
        <v/>
      </c>
      <c r="W628" s="5">
        <f>O628-(P628+R628)</f>
        <v/>
      </c>
      <c r="X628" s="5">
        <f>O628-(P628+Q628+R628)</f>
        <v/>
      </c>
    </row>
    <row r="629">
      <c r="A629" s="2" t="inlineStr">
        <is>
          <t>EJ010225.TXT</t>
        </is>
      </c>
      <c r="B629" s="3" t="inlineStr">
        <is>
          <t>001938</t>
        </is>
      </c>
      <c r="C629" s="3" t="inlineStr">
        <is>
          <t>001236</t>
        </is>
      </c>
      <c r="D629" s="4" t="n">
        <v>45681</v>
      </c>
      <c r="E629" s="2" t="inlineStr">
        <is>
          <t>15:36</t>
        </is>
      </c>
      <c r="F629" s="5" t="n">
        <v>49.92</v>
      </c>
      <c r="G629" s="5" t="n"/>
      <c r="H629" s="5" t="n"/>
      <c r="I629" s="5" t="n"/>
      <c r="J629" s="5" t="n">
        <v>9.98</v>
      </c>
      <c r="K629" s="5" t="n"/>
      <c r="L629" s="5" t="n"/>
      <c r="M629" s="5" t="n"/>
      <c r="N629" s="5" t="n"/>
      <c r="O629" s="5" t="n">
        <v>59.9</v>
      </c>
      <c r="P629" s="5" t="n"/>
      <c r="Q629" s="5" t="n">
        <v>59.9</v>
      </c>
      <c r="R629" s="5" t="n"/>
      <c r="S629" s="5">
        <f>F629*20%</f>
        <v/>
      </c>
      <c r="T629" s="5">
        <f>J629-S629</f>
        <v/>
      </c>
      <c r="U629" s="5">
        <f>F629+J629</f>
        <v/>
      </c>
      <c r="V629" s="5">
        <f>O629-U629</f>
        <v/>
      </c>
      <c r="W629" s="5">
        <f>O629-(P629+R629)</f>
        <v/>
      </c>
      <c r="X629" s="5">
        <f>O629-(P629+Q629+R629)</f>
        <v/>
      </c>
    </row>
    <row r="630">
      <c r="A630" s="2" t="inlineStr">
        <is>
          <t>EJ010225.TXT</t>
        </is>
      </c>
      <c r="B630" s="3" t="inlineStr">
        <is>
          <t>001939</t>
        </is>
      </c>
      <c r="C630" s="3" t="inlineStr">
        <is>
          <t>001237</t>
        </is>
      </c>
      <c r="D630" s="4" t="n">
        <v>45682</v>
      </c>
      <c r="E630" s="2" t="inlineStr">
        <is>
          <t>16:41</t>
        </is>
      </c>
      <c r="F630" s="5" t="n">
        <v>548.33</v>
      </c>
      <c r="G630" s="5" t="n"/>
      <c r="H630" s="5" t="n"/>
      <c r="I630" s="5" t="n"/>
      <c r="J630" s="5" t="n">
        <v>109.67</v>
      </c>
      <c r="K630" s="5" t="n"/>
      <c r="L630" s="5" t="n"/>
      <c r="M630" s="5" t="n"/>
      <c r="N630" s="5" t="n"/>
      <c r="O630" s="5" t="n">
        <v>658</v>
      </c>
      <c r="P630" s="5" t="n">
        <v>658</v>
      </c>
      <c r="Q630" s="5" t="n"/>
      <c r="R630" s="5" t="n"/>
      <c r="S630" s="5">
        <f>F630*20%</f>
        <v/>
      </c>
      <c r="T630" s="5">
        <f>J630-S630</f>
        <v/>
      </c>
      <c r="U630" s="5">
        <f>F630+J630</f>
        <v/>
      </c>
      <c r="V630" s="5">
        <f>O630-U630</f>
        <v/>
      </c>
      <c r="W630" s="5">
        <f>O630-(P630+R630)</f>
        <v/>
      </c>
      <c r="X630" s="5">
        <f>O630-(P630+Q630+R630)</f>
        <v/>
      </c>
    </row>
    <row r="631">
      <c r="A631" s="2" t="inlineStr">
        <is>
          <t>EJ010225.TXT</t>
        </is>
      </c>
      <c r="B631" s="3" t="inlineStr">
        <is>
          <t>001940</t>
        </is>
      </c>
      <c r="C631" s="3" t="inlineStr">
        <is>
          <t>001238</t>
        </is>
      </c>
      <c r="D631" s="4" t="n">
        <v>45682</v>
      </c>
      <c r="E631" s="2" t="inlineStr">
        <is>
          <t>16:59</t>
        </is>
      </c>
      <c r="F631" s="5" t="n">
        <v>73.33</v>
      </c>
      <c r="G631" s="5" t="n"/>
      <c r="H631" s="5" t="n"/>
      <c r="I631" s="5" t="n"/>
      <c r="J631" s="5" t="n">
        <v>14.67</v>
      </c>
      <c r="K631" s="5" t="n"/>
      <c r="L631" s="5" t="n"/>
      <c r="M631" s="5" t="n"/>
      <c r="N631" s="5" t="n"/>
      <c r="O631" s="5" t="n">
        <v>88</v>
      </c>
      <c r="P631" s="5" t="n">
        <v>88</v>
      </c>
      <c r="Q631" s="5" t="n"/>
      <c r="R631" s="5" t="n"/>
      <c r="S631" s="5">
        <f>F631*20%</f>
        <v/>
      </c>
      <c r="T631" s="5">
        <f>J631-S631</f>
        <v/>
      </c>
      <c r="U631" s="5">
        <f>F631+J631</f>
        <v/>
      </c>
      <c r="V631" s="5">
        <f>O631-U631</f>
        <v/>
      </c>
      <c r="W631" s="5">
        <f>O631-(P631+R631)</f>
        <v/>
      </c>
      <c r="X631" s="5">
        <f>O631-(P631+Q631+R631)</f>
        <v/>
      </c>
    </row>
    <row r="632">
      <c r="A632" s="2" t="inlineStr">
        <is>
          <t>EJ010225.TXT</t>
        </is>
      </c>
      <c r="B632" s="3" t="inlineStr">
        <is>
          <t>001941</t>
        </is>
      </c>
      <c r="C632" s="3" t="inlineStr">
        <is>
          <t>001239</t>
        </is>
      </c>
      <c r="D632" s="4" t="n">
        <v>45682</v>
      </c>
      <c r="E632" s="2" t="inlineStr">
        <is>
          <t>17:48</t>
        </is>
      </c>
      <c r="F632" s="5" t="n">
        <v>347.5</v>
      </c>
      <c r="G632" s="5" t="n"/>
      <c r="H632" s="5" t="n"/>
      <c r="I632" s="5" t="n"/>
      <c r="J632" s="5" t="n">
        <v>69.5</v>
      </c>
      <c r="K632" s="5" t="n"/>
      <c r="L632" s="5" t="n"/>
      <c r="M632" s="5" t="n"/>
      <c r="N632" s="5" t="n"/>
      <c r="O632" s="5" t="n">
        <v>417</v>
      </c>
      <c r="P632" s="5" t="n">
        <v>417</v>
      </c>
      <c r="Q632" s="5" t="n"/>
      <c r="R632" s="5" t="n"/>
      <c r="S632" s="5">
        <f>F632*20%</f>
        <v/>
      </c>
      <c r="T632" s="5">
        <f>J632-S632</f>
        <v/>
      </c>
      <c r="U632" s="5">
        <f>F632+J632</f>
        <v/>
      </c>
      <c r="V632" s="5">
        <f>O632-U632</f>
        <v/>
      </c>
      <c r="W632" s="5">
        <f>O632-(P632+R632)</f>
        <v/>
      </c>
      <c r="X632" s="5">
        <f>O632-(P632+Q632+R632)</f>
        <v/>
      </c>
    </row>
    <row r="633">
      <c r="A633" s="2" t="inlineStr">
        <is>
          <t>EJ010225.TXT</t>
        </is>
      </c>
      <c r="B633" s="3" t="inlineStr">
        <is>
          <t>001942</t>
        </is>
      </c>
      <c r="C633" s="3" t="inlineStr">
        <is>
          <t>001240</t>
        </is>
      </c>
      <c r="D633" s="4" t="n">
        <v>45684</v>
      </c>
      <c r="E633" s="2" t="inlineStr">
        <is>
          <t>12:13</t>
        </is>
      </c>
      <c r="F633" s="5" t="n">
        <v>489.17</v>
      </c>
      <c r="G633" s="5" t="n"/>
      <c r="H633" s="5" t="n"/>
      <c r="I633" s="5" t="n"/>
      <c r="J633" s="5" t="n">
        <v>97.83</v>
      </c>
      <c r="K633" s="5" t="n"/>
      <c r="L633" s="5" t="n"/>
      <c r="M633" s="5" t="n"/>
      <c r="N633" s="5" t="n"/>
      <c r="O633" s="5" t="n">
        <v>587</v>
      </c>
      <c r="P633" s="5" t="n"/>
      <c r="Q633" s="5" t="n">
        <v>587</v>
      </c>
      <c r="R633" s="5" t="n"/>
      <c r="S633" s="5">
        <f>F633*20%</f>
        <v/>
      </c>
      <c r="T633" s="5">
        <f>J633-S633</f>
        <v/>
      </c>
      <c r="U633" s="5">
        <f>F633+J633</f>
        <v/>
      </c>
      <c r="V633" s="5">
        <f>O633-U633</f>
        <v/>
      </c>
      <c r="W633" s="5">
        <f>O633-(P633+R633)</f>
        <v/>
      </c>
      <c r="X633" s="5">
        <f>O633-(P633+Q633+R633)</f>
        <v/>
      </c>
    </row>
    <row r="634">
      <c r="A634" s="2" t="inlineStr">
        <is>
          <t>EJ010225.TXT</t>
        </is>
      </c>
      <c r="B634" s="3" t="inlineStr">
        <is>
          <t>001945</t>
        </is>
      </c>
      <c r="C634" s="3" t="inlineStr">
        <is>
          <t>001241</t>
        </is>
      </c>
      <c r="D634" s="4" t="n">
        <v>45685</v>
      </c>
      <c r="E634" s="2" t="inlineStr">
        <is>
          <t>11:34</t>
        </is>
      </c>
      <c r="F634" s="5" t="n">
        <v>274.17</v>
      </c>
      <c r="G634" s="5" t="n"/>
      <c r="H634" s="5" t="n"/>
      <c r="I634" s="5" t="n"/>
      <c r="J634" s="5" t="n">
        <v>54.83</v>
      </c>
      <c r="K634" s="5" t="n"/>
      <c r="L634" s="5" t="n"/>
      <c r="M634" s="5" t="n"/>
      <c r="N634" s="5" t="n"/>
      <c r="O634" s="5" t="n">
        <v>329</v>
      </c>
      <c r="P634" s="5" t="n">
        <v>329</v>
      </c>
      <c r="Q634" s="5" t="n"/>
      <c r="R634" s="5" t="n"/>
      <c r="S634" s="5">
        <f>F634*20%</f>
        <v/>
      </c>
      <c r="T634" s="5">
        <f>J634-S634</f>
        <v/>
      </c>
      <c r="U634" s="5">
        <f>F634+J634</f>
        <v/>
      </c>
      <c r="V634" s="5">
        <f>O634-U634</f>
        <v/>
      </c>
      <c r="W634" s="5">
        <f>O634-(P634+R634)</f>
        <v/>
      </c>
      <c r="X634" s="5">
        <f>O634-(P634+Q634+R634)</f>
        <v/>
      </c>
    </row>
    <row r="635">
      <c r="A635" s="2" t="inlineStr">
        <is>
          <t>EJ010225.TXT</t>
        </is>
      </c>
      <c r="B635" s="3" t="inlineStr">
        <is>
          <t>001946</t>
        </is>
      </c>
      <c r="C635" s="3" t="inlineStr">
        <is>
          <t>001242</t>
        </is>
      </c>
      <c r="D635" s="4" t="n">
        <v>45685</v>
      </c>
      <c r="E635" s="2" t="inlineStr">
        <is>
          <t>15:48</t>
        </is>
      </c>
      <c r="F635" s="5" t="n">
        <v>299.83</v>
      </c>
      <c r="G635" s="5" t="n"/>
      <c r="H635" s="5" t="n"/>
      <c r="I635" s="5" t="n"/>
      <c r="J635" s="5" t="n">
        <v>59.97</v>
      </c>
      <c r="K635" s="5" t="n"/>
      <c r="L635" s="5" t="n"/>
      <c r="M635" s="5" t="n"/>
      <c r="N635" s="5" t="n"/>
      <c r="O635" s="5" t="n">
        <v>359.8</v>
      </c>
      <c r="P635" s="5" t="n"/>
      <c r="Q635" s="5" t="n">
        <v>359.8</v>
      </c>
      <c r="R635" s="5" t="n"/>
      <c r="S635" s="5">
        <f>F635*20%</f>
        <v/>
      </c>
      <c r="T635" s="5">
        <f>J635-S635</f>
        <v/>
      </c>
      <c r="U635" s="5">
        <f>F635+J635</f>
        <v/>
      </c>
      <c r="V635" s="5">
        <f>O635-U635</f>
        <v/>
      </c>
      <c r="W635" s="5">
        <f>O635-(P635+R635)</f>
        <v/>
      </c>
      <c r="X635" s="5">
        <f>O635-(P635+Q635+R635)</f>
        <v/>
      </c>
    </row>
    <row r="636">
      <c r="A636" s="2" t="inlineStr">
        <is>
          <t>EJ010225.TXT</t>
        </is>
      </c>
      <c r="B636" s="3" t="inlineStr">
        <is>
          <t>001950</t>
        </is>
      </c>
      <c r="C636" s="3" t="inlineStr">
        <is>
          <t>001243</t>
        </is>
      </c>
      <c r="D636" s="4" t="n">
        <v>45686</v>
      </c>
      <c r="E636" s="2" t="inlineStr">
        <is>
          <t>16:28</t>
        </is>
      </c>
      <c r="F636" s="5" t="n">
        <v>49.92</v>
      </c>
      <c r="G636" s="5" t="n"/>
      <c r="H636" s="5" t="n"/>
      <c r="I636" s="5" t="n"/>
      <c r="J636" s="5" t="n">
        <v>9.98</v>
      </c>
      <c r="K636" s="5" t="n"/>
      <c r="L636" s="5" t="n"/>
      <c r="M636" s="5" t="n"/>
      <c r="N636" s="5" t="n"/>
      <c r="O636" s="5" t="n">
        <v>59.9</v>
      </c>
      <c r="P636" s="5" t="n">
        <v>59.9</v>
      </c>
      <c r="Q636" s="5" t="n"/>
      <c r="R636" s="5" t="n"/>
      <c r="S636" s="5">
        <f>F636*20%</f>
        <v/>
      </c>
      <c r="T636" s="5">
        <f>J636-S636</f>
        <v/>
      </c>
      <c r="U636" s="5">
        <f>F636+J636</f>
        <v/>
      </c>
      <c r="V636" s="5">
        <f>O636-U636</f>
        <v/>
      </c>
      <c r="W636" s="5">
        <f>O636-(P636+R636)</f>
        <v/>
      </c>
      <c r="X636" s="5">
        <f>O636-(P636+Q636+R636)</f>
        <v/>
      </c>
    </row>
    <row r="637">
      <c r="A637" s="2" t="inlineStr">
        <is>
          <t>EJ010225.TXT</t>
        </is>
      </c>
      <c r="B637" s="3" t="inlineStr">
        <is>
          <t>001951</t>
        </is>
      </c>
      <c r="C637" s="3" t="inlineStr">
        <is>
          <t>001244</t>
        </is>
      </c>
      <c r="D637" s="4" t="n">
        <v>45689</v>
      </c>
      <c r="E637" s="2" t="inlineStr">
        <is>
          <t>15:51</t>
        </is>
      </c>
      <c r="F637" s="5" t="n">
        <v>274.17</v>
      </c>
      <c r="G637" s="5" t="n"/>
      <c r="H637" s="5" t="n"/>
      <c r="I637" s="5" t="n"/>
      <c r="J637" s="5" t="n">
        <v>54.83</v>
      </c>
      <c r="K637" s="5" t="n"/>
      <c r="L637" s="5" t="n"/>
      <c r="M637" s="5" t="n"/>
      <c r="N637" s="5" t="n"/>
      <c r="O637" s="5" t="n">
        <v>329</v>
      </c>
      <c r="P637" s="5" t="n">
        <v>329</v>
      </c>
      <c r="Q637" s="5" t="n"/>
      <c r="R637" s="5" t="n"/>
      <c r="S637" s="5">
        <f>F637*20%</f>
        <v/>
      </c>
      <c r="T637" s="5">
        <f>J637-S637</f>
        <v/>
      </c>
      <c r="U637" s="5">
        <f>F637+J637</f>
        <v/>
      </c>
      <c r="V637" s="5">
        <f>O637-U637</f>
        <v/>
      </c>
      <c r="W637" s="5">
        <f>O637-(P637+R637)</f>
        <v/>
      </c>
      <c r="X637" s="5">
        <f>O637-(P637+Q637+R637)</f>
        <v/>
      </c>
    </row>
    <row r="638">
      <c r="A638" s="2" t="inlineStr">
        <is>
          <t>EJ010325.TXT</t>
        </is>
      </c>
      <c r="B638" s="3" t="inlineStr">
        <is>
          <t>001960</t>
        </is>
      </c>
      <c r="C638" s="3" t="inlineStr">
        <is>
          <t>001245</t>
        </is>
      </c>
      <c r="D638" s="4" t="n">
        <v>45695</v>
      </c>
      <c r="E638" s="2" t="inlineStr">
        <is>
          <t>15:24</t>
        </is>
      </c>
      <c r="F638" s="5" t="n">
        <v>274.17</v>
      </c>
      <c r="G638" s="5" t="n"/>
      <c r="H638" s="5" t="n"/>
      <c r="I638" s="5" t="n"/>
      <c r="J638" s="5" t="n">
        <v>54.83</v>
      </c>
      <c r="K638" s="5" t="n"/>
      <c r="L638" s="5" t="n"/>
      <c r="M638" s="5" t="n"/>
      <c r="N638" s="5" t="n"/>
      <c r="O638" s="5" t="n">
        <v>329</v>
      </c>
      <c r="P638" s="5" t="n"/>
      <c r="Q638" s="5" t="n">
        <v>329</v>
      </c>
      <c r="R638" s="5" t="n"/>
      <c r="S638" s="5">
        <f>F638*20%</f>
        <v/>
      </c>
      <c r="T638" s="5">
        <f>J638-S638</f>
        <v/>
      </c>
      <c r="U638" s="5">
        <f>F638+J638</f>
        <v/>
      </c>
      <c r="V638" s="5">
        <f>O638-U638</f>
        <v/>
      </c>
      <c r="W638" s="5">
        <f>O638-(P638+R638)</f>
        <v/>
      </c>
      <c r="X638" s="5">
        <f>O638-(P638+Q638+R638)</f>
        <v/>
      </c>
    </row>
    <row r="639">
      <c r="A639" s="2" t="inlineStr">
        <is>
          <t>EJ010325.TXT</t>
        </is>
      </c>
      <c r="B639" s="3" t="inlineStr">
        <is>
          <t>001962</t>
        </is>
      </c>
      <c r="C639" s="3" t="inlineStr">
        <is>
          <t>001246</t>
        </is>
      </c>
      <c r="D639" s="4" t="n">
        <v>45696</v>
      </c>
      <c r="E639" s="2" t="inlineStr">
        <is>
          <t>16:55</t>
        </is>
      </c>
      <c r="F639" s="5" t="n">
        <v>41.58</v>
      </c>
      <c r="G639" s="5" t="n"/>
      <c r="H639" s="5" t="n"/>
      <c r="I639" s="5" t="n"/>
      <c r="J639" s="5" t="n">
        <v>8.32</v>
      </c>
      <c r="K639" s="5" t="n"/>
      <c r="L639" s="5" t="n"/>
      <c r="M639" s="5" t="n"/>
      <c r="N639" s="5" t="n"/>
      <c r="O639" s="5" t="n">
        <v>49.9</v>
      </c>
      <c r="P639" s="5" t="n">
        <v>49.9</v>
      </c>
      <c r="Q639" s="5" t="n"/>
      <c r="R639" s="5" t="n"/>
      <c r="S639" s="5">
        <f>F639*20%</f>
        <v/>
      </c>
      <c r="T639" s="5">
        <f>J639-S639</f>
        <v/>
      </c>
      <c r="U639" s="5">
        <f>F639+J639</f>
        <v/>
      </c>
      <c r="V639" s="5">
        <f>O639-U639</f>
        <v/>
      </c>
      <c r="W639" s="5">
        <f>O639-(P639+R639)</f>
        <v/>
      </c>
      <c r="X639" s="5">
        <f>O639-(P639+Q639+R639)</f>
        <v/>
      </c>
    </row>
    <row r="640">
      <c r="A640" s="2" t="inlineStr">
        <is>
          <t>EJ010325.TXT</t>
        </is>
      </c>
      <c r="B640" s="3" t="inlineStr">
        <is>
          <t>001963</t>
        </is>
      </c>
      <c r="C640" s="3" t="inlineStr">
        <is>
          <t>001247</t>
        </is>
      </c>
      <c r="D640" s="4" t="n">
        <v>45698</v>
      </c>
      <c r="E640" s="2" t="inlineStr">
        <is>
          <t>11:23</t>
        </is>
      </c>
      <c r="F640" s="5" t="n">
        <v>274.17</v>
      </c>
      <c r="G640" s="5" t="n"/>
      <c r="H640" s="5" t="n"/>
      <c r="I640" s="5" t="n"/>
      <c r="J640" s="5" t="n">
        <v>54.83</v>
      </c>
      <c r="K640" s="5" t="n"/>
      <c r="L640" s="5" t="n"/>
      <c r="M640" s="5" t="n"/>
      <c r="N640" s="5" t="n"/>
      <c r="O640" s="5" t="n">
        <v>329</v>
      </c>
      <c r="P640" s="5" t="n"/>
      <c r="Q640" s="5" t="n">
        <v>329</v>
      </c>
      <c r="R640" s="5" t="n"/>
      <c r="S640" s="5">
        <f>F640*20%</f>
        <v/>
      </c>
      <c r="T640" s="5">
        <f>J640-S640</f>
        <v/>
      </c>
      <c r="U640" s="5">
        <f>F640+J640</f>
        <v/>
      </c>
      <c r="V640" s="5">
        <f>O640-U640</f>
        <v/>
      </c>
      <c r="W640" s="5">
        <f>O640-(P640+R640)</f>
        <v/>
      </c>
      <c r="X640" s="5">
        <f>O640-(P640+Q640+R640)</f>
        <v/>
      </c>
    </row>
    <row r="641">
      <c r="A641" s="2" t="inlineStr">
        <is>
          <t>EJ010325.TXT</t>
        </is>
      </c>
      <c r="B641" s="3" t="inlineStr">
        <is>
          <t>001964</t>
        </is>
      </c>
      <c r="C641" s="3" t="inlineStr">
        <is>
          <t>001248</t>
        </is>
      </c>
      <c r="D641" s="4" t="n">
        <v>45698</v>
      </c>
      <c r="E641" s="2" t="inlineStr">
        <is>
          <t>13:35</t>
        </is>
      </c>
      <c r="F641" s="5" t="n">
        <v>830</v>
      </c>
      <c r="G641" s="5" t="n"/>
      <c r="H641" s="5" t="n"/>
      <c r="I641" s="5" t="n"/>
      <c r="J641" s="5" t="n">
        <v>166</v>
      </c>
      <c r="K641" s="5" t="n"/>
      <c r="L641" s="5" t="n"/>
      <c r="M641" s="5" t="n"/>
      <c r="N641" s="5" t="n"/>
      <c r="O641" s="5" t="n">
        <v>996</v>
      </c>
      <c r="P641" s="5" t="n"/>
      <c r="Q641" s="5" t="n">
        <v>996</v>
      </c>
      <c r="R641" s="5" t="n"/>
      <c r="S641" s="5">
        <f>F641*20%</f>
        <v/>
      </c>
      <c r="T641" s="5">
        <f>J641-S641</f>
        <v/>
      </c>
      <c r="U641" s="5">
        <f>F641+J641</f>
        <v/>
      </c>
      <c r="V641" s="5">
        <f>O641-U641</f>
        <v/>
      </c>
      <c r="W641" s="5">
        <f>O641-(P641+R641)</f>
        <v/>
      </c>
      <c r="X641" s="5">
        <f>O641-(P641+Q641+R641)</f>
        <v/>
      </c>
    </row>
    <row r="642">
      <c r="A642" s="2" t="inlineStr">
        <is>
          <t>EJ010325.TXT</t>
        </is>
      </c>
      <c r="B642" s="3" t="inlineStr">
        <is>
          <t>001965</t>
        </is>
      </c>
      <c r="C642" s="3" t="inlineStr">
        <is>
          <t>001249</t>
        </is>
      </c>
      <c r="D642" s="4" t="n">
        <v>45699</v>
      </c>
      <c r="E642" s="2" t="inlineStr">
        <is>
          <t>16:48</t>
        </is>
      </c>
      <c r="F642" s="5" t="n">
        <v>57.5</v>
      </c>
      <c r="G642" s="5" t="n"/>
      <c r="H642" s="5" t="n"/>
      <c r="I642" s="5" t="n"/>
      <c r="J642" s="5" t="n">
        <v>11.5</v>
      </c>
      <c r="K642" s="5" t="n"/>
      <c r="L642" s="5" t="n"/>
      <c r="M642" s="5" t="n"/>
      <c r="N642" s="5" t="n"/>
      <c r="O642" s="5" t="n">
        <v>69</v>
      </c>
      <c r="P642" s="5" t="n"/>
      <c r="Q642" s="5" t="n">
        <v>69</v>
      </c>
      <c r="R642" s="5" t="n"/>
      <c r="S642" s="5">
        <f>F642*20%</f>
        <v/>
      </c>
      <c r="T642" s="5">
        <f>J642-S642</f>
        <v/>
      </c>
      <c r="U642" s="5">
        <f>F642+J642</f>
        <v/>
      </c>
      <c r="V642" s="5">
        <f>O642-U642</f>
        <v/>
      </c>
      <c r="W642" s="5">
        <f>O642-(P642+R642)</f>
        <v/>
      </c>
      <c r="X642" s="5">
        <f>O642-(P642+Q642+R642)</f>
        <v/>
      </c>
    </row>
    <row r="643">
      <c r="A643" s="2" t="inlineStr">
        <is>
          <t>EJ010325.TXT</t>
        </is>
      </c>
      <c r="B643" s="3" t="inlineStr">
        <is>
          <t>001968</t>
        </is>
      </c>
      <c r="C643" s="3" t="inlineStr">
        <is>
          <t>001250</t>
        </is>
      </c>
      <c r="D643" s="4" t="n">
        <v>45701</v>
      </c>
      <c r="E643" s="2" t="inlineStr">
        <is>
          <t>11:18</t>
        </is>
      </c>
      <c r="F643" s="5" t="n">
        <v>274.17</v>
      </c>
      <c r="G643" s="5" t="n"/>
      <c r="H643" s="5" t="n"/>
      <c r="I643" s="5" t="n"/>
      <c r="J643" s="5" t="n">
        <v>54.83</v>
      </c>
      <c r="K643" s="5" t="n"/>
      <c r="L643" s="5" t="n"/>
      <c r="M643" s="5" t="n"/>
      <c r="N643" s="5" t="n"/>
      <c r="O643" s="5" t="n">
        <v>329</v>
      </c>
      <c r="P643" s="5" t="n"/>
      <c r="Q643" s="5" t="n">
        <v>329</v>
      </c>
      <c r="R643" s="5" t="n"/>
      <c r="S643" s="5">
        <f>F643*20%</f>
        <v/>
      </c>
      <c r="T643" s="5">
        <f>J643-S643</f>
        <v/>
      </c>
      <c r="U643" s="5">
        <f>F643+J643</f>
        <v/>
      </c>
      <c r="V643" s="5">
        <f>O643-U643</f>
        <v/>
      </c>
      <c r="W643" s="5">
        <f>O643-(P643+R643)</f>
        <v/>
      </c>
      <c r="X643" s="5">
        <f>O643-(P643+Q643+R643)</f>
        <v/>
      </c>
    </row>
    <row r="644">
      <c r="A644" s="2" t="inlineStr">
        <is>
          <t>EJ010325.TXT</t>
        </is>
      </c>
      <c r="B644" s="3" t="inlineStr">
        <is>
          <t>001969</t>
        </is>
      </c>
      <c r="C644" s="3" t="inlineStr">
        <is>
          <t>001251</t>
        </is>
      </c>
      <c r="D644" s="4" t="n">
        <v>45703</v>
      </c>
      <c r="E644" s="2" t="inlineStr">
        <is>
          <t>14:16</t>
        </is>
      </c>
      <c r="F644" s="5" t="n">
        <v>124.17</v>
      </c>
      <c r="G644" s="5" t="n"/>
      <c r="H644" s="5" t="n"/>
      <c r="I644" s="5" t="n"/>
      <c r="J644" s="5" t="n">
        <v>24.83</v>
      </c>
      <c r="K644" s="5" t="n"/>
      <c r="L644" s="5" t="n"/>
      <c r="M644" s="5" t="n"/>
      <c r="N644" s="5" t="n"/>
      <c r="O644" s="5" t="n">
        <v>149</v>
      </c>
      <c r="P644" s="5" t="n"/>
      <c r="Q644" s="5" t="n">
        <v>149</v>
      </c>
      <c r="R644" s="5" t="n"/>
      <c r="S644" s="5">
        <f>F644*20%</f>
        <v/>
      </c>
      <c r="T644" s="5">
        <f>J644-S644</f>
        <v/>
      </c>
      <c r="U644" s="5">
        <f>F644+J644</f>
        <v/>
      </c>
      <c r="V644" s="5">
        <f>O644-U644</f>
        <v/>
      </c>
      <c r="W644" s="5">
        <f>O644-(P644+R644)</f>
        <v/>
      </c>
      <c r="X644" s="5">
        <f>O644-(P644+Q644+R644)</f>
        <v/>
      </c>
    </row>
    <row r="645">
      <c r="A645" s="2" t="inlineStr">
        <is>
          <t>EJ010325.TXT</t>
        </is>
      </c>
      <c r="B645" s="3" t="inlineStr">
        <is>
          <t>001971</t>
        </is>
      </c>
      <c r="C645" s="3" t="inlineStr">
        <is>
          <t>001252</t>
        </is>
      </c>
      <c r="D645" s="4" t="n">
        <v>45703</v>
      </c>
      <c r="E645" s="2" t="inlineStr">
        <is>
          <t>17:35</t>
        </is>
      </c>
      <c r="F645" s="5" t="n">
        <v>398.33</v>
      </c>
      <c r="G645" s="5" t="n"/>
      <c r="H645" s="5" t="n"/>
      <c r="I645" s="5" t="n"/>
      <c r="J645" s="5" t="n">
        <v>79.67</v>
      </c>
      <c r="K645" s="5" t="n"/>
      <c r="L645" s="5" t="n"/>
      <c r="M645" s="5" t="n"/>
      <c r="N645" s="5" t="n"/>
      <c r="O645" s="5" t="n">
        <v>478</v>
      </c>
      <c r="P645" s="5" t="n">
        <v>478</v>
      </c>
      <c r="Q645" s="5" t="n"/>
      <c r="R645" s="5" t="n"/>
      <c r="S645" s="5">
        <f>F645*20%</f>
        <v/>
      </c>
      <c r="T645" s="5">
        <f>J645-S645</f>
        <v/>
      </c>
      <c r="U645" s="5">
        <f>F645+J645</f>
        <v/>
      </c>
      <c r="V645" s="5">
        <f>O645-U645</f>
        <v/>
      </c>
      <c r="W645" s="5">
        <f>O645-(P645+R645)</f>
        <v/>
      </c>
      <c r="X645" s="5">
        <f>O645-(P645+Q645+R645)</f>
        <v/>
      </c>
    </row>
    <row r="646">
      <c r="A646" s="2" t="inlineStr">
        <is>
          <t>EJ010325.TXT</t>
        </is>
      </c>
      <c r="B646" s="3" t="inlineStr">
        <is>
          <t>001973</t>
        </is>
      </c>
      <c r="C646" s="3" t="inlineStr">
        <is>
          <t>001253</t>
        </is>
      </c>
      <c r="D646" s="4" t="n">
        <v>45705</v>
      </c>
      <c r="E646" s="2" t="inlineStr">
        <is>
          <t>13:42</t>
        </is>
      </c>
      <c r="F646" s="5" t="n">
        <v>548.33</v>
      </c>
      <c r="G646" s="5" t="n"/>
      <c r="H646" s="5" t="n"/>
      <c r="I646" s="5" t="n"/>
      <c r="J646" s="5" t="n">
        <v>109.67</v>
      </c>
      <c r="K646" s="5" t="n"/>
      <c r="L646" s="5" t="n"/>
      <c r="M646" s="5" t="n"/>
      <c r="N646" s="5" t="n"/>
      <c r="O646" s="5" t="n">
        <v>658</v>
      </c>
      <c r="P646" s="5" t="n">
        <v>658</v>
      </c>
      <c r="Q646" s="5" t="n"/>
      <c r="R646" s="5" t="n"/>
      <c r="S646" s="5">
        <f>F646*20%</f>
        <v/>
      </c>
      <c r="T646" s="5">
        <f>J646-S646</f>
        <v/>
      </c>
      <c r="U646" s="5">
        <f>F646+J646</f>
        <v/>
      </c>
      <c r="V646" s="5">
        <f>O646-U646</f>
        <v/>
      </c>
      <c r="W646" s="5">
        <f>O646-(P646+R646)</f>
        <v/>
      </c>
      <c r="X646" s="5">
        <f>O646-(P646+Q646+R646)</f>
        <v/>
      </c>
    </row>
    <row r="647">
      <c r="A647" s="2" t="inlineStr">
        <is>
          <t>EJ010325.TXT</t>
        </is>
      </c>
      <c r="B647" s="3" t="inlineStr">
        <is>
          <t>001974</t>
        </is>
      </c>
      <c r="C647" s="3" t="inlineStr">
        <is>
          <t>001254</t>
        </is>
      </c>
      <c r="D647" s="4" t="n">
        <v>45707</v>
      </c>
      <c r="E647" s="2" t="inlineStr">
        <is>
          <t>13:56</t>
        </is>
      </c>
      <c r="F647" s="5" t="n">
        <v>274.17</v>
      </c>
      <c r="G647" s="5" t="n"/>
      <c r="H647" s="5" t="n"/>
      <c r="I647" s="5" t="n"/>
      <c r="J647" s="5" t="n">
        <v>54.83</v>
      </c>
      <c r="K647" s="5" t="n"/>
      <c r="L647" s="5" t="n"/>
      <c r="M647" s="5" t="n"/>
      <c r="N647" s="5" t="n"/>
      <c r="O647" s="5" t="n">
        <v>329</v>
      </c>
      <c r="P647" s="5" t="n"/>
      <c r="Q647" s="5" t="n">
        <v>329</v>
      </c>
      <c r="R647" s="5" t="n"/>
      <c r="S647" s="5">
        <f>F647*20%</f>
        <v/>
      </c>
      <c r="T647" s="5">
        <f>J647-S647</f>
        <v/>
      </c>
      <c r="U647" s="5">
        <f>F647+J647</f>
        <v/>
      </c>
      <c r="V647" s="5">
        <f>O647-U647</f>
        <v/>
      </c>
      <c r="W647" s="5">
        <f>O647-(P647+R647)</f>
        <v/>
      </c>
      <c r="X647" s="5">
        <f>O647-(P647+Q647+R647)</f>
        <v/>
      </c>
    </row>
    <row r="648">
      <c r="A648" s="2" t="inlineStr">
        <is>
          <t>EJ010325.TXT</t>
        </is>
      </c>
      <c r="B648" s="3" t="inlineStr">
        <is>
          <t>001975</t>
        </is>
      </c>
      <c r="C648" s="3" t="inlineStr">
        <is>
          <t>001255</t>
        </is>
      </c>
      <c r="D648" s="4" t="n">
        <v>45710</v>
      </c>
      <c r="E648" s="2" t="inlineStr">
        <is>
          <t>17:57</t>
        </is>
      </c>
      <c r="F648" s="5" t="n">
        <v>49.92</v>
      </c>
      <c r="G648" s="5" t="n"/>
      <c r="H648" s="5" t="n"/>
      <c r="I648" s="5" t="n"/>
      <c r="J648" s="5" t="n">
        <v>9.98</v>
      </c>
      <c r="K648" s="5" t="n"/>
      <c r="L648" s="5" t="n"/>
      <c r="M648" s="5" t="n"/>
      <c r="N648" s="5" t="n"/>
      <c r="O648" s="5" t="n">
        <v>59.9</v>
      </c>
      <c r="P648" s="5" t="n">
        <v>59.9</v>
      </c>
      <c r="Q648" s="5" t="n"/>
      <c r="R648" s="5" t="n"/>
      <c r="S648" s="5">
        <f>F648*20%</f>
        <v/>
      </c>
      <c r="T648" s="5">
        <f>J648-S648</f>
        <v/>
      </c>
      <c r="U648" s="5">
        <f>F648+J648</f>
        <v/>
      </c>
      <c r="V648" s="5">
        <f>O648-U648</f>
        <v/>
      </c>
      <c r="W648" s="5">
        <f>O648-(P648+R648)</f>
        <v/>
      </c>
      <c r="X648" s="5">
        <f>O648-(P648+Q648+R648)</f>
        <v/>
      </c>
    </row>
    <row r="649">
      <c r="A649" s="2" t="inlineStr">
        <is>
          <t>EJ010325.TXT</t>
        </is>
      </c>
      <c r="B649" s="3" t="inlineStr">
        <is>
          <t>001976</t>
        </is>
      </c>
      <c r="C649" s="3" t="inlineStr">
        <is>
          <t>001256</t>
        </is>
      </c>
      <c r="D649" s="4" t="n">
        <v>45714</v>
      </c>
      <c r="E649" s="2" t="inlineStr">
        <is>
          <t>16:49</t>
        </is>
      </c>
      <c r="F649" s="5" t="n">
        <v>395</v>
      </c>
      <c r="G649" s="5" t="n"/>
      <c r="H649" s="5" t="n"/>
      <c r="I649" s="5" t="n"/>
      <c r="J649" s="5" t="n">
        <v>79</v>
      </c>
      <c r="K649" s="5" t="n"/>
      <c r="L649" s="5" t="n"/>
      <c r="M649" s="5" t="n"/>
      <c r="N649" s="5" t="n"/>
      <c r="O649" s="5" t="n">
        <v>474</v>
      </c>
      <c r="P649" s="5" t="n">
        <v>474</v>
      </c>
      <c r="Q649" s="5" t="n"/>
      <c r="R649" s="5" t="n"/>
      <c r="S649" s="5">
        <f>F649*20%</f>
        <v/>
      </c>
      <c r="T649" s="5">
        <f>J649-S649</f>
        <v/>
      </c>
      <c r="U649" s="5">
        <f>F649+J649</f>
        <v/>
      </c>
      <c r="V649" s="5">
        <f>O649-U649</f>
        <v/>
      </c>
      <c r="W649" s="5">
        <f>O649-(P649+R649)</f>
        <v/>
      </c>
      <c r="X649" s="5">
        <f>O649-(P649+Q649+R649)</f>
        <v/>
      </c>
    </row>
    <row r="650">
      <c r="A650" s="2" t="inlineStr">
        <is>
          <t>EJ010325.TXT</t>
        </is>
      </c>
      <c r="B650" s="3" t="inlineStr">
        <is>
          <t>001979</t>
        </is>
      </c>
      <c r="C650" s="3" t="inlineStr">
        <is>
          <t>001257</t>
        </is>
      </c>
      <c r="D650" s="4" t="n">
        <v>45716</v>
      </c>
      <c r="E650" s="2" t="inlineStr">
        <is>
          <t>14:59</t>
        </is>
      </c>
      <c r="F650" s="5" t="n">
        <v>274.17</v>
      </c>
      <c r="G650" s="5" t="n"/>
      <c r="H650" s="5" t="n"/>
      <c r="I650" s="5" t="n"/>
      <c r="J650" s="5" t="n">
        <v>54.83</v>
      </c>
      <c r="K650" s="5" t="n"/>
      <c r="L650" s="5" t="n"/>
      <c r="M650" s="5" t="n"/>
      <c r="N650" s="5" t="n"/>
      <c r="O650" s="5" t="n">
        <v>329</v>
      </c>
      <c r="P650" s="5" t="n">
        <v>329</v>
      </c>
      <c r="Q650" s="5" t="n"/>
      <c r="R650" s="5" t="n"/>
      <c r="S650" s="5">
        <f>F650*20%</f>
        <v/>
      </c>
      <c r="T650" s="5">
        <f>J650-S650</f>
        <v/>
      </c>
      <c r="U650" s="5">
        <f>F650+J650</f>
        <v/>
      </c>
      <c r="V650" s="5">
        <f>O650-U650</f>
        <v/>
      </c>
      <c r="W650" s="5">
        <f>O650-(P650+R650)</f>
        <v/>
      </c>
      <c r="X650" s="5">
        <f>O650-(P650+Q650+R650)</f>
        <v/>
      </c>
    </row>
    <row r="651">
      <c r="A651" s="2" t="inlineStr">
        <is>
          <t>EJ010425.TXT</t>
        </is>
      </c>
      <c r="B651" s="3" t="inlineStr">
        <is>
          <t>001991</t>
        </is>
      </c>
      <c r="C651" s="3" t="inlineStr">
        <is>
          <t>001258</t>
        </is>
      </c>
      <c r="D651" s="4" t="n">
        <v>45723</v>
      </c>
      <c r="E651" s="2" t="inlineStr">
        <is>
          <t>15:21</t>
        </is>
      </c>
      <c r="F651" s="5" t="n">
        <v>199.17</v>
      </c>
      <c r="G651" s="5" t="n"/>
      <c r="H651" s="5" t="n"/>
      <c r="I651" s="5" t="n"/>
      <c r="J651" s="5" t="n">
        <v>39.83</v>
      </c>
      <c r="K651" s="5" t="n"/>
      <c r="L651" s="5" t="n"/>
      <c r="M651" s="5" t="n"/>
      <c r="N651" s="5" t="n"/>
      <c r="O651" s="5" t="n">
        <v>239</v>
      </c>
      <c r="P651" s="5" t="n">
        <v>239</v>
      </c>
      <c r="Q651" s="5" t="n"/>
      <c r="R651" s="5" t="n"/>
      <c r="S651" s="5">
        <f>F651*20%</f>
        <v/>
      </c>
      <c r="T651" s="5">
        <f>J651-S651</f>
        <v/>
      </c>
      <c r="U651" s="5">
        <f>F651+J651</f>
        <v/>
      </c>
      <c r="V651" s="5">
        <f>O651-U651</f>
        <v/>
      </c>
      <c r="W651" s="5">
        <f>O651-(P651+R651)</f>
        <v/>
      </c>
      <c r="X651" s="5">
        <f>O651-(P651+Q651+R651)</f>
        <v/>
      </c>
    </row>
    <row r="652">
      <c r="A652" s="2" t="inlineStr">
        <is>
          <t>EJ010425.TXT</t>
        </is>
      </c>
      <c r="B652" s="3" t="inlineStr">
        <is>
          <t>001992</t>
        </is>
      </c>
      <c r="C652" s="3" t="inlineStr">
        <is>
          <t>001259</t>
        </is>
      </c>
      <c r="D652" s="4" t="n">
        <v>45728</v>
      </c>
      <c r="E652" s="2" t="inlineStr">
        <is>
          <t>15:03</t>
        </is>
      </c>
      <c r="F652" s="5" t="n">
        <v>123.25</v>
      </c>
      <c r="G652" s="5" t="n"/>
      <c r="H652" s="5" t="n"/>
      <c r="I652" s="5" t="n"/>
      <c r="J652" s="5" t="n">
        <v>24.65</v>
      </c>
      <c r="K652" s="5" t="n"/>
      <c r="L652" s="5" t="n"/>
      <c r="M652" s="5" t="n"/>
      <c r="N652" s="5" t="n"/>
      <c r="O652" s="5" t="n">
        <v>147.9</v>
      </c>
      <c r="P652" s="5" t="n">
        <v>147.9</v>
      </c>
      <c r="Q652" s="5" t="n"/>
      <c r="R652" s="5" t="n"/>
      <c r="S652" s="5">
        <f>F652*20%</f>
        <v/>
      </c>
      <c r="T652" s="5">
        <f>J652-S652</f>
        <v/>
      </c>
      <c r="U652" s="5">
        <f>F652+J652</f>
        <v/>
      </c>
      <c r="V652" s="5">
        <f>O652-U652</f>
        <v/>
      </c>
      <c r="W652" s="5">
        <f>O652-(P652+R652)</f>
        <v/>
      </c>
      <c r="X652" s="5">
        <f>O652-(P652+Q652+R652)</f>
        <v/>
      </c>
    </row>
    <row r="653">
      <c r="A653" s="2" t="inlineStr">
        <is>
          <t>EJ010425.TXT</t>
        </is>
      </c>
      <c r="B653" s="3" t="inlineStr">
        <is>
          <t>001993</t>
        </is>
      </c>
      <c r="C653" s="3" t="inlineStr">
        <is>
          <t>001260</t>
        </is>
      </c>
      <c r="D653" s="4" t="n">
        <v>45729</v>
      </c>
      <c r="E653" s="2" t="inlineStr">
        <is>
          <t>12:01</t>
        </is>
      </c>
      <c r="F653" s="5" t="n">
        <v>41.58</v>
      </c>
      <c r="G653" s="5" t="n"/>
      <c r="H653" s="5" t="n"/>
      <c r="I653" s="5" t="n"/>
      <c r="J653" s="5" t="n">
        <v>8.32</v>
      </c>
      <c r="K653" s="5" t="n"/>
      <c r="L653" s="5" t="n"/>
      <c r="M653" s="5" t="n"/>
      <c r="N653" s="5" t="n"/>
      <c r="O653" s="5" t="n">
        <v>49.9</v>
      </c>
      <c r="P653" s="5" t="n">
        <v>49.9</v>
      </c>
      <c r="Q653" s="5" t="n"/>
      <c r="R653" s="5" t="n"/>
      <c r="S653" s="5">
        <f>F653*20%</f>
        <v/>
      </c>
      <c r="T653" s="5">
        <f>J653-S653</f>
        <v/>
      </c>
      <c r="U653" s="5">
        <f>F653+J653</f>
        <v/>
      </c>
      <c r="V653" s="5">
        <f>O653-U653</f>
        <v/>
      </c>
      <c r="W653" s="5">
        <f>O653-(P653+R653)</f>
        <v/>
      </c>
      <c r="X653" s="5">
        <f>O653-(P653+Q653+R653)</f>
        <v/>
      </c>
    </row>
    <row r="654">
      <c r="A654" s="2" t="inlineStr">
        <is>
          <t>EJ010425.TXT</t>
        </is>
      </c>
      <c r="B654" s="3" t="inlineStr">
        <is>
          <t>001994</t>
        </is>
      </c>
      <c r="C654" s="3" t="inlineStr">
        <is>
          <t>001261</t>
        </is>
      </c>
      <c r="D654" s="4" t="n">
        <v>45729</v>
      </c>
      <c r="E654" s="2" t="inlineStr">
        <is>
          <t>14:51</t>
        </is>
      </c>
      <c r="F654" s="5" t="n">
        <v>274.17</v>
      </c>
      <c r="G654" s="5" t="n"/>
      <c r="H654" s="5" t="n"/>
      <c r="I654" s="5" t="n"/>
      <c r="J654" s="5" t="n">
        <v>54.83</v>
      </c>
      <c r="K654" s="5" t="n"/>
      <c r="L654" s="5" t="n"/>
      <c r="M654" s="5" t="n"/>
      <c r="N654" s="5" t="n"/>
      <c r="O654" s="5" t="n">
        <v>329</v>
      </c>
      <c r="P654" s="5" t="n">
        <v>329</v>
      </c>
      <c r="Q654" s="5" t="n"/>
      <c r="R654" s="5" t="n"/>
      <c r="S654" s="5">
        <f>F654*20%</f>
        <v/>
      </c>
      <c r="T654" s="5">
        <f>J654-S654</f>
        <v/>
      </c>
      <c r="U654" s="5">
        <f>F654+J654</f>
        <v/>
      </c>
      <c r="V654" s="5">
        <f>O654-U654</f>
        <v/>
      </c>
      <c r="W654" s="5">
        <f>O654-(P654+R654)</f>
        <v/>
      </c>
      <c r="X654" s="5">
        <f>O654-(P654+Q654+R654)</f>
        <v/>
      </c>
    </row>
    <row r="655">
      <c r="A655" s="2" t="inlineStr">
        <is>
          <t>EJ010425.TXT</t>
        </is>
      </c>
      <c r="B655" s="3" t="inlineStr">
        <is>
          <t>001995</t>
        </is>
      </c>
      <c r="C655" s="3" t="inlineStr">
        <is>
          <t>001262</t>
        </is>
      </c>
      <c r="D655" s="4" t="n">
        <v>45730</v>
      </c>
      <c r="E655" s="2" t="inlineStr">
        <is>
          <t>16:44</t>
        </is>
      </c>
      <c r="F655" s="5" t="n">
        <v>548.33</v>
      </c>
      <c r="G655" s="5" t="n"/>
      <c r="H655" s="5" t="n"/>
      <c r="I655" s="5" t="n"/>
      <c r="J655" s="5" t="n">
        <v>109.67</v>
      </c>
      <c r="K655" s="5" t="n"/>
      <c r="L655" s="5" t="n"/>
      <c r="M655" s="5" t="n"/>
      <c r="N655" s="5" t="n"/>
      <c r="O655" s="5" t="n">
        <v>658</v>
      </c>
      <c r="P655" s="5" t="n">
        <v>658</v>
      </c>
      <c r="Q655" s="5" t="n"/>
      <c r="R655" s="5" t="n"/>
      <c r="S655" s="5">
        <f>F655*20%</f>
        <v/>
      </c>
      <c r="T655" s="5">
        <f>J655-S655</f>
        <v/>
      </c>
      <c r="U655" s="5">
        <f>F655+J655</f>
        <v/>
      </c>
      <c r="V655" s="5">
        <f>O655-U655</f>
        <v/>
      </c>
      <c r="W655" s="5">
        <f>O655-(P655+R655)</f>
        <v/>
      </c>
      <c r="X655" s="5">
        <f>O655-(P655+Q655+R655)</f>
        <v/>
      </c>
    </row>
    <row r="656">
      <c r="A656" s="2" t="inlineStr">
        <is>
          <t>EJ010425.TXT</t>
        </is>
      </c>
      <c r="B656" s="3" t="inlineStr">
        <is>
          <t>001997</t>
        </is>
      </c>
      <c r="C656" s="3" t="inlineStr">
        <is>
          <t>001263</t>
        </is>
      </c>
      <c r="D656" s="4" t="n">
        <v>45731</v>
      </c>
      <c r="E656" s="2" t="inlineStr">
        <is>
          <t>17:33</t>
        </is>
      </c>
      <c r="F656" s="5" t="n">
        <v>124.17</v>
      </c>
      <c r="G656" s="5" t="n"/>
      <c r="H656" s="5" t="n"/>
      <c r="I656" s="5" t="n"/>
      <c r="J656" s="5" t="n">
        <v>24.83</v>
      </c>
      <c r="K656" s="5" t="n"/>
      <c r="L656" s="5" t="n"/>
      <c r="M656" s="5" t="n"/>
      <c r="N656" s="5" t="n"/>
      <c r="O656" s="5" t="n">
        <v>149</v>
      </c>
      <c r="P656" s="5" t="n">
        <v>149</v>
      </c>
      <c r="Q656" s="5" t="n"/>
      <c r="R656" s="5" t="n"/>
      <c r="S656" s="5">
        <f>F656*20%</f>
        <v/>
      </c>
      <c r="T656" s="5">
        <f>J656-S656</f>
        <v/>
      </c>
      <c r="U656" s="5">
        <f>F656+J656</f>
        <v/>
      </c>
      <c r="V656" s="5">
        <f>O656-U656</f>
        <v/>
      </c>
      <c r="W656" s="5">
        <f>O656-(P656+R656)</f>
        <v/>
      </c>
      <c r="X656" s="5">
        <f>O656-(P656+Q656+R656)</f>
        <v/>
      </c>
    </row>
    <row r="657">
      <c r="A657" s="2" t="inlineStr">
        <is>
          <t>EJ010425.TXT</t>
        </is>
      </c>
      <c r="B657" s="3" t="inlineStr">
        <is>
          <t>001998</t>
        </is>
      </c>
      <c r="C657" s="3" t="inlineStr">
        <is>
          <t>001264</t>
        </is>
      </c>
      <c r="D657" s="4" t="n">
        <v>45731</v>
      </c>
      <c r="E657" s="2" t="inlineStr">
        <is>
          <t>17:39</t>
        </is>
      </c>
      <c r="F657" s="5" t="n">
        <v>274.17</v>
      </c>
      <c r="G657" s="5" t="n"/>
      <c r="H657" s="5" t="n"/>
      <c r="I657" s="5" t="n"/>
      <c r="J657" s="5" t="n">
        <v>54.83</v>
      </c>
      <c r="K657" s="5" t="n"/>
      <c r="L657" s="5" t="n"/>
      <c r="M657" s="5" t="n"/>
      <c r="N657" s="5" t="n"/>
      <c r="O657" s="5" t="n">
        <v>329</v>
      </c>
      <c r="P657" s="5" t="n"/>
      <c r="Q657" s="5" t="n">
        <v>329</v>
      </c>
      <c r="R657" s="5" t="n"/>
      <c r="S657" s="5">
        <f>F657*20%</f>
        <v/>
      </c>
      <c r="T657" s="5">
        <f>J657-S657</f>
        <v/>
      </c>
      <c r="U657" s="5">
        <f>F657+J657</f>
        <v/>
      </c>
      <c r="V657" s="5">
        <f>O657-U657</f>
        <v/>
      </c>
      <c r="W657" s="5">
        <f>O657-(P657+R657)</f>
        <v/>
      </c>
      <c r="X657" s="5">
        <f>O657-(P657+Q657+R657)</f>
        <v/>
      </c>
    </row>
    <row r="658">
      <c r="A658" s="2" t="inlineStr">
        <is>
          <t>EJ010425.TXT</t>
        </is>
      </c>
      <c r="B658" s="3" t="inlineStr">
        <is>
          <t>001999</t>
        </is>
      </c>
      <c r="C658" s="3" t="inlineStr">
        <is>
          <t>001265</t>
        </is>
      </c>
      <c r="D658" s="4" t="n">
        <v>45731</v>
      </c>
      <c r="E658" s="2" t="inlineStr">
        <is>
          <t>17:58</t>
        </is>
      </c>
      <c r="F658" s="5" t="n">
        <v>1195.83</v>
      </c>
      <c r="G658" s="5" t="n"/>
      <c r="H658" s="5" t="n"/>
      <c r="I658" s="5" t="n"/>
      <c r="J658" s="5" t="n">
        <v>239.17</v>
      </c>
      <c r="K658" s="5" t="n"/>
      <c r="L658" s="5" t="n"/>
      <c r="M658" s="5" t="n"/>
      <c r="N658" s="5" t="n"/>
      <c r="O658" s="5" t="n">
        <v>1435</v>
      </c>
      <c r="P658" s="5" t="n">
        <v>1435</v>
      </c>
      <c r="Q658" s="5" t="n"/>
      <c r="R658" s="5" t="n"/>
      <c r="S658" s="5">
        <f>F658*20%</f>
        <v/>
      </c>
      <c r="T658" s="5">
        <f>J658-S658</f>
        <v/>
      </c>
      <c r="U658" s="5">
        <f>F658+J658</f>
        <v/>
      </c>
      <c r="V658" s="5">
        <f>O658-U658</f>
        <v/>
      </c>
      <c r="W658" s="5">
        <f>O658-(P658+R658)</f>
        <v/>
      </c>
      <c r="X658" s="5">
        <f>O658-(P658+Q658+R658)</f>
        <v/>
      </c>
    </row>
    <row r="659">
      <c r="A659" s="2" t="inlineStr">
        <is>
          <t>EJ010425.TXT</t>
        </is>
      </c>
      <c r="B659" s="3" t="inlineStr">
        <is>
          <t>002000</t>
        </is>
      </c>
      <c r="C659" s="3" t="inlineStr">
        <is>
          <t>001266</t>
        </is>
      </c>
      <c r="D659" s="4" t="n">
        <v>45736</v>
      </c>
      <c r="E659" s="2" t="inlineStr">
        <is>
          <t>16:21</t>
        </is>
      </c>
      <c r="F659" s="5" t="n">
        <v>36.67</v>
      </c>
      <c r="G659" s="5" t="n"/>
      <c r="H659" s="5" t="n"/>
      <c r="I659" s="5" t="n"/>
      <c r="J659" s="5" t="n">
        <v>7.33</v>
      </c>
      <c r="K659" s="5" t="n"/>
      <c r="L659" s="5" t="n"/>
      <c r="M659" s="5" t="n"/>
      <c r="N659" s="5" t="n"/>
      <c r="O659" s="5" t="n">
        <v>44</v>
      </c>
      <c r="P659" s="5" t="n">
        <v>44</v>
      </c>
      <c r="Q659" s="5" t="n"/>
      <c r="R659" s="5" t="n"/>
      <c r="S659" s="5">
        <f>F659*20%</f>
        <v/>
      </c>
      <c r="T659" s="5">
        <f>J659-S659</f>
        <v/>
      </c>
      <c r="U659" s="5">
        <f>F659+J659</f>
        <v/>
      </c>
      <c r="V659" s="5">
        <f>O659-U659</f>
        <v/>
      </c>
      <c r="W659" s="5">
        <f>O659-(P659+R659)</f>
        <v/>
      </c>
      <c r="X659" s="5">
        <f>O659-(P659+Q659+R659)</f>
        <v/>
      </c>
    </row>
    <row r="660">
      <c r="A660" s="2" t="inlineStr">
        <is>
          <t>EJ010425.TXT</t>
        </is>
      </c>
      <c r="B660" s="3" t="inlineStr">
        <is>
          <t>002001</t>
        </is>
      </c>
      <c r="C660" s="3" t="inlineStr">
        <is>
          <t>001267</t>
        </is>
      </c>
      <c r="D660" s="4" t="n">
        <v>45737</v>
      </c>
      <c r="E660" s="2" t="inlineStr">
        <is>
          <t>11:01</t>
        </is>
      </c>
      <c r="F660" s="5" t="n">
        <v>73.33</v>
      </c>
      <c r="G660" s="5" t="n"/>
      <c r="H660" s="5" t="n"/>
      <c r="I660" s="5" t="n"/>
      <c r="J660" s="5" t="n">
        <v>14.67</v>
      </c>
      <c r="K660" s="5" t="n"/>
      <c r="L660" s="5" t="n"/>
      <c r="M660" s="5" t="n"/>
      <c r="N660" s="5" t="n"/>
      <c r="O660" s="5" t="n">
        <v>88</v>
      </c>
      <c r="P660" s="5" t="n">
        <v>88</v>
      </c>
      <c r="Q660" s="5" t="n"/>
      <c r="R660" s="5" t="n"/>
      <c r="S660" s="5">
        <f>F660*20%</f>
        <v/>
      </c>
      <c r="T660" s="5">
        <f>J660-S660</f>
        <v/>
      </c>
      <c r="U660" s="5">
        <f>F660+J660</f>
        <v/>
      </c>
      <c r="V660" s="5">
        <f>O660-U660</f>
        <v/>
      </c>
      <c r="W660" s="5">
        <f>O660-(P660+R660)</f>
        <v/>
      </c>
      <c r="X660" s="5">
        <f>O660-(P660+Q660+R660)</f>
        <v/>
      </c>
    </row>
    <row r="661">
      <c r="A661" s="2" t="inlineStr">
        <is>
          <t>EJ010425.TXT</t>
        </is>
      </c>
      <c r="B661" s="3" t="inlineStr">
        <is>
          <t>002002</t>
        </is>
      </c>
      <c r="C661" s="3" t="inlineStr">
        <is>
          <t>001268</t>
        </is>
      </c>
      <c r="D661" s="4" t="n">
        <v>45738</v>
      </c>
      <c r="E661" s="2" t="inlineStr">
        <is>
          <t>13:59</t>
        </is>
      </c>
      <c r="F661" s="5" t="n">
        <v>146.67</v>
      </c>
      <c r="G661" s="5" t="n"/>
      <c r="H661" s="5" t="n"/>
      <c r="I661" s="5" t="n"/>
      <c r="J661" s="5" t="n">
        <v>29.33</v>
      </c>
      <c r="K661" s="5" t="n"/>
      <c r="L661" s="5" t="n"/>
      <c r="M661" s="5" t="n"/>
      <c r="N661" s="5" t="n"/>
      <c r="O661" s="5" t="n">
        <v>176</v>
      </c>
      <c r="P661" s="5" t="n"/>
      <c r="Q661" s="5" t="n">
        <v>176</v>
      </c>
      <c r="R661" s="5" t="n"/>
      <c r="S661" s="5">
        <f>F661*20%</f>
        <v/>
      </c>
      <c r="T661" s="5">
        <f>J661-S661</f>
        <v/>
      </c>
      <c r="U661" s="5">
        <f>F661+J661</f>
        <v/>
      </c>
      <c r="V661" s="5">
        <f>O661-U661</f>
        <v/>
      </c>
      <c r="W661" s="5">
        <f>O661-(P661+R661)</f>
        <v/>
      </c>
      <c r="X661" s="5">
        <f>O661-(P661+Q661+R661)</f>
        <v/>
      </c>
    </row>
    <row r="662">
      <c r="A662" s="2" t="inlineStr">
        <is>
          <t>EJ010425.TXT</t>
        </is>
      </c>
      <c r="B662" s="3" t="inlineStr">
        <is>
          <t>002003</t>
        </is>
      </c>
      <c r="C662" s="3" t="inlineStr">
        <is>
          <t>001269</t>
        </is>
      </c>
      <c r="D662" s="4" t="n">
        <v>45743</v>
      </c>
      <c r="E662" s="2" t="inlineStr">
        <is>
          <t>12:55</t>
        </is>
      </c>
      <c r="F662" s="5" t="n">
        <v>174.08</v>
      </c>
      <c r="G662" s="5" t="n"/>
      <c r="H662" s="5" t="n"/>
      <c r="I662" s="5" t="n"/>
      <c r="J662" s="5" t="n">
        <v>34.82</v>
      </c>
      <c r="K662" s="5" t="n"/>
      <c r="L662" s="5" t="n"/>
      <c r="M662" s="5" t="n"/>
      <c r="N662" s="5" t="n"/>
      <c r="O662" s="5" t="n">
        <v>208.9</v>
      </c>
      <c r="P662" s="5" t="n">
        <v>208.9</v>
      </c>
      <c r="Q662" s="5" t="n"/>
      <c r="R662" s="5" t="n"/>
      <c r="S662" s="5">
        <f>F662*20%</f>
        <v/>
      </c>
      <c r="T662" s="5">
        <f>J662-S662</f>
        <v/>
      </c>
      <c r="U662" s="5">
        <f>F662+J662</f>
        <v/>
      </c>
      <c r="V662" s="5">
        <f>O662-U662</f>
        <v/>
      </c>
      <c r="W662" s="5">
        <f>O662-(P662+R662)</f>
        <v/>
      </c>
      <c r="X662" s="5">
        <f>O662-(P662+Q662+R662)</f>
        <v/>
      </c>
    </row>
    <row r="663">
      <c r="A663" s="2" t="inlineStr">
        <is>
          <t>EJ020525.TXT</t>
        </is>
      </c>
      <c r="B663" s="3" t="inlineStr">
        <is>
          <t>002007</t>
        </is>
      </c>
      <c r="C663" s="3" t="inlineStr">
        <is>
          <t>001270</t>
        </is>
      </c>
      <c r="D663" s="4" t="n">
        <v>45748</v>
      </c>
      <c r="E663" s="2" t="inlineStr">
        <is>
          <t>17:04</t>
        </is>
      </c>
      <c r="F663" s="5" t="n">
        <v>822.5</v>
      </c>
      <c r="G663" s="5" t="n"/>
      <c r="H663" s="5" t="n"/>
      <c r="I663" s="5" t="n"/>
      <c r="J663" s="5" t="n">
        <v>164.5</v>
      </c>
      <c r="K663" s="5" t="n"/>
      <c r="L663" s="5" t="n"/>
      <c r="M663" s="5" t="n"/>
      <c r="N663" s="5" t="n"/>
      <c r="O663" s="5" t="n">
        <v>987</v>
      </c>
      <c r="P663" s="5" t="n"/>
      <c r="Q663" s="5" t="n">
        <v>987</v>
      </c>
      <c r="R663" s="5" t="n"/>
      <c r="S663" s="5">
        <f>F663*20%</f>
        <v/>
      </c>
      <c r="T663" s="5">
        <f>J663-S663</f>
        <v/>
      </c>
      <c r="U663" s="5">
        <f>F663+J663</f>
        <v/>
      </c>
      <c r="V663" s="5">
        <f>O663-U663</f>
        <v/>
      </c>
      <c r="W663" s="5">
        <f>O663-(P663+R663)</f>
        <v/>
      </c>
      <c r="X663" s="5">
        <f>O663-(P663+Q663+R663)</f>
        <v/>
      </c>
    </row>
    <row r="664">
      <c r="A664" s="2" t="inlineStr">
        <is>
          <t>EJ020525.TXT</t>
        </is>
      </c>
      <c r="B664" s="3" t="inlineStr">
        <is>
          <t>002012</t>
        </is>
      </c>
      <c r="C664" s="3" t="inlineStr">
        <is>
          <t>001271</t>
        </is>
      </c>
      <c r="D664" s="4" t="n">
        <v>45749</v>
      </c>
      <c r="E664" s="2" t="inlineStr">
        <is>
          <t>14:28</t>
        </is>
      </c>
      <c r="F664" s="5" t="n">
        <v>797.5</v>
      </c>
      <c r="G664" s="5" t="n"/>
      <c r="H664" s="5" t="n"/>
      <c r="I664" s="5" t="n"/>
      <c r="J664" s="5" t="n">
        <v>159.5</v>
      </c>
      <c r="K664" s="5" t="n"/>
      <c r="L664" s="5" t="n"/>
      <c r="M664" s="5" t="n"/>
      <c r="N664" s="5" t="n"/>
      <c r="O664" s="5" t="n">
        <v>957</v>
      </c>
      <c r="P664" s="5" t="n"/>
      <c r="Q664" s="5" t="n">
        <v>957</v>
      </c>
      <c r="R664" s="5" t="n"/>
      <c r="S664" s="5">
        <f>F664*20%</f>
        <v/>
      </c>
      <c r="T664" s="5">
        <f>J664-S664</f>
        <v/>
      </c>
      <c r="U664" s="5">
        <f>F664+J664</f>
        <v/>
      </c>
      <c r="V664" s="5">
        <f>O664-U664</f>
        <v/>
      </c>
      <c r="W664" s="5">
        <f>O664-(P664+R664)</f>
        <v/>
      </c>
      <c r="X664" s="5">
        <f>O664-(P664+Q664+R664)</f>
        <v/>
      </c>
    </row>
    <row r="665">
      <c r="A665" s="2" t="inlineStr">
        <is>
          <t>EJ020525.TXT</t>
        </is>
      </c>
      <c r="B665" s="3" t="inlineStr">
        <is>
          <t>002014</t>
        </is>
      </c>
      <c r="C665" s="3" t="inlineStr">
        <is>
          <t>001272</t>
        </is>
      </c>
      <c r="D665" s="4" t="n">
        <v>45751</v>
      </c>
      <c r="E665" s="2" t="inlineStr">
        <is>
          <t>10:29</t>
        </is>
      </c>
      <c r="F665" s="5" t="n">
        <v>548.33</v>
      </c>
      <c r="G665" s="5" t="n"/>
      <c r="H665" s="5" t="n"/>
      <c r="I665" s="5" t="n"/>
      <c r="J665" s="5" t="n">
        <v>109.67</v>
      </c>
      <c r="K665" s="5" t="n"/>
      <c r="L665" s="5" t="n"/>
      <c r="M665" s="5" t="n"/>
      <c r="N665" s="5" t="n"/>
      <c r="O665" s="5" t="n">
        <v>658</v>
      </c>
      <c r="P665" s="5" t="n">
        <v>658</v>
      </c>
      <c r="Q665" s="5" t="n"/>
      <c r="R665" s="5" t="n"/>
      <c r="S665" s="5">
        <f>F665*20%</f>
        <v/>
      </c>
      <c r="T665" s="5">
        <f>J665-S665</f>
        <v/>
      </c>
      <c r="U665" s="5">
        <f>F665+J665</f>
        <v/>
      </c>
      <c r="V665" s="5">
        <f>O665-U665</f>
        <v/>
      </c>
      <c r="W665" s="5">
        <f>O665-(P665+R665)</f>
        <v/>
      </c>
      <c r="X665" s="5">
        <f>O665-(P665+Q665+R665)</f>
        <v/>
      </c>
    </row>
    <row r="666">
      <c r="A666" s="2" t="inlineStr">
        <is>
          <t>EJ020525.TXT</t>
        </is>
      </c>
      <c r="B666" s="3" t="inlineStr">
        <is>
          <t>002017</t>
        </is>
      </c>
      <c r="C666" s="3" t="inlineStr">
        <is>
          <t>001273</t>
        </is>
      </c>
      <c r="D666" s="4" t="n">
        <v>45755</v>
      </c>
      <c r="E666" s="2" t="inlineStr">
        <is>
          <t>13:37</t>
        </is>
      </c>
      <c r="F666" s="5" t="n">
        <v>781.67</v>
      </c>
      <c r="G666" s="5" t="n"/>
      <c r="H666" s="5" t="n"/>
      <c r="I666" s="5" t="n"/>
      <c r="J666" s="5" t="n">
        <v>156.33</v>
      </c>
      <c r="K666" s="5" t="n"/>
      <c r="L666" s="5" t="n"/>
      <c r="M666" s="5" t="n"/>
      <c r="N666" s="5" t="n"/>
      <c r="O666" s="5" t="n">
        <v>938</v>
      </c>
      <c r="P666" s="5" t="n"/>
      <c r="Q666" s="5" t="n">
        <v>938</v>
      </c>
      <c r="R666" s="5" t="n"/>
      <c r="S666" s="5">
        <f>F666*20%</f>
        <v/>
      </c>
      <c r="T666" s="5">
        <f>J666-S666</f>
        <v/>
      </c>
      <c r="U666" s="5">
        <f>F666+J666</f>
        <v/>
      </c>
      <c r="V666" s="5">
        <f>O666-U666</f>
        <v/>
      </c>
      <c r="W666" s="5">
        <f>O666-(P666+R666)</f>
        <v/>
      </c>
      <c r="X666" s="5">
        <f>O666-(P666+Q666+R666)</f>
        <v/>
      </c>
    </row>
    <row r="667">
      <c r="A667" s="2" t="inlineStr">
        <is>
          <t>EJ020525.TXT</t>
        </is>
      </c>
      <c r="B667" s="3" t="inlineStr">
        <is>
          <t>002018</t>
        </is>
      </c>
      <c r="C667" s="3" t="inlineStr">
        <is>
          <t>001274</t>
        </is>
      </c>
      <c r="D667" s="4" t="n">
        <v>45756</v>
      </c>
      <c r="E667" s="2" t="inlineStr">
        <is>
          <t>12:38</t>
        </is>
      </c>
      <c r="F667" s="5" t="n">
        <v>57.5</v>
      </c>
      <c r="G667" s="5" t="n"/>
      <c r="H667" s="5" t="n"/>
      <c r="I667" s="5" t="n"/>
      <c r="J667" s="5" t="n">
        <v>11.5</v>
      </c>
      <c r="K667" s="5" t="n"/>
      <c r="L667" s="5" t="n"/>
      <c r="M667" s="5" t="n"/>
      <c r="N667" s="5" t="n"/>
      <c r="O667" s="5" t="n">
        <v>69</v>
      </c>
      <c r="P667" s="5" t="n">
        <v>69</v>
      </c>
      <c r="Q667" s="5" t="n"/>
      <c r="R667" s="5" t="n"/>
      <c r="S667" s="5">
        <f>F667*20%</f>
        <v/>
      </c>
      <c r="T667" s="5">
        <f>J667-S667</f>
        <v/>
      </c>
      <c r="U667" s="5">
        <f>F667+J667</f>
        <v/>
      </c>
      <c r="V667" s="5">
        <f>O667-U667</f>
        <v/>
      </c>
      <c r="W667" s="5">
        <f>O667-(P667+R667)</f>
        <v/>
      </c>
      <c r="X667" s="5">
        <f>O667-(P667+Q667+R667)</f>
        <v/>
      </c>
    </row>
    <row r="668">
      <c r="A668" s="2" t="inlineStr">
        <is>
          <t>EJ020525.TXT</t>
        </is>
      </c>
      <c r="B668" s="3" t="inlineStr">
        <is>
          <t>002019</t>
        </is>
      </c>
      <c r="C668" s="3" t="inlineStr">
        <is>
          <t>001275</t>
        </is>
      </c>
      <c r="D668" s="4" t="n">
        <v>45757</v>
      </c>
      <c r="E668" s="2" t="inlineStr">
        <is>
          <t>12:01</t>
        </is>
      </c>
      <c r="F668" s="5" t="n">
        <v>274.17</v>
      </c>
      <c r="G668" s="5" t="n"/>
      <c r="H668" s="5" t="n"/>
      <c r="I668" s="5" t="n"/>
      <c r="J668" s="5" t="n">
        <v>54.83</v>
      </c>
      <c r="K668" s="5" t="n"/>
      <c r="L668" s="5" t="n"/>
      <c r="M668" s="5" t="n"/>
      <c r="N668" s="5" t="n"/>
      <c r="O668" s="5" t="n">
        <v>329</v>
      </c>
      <c r="P668" s="5" t="n"/>
      <c r="Q668" s="5" t="n">
        <v>329</v>
      </c>
      <c r="R668" s="5" t="n"/>
      <c r="S668" s="5">
        <f>F668*20%</f>
        <v/>
      </c>
      <c r="T668" s="5">
        <f>J668-S668</f>
        <v/>
      </c>
      <c r="U668" s="5">
        <f>F668+J668</f>
        <v/>
      </c>
      <c r="V668" s="5">
        <f>O668-U668</f>
        <v/>
      </c>
      <c r="W668" s="5">
        <f>O668-(P668+R668)</f>
        <v/>
      </c>
      <c r="X668" s="5">
        <f>O668-(P668+Q668+R668)</f>
        <v/>
      </c>
    </row>
    <row r="669">
      <c r="A669" s="2" t="inlineStr">
        <is>
          <t>EJ020525.TXT</t>
        </is>
      </c>
      <c r="B669" s="3" t="inlineStr">
        <is>
          <t>002021</t>
        </is>
      </c>
      <c r="C669" s="3" t="inlineStr">
        <is>
          <t>001276</t>
        </is>
      </c>
      <c r="D669" s="4" t="n">
        <v>45757</v>
      </c>
      <c r="E669" s="2" t="inlineStr">
        <is>
          <t>15:43</t>
        </is>
      </c>
      <c r="F669" s="5" t="n">
        <v>274.17</v>
      </c>
      <c r="G669" s="5" t="n"/>
      <c r="H669" s="5" t="n"/>
      <c r="I669" s="5" t="n"/>
      <c r="J669" s="5" t="n">
        <v>54.83</v>
      </c>
      <c r="K669" s="5" t="n"/>
      <c r="L669" s="5" t="n"/>
      <c r="M669" s="5" t="n"/>
      <c r="N669" s="5" t="n"/>
      <c r="O669" s="5" t="n">
        <v>329</v>
      </c>
      <c r="P669" s="5" t="n">
        <v>329</v>
      </c>
      <c r="Q669" s="5" t="n"/>
      <c r="R669" s="5" t="n"/>
      <c r="S669" s="5">
        <f>F669*20%</f>
        <v/>
      </c>
      <c r="T669" s="5">
        <f>J669-S669</f>
        <v/>
      </c>
      <c r="U669" s="5">
        <f>F669+J669</f>
        <v/>
      </c>
      <c r="V669" s="5">
        <f>O669-U669</f>
        <v/>
      </c>
      <c r="W669" s="5">
        <f>O669-(P669+R669)</f>
        <v/>
      </c>
      <c r="X669" s="5">
        <f>O669-(P669+Q669+R669)</f>
        <v/>
      </c>
    </row>
    <row r="670">
      <c r="A670" s="2" t="inlineStr">
        <is>
          <t>EJ020525.TXT</t>
        </is>
      </c>
      <c r="B670" s="3" t="inlineStr">
        <is>
          <t>002022</t>
        </is>
      </c>
      <c r="C670" s="3" t="inlineStr">
        <is>
          <t>001277</t>
        </is>
      </c>
      <c r="D670" s="4" t="n">
        <v>45758</v>
      </c>
      <c r="E670" s="2" t="inlineStr">
        <is>
          <t>13:52</t>
        </is>
      </c>
      <c r="F670" s="5" t="n">
        <v>274.17</v>
      </c>
      <c r="G670" s="5" t="n"/>
      <c r="H670" s="5" t="n"/>
      <c r="I670" s="5" t="n"/>
      <c r="J670" s="5" t="n">
        <v>54.83</v>
      </c>
      <c r="K670" s="5" t="n"/>
      <c r="L670" s="5" t="n"/>
      <c r="M670" s="5" t="n"/>
      <c r="N670" s="5" t="n"/>
      <c r="O670" s="5" t="n">
        <v>329</v>
      </c>
      <c r="P670" s="5" t="n">
        <v>329</v>
      </c>
      <c r="Q670" s="5" t="n"/>
      <c r="R670" s="5" t="n"/>
      <c r="S670" s="5">
        <f>F670*20%</f>
        <v/>
      </c>
      <c r="T670" s="5">
        <f>J670-S670</f>
        <v/>
      </c>
      <c r="U670" s="5">
        <f>F670+J670</f>
        <v/>
      </c>
      <c r="V670" s="5">
        <f>O670-U670</f>
        <v/>
      </c>
      <c r="W670" s="5">
        <f>O670-(P670+R670)</f>
        <v/>
      </c>
      <c r="X670" s="5">
        <f>O670-(P670+Q670+R670)</f>
        <v/>
      </c>
    </row>
    <row r="671">
      <c r="A671" s="2" t="inlineStr">
        <is>
          <t>EJ020525.TXT</t>
        </is>
      </c>
      <c r="B671" s="3" t="inlineStr">
        <is>
          <t>002023</t>
        </is>
      </c>
      <c r="C671" s="3" t="inlineStr">
        <is>
          <t>001278</t>
        </is>
      </c>
      <c r="D671" s="4" t="n">
        <v>45761</v>
      </c>
      <c r="E671" s="2" t="inlineStr">
        <is>
          <t>09:40</t>
        </is>
      </c>
      <c r="F671" s="5" t="n">
        <v>726.67</v>
      </c>
      <c r="G671" s="5" t="n"/>
      <c r="H671" s="5" t="n"/>
      <c r="I671" s="5" t="n"/>
      <c r="J671" s="5" t="n">
        <v>145.33</v>
      </c>
      <c r="K671" s="5" t="n"/>
      <c r="L671" s="5" t="n"/>
      <c r="M671" s="5" t="n"/>
      <c r="N671" s="5" t="n"/>
      <c r="O671" s="5" t="n">
        <v>872</v>
      </c>
      <c r="P671" s="5" t="n"/>
      <c r="Q671" s="5" t="n">
        <v>872</v>
      </c>
      <c r="R671" s="5" t="n"/>
      <c r="S671" s="5">
        <f>F671*20%</f>
        <v/>
      </c>
      <c r="T671" s="5">
        <f>J671-S671</f>
        <v/>
      </c>
      <c r="U671" s="5">
        <f>F671+J671</f>
        <v/>
      </c>
      <c r="V671" s="5">
        <f>O671-U671</f>
        <v/>
      </c>
      <c r="W671" s="5">
        <f>O671-(P671+R671)</f>
        <v/>
      </c>
      <c r="X671" s="5">
        <f>O671-(P671+Q671+R671)</f>
        <v/>
      </c>
    </row>
    <row r="672">
      <c r="A672" s="2" t="inlineStr">
        <is>
          <t>EJ020525.TXT</t>
        </is>
      </c>
      <c r="B672" s="3" t="inlineStr">
        <is>
          <t>002024</t>
        </is>
      </c>
      <c r="C672" s="3" t="inlineStr">
        <is>
          <t>001279</t>
        </is>
      </c>
      <c r="D672" s="4" t="n">
        <v>45761</v>
      </c>
      <c r="E672" s="2" t="inlineStr">
        <is>
          <t>16:51</t>
        </is>
      </c>
      <c r="F672" s="5" t="n">
        <v>398.33</v>
      </c>
      <c r="G672" s="5" t="n"/>
      <c r="H672" s="5" t="n"/>
      <c r="I672" s="5" t="n"/>
      <c r="J672" s="5" t="n">
        <v>79.67</v>
      </c>
      <c r="K672" s="5" t="n"/>
      <c r="L672" s="5" t="n"/>
      <c r="M672" s="5" t="n"/>
      <c r="N672" s="5" t="n"/>
      <c r="O672" s="5" t="n">
        <v>478</v>
      </c>
      <c r="P672" s="5" t="n">
        <v>478</v>
      </c>
      <c r="Q672" s="5" t="n"/>
      <c r="R672" s="5" t="n"/>
      <c r="S672" s="5">
        <f>F672*20%</f>
        <v/>
      </c>
      <c r="T672" s="5">
        <f>J672-S672</f>
        <v/>
      </c>
      <c r="U672" s="5">
        <f>F672+J672</f>
        <v/>
      </c>
      <c r="V672" s="5">
        <f>O672-U672</f>
        <v/>
      </c>
      <c r="W672" s="5">
        <f>O672-(P672+R672)</f>
        <v/>
      </c>
      <c r="X672" s="5">
        <f>O672-(P672+Q672+R672)</f>
        <v/>
      </c>
    </row>
    <row r="673">
      <c r="A673" s="2" t="inlineStr">
        <is>
          <t>EJ020525.TXT</t>
        </is>
      </c>
      <c r="B673" s="3" t="inlineStr">
        <is>
          <t>002025</t>
        </is>
      </c>
      <c r="C673" s="3" t="inlineStr">
        <is>
          <t>001280</t>
        </is>
      </c>
      <c r="D673" s="4" t="n">
        <v>45762</v>
      </c>
      <c r="E673" s="2" t="inlineStr">
        <is>
          <t>11:52</t>
        </is>
      </c>
      <c r="F673" s="5" t="n">
        <v>548.33</v>
      </c>
      <c r="G673" s="5" t="n"/>
      <c r="H673" s="5" t="n"/>
      <c r="I673" s="5" t="n"/>
      <c r="J673" s="5" t="n">
        <v>109.67</v>
      </c>
      <c r="K673" s="5" t="n"/>
      <c r="L673" s="5" t="n"/>
      <c r="M673" s="5" t="n"/>
      <c r="N673" s="5" t="n"/>
      <c r="O673" s="5" t="n">
        <v>658</v>
      </c>
      <c r="P673" s="5" t="n"/>
      <c r="Q673" s="5" t="n">
        <v>658</v>
      </c>
      <c r="R673" s="5" t="n"/>
      <c r="S673" s="5">
        <f>F673*20%</f>
        <v/>
      </c>
      <c r="T673" s="5">
        <f>J673-S673</f>
        <v/>
      </c>
      <c r="U673" s="5">
        <f>F673+J673</f>
        <v/>
      </c>
      <c r="V673" s="5">
        <f>O673-U673</f>
        <v/>
      </c>
      <c r="W673" s="5">
        <f>O673-(P673+R673)</f>
        <v/>
      </c>
      <c r="X673" s="5">
        <f>O673-(P673+Q673+R673)</f>
        <v/>
      </c>
    </row>
    <row r="674">
      <c r="A674" s="2" t="inlineStr">
        <is>
          <t>EJ020525.TXT</t>
        </is>
      </c>
      <c r="B674" s="3" t="inlineStr">
        <is>
          <t>002028</t>
        </is>
      </c>
      <c r="C674" s="3" t="inlineStr">
        <is>
          <t>001281</t>
        </is>
      </c>
      <c r="D674" s="4" t="n">
        <v>45763</v>
      </c>
      <c r="E674" s="2" t="inlineStr">
        <is>
          <t>09:19</t>
        </is>
      </c>
      <c r="F674" s="5" t="n">
        <v>790.83</v>
      </c>
      <c r="G674" s="5" t="n"/>
      <c r="H674" s="5" t="n"/>
      <c r="I674" s="5" t="n"/>
      <c r="J674" s="5" t="n">
        <v>158.17</v>
      </c>
      <c r="K674" s="5" t="n"/>
      <c r="L674" s="5" t="n"/>
      <c r="M674" s="5" t="n"/>
      <c r="N674" s="5" t="n"/>
      <c r="O674" s="5" t="n">
        <v>949</v>
      </c>
      <c r="P674" s="5" t="n"/>
      <c r="Q674" s="5" t="n">
        <v>949</v>
      </c>
      <c r="R674" s="5" t="n"/>
      <c r="S674" s="5">
        <f>F674*20%</f>
        <v/>
      </c>
      <c r="T674" s="5">
        <f>J674-S674</f>
        <v/>
      </c>
      <c r="U674" s="5">
        <f>F674+J674</f>
        <v/>
      </c>
      <c r="V674" s="5">
        <f>O674-U674</f>
        <v/>
      </c>
      <c r="W674" s="5">
        <f>O674-(P674+R674)</f>
        <v/>
      </c>
      <c r="X674" s="5">
        <f>O674-(P674+Q674+R674)</f>
        <v/>
      </c>
    </row>
    <row r="675">
      <c r="A675" s="2" t="inlineStr">
        <is>
          <t>EJ020525.TXT</t>
        </is>
      </c>
      <c r="B675" s="3" t="inlineStr">
        <is>
          <t>002029</t>
        </is>
      </c>
      <c r="C675" s="3" t="inlineStr">
        <is>
          <t>001282</t>
        </is>
      </c>
      <c r="D675" s="4" t="n">
        <v>45764</v>
      </c>
      <c r="E675" s="2" t="inlineStr">
        <is>
          <t>11:57</t>
        </is>
      </c>
      <c r="F675" s="5" t="n">
        <v>73.33</v>
      </c>
      <c r="G675" s="5" t="n"/>
      <c r="H675" s="5" t="n"/>
      <c r="I675" s="5" t="n"/>
      <c r="J675" s="5" t="n">
        <v>14.67</v>
      </c>
      <c r="K675" s="5" t="n"/>
      <c r="L675" s="5" t="n"/>
      <c r="M675" s="5" t="n"/>
      <c r="N675" s="5" t="n"/>
      <c r="O675" s="5" t="n">
        <v>88</v>
      </c>
      <c r="P675" s="5" t="n">
        <v>88</v>
      </c>
      <c r="Q675" s="5" t="n"/>
      <c r="R675" s="5" t="n"/>
      <c r="S675" s="5">
        <f>F675*20%</f>
        <v/>
      </c>
      <c r="T675" s="5">
        <f>J675-S675</f>
        <v/>
      </c>
      <c r="U675" s="5">
        <f>F675+J675</f>
        <v/>
      </c>
      <c r="V675" s="5">
        <f>O675-U675</f>
        <v/>
      </c>
      <c r="W675" s="5">
        <f>O675-(P675+R675)</f>
        <v/>
      </c>
      <c r="X675" s="5">
        <f>O675-(P675+Q675+R675)</f>
        <v/>
      </c>
    </row>
    <row r="676">
      <c r="A676" s="2" t="inlineStr">
        <is>
          <t>EJ020525.TXT</t>
        </is>
      </c>
      <c r="B676" s="3" t="inlineStr">
        <is>
          <t>002031</t>
        </is>
      </c>
      <c r="C676" s="3" t="inlineStr">
        <is>
          <t>001283</t>
        </is>
      </c>
      <c r="D676" s="4" t="n">
        <v>45766</v>
      </c>
      <c r="E676" s="2" t="inlineStr">
        <is>
          <t>13:51</t>
        </is>
      </c>
      <c r="F676" s="5" t="n">
        <v>248.33</v>
      </c>
      <c r="G676" s="5" t="n"/>
      <c r="H676" s="5" t="n"/>
      <c r="I676" s="5" t="n"/>
      <c r="J676" s="5" t="n">
        <v>49.67</v>
      </c>
      <c r="K676" s="5" t="n"/>
      <c r="L676" s="5" t="n"/>
      <c r="M676" s="5" t="n"/>
      <c r="N676" s="5" t="n"/>
      <c r="O676" s="5" t="n">
        <v>298</v>
      </c>
      <c r="P676" s="5" t="n">
        <v>298</v>
      </c>
      <c r="Q676" s="5" t="n"/>
      <c r="R676" s="5" t="n"/>
      <c r="S676" s="5">
        <f>F676*20%</f>
        <v/>
      </c>
      <c r="T676" s="5">
        <f>J676-S676</f>
        <v/>
      </c>
      <c r="U676" s="5">
        <f>F676+J676</f>
        <v/>
      </c>
      <c r="V676" s="5">
        <f>O676-U676</f>
        <v/>
      </c>
      <c r="W676" s="5">
        <f>O676-(P676+R676)</f>
        <v/>
      </c>
      <c r="X676" s="5">
        <f>O676-(P676+Q676+R676)</f>
        <v/>
      </c>
    </row>
    <row r="677">
      <c r="A677" s="2" t="inlineStr">
        <is>
          <t>EJ020525.TXT</t>
        </is>
      </c>
      <c r="B677" s="3" t="inlineStr">
        <is>
          <t>002032</t>
        </is>
      </c>
      <c r="C677" s="3" t="inlineStr">
        <is>
          <t>001284</t>
        </is>
      </c>
      <c r="D677" s="4" t="n">
        <v>45769</v>
      </c>
      <c r="E677" s="2" t="inlineStr">
        <is>
          <t>09:22</t>
        </is>
      </c>
      <c r="F677" s="5" t="n">
        <v>783.33</v>
      </c>
      <c r="G677" s="5" t="n"/>
      <c r="H677" s="5" t="n"/>
      <c r="I677" s="5" t="n"/>
      <c r="J677" s="5" t="n">
        <v>156.67</v>
      </c>
      <c r="K677" s="5" t="n"/>
      <c r="L677" s="5" t="n"/>
      <c r="M677" s="5" t="n"/>
      <c r="N677" s="5" t="n"/>
      <c r="O677" s="5" t="n">
        <v>940</v>
      </c>
      <c r="P677" s="5" t="n"/>
      <c r="Q677" s="5" t="n">
        <v>940</v>
      </c>
      <c r="R677" s="5" t="n"/>
      <c r="S677" s="5">
        <f>F677*20%</f>
        <v/>
      </c>
      <c r="T677" s="5">
        <f>J677-S677</f>
        <v/>
      </c>
      <c r="U677" s="5">
        <f>F677+J677</f>
        <v/>
      </c>
      <c r="V677" s="5">
        <f>O677-U677</f>
        <v/>
      </c>
      <c r="W677" s="5">
        <f>O677-(P677+R677)</f>
        <v/>
      </c>
      <c r="X677" s="5">
        <f>O677-(P677+Q677+R677)</f>
        <v/>
      </c>
    </row>
    <row r="678">
      <c r="A678" s="2" t="inlineStr">
        <is>
          <t>EJ020525.TXT</t>
        </is>
      </c>
      <c r="B678" s="3" t="inlineStr">
        <is>
          <t>002036</t>
        </is>
      </c>
      <c r="C678" s="3" t="inlineStr">
        <is>
          <t>001285</t>
        </is>
      </c>
      <c r="D678" s="4" t="n">
        <v>45772</v>
      </c>
      <c r="E678" s="2" t="inlineStr">
        <is>
          <t>16:45</t>
        </is>
      </c>
      <c r="F678" s="5" t="n">
        <v>724.17</v>
      </c>
      <c r="G678" s="5" t="n"/>
      <c r="H678" s="5" t="n"/>
      <c r="I678" s="5" t="n"/>
      <c r="J678" s="5" t="n">
        <v>144.83</v>
      </c>
      <c r="K678" s="5" t="n"/>
      <c r="L678" s="5" t="n"/>
      <c r="M678" s="5" t="n"/>
      <c r="N678" s="5" t="n"/>
      <c r="O678" s="5" t="n">
        <v>869</v>
      </c>
      <c r="P678" s="5" t="n"/>
      <c r="Q678" s="5" t="n">
        <v>869</v>
      </c>
      <c r="R678" s="5" t="n"/>
      <c r="S678" s="5">
        <f>F678*20%</f>
        <v/>
      </c>
      <c r="T678" s="5">
        <f>J678-S678</f>
        <v/>
      </c>
      <c r="U678" s="5">
        <f>F678+J678</f>
        <v/>
      </c>
      <c r="V678" s="5">
        <f>O678-U678</f>
        <v/>
      </c>
      <c r="W678" s="5">
        <f>O678-(P678+R678)</f>
        <v/>
      </c>
      <c r="X678" s="5">
        <f>O678-(P678+Q678+R678)</f>
        <v/>
      </c>
    </row>
    <row r="679">
      <c r="A679" s="2" t="inlineStr">
        <is>
          <t>EJ020525.TXT</t>
        </is>
      </c>
      <c r="B679" s="3" t="inlineStr">
        <is>
          <t>002037</t>
        </is>
      </c>
      <c r="C679" s="3" t="inlineStr">
        <is>
          <t>001286</t>
        </is>
      </c>
      <c r="D679" s="4" t="n">
        <v>45773</v>
      </c>
      <c r="E679" s="2" t="inlineStr">
        <is>
          <t>13:11</t>
        </is>
      </c>
      <c r="F679" s="5" t="n">
        <v>822.5</v>
      </c>
      <c r="G679" s="5" t="n"/>
      <c r="H679" s="5" t="n"/>
      <c r="I679" s="5" t="n"/>
      <c r="J679" s="5" t="n">
        <v>164.5</v>
      </c>
      <c r="K679" s="5" t="n"/>
      <c r="L679" s="5" t="n"/>
      <c r="M679" s="5" t="n"/>
      <c r="N679" s="5" t="n"/>
      <c r="O679" s="5" t="n">
        <v>987</v>
      </c>
      <c r="P679" s="5" t="n"/>
      <c r="Q679" s="5" t="n">
        <v>987</v>
      </c>
      <c r="R679" s="5" t="n"/>
      <c r="S679" s="5">
        <f>F679*20%</f>
        <v/>
      </c>
      <c r="T679" s="5">
        <f>J679-S679</f>
        <v/>
      </c>
      <c r="U679" s="5">
        <f>F679+J679</f>
        <v/>
      </c>
      <c r="V679" s="5">
        <f>O679-U679</f>
        <v/>
      </c>
      <c r="W679" s="5">
        <f>O679-(P679+R679)</f>
        <v/>
      </c>
      <c r="X679" s="5">
        <f>O679-(P679+Q679+R679)</f>
        <v/>
      </c>
    </row>
    <row r="680">
      <c r="A680" s="2" t="inlineStr">
        <is>
          <t>EJ020525.TXT</t>
        </is>
      </c>
      <c r="B680" s="3" t="inlineStr">
        <is>
          <t>002038</t>
        </is>
      </c>
      <c r="C680" s="3" t="inlineStr">
        <is>
          <t>001287</t>
        </is>
      </c>
      <c r="D680" s="4" t="n">
        <v>45775</v>
      </c>
      <c r="E680" s="2" t="inlineStr">
        <is>
          <t>10:28</t>
        </is>
      </c>
      <c r="F680" s="5" t="n">
        <v>548.33</v>
      </c>
      <c r="G680" s="5" t="n"/>
      <c r="H680" s="5" t="n"/>
      <c r="I680" s="5" t="n"/>
      <c r="J680" s="5" t="n">
        <v>109.67</v>
      </c>
      <c r="K680" s="5" t="n"/>
      <c r="L680" s="5" t="n"/>
      <c r="M680" s="5" t="n"/>
      <c r="N680" s="5" t="n"/>
      <c r="O680" s="5" t="n">
        <v>658</v>
      </c>
      <c r="P680" s="5" t="n"/>
      <c r="Q680" s="5" t="n">
        <v>658</v>
      </c>
      <c r="R680" s="5" t="n"/>
      <c r="S680" s="5">
        <f>F680*20%</f>
        <v/>
      </c>
      <c r="T680" s="5">
        <f>J680-S680</f>
        <v/>
      </c>
      <c r="U680" s="5">
        <f>F680+J680</f>
        <v/>
      </c>
      <c r="V680" s="5">
        <f>O680-U680</f>
        <v/>
      </c>
      <c r="W680" s="5">
        <f>O680-(P680+R680)</f>
        <v/>
      </c>
      <c r="X680" s="5">
        <f>O680-(P680+Q680+R680)</f>
        <v/>
      </c>
    </row>
    <row r="681">
      <c r="A681" s="2" t="inlineStr">
        <is>
          <t>EJ020525.TXT</t>
        </is>
      </c>
      <c r="B681" s="3" t="inlineStr">
        <is>
          <t>002039</t>
        </is>
      </c>
      <c r="C681" s="3" t="inlineStr">
        <is>
          <t>001288</t>
        </is>
      </c>
      <c r="D681" s="4" t="n">
        <v>45776</v>
      </c>
      <c r="E681" s="2" t="inlineStr">
        <is>
          <t>16:20</t>
        </is>
      </c>
      <c r="F681" s="5" t="n">
        <v>1096.67</v>
      </c>
      <c r="G681" s="5" t="n"/>
      <c r="H681" s="5" t="n"/>
      <c r="I681" s="5" t="n"/>
      <c r="J681" s="5" t="n">
        <v>219.33</v>
      </c>
      <c r="K681" s="5" t="n"/>
      <c r="L681" s="5" t="n"/>
      <c r="M681" s="5" t="n"/>
      <c r="N681" s="5" t="n"/>
      <c r="O681" s="5" t="n">
        <v>1316</v>
      </c>
      <c r="P681" s="5" t="n">
        <v>1316</v>
      </c>
      <c r="Q681" s="5" t="n"/>
      <c r="R681" s="5" t="n"/>
      <c r="S681" s="5">
        <f>F681*20%</f>
        <v/>
      </c>
      <c r="T681" s="5">
        <f>J681-S681</f>
        <v/>
      </c>
      <c r="U681" s="5">
        <f>F681+J681</f>
        <v/>
      </c>
      <c r="V681" s="5">
        <f>O681-U681</f>
        <v/>
      </c>
      <c r="W681" s="5">
        <f>O681-(P681+R681)</f>
        <v/>
      </c>
      <c r="X681" s="5">
        <f>O681-(P681+Q681+R681)</f>
        <v/>
      </c>
    </row>
    <row r="682">
      <c r="A682" s="2" t="inlineStr">
        <is>
          <t>EJ020525.TXT</t>
        </is>
      </c>
      <c r="B682" s="3" t="inlineStr">
        <is>
          <t>002040</t>
        </is>
      </c>
      <c r="C682" s="3" t="inlineStr">
        <is>
          <t>001289</t>
        </is>
      </c>
      <c r="D682" s="4" t="n">
        <v>45777</v>
      </c>
      <c r="E682" s="2" t="inlineStr">
        <is>
          <t>08:48</t>
        </is>
      </c>
      <c r="F682" s="5" t="n">
        <v>405</v>
      </c>
      <c r="G682" s="5" t="n"/>
      <c r="H682" s="5" t="n"/>
      <c r="I682" s="5" t="n"/>
      <c r="J682" s="5" t="n">
        <v>81</v>
      </c>
      <c r="K682" s="5" t="n"/>
      <c r="L682" s="5" t="n"/>
      <c r="M682" s="5" t="n"/>
      <c r="N682" s="5" t="n"/>
      <c r="O682" s="5" t="n">
        <v>486</v>
      </c>
      <c r="P682" s="5" t="n"/>
      <c r="Q682" s="5" t="n">
        <v>486</v>
      </c>
      <c r="R682" s="5" t="n"/>
      <c r="S682" s="5">
        <f>F682*20%</f>
        <v/>
      </c>
      <c r="T682" s="5">
        <f>J682-S682</f>
        <v/>
      </c>
      <c r="U682" s="5">
        <f>F682+J682</f>
        <v/>
      </c>
      <c r="V682" s="5">
        <f>O682-U682</f>
        <v/>
      </c>
      <c r="W682" s="5">
        <f>O682-(P682+R682)</f>
        <v/>
      </c>
      <c r="X682" s="5">
        <f>O682-(P682+Q682+R682)</f>
        <v/>
      </c>
    </row>
    <row r="683">
      <c r="A683" s="2" t="inlineStr">
        <is>
          <t>EJ020625.TXT</t>
        </is>
      </c>
      <c r="B683" s="3" t="inlineStr">
        <is>
          <t>002045</t>
        </is>
      </c>
      <c r="C683" s="3" t="inlineStr">
        <is>
          <t>001290</t>
        </is>
      </c>
      <c r="D683" s="4" t="n">
        <v>45779</v>
      </c>
      <c r="E683" s="2" t="inlineStr">
        <is>
          <t>09:50</t>
        </is>
      </c>
      <c r="F683" s="5" t="n">
        <v>265.83</v>
      </c>
      <c r="G683" s="5" t="n"/>
      <c r="H683" s="5" t="n"/>
      <c r="I683" s="5" t="n"/>
      <c r="J683" s="5" t="n">
        <v>53.17</v>
      </c>
      <c r="K683" s="5" t="n"/>
      <c r="L683" s="5" t="n"/>
      <c r="M683" s="5" t="n"/>
      <c r="N683" s="5" t="n"/>
      <c r="O683" s="5" t="n">
        <v>319</v>
      </c>
      <c r="P683" s="5" t="n"/>
      <c r="Q683" s="5" t="n">
        <v>319</v>
      </c>
      <c r="R683" s="5" t="n"/>
      <c r="S683" s="5">
        <f>F683*20%</f>
        <v/>
      </c>
      <c r="T683" s="5">
        <f>J683-S683</f>
        <v/>
      </c>
      <c r="U683" s="5">
        <f>F683+J683</f>
        <v/>
      </c>
      <c r="V683" s="5">
        <f>O683-U683</f>
        <v/>
      </c>
      <c r="W683" s="5">
        <f>O683-(P683+R683)</f>
        <v/>
      </c>
      <c r="X683" s="5">
        <f>O683-(P683+Q683+R683)</f>
        <v/>
      </c>
    </row>
    <row r="684">
      <c r="A684" s="2" t="inlineStr">
        <is>
          <t>EJ020625.TXT</t>
        </is>
      </c>
      <c r="B684" s="3" t="inlineStr">
        <is>
          <t>002047</t>
        </is>
      </c>
      <c r="C684" s="3" t="inlineStr">
        <is>
          <t>001291</t>
        </is>
      </c>
      <c r="D684" s="4" t="n">
        <v>45779</v>
      </c>
      <c r="E684" s="2" t="inlineStr">
        <is>
          <t>16:26</t>
        </is>
      </c>
      <c r="F684" s="5" t="n">
        <v>293.33</v>
      </c>
      <c r="G684" s="5" t="n"/>
      <c r="H684" s="5" t="n"/>
      <c r="I684" s="5" t="n"/>
      <c r="J684" s="5" t="n">
        <v>58.67</v>
      </c>
      <c r="K684" s="5" t="n"/>
      <c r="L684" s="5" t="n"/>
      <c r="M684" s="5" t="n"/>
      <c r="N684" s="5" t="n"/>
      <c r="O684" s="5" t="n">
        <v>352</v>
      </c>
      <c r="P684" s="5" t="n">
        <v>352</v>
      </c>
      <c r="Q684" s="5" t="n"/>
      <c r="R684" s="5" t="n"/>
      <c r="S684" s="5">
        <f>F684*20%</f>
        <v/>
      </c>
      <c r="T684" s="5">
        <f>J684-S684</f>
        <v/>
      </c>
      <c r="U684" s="5">
        <f>F684+J684</f>
        <v/>
      </c>
      <c r="V684" s="5">
        <f>O684-U684</f>
        <v/>
      </c>
      <c r="W684" s="5">
        <f>O684-(P684+R684)</f>
        <v/>
      </c>
      <c r="X684" s="5">
        <f>O684-(P684+Q684+R684)</f>
        <v/>
      </c>
    </row>
    <row r="685">
      <c r="A685" s="2" t="inlineStr">
        <is>
          <t>EJ020625.TXT</t>
        </is>
      </c>
      <c r="B685" s="3" t="inlineStr">
        <is>
          <t>002048</t>
        </is>
      </c>
      <c r="C685" s="3" t="inlineStr">
        <is>
          <t>001292</t>
        </is>
      </c>
      <c r="D685" s="4" t="n">
        <v>45782</v>
      </c>
      <c r="E685" s="2" t="inlineStr">
        <is>
          <t>13:29</t>
        </is>
      </c>
      <c r="F685" s="5" t="n">
        <v>33.33</v>
      </c>
      <c r="G685" s="5" t="n"/>
      <c r="H685" s="5" t="n"/>
      <c r="I685" s="5" t="n"/>
      <c r="J685" s="5" t="n">
        <v>6.67</v>
      </c>
      <c r="K685" s="5" t="n"/>
      <c r="L685" s="5" t="n"/>
      <c r="M685" s="5" t="n"/>
      <c r="N685" s="5" t="n"/>
      <c r="O685" s="5" t="n">
        <v>40</v>
      </c>
      <c r="P685" s="5" t="n"/>
      <c r="Q685" s="5" t="n"/>
      <c r="R685" s="5" t="n">
        <v>40</v>
      </c>
      <c r="S685" s="5">
        <f>F685*20%</f>
        <v/>
      </c>
      <c r="T685" s="5">
        <f>J685-S685</f>
        <v/>
      </c>
      <c r="U685" s="5">
        <f>F685+J685</f>
        <v/>
      </c>
      <c r="V685" s="5">
        <f>O685-U685</f>
        <v/>
      </c>
      <c r="W685" s="5">
        <f>O685-(P685+R685)</f>
        <v/>
      </c>
      <c r="X685" s="5">
        <f>O685-(P685+Q685+R685)</f>
        <v/>
      </c>
    </row>
    <row r="686">
      <c r="A686" s="2" t="inlineStr">
        <is>
          <t>EJ020625.TXT</t>
        </is>
      </c>
      <c r="B686" s="3" t="inlineStr">
        <is>
          <t>002049</t>
        </is>
      </c>
      <c r="C686" s="3" t="inlineStr">
        <is>
          <t>001293</t>
        </is>
      </c>
      <c r="D686" s="4" t="n">
        <v>45786</v>
      </c>
      <c r="E686" s="2" t="inlineStr">
        <is>
          <t>12:49</t>
        </is>
      </c>
      <c r="F686" s="5" t="n">
        <v>73.33</v>
      </c>
      <c r="G686" s="5" t="n"/>
      <c r="H686" s="5" t="n"/>
      <c r="I686" s="5" t="n"/>
      <c r="J686" s="5" t="n">
        <v>14.67</v>
      </c>
      <c r="K686" s="5" t="n"/>
      <c r="L686" s="5" t="n"/>
      <c r="M686" s="5" t="n"/>
      <c r="N686" s="5" t="n"/>
      <c r="O686" s="5" t="n">
        <v>88</v>
      </c>
      <c r="P686" s="5" t="n">
        <v>88</v>
      </c>
      <c r="Q686" s="5" t="n"/>
      <c r="R686" s="5" t="n"/>
      <c r="S686" s="5">
        <f>F686*20%</f>
        <v/>
      </c>
      <c r="T686" s="5">
        <f>J686-S686</f>
        <v/>
      </c>
      <c r="U686" s="5">
        <f>F686+J686</f>
        <v/>
      </c>
      <c r="V686" s="5">
        <f>O686-U686</f>
        <v/>
      </c>
      <c r="W686" s="5">
        <f>O686-(P686+R686)</f>
        <v/>
      </c>
      <c r="X686" s="5">
        <f>O686-(P686+Q686+R686)</f>
        <v/>
      </c>
    </row>
    <row r="687">
      <c r="A687" s="2" t="inlineStr">
        <is>
          <t>EJ020625.TXT</t>
        </is>
      </c>
      <c r="B687" s="3" t="inlineStr">
        <is>
          <t>002057</t>
        </is>
      </c>
      <c r="C687" s="3" t="inlineStr">
        <is>
          <t>001294</t>
        </is>
      </c>
      <c r="D687" s="4" t="n">
        <v>45792</v>
      </c>
      <c r="E687" s="2" t="inlineStr">
        <is>
          <t>16:08</t>
        </is>
      </c>
      <c r="F687" s="5" t="n">
        <v>465.83</v>
      </c>
      <c r="G687" s="5" t="n"/>
      <c r="H687" s="5" t="n"/>
      <c r="I687" s="5" t="n"/>
      <c r="J687" s="5" t="n">
        <v>93.17</v>
      </c>
      <c r="K687" s="5" t="n"/>
      <c r="L687" s="5" t="n"/>
      <c r="M687" s="5" t="n"/>
      <c r="N687" s="5" t="n"/>
      <c r="O687" s="5" t="n">
        <v>559</v>
      </c>
      <c r="P687" s="5" t="n"/>
      <c r="Q687" s="5" t="n">
        <v>559</v>
      </c>
      <c r="R687" s="5" t="n"/>
      <c r="S687" s="5">
        <f>F687*20%</f>
        <v/>
      </c>
      <c r="T687" s="5">
        <f>J687-S687</f>
        <v/>
      </c>
      <c r="U687" s="5">
        <f>F687+J687</f>
        <v/>
      </c>
      <c r="V687" s="5">
        <f>O687-U687</f>
        <v/>
      </c>
      <c r="W687" s="5">
        <f>O687-(P687+R687)</f>
        <v/>
      </c>
      <c r="X687" s="5">
        <f>O687-(P687+Q687+R687)</f>
        <v/>
      </c>
    </row>
    <row r="688">
      <c r="A688" s="2" t="inlineStr">
        <is>
          <t>EJ020625.TXT</t>
        </is>
      </c>
      <c r="B688" s="3" t="inlineStr">
        <is>
          <t>002058</t>
        </is>
      </c>
      <c r="C688" s="3" t="inlineStr">
        <is>
          <t>001295</t>
        </is>
      </c>
      <c r="D688" s="4" t="n">
        <v>45792</v>
      </c>
      <c r="E688" s="2" t="inlineStr">
        <is>
          <t>16:08</t>
        </is>
      </c>
      <c r="F688" s="5" t="n">
        <v>465.83</v>
      </c>
      <c r="G688" s="5" t="n"/>
      <c r="H688" s="5" t="n"/>
      <c r="I688" s="5" t="n"/>
      <c r="J688" s="5" t="n">
        <v>93.17</v>
      </c>
      <c r="K688" s="5" t="n"/>
      <c r="L688" s="5" t="n"/>
      <c r="M688" s="5" t="n"/>
      <c r="N688" s="5" t="n"/>
      <c r="O688" s="5" t="n">
        <v>559</v>
      </c>
      <c r="P688" s="5" t="n"/>
      <c r="Q688" s="5" t="n">
        <v>559</v>
      </c>
      <c r="R688" s="5" t="n"/>
      <c r="S688" s="5">
        <f>F688*20%</f>
        <v/>
      </c>
      <c r="T688" s="5">
        <f>J688-S688</f>
        <v/>
      </c>
      <c r="U688" s="5">
        <f>F688+J688</f>
        <v/>
      </c>
      <c r="V688" s="5">
        <f>O688-U688</f>
        <v/>
      </c>
      <c r="W688" s="5">
        <f>O688-(P688+R688)</f>
        <v/>
      </c>
      <c r="X688" s="5">
        <f>O688-(P688+Q688+R688)</f>
        <v/>
      </c>
    </row>
    <row r="689">
      <c r="A689" s="2" t="inlineStr">
        <is>
          <t>EJ020625.TXT</t>
        </is>
      </c>
      <c r="B689" s="3" t="inlineStr">
        <is>
          <t>002059</t>
        </is>
      </c>
      <c r="C689" s="3" t="inlineStr">
        <is>
          <t>001296</t>
        </is>
      </c>
      <c r="D689" s="4" t="n">
        <v>45793</v>
      </c>
      <c r="E689" s="2" t="inlineStr">
        <is>
          <t>09:50</t>
        </is>
      </c>
      <c r="F689" s="5" t="n">
        <v>36.67</v>
      </c>
      <c r="G689" s="5" t="n"/>
      <c r="H689" s="5" t="n"/>
      <c r="I689" s="5" t="n"/>
      <c r="J689" s="5" t="n">
        <v>7.33</v>
      </c>
      <c r="K689" s="5" t="n"/>
      <c r="L689" s="5" t="n"/>
      <c r="M689" s="5" t="n"/>
      <c r="N689" s="5" t="n"/>
      <c r="O689" s="5" t="n">
        <v>44</v>
      </c>
      <c r="P689" s="5" t="n">
        <v>44</v>
      </c>
      <c r="Q689" s="5" t="n"/>
      <c r="R689" s="5" t="n"/>
      <c r="S689" s="5">
        <f>F689*20%</f>
        <v/>
      </c>
      <c r="T689" s="5">
        <f>J689-S689</f>
        <v/>
      </c>
      <c r="U689" s="5">
        <f>F689+J689</f>
        <v/>
      </c>
      <c r="V689" s="5">
        <f>O689-U689</f>
        <v/>
      </c>
      <c r="W689" s="5">
        <f>O689-(P689+R689)</f>
        <v/>
      </c>
      <c r="X689" s="5">
        <f>O689-(P689+Q689+R689)</f>
        <v/>
      </c>
    </row>
    <row r="690">
      <c r="A690" s="2" t="inlineStr">
        <is>
          <t>EJ020625.TXT</t>
        </is>
      </c>
      <c r="B690" s="3" t="inlineStr">
        <is>
          <t>002060</t>
        </is>
      </c>
      <c r="C690" s="3" t="inlineStr">
        <is>
          <t>001297</t>
        </is>
      </c>
      <c r="D690" s="4" t="n">
        <v>45793</v>
      </c>
      <c r="E690" s="2" t="inlineStr">
        <is>
          <t>14:48</t>
        </is>
      </c>
      <c r="F690" s="5" t="n">
        <v>274.17</v>
      </c>
      <c r="G690" s="5" t="n"/>
      <c r="H690" s="5" t="n"/>
      <c r="I690" s="5" t="n"/>
      <c r="J690" s="5" t="n">
        <v>54.83</v>
      </c>
      <c r="K690" s="5" t="n"/>
      <c r="L690" s="5" t="n"/>
      <c r="M690" s="5" t="n"/>
      <c r="N690" s="5" t="n"/>
      <c r="O690" s="5" t="n">
        <v>329</v>
      </c>
      <c r="P690" s="5" t="n"/>
      <c r="Q690" s="5" t="n">
        <v>329</v>
      </c>
      <c r="R690" s="5" t="n"/>
      <c r="S690" s="5">
        <f>F690*20%</f>
        <v/>
      </c>
      <c r="T690" s="5">
        <f>J690-S690</f>
        <v/>
      </c>
      <c r="U690" s="5">
        <f>F690+J690</f>
        <v/>
      </c>
      <c r="V690" s="5">
        <f>O690-U690</f>
        <v/>
      </c>
      <c r="W690" s="5">
        <f>O690-(P690+R690)</f>
        <v/>
      </c>
      <c r="X690" s="5">
        <f>O690-(P690+Q690+R690)</f>
        <v/>
      </c>
    </row>
    <row r="691">
      <c r="A691" s="2" t="inlineStr">
        <is>
          <t>EJ020625.TXT</t>
        </is>
      </c>
      <c r="B691" s="3" t="inlineStr">
        <is>
          <t>002062</t>
        </is>
      </c>
      <c r="C691" s="3" t="inlineStr">
        <is>
          <t>001298</t>
        </is>
      </c>
      <c r="D691" s="4" t="n">
        <v>45794</v>
      </c>
      <c r="E691" s="2" t="inlineStr">
        <is>
          <t>14:04</t>
        </is>
      </c>
      <c r="F691" s="5" t="n">
        <v>274.17</v>
      </c>
      <c r="G691" s="5" t="n"/>
      <c r="H691" s="5" t="n"/>
      <c r="I691" s="5" t="n"/>
      <c r="J691" s="5" t="n">
        <v>54.83</v>
      </c>
      <c r="K691" s="5" t="n"/>
      <c r="L691" s="5" t="n"/>
      <c r="M691" s="5" t="n"/>
      <c r="N691" s="5" t="n"/>
      <c r="O691" s="5" t="n">
        <v>329</v>
      </c>
      <c r="P691" s="5" t="n">
        <v>329</v>
      </c>
      <c r="Q691" s="5" t="n"/>
      <c r="R691" s="5" t="n"/>
      <c r="S691" s="5">
        <f>F691*20%</f>
        <v/>
      </c>
      <c r="T691" s="5">
        <f>J691-S691</f>
        <v/>
      </c>
      <c r="U691" s="5">
        <f>F691+J691</f>
        <v/>
      </c>
      <c r="V691" s="5">
        <f>O691-U691</f>
        <v/>
      </c>
      <c r="W691" s="5">
        <f>O691-(P691+R691)</f>
        <v/>
      </c>
      <c r="X691" s="5">
        <f>O691-(P691+Q691+R691)</f>
        <v/>
      </c>
    </row>
    <row r="692">
      <c r="A692" s="2" t="inlineStr">
        <is>
          <t>EJ020625.TXT</t>
        </is>
      </c>
      <c r="B692" s="3" t="inlineStr">
        <is>
          <t>002063</t>
        </is>
      </c>
      <c r="C692" s="3" t="inlineStr">
        <is>
          <t>001299</t>
        </is>
      </c>
      <c r="D692" s="4" t="n">
        <v>45796</v>
      </c>
      <c r="E692" s="2" t="inlineStr">
        <is>
          <t>16:20</t>
        </is>
      </c>
      <c r="F692" s="5" t="n">
        <v>41.58</v>
      </c>
      <c r="G692" s="5" t="n"/>
      <c r="H692" s="5" t="n"/>
      <c r="I692" s="5" t="n"/>
      <c r="J692" s="5" t="n">
        <v>8.32</v>
      </c>
      <c r="K692" s="5" t="n"/>
      <c r="L692" s="5" t="n"/>
      <c r="M692" s="5" t="n"/>
      <c r="N692" s="5" t="n"/>
      <c r="O692" s="5" t="n">
        <v>49.9</v>
      </c>
      <c r="P692" s="5" t="n">
        <v>49.9</v>
      </c>
      <c r="Q692" s="5" t="n"/>
      <c r="R692" s="5" t="n"/>
      <c r="S692" s="5">
        <f>F692*20%</f>
        <v/>
      </c>
      <c r="T692" s="5">
        <f>J692-S692</f>
        <v/>
      </c>
      <c r="U692" s="5">
        <f>F692+J692</f>
        <v/>
      </c>
      <c r="V692" s="5">
        <f>O692-U692</f>
        <v/>
      </c>
      <c r="W692" s="5">
        <f>O692-(P692+R692)</f>
        <v/>
      </c>
      <c r="X692" s="5">
        <f>O692-(P692+Q692+R692)</f>
        <v/>
      </c>
    </row>
    <row r="693">
      <c r="A693" s="2" t="inlineStr">
        <is>
          <t>EJ020625.TXT</t>
        </is>
      </c>
      <c r="B693" s="3" t="inlineStr">
        <is>
          <t>002064</t>
        </is>
      </c>
      <c r="C693" s="3" t="inlineStr">
        <is>
          <t>001300</t>
        </is>
      </c>
      <c r="D693" s="4" t="n">
        <v>45797</v>
      </c>
      <c r="E693" s="2" t="inlineStr">
        <is>
          <t>14:19</t>
        </is>
      </c>
      <c r="F693" s="5" t="n">
        <v>207.5</v>
      </c>
      <c r="G693" s="5" t="n"/>
      <c r="H693" s="5" t="n"/>
      <c r="I693" s="5" t="n"/>
      <c r="J693" s="5" t="n">
        <v>41.5</v>
      </c>
      <c r="K693" s="5" t="n"/>
      <c r="L693" s="5" t="n"/>
      <c r="M693" s="5" t="n"/>
      <c r="N693" s="5" t="n"/>
      <c r="O693" s="5" t="n">
        <v>249</v>
      </c>
      <c r="P693" s="5" t="n">
        <v>249</v>
      </c>
      <c r="Q693" s="5" t="n"/>
      <c r="R693" s="5" t="n"/>
      <c r="S693" s="5">
        <f>F693*20%</f>
        <v/>
      </c>
      <c r="T693" s="5">
        <f>J693-S693</f>
        <v/>
      </c>
      <c r="U693" s="5">
        <f>F693+J693</f>
        <v/>
      </c>
      <c r="V693" s="5">
        <f>O693-U693</f>
        <v/>
      </c>
      <c r="W693" s="5">
        <f>O693-(P693+R693)</f>
        <v/>
      </c>
      <c r="X693" s="5">
        <f>O693-(P693+Q693+R693)</f>
        <v/>
      </c>
    </row>
    <row r="694">
      <c r="A694" s="2" t="inlineStr">
        <is>
          <t>EJ020625.TXT</t>
        </is>
      </c>
      <c r="B694" s="3" t="inlineStr">
        <is>
          <t>002067</t>
        </is>
      </c>
      <c r="C694" s="3" t="inlineStr">
        <is>
          <t>001301</t>
        </is>
      </c>
      <c r="D694" s="4" t="n">
        <v>45803</v>
      </c>
      <c r="E694" s="2" t="inlineStr">
        <is>
          <t>08:55</t>
        </is>
      </c>
      <c r="F694" s="5" t="n">
        <v>548.33</v>
      </c>
      <c r="G694" s="5" t="n"/>
      <c r="H694" s="5" t="n"/>
      <c r="I694" s="5" t="n"/>
      <c r="J694" s="5" t="n">
        <v>109.67</v>
      </c>
      <c r="K694" s="5" t="n"/>
      <c r="L694" s="5" t="n"/>
      <c r="M694" s="5" t="n"/>
      <c r="N694" s="5" t="n"/>
      <c r="O694" s="5" t="n">
        <v>658</v>
      </c>
      <c r="P694" s="5" t="n"/>
      <c r="Q694" s="5" t="n">
        <v>658</v>
      </c>
      <c r="R694" s="5" t="n"/>
      <c r="S694" s="5">
        <f>F694*20%</f>
        <v/>
      </c>
      <c r="T694" s="5">
        <f>J694-S694</f>
        <v/>
      </c>
      <c r="U694" s="5">
        <f>F694+J694</f>
        <v/>
      </c>
      <c r="V694" s="5">
        <f>O694-U694</f>
        <v/>
      </c>
      <c r="W694" s="5">
        <f>O694-(P694+R694)</f>
        <v/>
      </c>
      <c r="X694" s="5">
        <f>O694-(P694+Q694+R694)</f>
        <v/>
      </c>
    </row>
    <row r="695">
      <c r="A695" s="2" t="inlineStr">
        <is>
          <t>EJ020625.TXT</t>
        </is>
      </c>
      <c r="B695" s="3" t="inlineStr">
        <is>
          <t>002068</t>
        </is>
      </c>
      <c r="C695" s="3" t="inlineStr">
        <is>
          <t>001302</t>
        </is>
      </c>
      <c r="D695" s="4" t="n">
        <v>45805</v>
      </c>
      <c r="E695" s="2" t="inlineStr">
        <is>
          <t>16:08</t>
        </is>
      </c>
      <c r="F695" s="5" t="n">
        <v>41.58</v>
      </c>
      <c r="G695" s="5" t="n"/>
      <c r="H695" s="5" t="n"/>
      <c r="I695" s="5" t="n"/>
      <c r="J695" s="5" t="n">
        <v>8.32</v>
      </c>
      <c r="K695" s="5" t="n"/>
      <c r="L695" s="5" t="n"/>
      <c r="M695" s="5" t="n"/>
      <c r="N695" s="5" t="n"/>
      <c r="O695" s="5" t="n">
        <v>49.9</v>
      </c>
      <c r="P695" s="5" t="n">
        <v>49.9</v>
      </c>
      <c r="Q695" s="5" t="n"/>
      <c r="R695" s="5" t="n"/>
      <c r="S695" s="5">
        <f>F695*20%</f>
        <v/>
      </c>
      <c r="T695" s="5">
        <f>J695-S695</f>
        <v/>
      </c>
      <c r="U695" s="5">
        <f>F695+J695</f>
        <v/>
      </c>
      <c r="V695" s="5">
        <f>O695-U695</f>
        <v/>
      </c>
      <c r="W695" s="5">
        <f>O695-(P695+R695)</f>
        <v/>
      </c>
      <c r="X695" s="5">
        <f>O695-(P695+Q695+R695)</f>
        <v/>
      </c>
    </row>
    <row r="696">
      <c r="A696" s="2" t="inlineStr">
        <is>
          <t>EJ020625.TXT</t>
        </is>
      </c>
      <c r="B696" s="3" t="inlineStr">
        <is>
          <t>002069</t>
        </is>
      </c>
      <c r="C696" s="3" t="inlineStr">
        <is>
          <t>001303</t>
        </is>
      </c>
      <c r="D696" s="4" t="n">
        <v>45807</v>
      </c>
      <c r="E696" s="2" t="inlineStr">
        <is>
          <t>16:12</t>
        </is>
      </c>
      <c r="F696" s="5" t="n">
        <v>149.92</v>
      </c>
      <c r="G696" s="5" t="n"/>
      <c r="H696" s="5" t="n"/>
      <c r="I696" s="5" t="n"/>
      <c r="J696" s="5" t="n">
        <v>29.98</v>
      </c>
      <c r="K696" s="5" t="n"/>
      <c r="L696" s="5" t="n"/>
      <c r="M696" s="5" t="n"/>
      <c r="N696" s="5" t="n"/>
      <c r="O696" s="5" t="n">
        <v>179.9</v>
      </c>
      <c r="P696" s="5" t="n">
        <v>179.9</v>
      </c>
      <c r="Q696" s="5" t="n"/>
      <c r="R696" s="5" t="n"/>
      <c r="S696" s="5">
        <f>F696*20%</f>
        <v/>
      </c>
      <c r="T696" s="5">
        <f>J696-S696</f>
        <v/>
      </c>
      <c r="U696" s="5">
        <f>F696+J696</f>
        <v/>
      </c>
      <c r="V696" s="5">
        <f>O696-U696</f>
        <v/>
      </c>
      <c r="W696" s="5">
        <f>O696-(P696+R696)</f>
        <v/>
      </c>
      <c r="X696" s="5">
        <f>O696-(P696+Q696+R696)</f>
        <v/>
      </c>
    </row>
    <row r="697">
      <c r="A697" s="2" t="inlineStr">
        <is>
          <t>EJ010825.TXT</t>
        </is>
      </c>
      <c r="B697" s="3" t="inlineStr">
        <is>
          <t>002078</t>
        </is>
      </c>
      <c r="C697" s="3" t="inlineStr">
        <is>
          <t>001304</t>
        </is>
      </c>
      <c r="D697" s="4" t="n">
        <v>45811</v>
      </c>
      <c r="E697" s="2" t="inlineStr">
        <is>
          <t>11:05</t>
        </is>
      </c>
      <c r="F697" s="5" t="n">
        <v>548.33</v>
      </c>
      <c r="G697" s="5" t="n"/>
      <c r="H697" s="5" t="n"/>
      <c r="I697" s="5" t="n"/>
      <c r="J697" s="5" t="n">
        <v>109.67</v>
      </c>
      <c r="K697" s="5" t="n"/>
      <c r="L697" s="5" t="n"/>
      <c r="M697" s="5" t="n"/>
      <c r="N697" s="5" t="n"/>
      <c r="O697" s="5" t="n">
        <v>658</v>
      </c>
      <c r="P697" s="5" t="n">
        <v>658</v>
      </c>
      <c r="Q697" s="5" t="n"/>
      <c r="R697" s="5" t="n"/>
      <c r="S697" s="5">
        <f>F697*20%</f>
        <v/>
      </c>
      <c r="T697" s="5">
        <f>J697-S697</f>
        <v/>
      </c>
      <c r="U697" s="5">
        <f>F697+J697</f>
        <v/>
      </c>
      <c r="V697" s="5">
        <f>O697-U697</f>
        <v/>
      </c>
      <c r="W697" s="5">
        <f>O697-(P697+R697)</f>
        <v/>
      </c>
      <c r="X697" s="5">
        <f>O697-(P697+Q697+R697)</f>
        <v/>
      </c>
    </row>
    <row r="698">
      <c r="A698" s="2" t="inlineStr">
        <is>
          <t>EJ010825.TXT</t>
        </is>
      </c>
      <c r="B698" s="3" t="inlineStr">
        <is>
          <t>002079</t>
        </is>
      </c>
      <c r="C698" s="3" t="inlineStr">
        <is>
          <t>001305</t>
        </is>
      </c>
      <c r="D698" s="4" t="n">
        <v>45811</v>
      </c>
      <c r="E698" s="2" t="inlineStr">
        <is>
          <t>11:37</t>
        </is>
      </c>
      <c r="F698" s="5" t="n">
        <v>49.92</v>
      </c>
      <c r="G698" s="5" t="n"/>
      <c r="H698" s="5" t="n"/>
      <c r="I698" s="5" t="n"/>
      <c r="J698" s="5" t="n">
        <v>9.98</v>
      </c>
      <c r="K698" s="5" t="n"/>
      <c r="L698" s="5" t="n"/>
      <c r="M698" s="5" t="n"/>
      <c r="N698" s="5" t="n"/>
      <c r="O698" s="5" t="n">
        <v>59.9</v>
      </c>
      <c r="P698" s="5" t="n">
        <v>59.9</v>
      </c>
      <c r="Q698" s="5" t="n"/>
      <c r="R698" s="5" t="n"/>
      <c r="S698" s="5">
        <f>F698*20%</f>
        <v/>
      </c>
      <c r="T698" s="5">
        <f>J698-S698</f>
        <v/>
      </c>
      <c r="U698" s="5">
        <f>F698+J698</f>
        <v/>
      </c>
      <c r="V698" s="5">
        <f>O698-U698</f>
        <v/>
      </c>
      <c r="W698" s="5">
        <f>O698-(P698+R698)</f>
        <v/>
      </c>
      <c r="X698" s="5">
        <f>O698-(P698+Q698+R698)</f>
        <v/>
      </c>
    </row>
    <row r="699">
      <c r="A699" s="2" t="inlineStr">
        <is>
          <t>EJ010825.TXT</t>
        </is>
      </c>
      <c r="B699" s="3" t="inlineStr">
        <is>
          <t>002080</t>
        </is>
      </c>
      <c r="C699" s="3" t="inlineStr">
        <is>
          <t>001306</t>
        </is>
      </c>
      <c r="D699" s="4" t="n">
        <v>45820</v>
      </c>
      <c r="E699" s="2" t="inlineStr">
        <is>
          <t>14:27</t>
        </is>
      </c>
      <c r="F699" s="5" t="n">
        <v>274.17</v>
      </c>
      <c r="G699" s="5" t="n"/>
      <c r="H699" s="5" t="n"/>
      <c r="I699" s="5" t="n"/>
      <c r="J699" s="5" t="n">
        <v>54.83</v>
      </c>
      <c r="K699" s="5" t="n"/>
      <c r="L699" s="5" t="n"/>
      <c r="M699" s="5" t="n"/>
      <c r="N699" s="5" t="n"/>
      <c r="O699" s="5" t="n">
        <v>329</v>
      </c>
      <c r="P699" s="5" t="n"/>
      <c r="Q699" s="5" t="n">
        <v>329</v>
      </c>
      <c r="R699" s="5" t="n"/>
      <c r="S699" s="5">
        <f>F699*20%</f>
        <v/>
      </c>
      <c r="T699" s="5">
        <f>J699-S699</f>
        <v/>
      </c>
      <c r="U699" s="5">
        <f>F699+J699</f>
        <v/>
      </c>
      <c r="V699" s="5">
        <f>O699-U699</f>
        <v/>
      </c>
      <c r="W699" s="5">
        <f>O699-(P699+R699)</f>
        <v/>
      </c>
      <c r="X699" s="5">
        <f>O699-(P699+Q699+R699)</f>
        <v/>
      </c>
    </row>
    <row r="700">
      <c r="A700" s="2" t="inlineStr">
        <is>
          <t>EJ010825.TXT</t>
        </is>
      </c>
      <c r="B700" s="3" t="inlineStr">
        <is>
          <t>002081</t>
        </is>
      </c>
      <c r="C700" s="3" t="inlineStr">
        <is>
          <t>001307</t>
        </is>
      </c>
      <c r="D700" s="4" t="n">
        <v>45820</v>
      </c>
      <c r="E700" s="2" t="inlineStr">
        <is>
          <t>16:25</t>
        </is>
      </c>
      <c r="F700" s="5" t="n">
        <v>548.33</v>
      </c>
      <c r="G700" s="5" t="n"/>
      <c r="H700" s="5" t="n"/>
      <c r="I700" s="5" t="n"/>
      <c r="J700" s="5" t="n">
        <v>109.67</v>
      </c>
      <c r="K700" s="5" t="n"/>
      <c r="L700" s="5" t="n"/>
      <c r="M700" s="5" t="n"/>
      <c r="N700" s="5" t="n"/>
      <c r="O700" s="5" t="n">
        <v>658</v>
      </c>
      <c r="P700" s="5" t="n">
        <v>658</v>
      </c>
      <c r="Q700" s="5" t="n"/>
      <c r="R700" s="5" t="n"/>
      <c r="S700" s="5">
        <f>F700*20%</f>
        <v/>
      </c>
      <c r="T700" s="5">
        <f>J700-S700</f>
        <v/>
      </c>
      <c r="U700" s="5">
        <f>F700+J700</f>
        <v/>
      </c>
      <c r="V700" s="5">
        <f>O700-U700</f>
        <v/>
      </c>
      <c r="W700" s="5">
        <f>O700-(P700+R700)</f>
        <v/>
      </c>
      <c r="X700" s="5">
        <f>O700-(P700+Q700+R700)</f>
        <v/>
      </c>
    </row>
    <row r="701">
      <c r="A701" s="2" t="inlineStr">
        <is>
          <t>EJ010825.TXT</t>
        </is>
      </c>
      <c r="B701" s="3" t="inlineStr">
        <is>
          <t>002082</t>
        </is>
      </c>
      <c r="C701" s="3" t="inlineStr">
        <is>
          <t>001308</t>
        </is>
      </c>
      <c r="D701" s="4" t="n">
        <v>45824</v>
      </c>
      <c r="E701" s="2" t="inlineStr">
        <is>
          <t>13:03</t>
        </is>
      </c>
      <c r="F701" s="5" t="n">
        <v>415</v>
      </c>
      <c r="G701" s="5" t="n"/>
      <c r="H701" s="5" t="n"/>
      <c r="I701" s="5" t="n"/>
      <c r="J701" s="5" t="n">
        <v>83</v>
      </c>
      <c r="K701" s="5" t="n"/>
      <c r="L701" s="5" t="n"/>
      <c r="M701" s="5" t="n"/>
      <c r="N701" s="5" t="n"/>
      <c r="O701" s="5" t="n">
        <v>498</v>
      </c>
      <c r="P701" s="5" t="n">
        <v>498</v>
      </c>
      <c r="Q701" s="5" t="n"/>
      <c r="R701" s="5" t="n"/>
      <c r="S701" s="5">
        <f>F701*20%</f>
        <v/>
      </c>
      <c r="T701" s="5">
        <f>J701-S701</f>
        <v/>
      </c>
      <c r="U701" s="5">
        <f>F701+J701</f>
        <v/>
      </c>
      <c r="V701" s="5">
        <f>O701-U701</f>
        <v/>
      </c>
      <c r="W701" s="5">
        <f>O701-(P701+R701)</f>
        <v/>
      </c>
      <c r="X701" s="5">
        <f>O701-(P701+Q701+R701)</f>
        <v/>
      </c>
    </row>
    <row r="702">
      <c r="A702" s="2" t="inlineStr">
        <is>
          <t>EJ010825.TXT</t>
        </is>
      </c>
      <c r="B702" s="3" t="inlineStr">
        <is>
          <t>002083</t>
        </is>
      </c>
      <c r="C702" s="3" t="inlineStr">
        <is>
          <t>001309</t>
        </is>
      </c>
      <c r="D702" s="4" t="n">
        <v>45825</v>
      </c>
      <c r="E702" s="2" t="inlineStr">
        <is>
          <t>15:58</t>
        </is>
      </c>
      <c r="F702" s="5" t="n">
        <v>274.17</v>
      </c>
      <c r="G702" s="5" t="n"/>
      <c r="H702" s="5" t="n"/>
      <c r="I702" s="5" t="n"/>
      <c r="J702" s="5" t="n">
        <v>54.83</v>
      </c>
      <c r="K702" s="5" t="n"/>
      <c r="L702" s="5" t="n"/>
      <c r="M702" s="5" t="n"/>
      <c r="N702" s="5" t="n"/>
      <c r="O702" s="5" t="n">
        <v>329</v>
      </c>
      <c r="P702" s="5" t="n"/>
      <c r="Q702" s="5" t="n">
        <v>329</v>
      </c>
      <c r="R702" s="5" t="n"/>
      <c r="S702" s="5">
        <f>F702*20%</f>
        <v/>
      </c>
      <c r="T702" s="5">
        <f>J702-S702</f>
        <v/>
      </c>
      <c r="U702" s="5">
        <f>F702+J702</f>
        <v/>
      </c>
      <c r="V702" s="5">
        <f>O702-U702</f>
        <v/>
      </c>
      <c r="W702" s="5">
        <f>O702-(P702+R702)</f>
        <v/>
      </c>
      <c r="X702" s="5">
        <f>O702-(P702+Q702+R702)</f>
        <v/>
      </c>
    </row>
    <row r="703">
      <c r="A703" s="2" t="inlineStr">
        <is>
          <t>EJ010825.TXT</t>
        </is>
      </c>
      <c r="B703" s="3" t="inlineStr">
        <is>
          <t>002084</t>
        </is>
      </c>
      <c r="C703" s="3" t="inlineStr">
        <is>
          <t>001310</t>
        </is>
      </c>
      <c r="D703" s="4" t="n">
        <v>45828</v>
      </c>
      <c r="E703" s="2" t="inlineStr">
        <is>
          <t>14:36</t>
        </is>
      </c>
      <c r="F703" s="5" t="n">
        <v>274.17</v>
      </c>
      <c r="G703" s="5" t="n"/>
      <c r="H703" s="5" t="n"/>
      <c r="I703" s="5" t="n"/>
      <c r="J703" s="5" t="n">
        <v>54.83</v>
      </c>
      <c r="K703" s="5" t="n"/>
      <c r="L703" s="5" t="n"/>
      <c r="M703" s="5" t="n"/>
      <c r="N703" s="5" t="n"/>
      <c r="O703" s="5" t="n">
        <v>329</v>
      </c>
      <c r="P703" s="5" t="n">
        <v>329</v>
      </c>
      <c r="Q703" s="5" t="n"/>
      <c r="R703" s="5" t="n"/>
      <c r="S703" s="5">
        <f>F703*20%</f>
        <v/>
      </c>
      <c r="T703" s="5">
        <f>J703-S703</f>
        <v/>
      </c>
      <c r="U703" s="5">
        <f>F703+J703</f>
        <v/>
      </c>
      <c r="V703" s="5">
        <f>O703-U703</f>
        <v/>
      </c>
      <c r="W703" s="5">
        <f>O703-(P703+R703)</f>
        <v/>
      </c>
      <c r="X703" s="5">
        <f>O703-(P703+Q703+R703)</f>
        <v/>
      </c>
    </row>
    <row r="704">
      <c r="A704" s="2" t="inlineStr">
        <is>
          <t>EJ010825.TXT</t>
        </is>
      </c>
      <c r="B704" s="3" t="inlineStr">
        <is>
          <t>002085</t>
        </is>
      </c>
      <c r="C704" s="3" t="inlineStr">
        <is>
          <t>001311</t>
        </is>
      </c>
      <c r="D704" s="4" t="n">
        <v>45835</v>
      </c>
      <c r="E704" s="2" t="inlineStr">
        <is>
          <t>09:08</t>
        </is>
      </c>
      <c r="F704" s="5" t="n">
        <v>73.33</v>
      </c>
      <c r="G704" s="5" t="n"/>
      <c r="H704" s="5" t="n"/>
      <c r="I704" s="5" t="n"/>
      <c r="J704" s="5" t="n">
        <v>14.67</v>
      </c>
      <c r="K704" s="5" t="n"/>
      <c r="L704" s="5" t="n"/>
      <c r="M704" s="5" t="n"/>
      <c r="N704" s="5" t="n"/>
      <c r="O704" s="5" t="n">
        <v>88</v>
      </c>
      <c r="P704" s="5" t="n">
        <v>88</v>
      </c>
      <c r="Q704" s="5" t="n"/>
      <c r="R704" s="5" t="n"/>
      <c r="S704" s="5">
        <f>F704*20%</f>
        <v/>
      </c>
      <c r="T704" s="5">
        <f>J704-S704</f>
        <v/>
      </c>
      <c r="U704" s="5">
        <f>F704+J704</f>
        <v/>
      </c>
      <c r="V704" s="5">
        <f>O704-U704</f>
        <v/>
      </c>
      <c r="W704" s="5">
        <f>O704-(P704+R704)</f>
        <v/>
      </c>
      <c r="X704" s="5">
        <f>O704-(P704+Q704+R704)</f>
        <v/>
      </c>
    </row>
    <row r="705">
      <c r="A705" s="2" t="inlineStr">
        <is>
          <t>EJ010825.TXT</t>
        </is>
      </c>
      <c r="B705" s="3" t="inlineStr">
        <is>
          <t>002086</t>
        </is>
      </c>
      <c r="C705" s="3" t="inlineStr">
        <is>
          <t>001312</t>
        </is>
      </c>
      <c r="D705" s="4" t="n">
        <v>45839</v>
      </c>
      <c r="E705" s="2" t="inlineStr">
        <is>
          <t>10:01</t>
        </is>
      </c>
      <c r="F705" s="5" t="n">
        <v>531.67</v>
      </c>
      <c r="G705" s="5" t="n"/>
      <c r="H705" s="5" t="n"/>
      <c r="I705" s="5" t="n"/>
      <c r="J705" s="5" t="n">
        <v>106.33</v>
      </c>
      <c r="K705" s="5" t="n"/>
      <c r="L705" s="5" t="n"/>
      <c r="M705" s="5" t="n"/>
      <c r="N705" s="5" t="n"/>
      <c r="O705" s="5" t="n">
        <v>638</v>
      </c>
      <c r="P705" s="5" t="n">
        <v>638</v>
      </c>
      <c r="Q705" s="5" t="n"/>
      <c r="R705" s="5" t="n"/>
      <c r="S705" s="5">
        <f>F705*20%</f>
        <v/>
      </c>
      <c r="T705" s="5">
        <f>J705-S705</f>
        <v/>
      </c>
      <c r="U705" s="5">
        <f>F705+J705</f>
        <v/>
      </c>
      <c r="V705" s="5">
        <f>O705-U705</f>
        <v/>
      </c>
      <c r="W705" s="5">
        <f>O705-(P705+R705)</f>
        <v/>
      </c>
      <c r="X705" s="5">
        <f>O705-(P705+Q705+R705)</f>
        <v/>
      </c>
    </row>
    <row r="706">
      <c r="A706" s="2" t="inlineStr">
        <is>
          <t>EJ010825.TXT</t>
        </is>
      </c>
      <c r="B706" s="3" t="inlineStr">
        <is>
          <t>002088</t>
        </is>
      </c>
      <c r="C706" s="3" t="inlineStr">
        <is>
          <t>001313</t>
        </is>
      </c>
      <c r="D706" s="4" t="n">
        <v>45841</v>
      </c>
      <c r="E706" s="2" t="inlineStr">
        <is>
          <t>14:15</t>
        </is>
      </c>
      <c r="F706" s="5" t="n">
        <v>248.33</v>
      </c>
      <c r="G706" s="5" t="n"/>
      <c r="H706" s="5" t="n"/>
      <c r="I706" s="5" t="n"/>
      <c r="J706" s="5" t="n">
        <v>49.67</v>
      </c>
      <c r="K706" s="5" t="n"/>
      <c r="L706" s="5" t="n"/>
      <c r="M706" s="5" t="n"/>
      <c r="N706" s="5" t="n"/>
      <c r="O706" s="5" t="n">
        <v>298</v>
      </c>
      <c r="P706" s="5" t="n"/>
      <c r="Q706" s="5" t="n">
        <v>298</v>
      </c>
      <c r="R706" s="5" t="n"/>
      <c r="S706" s="5">
        <f>F706*20%</f>
        <v/>
      </c>
      <c r="T706" s="5">
        <f>J706-S706</f>
        <v/>
      </c>
      <c r="U706" s="5">
        <f>F706+J706</f>
        <v/>
      </c>
      <c r="V706" s="5">
        <f>O706-U706</f>
        <v/>
      </c>
      <c r="W706" s="5">
        <f>O706-(P706+R706)</f>
        <v/>
      </c>
      <c r="X706" s="5">
        <f>O706-(P706+Q706+R706)</f>
        <v/>
      </c>
    </row>
    <row r="707">
      <c r="A707" s="2" t="inlineStr">
        <is>
          <t>EJ010825.TXT</t>
        </is>
      </c>
      <c r="B707" s="3" t="inlineStr">
        <is>
          <t>002089</t>
        </is>
      </c>
      <c r="C707" s="3" t="inlineStr">
        <is>
          <t>001314</t>
        </is>
      </c>
      <c r="D707" s="4" t="n">
        <v>45848</v>
      </c>
      <c r="E707" s="2" t="inlineStr">
        <is>
          <t>14:53</t>
        </is>
      </c>
      <c r="F707" s="5" t="n">
        <v>866.67</v>
      </c>
      <c r="G707" s="5" t="n"/>
      <c r="H707" s="5" t="n"/>
      <c r="I707" s="5" t="n"/>
      <c r="J707" s="5" t="n">
        <v>173.33</v>
      </c>
      <c r="K707" s="5" t="n"/>
      <c r="L707" s="5" t="n"/>
      <c r="M707" s="5" t="n"/>
      <c r="N707" s="5" t="n"/>
      <c r="O707" s="5" t="n">
        <v>1040</v>
      </c>
      <c r="P707" s="5" t="n">
        <v>1040</v>
      </c>
      <c r="Q707" s="5" t="n"/>
      <c r="R707" s="5" t="n"/>
      <c r="S707" s="5">
        <f>F707*20%</f>
        <v/>
      </c>
      <c r="T707" s="5">
        <f>J707-S707</f>
        <v/>
      </c>
      <c r="U707" s="5">
        <f>F707+J707</f>
        <v/>
      </c>
      <c r="V707" s="5">
        <f>O707-U707</f>
        <v/>
      </c>
      <c r="W707" s="5">
        <f>O707-(P707+R707)</f>
        <v/>
      </c>
      <c r="X707" s="5">
        <f>O707-(P707+Q707+R707)</f>
        <v/>
      </c>
    </row>
    <row r="708">
      <c r="A708" s="2" t="inlineStr">
        <is>
          <t>EJ010825.TXT</t>
        </is>
      </c>
      <c r="B708" s="3" t="inlineStr">
        <is>
          <t>002090</t>
        </is>
      </c>
      <c r="C708" s="3" t="inlineStr">
        <is>
          <t>001315</t>
        </is>
      </c>
      <c r="D708" s="4" t="n">
        <v>45849</v>
      </c>
      <c r="E708" s="2" t="inlineStr">
        <is>
          <t>15:57</t>
        </is>
      </c>
      <c r="F708" s="5" t="n">
        <v>274.17</v>
      </c>
      <c r="G708" s="5" t="n"/>
      <c r="H708" s="5" t="n"/>
      <c r="I708" s="5" t="n"/>
      <c r="J708" s="5" t="n">
        <v>54.83</v>
      </c>
      <c r="K708" s="5" t="n"/>
      <c r="L708" s="5" t="n"/>
      <c r="M708" s="5" t="n"/>
      <c r="N708" s="5" t="n"/>
      <c r="O708" s="5" t="n">
        <v>329</v>
      </c>
      <c r="P708" s="5" t="n">
        <v>329</v>
      </c>
      <c r="Q708" s="5" t="n"/>
      <c r="R708" s="5" t="n"/>
      <c r="S708" s="5">
        <f>F708*20%</f>
        <v/>
      </c>
      <c r="T708" s="5">
        <f>J708-S708</f>
        <v/>
      </c>
      <c r="U708" s="5">
        <f>F708+J708</f>
        <v/>
      </c>
      <c r="V708" s="5">
        <f>O708-U708</f>
        <v/>
      </c>
      <c r="W708" s="5">
        <f>O708-(P708+R708)</f>
        <v/>
      </c>
      <c r="X708" s="5">
        <f>O708-(P708+Q708+R708)</f>
        <v/>
      </c>
    </row>
    <row r="709">
      <c r="A709" s="2" t="inlineStr">
        <is>
          <t>EJ010825.TXT</t>
        </is>
      </c>
      <c r="B709" s="3" t="inlineStr">
        <is>
          <t>002092</t>
        </is>
      </c>
      <c r="C709" s="3" t="inlineStr">
        <is>
          <t>001316</t>
        </is>
      </c>
      <c r="D709" s="4" t="n">
        <v>45854</v>
      </c>
      <c r="E709" s="2" t="inlineStr">
        <is>
          <t>12:41</t>
        </is>
      </c>
      <c r="F709" s="5" t="n">
        <v>474.17</v>
      </c>
      <c r="G709" s="5" t="n"/>
      <c r="H709" s="5" t="n"/>
      <c r="I709" s="5" t="n"/>
      <c r="J709" s="5" t="n">
        <v>94.83</v>
      </c>
      <c r="K709" s="5" t="n"/>
      <c r="L709" s="5" t="n"/>
      <c r="M709" s="5" t="n"/>
      <c r="N709" s="5" t="n"/>
      <c r="O709" s="5" t="n">
        <v>569</v>
      </c>
      <c r="P709" s="5" t="n"/>
      <c r="Q709" s="5" t="n">
        <v>569</v>
      </c>
      <c r="R709" s="5" t="n"/>
      <c r="S709" s="5">
        <f>F709*20%</f>
        <v/>
      </c>
      <c r="T709" s="5">
        <f>J709-S709</f>
        <v/>
      </c>
      <c r="U709" s="5">
        <f>F709+J709</f>
        <v/>
      </c>
      <c r="V709" s="5">
        <f>O709-U709</f>
        <v/>
      </c>
      <c r="W709" s="5">
        <f>O709-(P709+R709)</f>
        <v/>
      </c>
      <c r="X709" s="5">
        <f>O709-(P709+Q709+R709)</f>
        <v/>
      </c>
    </row>
    <row r="710">
      <c r="A710" s="2" t="inlineStr">
        <is>
          <t>EJ010825.TXT</t>
        </is>
      </c>
      <c r="B710" s="3" t="inlineStr">
        <is>
          <t>002093</t>
        </is>
      </c>
      <c r="C710" s="3" t="inlineStr">
        <is>
          <t>001317</t>
        </is>
      </c>
      <c r="D710" s="4" t="n">
        <v>45854</v>
      </c>
      <c r="E710" s="2" t="inlineStr">
        <is>
          <t>12:44</t>
        </is>
      </c>
      <c r="F710" s="5" t="n">
        <v>474.17</v>
      </c>
      <c r="G710" s="5" t="n"/>
      <c r="H710" s="5" t="n"/>
      <c r="I710" s="5" t="n"/>
      <c r="J710" s="5" t="n">
        <v>94.83</v>
      </c>
      <c r="K710" s="5" t="n"/>
      <c r="L710" s="5" t="n"/>
      <c r="M710" s="5" t="n"/>
      <c r="N710" s="5" t="n"/>
      <c r="O710" s="5" t="n">
        <v>569</v>
      </c>
      <c r="P710" s="5" t="n"/>
      <c r="Q710" s="5" t="n">
        <v>569</v>
      </c>
      <c r="R710" s="5" t="n"/>
      <c r="S710" s="5">
        <f>F710*20%</f>
        <v/>
      </c>
      <c r="T710" s="5">
        <f>J710-S710</f>
        <v/>
      </c>
      <c r="U710" s="5">
        <f>F710+J710</f>
        <v/>
      </c>
      <c r="V710" s="5">
        <f>O710-U710</f>
        <v/>
      </c>
      <c r="W710" s="5">
        <f>O710-(P710+R710)</f>
        <v/>
      </c>
      <c r="X710" s="5">
        <f>O710-(P710+Q710+R710)</f>
        <v/>
      </c>
    </row>
    <row r="711">
      <c r="A711" s="2" t="inlineStr">
        <is>
          <t>EJ010825.TXT</t>
        </is>
      </c>
      <c r="B711" s="3" t="inlineStr">
        <is>
          <t>002094</t>
        </is>
      </c>
      <c r="C711" s="3" t="inlineStr">
        <is>
          <t>001318</t>
        </is>
      </c>
      <c r="D711" s="4" t="n">
        <v>45854</v>
      </c>
      <c r="E711" s="2" t="inlineStr">
        <is>
          <t>12:44</t>
        </is>
      </c>
      <c r="F711" s="5" t="n">
        <v>474.17</v>
      </c>
      <c r="G711" s="5" t="n"/>
      <c r="H711" s="5" t="n"/>
      <c r="I711" s="5" t="n"/>
      <c r="J711" s="5" t="n">
        <v>94.83</v>
      </c>
      <c r="K711" s="5" t="n"/>
      <c r="L711" s="5" t="n"/>
      <c r="M711" s="5" t="n"/>
      <c r="N711" s="5" t="n"/>
      <c r="O711" s="5" t="n">
        <v>569</v>
      </c>
      <c r="P711" s="5" t="n"/>
      <c r="Q711" s="5" t="n">
        <v>569</v>
      </c>
      <c r="R711" s="5" t="n"/>
      <c r="S711" s="5">
        <f>F711*20%</f>
        <v/>
      </c>
      <c r="T711" s="5">
        <f>J711-S711</f>
        <v/>
      </c>
      <c r="U711" s="5">
        <f>F711+J711</f>
        <v/>
      </c>
      <c r="V711" s="5">
        <f>O711-U711</f>
        <v/>
      </c>
      <c r="W711" s="5">
        <f>O711-(P711+R711)</f>
        <v/>
      </c>
      <c r="X711" s="5">
        <f>O711-(P711+Q711+R711)</f>
        <v/>
      </c>
    </row>
    <row r="712">
      <c r="A712" s="2" t="inlineStr">
        <is>
          <t>EJ010825.TXT</t>
        </is>
      </c>
      <c r="B712" s="3" t="inlineStr">
        <is>
          <t>002095</t>
        </is>
      </c>
      <c r="C712" s="3" t="inlineStr">
        <is>
          <t>001319</t>
        </is>
      </c>
      <c r="D712" s="4" t="n">
        <v>45854</v>
      </c>
      <c r="E712" s="2" t="inlineStr">
        <is>
          <t>12:44</t>
        </is>
      </c>
      <c r="F712" s="5" t="n">
        <v>474.17</v>
      </c>
      <c r="G712" s="5" t="n"/>
      <c r="H712" s="5" t="n"/>
      <c r="I712" s="5" t="n"/>
      <c r="J712" s="5" t="n">
        <v>94.83</v>
      </c>
      <c r="K712" s="5" t="n"/>
      <c r="L712" s="5" t="n"/>
      <c r="M712" s="5" t="n"/>
      <c r="N712" s="5" t="n"/>
      <c r="O712" s="5" t="n">
        <v>569</v>
      </c>
      <c r="P712" s="5" t="n"/>
      <c r="Q712" s="5" t="n">
        <v>569</v>
      </c>
      <c r="R712" s="5" t="n"/>
      <c r="S712" s="5">
        <f>F712*20%</f>
        <v/>
      </c>
      <c r="T712" s="5">
        <f>J712-S712</f>
        <v/>
      </c>
      <c r="U712" s="5">
        <f>F712+J712</f>
        <v/>
      </c>
      <c r="V712" s="5">
        <f>O712-U712</f>
        <v/>
      </c>
      <c r="W712" s="5">
        <f>O712-(P712+R712)</f>
        <v/>
      </c>
      <c r="X712" s="5">
        <f>O712-(P712+Q712+R712)</f>
        <v/>
      </c>
    </row>
    <row r="713">
      <c r="A713" s="2" t="inlineStr">
        <is>
          <t>EJ010825.TXT</t>
        </is>
      </c>
      <c r="B713" s="3" t="inlineStr">
        <is>
          <t>002096</t>
        </is>
      </c>
      <c r="C713" s="3" t="inlineStr">
        <is>
          <t>001320</t>
        </is>
      </c>
      <c r="D713" s="4" t="n">
        <v>45854</v>
      </c>
      <c r="E713" s="2" t="inlineStr">
        <is>
          <t>12:44</t>
        </is>
      </c>
      <c r="F713" s="5" t="n">
        <v>474.17</v>
      </c>
      <c r="G713" s="5" t="n"/>
      <c r="H713" s="5" t="n"/>
      <c r="I713" s="5" t="n"/>
      <c r="J713" s="5" t="n">
        <v>94.83</v>
      </c>
      <c r="K713" s="5" t="n"/>
      <c r="L713" s="5" t="n"/>
      <c r="M713" s="5" t="n"/>
      <c r="N713" s="5" t="n"/>
      <c r="O713" s="5" t="n">
        <v>569</v>
      </c>
      <c r="P713" s="5" t="n"/>
      <c r="Q713" s="5" t="n">
        <v>569</v>
      </c>
      <c r="R713" s="5" t="n"/>
      <c r="S713" s="5">
        <f>F713*20%</f>
        <v/>
      </c>
      <c r="T713" s="5">
        <f>J713-S713</f>
        <v/>
      </c>
      <c r="U713" s="5">
        <f>F713+J713</f>
        <v/>
      </c>
      <c r="V713" s="5">
        <f>O713-U713</f>
        <v/>
      </c>
      <c r="W713" s="5">
        <f>O713-(P713+R713)</f>
        <v/>
      </c>
      <c r="X713" s="5">
        <f>O713-(P713+Q713+R713)</f>
        <v/>
      </c>
    </row>
    <row r="714">
      <c r="A714" s="2" t="inlineStr">
        <is>
          <t>EJ010825.TXT</t>
        </is>
      </c>
      <c r="B714" s="3" t="inlineStr">
        <is>
          <t>002097</t>
        </is>
      </c>
      <c r="C714" s="3" t="inlineStr">
        <is>
          <t>001321</t>
        </is>
      </c>
      <c r="D714" s="4" t="n">
        <v>45866</v>
      </c>
      <c r="E714" s="2" t="inlineStr">
        <is>
          <t>14:18</t>
        </is>
      </c>
      <c r="F714" s="5" t="n">
        <v>73.33</v>
      </c>
      <c r="G714" s="5" t="n"/>
      <c r="H714" s="5" t="n"/>
      <c r="I714" s="5" t="n"/>
      <c r="J714" s="5" t="n">
        <v>14.67</v>
      </c>
      <c r="K714" s="5" t="n"/>
      <c r="L714" s="5" t="n"/>
      <c r="M714" s="5" t="n"/>
      <c r="N714" s="5" t="n"/>
      <c r="O714" s="5" t="n">
        <v>88</v>
      </c>
      <c r="P714" s="5" t="n"/>
      <c r="Q714" s="5" t="n">
        <v>88</v>
      </c>
      <c r="R714" s="5" t="n"/>
      <c r="S714" s="5">
        <f>F714*20%</f>
        <v/>
      </c>
      <c r="T714" s="5">
        <f>J714-S714</f>
        <v/>
      </c>
      <c r="U714" s="5">
        <f>F714+J714</f>
        <v/>
      </c>
      <c r="V714" s="5">
        <f>O714-U714</f>
        <v/>
      </c>
      <c r="W714" s="5">
        <f>O714-(P714+R714)</f>
        <v/>
      </c>
      <c r="X714" s="5">
        <f>O714-(P714+Q714+R714)</f>
        <v/>
      </c>
    </row>
    <row r="715">
      <c r="A715" s="2" t="inlineStr">
        <is>
          <t>EJ010825.TXT</t>
        </is>
      </c>
      <c r="B715" s="3" t="inlineStr">
        <is>
          <t>002098</t>
        </is>
      </c>
      <c r="C715" s="3" t="inlineStr">
        <is>
          <t>001322</t>
        </is>
      </c>
      <c r="D715" s="4" t="n">
        <v>45867</v>
      </c>
      <c r="E715" s="2" t="inlineStr">
        <is>
          <t>10:07</t>
        </is>
      </c>
      <c r="F715" s="5" t="n">
        <v>274.17</v>
      </c>
      <c r="G715" s="5" t="n"/>
      <c r="H715" s="5" t="n"/>
      <c r="I715" s="5" t="n"/>
      <c r="J715" s="5" t="n">
        <v>54.83</v>
      </c>
      <c r="K715" s="5" t="n"/>
      <c r="L715" s="5" t="n"/>
      <c r="M715" s="5" t="n"/>
      <c r="N715" s="5" t="n"/>
      <c r="O715" s="5" t="n">
        <v>329</v>
      </c>
      <c r="P715" s="5" t="n">
        <v>229</v>
      </c>
      <c r="Q715" s="5" t="n">
        <v>100</v>
      </c>
      <c r="R715" s="5" t="n"/>
      <c r="S715" s="5">
        <f>F715*20%</f>
        <v/>
      </c>
      <c r="T715" s="5">
        <f>J715-S715</f>
        <v/>
      </c>
      <c r="U715" s="5">
        <f>F715+J715</f>
        <v/>
      </c>
      <c r="V715" s="5">
        <f>O715-U715</f>
        <v/>
      </c>
      <c r="W715" s="5">
        <f>O715-(P715+R715)</f>
        <v/>
      </c>
      <c r="X715" s="5">
        <f>O715-(P715+Q715+R715)</f>
        <v/>
      </c>
    </row>
    <row r="716">
      <c r="A716" s="2" t="inlineStr">
        <is>
          <t>EJ010825.TXT</t>
        </is>
      </c>
      <c r="B716" s="3" t="inlineStr">
        <is>
          <t>002100</t>
        </is>
      </c>
      <c r="C716" s="3" t="inlineStr">
        <is>
          <t>001323</t>
        </is>
      </c>
      <c r="D716" s="4" t="n">
        <v>45868</v>
      </c>
      <c r="E716" s="2" t="inlineStr">
        <is>
          <t>12:18</t>
        </is>
      </c>
      <c r="F716" s="5" t="n">
        <v>1107.5</v>
      </c>
      <c r="G716" s="5" t="n"/>
      <c r="H716" s="5" t="n"/>
      <c r="I716" s="5" t="n"/>
      <c r="J716" s="5" t="n">
        <v>221.5</v>
      </c>
      <c r="K716" s="5" t="n"/>
      <c r="L716" s="5" t="n"/>
      <c r="M716" s="5" t="n"/>
      <c r="N716" s="5" t="n"/>
      <c r="O716" s="5" t="n">
        <v>1329</v>
      </c>
      <c r="P716" s="5" t="n">
        <v>329</v>
      </c>
      <c r="Q716" s="5" t="n">
        <v>1000</v>
      </c>
      <c r="R716" s="5" t="n"/>
      <c r="S716" s="5">
        <f>F716*20%</f>
        <v/>
      </c>
      <c r="T716" s="5">
        <f>J716-S716</f>
        <v/>
      </c>
      <c r="U716" s="5">
        <f>F716+J716</f>
        <v/>
      </c>
      <c r="V716" s="5">
        <f>O716-U716</f>
        <v/>
      </c>
      <c r="W716" s="5">
        <f>O716-(P716+R716)</f>
        <v/>
      </c>
      <c r="X716" s="5">
        <f>O716-(P716+Q716+R716)</f>
        <v/>
      </c>
    </row>
    <row r="717">
      <c r="A717" s="2" t="inlineStr">
        <is>
          <t>EJ010825.TXT</t>
        </is>
      </c>
      <c r="B717" s="3" t="inlineStr">
        <is>
          <t>002102</t>
        </is>
      </c>
      <c r="C717" s="3" t="inlineStr">
        <is>
          <t>001324</t>
        </is>
      </c>
      <c r="D717" s="4" t="n">
        <v>45870</v>
      </c>
      <c r="E717" s="2" t="inlineStr">
        <is>
          <t>09:37</t>
        </is>
      </c>
      <c r="F717" s="5" t="n">
        <v>190.83</v>
      </c>
      <c r="G717" s="5" t="n"/>
      <c r="H717" s="5" t="n"/>
      <c r="I717" s="5" t="n"/>
      <c r="J717" s="5" t="n">
        <v>38.17</v>
      </c>
      <c r="K717" s="5" t="n"/>
      <c r="L717" s="5" t="n"/>
      <c r="M717" s="5" t="n"/>
      <c r="N717" s="5" t="n"/>
      <c r="O717" s="5" t="n">
        <v>229</v>
      </c>
      <c r="P717" s="5" t="n">
        <v>229</v>
      </c>
      <c r="Q717" s="5" t="n"/>
      <c r="R717" s="5" t="n"/>
      <c r="S717" s="5">
        <f>F717*20%</f>
        <v/>
      </c>
      <c r="T717" s="5">
        <f>J717-S717</f>
        <v/>
      </c>
      <c r="U717" s="5">
        <f>F717+J717</f>
        <v/>
      </c>
      <c r="V717" s="5">
        <f>O717-U717</f>
        <v/>
      </c>
      <c r="W717" s="5">
        <f>O717-(P717+R717)</f>
        <v/>
      </c>
      <c r="X717" s="5">
        <f>O717-(P717+Q717+R717)</f>
        <v/>
      </c>
    </row>
    <row r="718">
      <c r="A718" s="2" t="inlineStr">
        <is>
          <t>EJ010925.TXT</t>
        </is>
      </c>
      <c r="B718" s="3" t="inlineStr">
        <is>
          <t>002106</t>
        </is>
      </c>
      <c r="C718" s="3" t="inlineStr">
        <is>
          <t>001325</t>
        </is>
      </c>
      <c r="D718" s="4" t="n">
        <v>45875</v>
      </c>
      <c r="E718" s="2" t="inlineStr">
        <is>
          <t>16:08</t>
        </is>
      </c>
      <c r="F718" s="5" t="n">
        <v>73.33</v>
      </c>
      <c r="G718" s="5" t="n"/>
      <c r="H718" s="5" t="n"/>
      <c r="I718" s="5" t="n"/>
      <c r="J718" s="5" t="n">
        <v>14.67</v>
      </c>
      <c r="K718" s="5" t="n"/>
      <c r="L718" s="5" t="n"/>
      <c r="M718" s="5" t="n"/>
      <c r="N718" s="5" t="n"/>
      <c r="O718" s="5" t="n">
        <v>88</v>
      </c>
      <c r="P718" s="5" t="n">
        <v>88</v>
      </c>
      <c r="Q718" s="5" t="n"/>
      <c r="R718" s="5" t="n"/>
      <c r="S718" s="5">
        <f>F718*20%</f>
        <v/>
      </c>
      <c r="T718" s="5">
        <f>J718-S718</f>
        <v/>
      </c>
      <c r="U718" s="5">
        <f>F718+J718</f>
        <v/>
      </c>
      <c r="V718" s="5">
        <f>O718-U718</f>
        <v/>
      </c>
      <c r="W718" s="5">
        <f>O718-(P718+R718)</f>
        <v/>
      </c>
      <c r="X718" s="5">
        <f>O718-(P718+Q718+R718)</f>
        <v/>
      </c>
    </row>
    <row r="719">
      <c r="A719" s="2" t="inlineStr">
        <is>
          <t>EJ010925.TXT</t>
        </is>
      </c>
      <c r="B719" s="3" t="inlineStr">
        <is>
          <t>002107</t>
        </is>
      </c>
      <c r="C719" s="3" t="inlineStr">
        <is>
          <t>001326</t>
        </is>
      </c>
      <c r="D719" s="4" t="n">
        <v>45877</v>
      </c>
      <c r="E719" s="2" t="inlineStr">
        <is>
          <t>12:03</t>
        </is>
      </c>
      <c r="F719" s="5" t="n">
        <v>473.33</v>
      </c>
      <c r="G719" s="5" t="n"/>
      <c r="H719" s="5" t="n"/>
      <c r="I719" s="5" t="n"/>
      <c r="J719" s="5" t="n">
        <v>94.67</v>
      </c>
      <c r="K719" s="5" t="n"/>
      <c r="L719" s="5" t="n"/>
      <c r="M719" s="5" t="n"/>
      <c r="N719" s="5" t="n"/>
      <c r="O719" s="5" t="n">
        <v>568</v>
      </c>
      <c r="P719" s="5" t="n">
        <v>568</v>
      </c>
      <c r="Q719" s="5" t="n"/>
      <c r="R719" s="5" t="n"/>
      <c r="S719" s="5">
        <f>F719*20%</f>
        <v/>
      </c>
      <c r="T719" s="5">
        <f>J719-S719</f>
        <v/>
      </c>
      <c r="U719" s="5">
        <f>F719+J719</f>
        <v/>
      </c>
      <c r="V719" s="5">
        <f>O719-U719</f>
        <v/>
      </c>
      <c r="W719" s="5">
        <f>O719-(P719+R719)</f>
        <v/>
      </c>
      <c r="X719" s="5">
        <f>O719-(P719+Q719+R719)</f>
        <v/>
      </c>
    </row>
    <row r="720">
      <c r="A720" s="2" t="inlineStr">
        <is>
          <t>EJ010925.TXT</t>
        </is>
      </c>
      <c r="B720" s="3" t="inlineStr">
        <is>
          <t>002108</t>
        </is>
      </c>
      <c r="C720" s="3" t="inlineStr">
        <is>
          <t>001327</t>
        </is>
      </c>
      <c r="D720" s="4" t="n">
        <v>45891</v>
      </c>
      <c r="E720" s="2" t="inlineStr">
        <is>
          <t>16:41</t>
        </is>
      </c>
      <c r="F720" s="5" t="n">
        <v>329.17</v>
      </c>
      <c r="G720" s="5" t="n"/>
      <c r="H720" s="5" t="n"/>
      <c r="I720" s="5" t="n"/>
      <c r="J720" s="5" t="n">
        <v>65.83</v>
      </c>
      <c r="K720" s="5" t="n"/>
      <c r="L720" s="5" t="n"/>
      <c r="M720" s="5" t="n"/>
      <c r="N720" s="5" t="n"/>
      <c r="O720" s="5" t="n">
        <v>395</v>
      </c>
      <c r="P720" s="5" t="n"/>
      <c r="Q720" s="5" t="n">
        <v>395</v>
      </c>
      <c r="R720" s="5" t="n"/>
      <c r="S720" s="5">
        <f>F720*20%</f>
        <v/>
      </c>
      <c r="T720" s="5">
        <f>J720-S720</f>
        <v/>
      </c>
      <c r="U720" s="5">
        <f>F720+J720</f>
        <v/>
      </c>
      <c r="V720" s="5">
        <f>O720-U720</f>
        <v/>
      </c>
      <c r="W720" s="5">
        <f>O720-(P720+R720)</f>
        <v/>
      </c>
      <c r="X720" s="5">
        <f>O720-(P720+Q720+R720)</f>
        <v/>
      </c>
    </row>
    <row r="721">
      <c r="A721" s="2" t="inlineStr">
        <is>
          <t>EJ010925.TXT</t>
        </is>
      </c>
      <c r="B721" s="3" t="inlineStr">
        <is>
          <t>002109</t>
        </is>
      </c>
      <c r="C721" s="3" t="inlineStr">
        <is>
          <t>001328</t>
        </is>
      </c>
      <c r="D721" s="4" t="n">
        <v>45891</v>
      </c>
      <c r="E721" s="2" t="inlineStr">
        <is>
          <t>16:52</t>
        </is>
      </c>
      <c r="F721" s="5" t="n">
        <v>590</v>
      </c>
      <c r="G721" s="5" t="n"/>
      <c r="H721" s="5" t="n"/>
      <c r="I721" s="5" t="n"/>
      <c r="J721" s="5" t="n">
        <v>118</v>
      </c>
      <c r="K721" s="5" t="n"/>
      <c r="L721" s="5" t="n"/>
      <c r="M721" s="5" t="n"/>
      <c r="N721" s="5" t="n"/>
      <c r="O721" s="5" t="n">
        <v>708</v>
      </c>
      <c r="P721" s="5" t="n"/>
      <c r="Q721" s="5" t="n">
        <v>708</v>
      </c>
      <c r="R721" s="5" t="n"/>
      <c r="S721" s="5">
        <f>F721*20%</f>
        <v/>
      </c>
      <c r="T721" s="5">
        <f>J721-S721</f>
        <v/>
      </c>
      <c r="U721" s="5">
        <f>F721+J721</f>
        <v/>
      </c>
      <c r="V721" s="5">
        <f>O721-U721</f>
        <v/>
      </c>
      <c r="W721" s="5">
        <f>O721-(P721+R721)</f>
        <v/>
      </c>
      <c r="X721" s="5">
        <f>O721-(P721+Q721+R721)</f>
        <v/>
      </c>
    </row>
    <row r="722">
      <c r="A722" s="2" t="inlineStr">
        <is>
          <t>EJ010925.TXT</t>
        </is>
      </c>
      <c r="B722" s="3" t="inlineStr">
        <is>
          <t>002110</t>
        </is>
      </c>
      <c r="C722" s="3" t="inlineStr">
        <is>
          <t>001329</t>
        </is>
      </c>
      <c r="D722" s="4" t="n">
        <v>45892</v>
      </c>
      <c r="E722" s="2" t="inlineStr">
        <is>
          <t>14:18</t>
        </is>
      </c>
      <c r="F722" s="5" t="n">
        <v>274.17</v>
      </c>
      <c r="G722" s="5" t="n"/>
      <c r="H722" s="5" t="n"/>
      <c r="I722" s="5" t="n"/>
      <c r="J722" s="5" t="n">
        <v>54.83</v>
      </c>
      <c r="K722" s="5" t="n"/>
      <c r="L722" s="5" t="n"/>
      <c r="M722" s="5" t="n"/>
      <c r="N722" s="5" t="n"/>
      <c r="O722" s="5" t="n">
        <v>329</v>
      </c>
      <c r="P722" s="5" t="n"/>
      <c r="Q722" s="5" t="n">
        <v>329</v>
      </c>
      <c r="R722" s="5" t="n"/>
      <c r="S722" s="5">
        <f>F722*20%</f>
        <v/>
      </c>
      <c r="T722" s="5">
        <f>J722-S722</f>
        <v/>
      </c>
      <c r="U722" s="5">
        <f>F722+J722</f>
        <v/>
      </c>
      <c r="V722" s="5">
        <f>O722-U722</f>
        <v/>
      </c>
      <c r="W722" s="5">
        <f>O722-(P722+R722)</f>
        <v/>
      </c>
      <c r="X722" s="5">
        <f>O722-(P722+Q722+R722)</f>
        <v/>
      </c>
    </row>
    <row r="723">
      <c r="A723" s="2" t="inlineStr">
        <is>
          <t>EJ010925.TXT</t>
        </is>
      </c>
      <c r="B723" s="3" t="inlineStr">
        <is>
          <t>002113</t>
        </is>
      </c>
      <c r="C723" s="3" t="inlineStr">
        <is>
          <t>001330</t>
        </is>
      </c>
      <c r="D723" s="4" t="n">
        <v>45898</v>
      </c>
      <c r="E723" s="2" t="inlineStr">
        <is>
          <t>15:06</t>
        </is>
      </c>
      <c r="F723" s="5" t="n">
        <v>73.33</v>
      </c>
      <c r="G723" s="5" t="n"/>
      <c r="H723" s="5" t="n"/>
      <c r="I723" s="5" t="n"/>
      <c r="J723" s="5" t="n">
        <v>14.67</v>
      </c>
      <c r="K723" s="5" t="n"/>
      <c r="L723" s="5" t="n"/>
      <c r="M723" s="5" t="n"/>
      <c r="N723" s="5" t="n"/>
      <c r="O723" s="5" t="n">
        <v>88</v>
      </c>
      <c r="P723" s="5" t="n">
        <v>88</v>
      </c>
      <c r="Q723" s="5" t="n"/>
      <c r="R723" s="5" t="n"/>
      <c r="S723" s="5">
        <f>F723*20%</f>
        <v/>
      </c>
      <c r="T723" s="5">
        <f>J723-S723</f>
        <v/>
      </c>
      <c r="U723" s="5">
        <f>F723+J723</f>
        <v/>
      </c>
      <c r="V723" s="5">
        <f>O723-U723</f>
        <v/>
      </c>
      <c r="W723" s="5">
        <f>O723-(P723+R723)</f>
        <v/>
      </c>
      <c r="X723" s="5">
        <f>O723-(P723+Q723+R723)</f>
        <v/>
      </c>
    </row>
  </sheetData>
  <autoFilter ref="A1:X723"/>
  <conditionalFormatting sqref="T2:T723">
    <cfRule type="cellIs" priority="1" operator="greaterThan" dxfId="0">
      <formula>0.02</formula>
    </cfRule>
    <cfRule type="cellIs" priority="2" operator="lessThan" dxfId="0">
      <formula>-0.02</formula>
    </cfRule>
  </conditionalFormatting>
  <conditionalFormatting sqref="V2:V723">
    <cfRule type="cellIs" priority="3" operator="greaterThan" dxfId="0">
      <formula>0.02</formula>
    </cfRule>
    <cfRule type="cellIs" priority="4" operator="lessThan" dxfId="0">
      <formula>-0.02</formula>
    </cfRule>
  </conditionalFormatting>
  <conditionalFormatting sqref="X2:X723">
    <cfRule type="cellIs" priority="5" operator="greaterThan" dxfId="0">
      <formula>0.02</formula>
    </cfRule>
    <cfRule type="cellIs" priority="6" operator="lessThan" dxfId="0">
      <formula>-0.02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</cols>
  <sheetData>
    <row r="1" ht="34" customHeight="1">
      <c r="A1" s="1" t="inlineStr">
        <is>
          <t>nomfichier</t>
        </is>
      </c>
      <c r="B1" s="1" t="inlineStr">
        <is>
          <t>E_NUM_INTERNE</t>
        </is>
      </c>
      <c r="C1" s="1" t="inlineStr">
        <is>
          <t>E_NUM_TICKET</t>
        </is>
      </c>
      <c r="D1" s="1" t="inlineStr">
        <is>
          <t>E_DATE_TICKET</t>
        </is>
      </c>
      <c r="E1" s="1" t="inlineStr">
        <is>
          <t>E_HEURE_TICKET</t>
        </is>
      </c>
      <c r="F1" s="1" t="inlineStr">
        <is>
          <t>AJ_TROU_NUM_TICKET</t>
        </is>
      </c>
      <c r="G1" s="1" t="inlineStr">
        <is>
          <t>AJ_TROU_NUM_INTERNE</t>
        </is>
      </c>
      <c r="H1" s="1" t="inlineStr">
        <is>
          <t>OBSERVATION</t>
        </is>
      </c>
    </row>
    <row r="2">
      <c r="A2" s="2" t="inlineStr">
        <is>
          <t>EJ010223.TXT</t>
        </is>
      </c>
      <c r="B2" s="3" t="inlineStr">
        <is>
          <t>000977</t>
        </is>
      </c>
      <c r="C2" s="3" t="inlineStr">
        <is>
          <t>000609</t>
        </is>
      </c>
      <c r="D2" s="4" t="n">
        <v>44930</v>
      </c>
      <c r="E2" s="2" t="inlineStr">
        <is>
          <t>12:01</t>
        </is>
      </c>
      <c r="F2" s="5">
        <f>""</f>
        <v/>
      </c>
      <c r="G2" s="5">
        <f>""</f>
        <v/>
      </c>
      <c r="H2" s="2">
        <f>"Premier enregistrement"</f>
        <v/>
      </c>
    </row>
    <row r="3">
      <c r="A3" s="2" t="inlineStr">
        <is>
          <t>EJ010223.TXT</t>
        </is>
      </c>
      <c r="B3" s="3" t="inlineStr">
        <is>
          <t>000978</t>
        </is>
      </c>
      <c r="C3" s="3" t="inlineStr">
        <is>
          <t>000610</t>
        </is>
      </c>
      <c r="D3" s="4" t="n">
        <v>44932</v>
      </c>
      <c r="E3" s="2" t="inlineStr">
        <is>
          <t>11:30</t>
        </is>
      </c>
      <c r="F3" s="5">
        <f>C3-C2</f>
        <v/>
      </c>
      <c r="G3" s="5">
        <f>B3-B2</f>
        <v/>
      </c>
      <c r="H3" s="2">
        <f>IF(AND(F3=1,G3=1),"OK","À JUSTIFIER")</f>
        <v/>
      </c>
    </row>
    <row r="4">
      <c r="A4" s="2" t="inlineStr">
        <is>
          <t>EJ010223.TXT</t>
        </is>
      </c>
      <c r="B4" s="3" t="inlineStr">
        <is>
          <t>000979</t>
        </is>
      </c>
      <c r="C4" s="3" t="inlineStr">
        <is>
          <t>000611</t>
        </is>
      </c>
      <c r="D4" s="4" t="n">
        <v>44932</v>
      </c>
      <c r="E4" s="2" t="inlineStr">
        <is>
          <t>13:38</t>
        </is>
      </c>
      <c r="F4" s="5">
        <f>C4-C3</f>
        <v/>
      </c>
      <c r="G4" s="5">
        <f>B4-B3</f>
        <v/>
      </c>
      <c r="H4" s="2">
        <f>IF(AND(F4=1,G4=1),"OK","À JUSTIFIER")</f>
        <v/>
      </c>
    </row>
    <row r="5">
      <c r="A5" s="2" t="inlineStr">
        <is>
          <t>EJ010223.TXT</t>
        </is>
      </c>
      <c r="B5" s="3" t="inlineStr">
        <is>
          <t>000980</t>
        </is>
      </c>
      <c r="C5" s="3" t="inlineStr">
        <is>
          <t>000612</t>
        </is>
      </c>
      <c r="D5" s="4" t="n">
        <v>44932</v>
      </c>
      <c r="E5" s="2" t="inlineStr">
        <is>
          <t>13:38</t>
        </is>
      </c>
      <c r="F5" s="5">
        <f>C5-C4</f>
        <v/>
      </c>
      <c r="G5" s="5">
        <f>B5-B4</f>
        <v/>
      </c>
      <c r="H5" s="2">
        <f>IF(AND(F5=1,G5=1),"OK","À JUSTIFIER")</f>
        <v/>
      </c>
    </row>
    <row r="6">
      <c r="A6" s="2" t="inlineStr">
        <is>
          <t>EJ010223.TXT</t>
        </is>
      </c>
      <c r="B6" s="3" t="inlineStr">
        <is>
          <t>000981</t>
        </is>
      </c>
      <c r="C6" s="3" t="inlineStr">
        <is>
          <t>000613</t>
        </is>
      </c>
      <c r="D6" s="4" t="n">
        <v>44932</v>
      </c>
      <c r="E6" s="2" t="inlineStr">
        <is>
          <t>13:58</t>
        </is>
      </c>
      <c r="F6" s="5">
        <f>C6-C5</f>
        <v/>
      </c>
      <c r="G6" s="5">
        <f>B6-B5</f>
        <v/>
      </c>
      <c r="H6" s="2">
        <f>IF(AND(F6=1,G6=1),"OK","À JUSTIFIER")</f>
        <v/>
      </c>
    </row>
    <row r="7">
      <c r="A7" s="2" t="inlineStr">
        <is>
          <t>EJ010223.TXT</t>
        </is>
      </c>
      <c r="B7" s="3" t="inlineStr">
        <is>
          <t>000982</t>
        </is>
      </c>
      <c r="C7" s="3" t="inlineStr">
        <is>
          <t>000614</t>
        </is>
      </c>
      <c r="D7" s="4" t="n">
        <v>44932</v>
      </c>
      <c r="E7" s="2" t="inlineStr">
        <is>
          <t>13:59</t>
        </is>
      </c>
      <c r="F7" s="5">
        <f>C7-C6</f>
        <v/>
      </c>
      <c r="G7" s="5">
        <f>B7-B6</f>
        <v/>
      </c>
      <c r="H7" s="2">
        <f>IF(AND(F7=1,G7=1),"OK","À JUSTIFIER")</f>
        <v/>
      </c>
    </row>
    <row r="8">
      <c r="A8" s="2" t="inlineStr">
        <is>
          <t>EJ010223.TXT</t>
        </is>
      </c>
      <c r="B8" s="3" t="inlineStr">
        <is>
          <t>000983</t>
        </is>
      </c>
      <c r="C8" s="3" t="inlineStr">
        <is>
          <t>000615</t>
        </is>
      </c>
      <c r="D8" s="4" t="n">
        <v>44937</v>
      </c>
      <c r="E8" s="2" t="inlineStr">
        <is>
          <t>12:38</t>
        </is>
      </c>
      <c r="F8" s="5">
        <f>C8-C7</f>
        <v/>
      </c>
      <c r="G8" s="5">
        <f>B8-B7</f>
        <v/>
      </c>
      <c r="H8" s="2">
        <f>IF(AND(F8=1,G8=1),"OK","À JUSTIFIER")</f>
        <v/>
      </c>
    </row>
    <row r="9">
      <c r="A9" s="2" t="inlineStr">
        <is>
          <t>EJ010223.TXT</t>
        </is>
      </c>
      <c r="B9" s="3" t="inlineStr">
        <is>
          <t>000984</t>
        </is>
      </c>
      <c r="C9" s="3" t="inlineStr">
        <is>
          <t>000616</t>
        </is>
      </c>
      <c r="D9" s="4" t="n">
        <v>44937</v>
      </c>
      <c r="E9" s="2" t="inlineStr">
        <is>
          <t>14:46</t>
        </is>
      </c>
      <c r="F9" s="5">
        <f>C9-C8</f>
        <v/>
      </c>
      <c r="G9" s="5">
        <f>B9-B8</f>
        <v/>
      </c>
      <c r="H9" s="2">
        <f>IF(AND(F9=1,G9=1),"OK","À JUSTIFIER")</f>
        <v/>
      </c>
    </row>
    <row r="10">
      <c r="A10" s="2" t="inlineStr">
        <is>
          <t>EJ010223.TXT</t>
        </is>
      </c>
      <c r="B10" s="3" t="inlineStr">
        <is>
          <t>000985</t>
        </is>
      </c>
      <c r="C10" s="3" t="inlineStr">
        <is>
          <t>000617</t>
        </is>
      </c>
      <c r="D10" s="4" t="n">
        <v>44939</v>
      </c>
      <c r="E10" s="2" t="inlineStr">
        <is>
          <t>10:27</t>
        </is>
      </c>
      <c r="F10" s="5">
        <f>C10-C9</f>
        <v/>
      </c>
      <c r="G10" s="5">
        <f>B10-B9</f>
        <v/>
      </c>
      <c r="H10" s="2">
        <f>IF(AND(F10=1,G10=1),"OK","À JUSTIFIER")</f>
        <v/>
      </c>
    </row>
    <row r="11">
      <c r="A11" s="2" t="inlineStr">
        <is>
          <t>EJ010223.TXT</t>
        </is>
      </c>
      <c r="B11" s="3" t="inlineStr">
        <is>
          <t>000986</t>
        </is>
      </c>
      <c r="C11" s="3" t="inlineStr">
        <is>
          <t>000618</t>
        </is>
      </c>
      <c r="D11" s="4" t="n">
        <v>44939</v>
      </c>
      <c r="E11" s="2" t="inlineStr">
        <is>
          <t>10:48</t>
        </is>
      </c>
      <c r="F11" s="5">
        <f>C11-C10</f>
        <v/>
      </c>
      <c r="G11" s="5">
        <f>B11-B10</f>
        <v/>
      </c>
      <c r="H11" s="2">
        <f>IF(AND(F11=1,G11=1),"OK","À JUSTIFIER")</f>
        <v/>
      </c>
    </row>
    <row r="12">
      <c r="A12" s="2" t="inlineStr">
        <is>
          <t>EJ010223.TXT</t>
        </is>
      </c>
      <c r="B12" s="3" t="inlineStr">
        <is>
          <t>000987</t>
        </is>
      </c>
      <c r="C12" s="3" t="inlineStr">
        <is>
          <t>000619</t>
        </is>
      </c>
      <c r="D12" s="4" t="n">
        <v>44939</v>
      </c>
      <c r="E12" s="2" t="inlineStr">
        <is>
          <t>13:05</t>
        </is>
      </c>
      <c r="F12" s="5">
        <f>C12-C11</f>
        <v/>
      </c>
      <c r="G12" s="5">
        <f>B12-B11</f>
        <v/>
      </c>
      <c r="H12" s="2">
        <f>IF(AND(F12=1,G12=1),"OK","À JUSTIFIER")</f>
        <v/>
      </c>
    </row>
    <row r="13">
      <c r="A13" s="2" t="inlineStr">
        <is>
          <t>EJ010223.TXT</t>
        </is>
      </c>
      <c r="B13" s="3" t="inlineStr">
        <is>
          <t>000988</t>
        </is>
      </c>
      <c r="C13" s="3" t="inlineStr">
        <is>
          <t>000620</t>
        </is>
      </c>
      <c r="D13" s="4" t="n">
        <v>44940</v>
      </c>
      <c r="E13" s="2" t="inlineStr">
        <is>
          <t>16:39</t>
        </is>
      </c>
      <c r="F13" s="5">
        <f>C13-C12</f>
        <v/>
      </c>
      <c r="G13" s="5">
        <f>B13-B12</f>
        <v/>
      </c>
      <c r="H13" s="2">
        <f>IF(AND(F13=1,G13=1),"OK","À JUSTIFIER")</f>
        <v/>
      </c>
    </row>
    <row r="14">
      <c r="A14" s="2" t="inlineStr">
        <is>
          <t>EJ010223.TXT</t>
        </is>
      </c>
      <c r="B14" s="3" t="inlineStr">
        <is>
          <t>000989</t>
        </is>
      </c>
      <c r="C14" s="3" t="inlineStr">
        <is>
          <t>000621</t>
        </is>
      </c>
      <c r="D14" s="4" t="n">
        <v>44940</v>
      </c>
      <c r="E14" s="2" t="inlineStr">
        <is>
          <t>16:53</t>
        </is>
      </c>
      <c r="F14" s="5">
        <f>C14-C13</f>
        <v/>
      </c>
      <c r="G14" s="5">
        <f>B14-B13</f>
        <v/>
      </c>
      <c r="H14" s="2">
        <f>IF(AND(F14=1,G14=1),"OK","À JUSTIFIER")</f>
        <v/>
      </c>
    </row>
    <row r="15">
      <c r="A15" s="2" t="inlineStr">
        <is>
          <t>EJ010223.TXT</t>
        </is>
      </c>
      <c r="B15" s="3" t="inlineStr">
        <is>
          <t>000990</t>
        </is>
      </c>
      <c r="C15" s="3" t="inlineStr">
        <is>
          <t>000622</t>
        </is>
      </c>
      <c r="D15" s="4" t="n">
        <v>44942</v>
      </c>
      <c r="E15" s="2" t="inlineStr">
        <is>
          <t>17:36</t>
        </is>
      </c>
      <c r="F15" s="5">
        <f>C15-C14</f>
        <v/>
      </c>
      <c r="G15" s="5">
        <f>B15-B14</f>
        <v/>
      </c>
      <c r="H15" s="2">
        <f>IF(AND(F15=1,G15=1),"OK","À JUSTIFIER")</f>
        <v/>
      </c>
    </row>
    <row r="16">
      <c r="A16" s="2" t="inlineStr">
        <is>
          <t>EJ010223.TXT</t>
        </is>
      </c>
      <c r="B16" s="3" t="inlineStr">
        <is>
          <t>000991</t>
        </is>
      </c>
      <c r="C16" s="3" t="inlineStr">
        <is>
          <t>000623</t>
        </is>
      </c>
      <c r="D16" s="4" t="n">
        <v>44942</v>
      </c>
      <c r="E16" s="2" t="inlineStr">
        <is>
          <t>17:44</t>
        </is>
      </c>
      <c r="F16" s="5">
        <f>C16-C15</f>
        <v/>
      </c>
      <c r="G16" s="5">
        <f>B16-B15</f>
        <v/>
      </c>
      <c r="H16" s="2">
        <f>IF(AND(F16=1,G16=1),"OK","À JUSTIFIER")</f>
        <v/>
      </c>
    </row>
    <row r="17">
      <c r="A17" s="2" t="inlineStr">
        <is>
          <t>EJ010223.TXT</t>
        </is>
      </c>
      <c r="B17" s="3" t="inlineStr">
        <is>
          <t>000992</t>
        </is>
      </c>
      <c r="C17" s="3" t="inlineStr">
        <is>
          <t>000624</t>
        </is>
      </c>
      <c r="D17" s="4" t="n">
        <v>44942</v>
      </c>
      <c r="E17" s="2" t="inlineStr">
        <is>
          <t>17:44</t>
        </is>
      </c>
      <c r="F17" s="5">
        <f>C17-C16</f>
        <v/>
      </c>
      <c r="G17" s="5">
        <f>B17-B16</f>
        <v/>
      </c>
      <c r="H17" s="2">
        <f>IF(AND(F17=1,G17=1),"OK","À JUSTIFIER")</f>
        <v/>
      </c>
    </row>
    <row r="18">
      <c r="A18" s="2" t="inlineStr">
        <is>
          <t>EJ010223.TXT</t>
        </is>
      </c>
      <c r="B18" s="3" t="inlineStr">
        <is>
          <t>000993</t>
        </is>
      </c>
      <c r="C18" s="3" t="inlineStr">
        <is>
          <t>000625</t>
        </is>
      </c>
      <c r="D18" s="4" t="n">
        <v>44942</v>
      </c>
      <c r="E18" s="2" t="inlineStr">
        <is>
          <t>17:44</t>
        </is>
      </c>
      <c r="F18" s="5">
        <f>C18-C17</f>
        <v/>
      </c>
      <c r="G18" s="5">
        <f>B18-B17</f>
        <v/>
      </c>
      <c r="H18" s="2">
        <f>IF(AND(F18=1,G18=1),"OK","À JUSTIFIER")</f>
        <v/>
      </c>
    </row>
    <row r="19">
      <c r="A19" s="2" t="inlineStr">
        <is>
          <t>EJ010223.TXT</t>
        </is>
      </c>
      <c r="B19" s="3" t="inlineStr">
        <is>
          <t>000994</t>
        </is>
      </c>
      <c r="C19" s="3" t="inlineStr">
        <is>
          <t>000626</t>
        </is>
      </c>
      <c r="D19" s="4" t="n">
        <v>44943</v>
      </c>
      <c r="E19" s="2" t="inlineStr">
        <is>
          <t>10:05</t>
        </is>
      </c>
      <c r="F19" s="5">
        <f>C19-C18</f>
        <v/>
      </c>
      <c r="G19" s="5">
        <f>B19-B18</f>
        <v/>
      </c>
      <c r="H19" s="2">
        <f>IF(AND(F19=1,G19=1),"OK","À JUSTIFIER")</f>
        <v/>
      </c>
    </row>
    <row r="20">
      <c r="A20" s="2" t="inlineStr">
        <is>
          <t>EJ010223.TXT</t>
        </is>
      </c>
      <c r="B20" s="3" t="inlineStr">
        <is>
          <t>000995</t>
        </is>
      </c>
      <c r="C20" s="3" t="inlineStr">
        <is>
          <t>000627</t>
        </is>
      </c>
      <c r="D20" s="4" t="n">
        <v>44943</v>
      </c>
      <c r="E20" s="2" t="inlineStr">
        <is>
          <t>11:17</t>
        </is>
      </c>
      <c r="F20" s="5">
        <f>C20-C19</f>
        <v/>
      </c>
      <c r="G20" s="5">
        <f>B20-B19</f>
        <v/>
      </c>
      <c r="H20" s="2">
        <f>IF(AND(F20=1,G20=1),"OK","À JUSTIFIER")</f>
        <v/>
      </c>
    </row>
    <row r="21">
      <c r="A21" s="2" t="inlineStr">
        <is>
          <t>EJ010223.TXT</t>
        </is>
      </c>
      <c r="B21" s="3" t="inlineStr">
        <is>
          <t>000996</t>
        </is>
      </c>
      <c r="C21" s="3" t="inlineStr">
        <is>
          <t>000628</t>
        </is>
      </c>
      <c r="D21" s="4" t="n">
        <v>44943</v>
      </c>
      <c r="E21" s="2" t="inlineStr">
        <is>
          <t>11:23</t>
        </is>
      </c>
      <c r="F21" s="5">
        <f>C21-C20</f>
        <v/>
      </c>
      <c r="G21" s="5">
        <f>B21-B20</f>
        <v/>
      </c>
      <c r="H21" s="2">
        <f>IF(AND(F21=1,G21=1),"OK","À JUSTIFIER")</f>
        <v/>
      </c>
    </row>
    <row r="22">
      <c r="A22" s="2" t="inlineStr">
        <is>
          <t>EJ010223.TXT</t>
        </is>
      </c>
      <c r="B22" s="3" t="inlineStr">
        <is>
          <t>000997</t>
        </is>
      </c>
      <c r="C22" s="3" t="inlineStr">
        <is>
          <t>000629</t>
        </is>
      </c>
      <c r="D22" s="4" t="n">
        <v>44943</v>
      </c>
      <c r="E22" s="2" t="inlineStr">
        <is>
          <t>12:30</t>
        </is>
      </c>
      <c r="F22" s="5">
        <f>C22-C21</f>
        <v/>
      </c>
      <c r="G22" s="5">
        <f>B22-B21</f>
        <v/>
      </c>
      <c r="H22" s="2">
        <f>IF(AND(F22=1,G22=1),"OK","À JUSTIFIER")</f>
        <v/>
      </c>
    </row>
    <row r="23">
      <c r="A23" s="2" t="inlineStr">
        <is>
          <t>EJ010223.TXT</t>
        </is>
      </c>
      <c r="B23" s="3" t="inlineStr">
        <is>
          <t>000998</t>
        </is>
      </c>
      <c r="C23" s="3" t="inlineStr">
        <is>
          <t>000630</t>
        </is>
      </c>
      <c r="D23" s="4" t="n">
        <v>44943</v>
      </c>
      <c r="E23" s="2" t="inlineStr">
        <is>
          <t>13:47</t>
        </is>
      </c>
      <c r="F23" s="5">
        <f>C23-C22</f>
        <v/>
      </c>
      <c r="G23" s="5">
        <f>B23-B22</f>
        <v/>
      </c>
      <c r="H23" s="2">
        <f>IF(AND(F23=1,G23=1),"OK","À JUSTIFIER")</f>
        <v/>
      </c>
    </row>
    <row r="24">
      <c r="A24" s="2" t="inlineStr">
        <is>
          <t>EJ010223.TXT</t>
        </is>
      </c>
      <c r="B24" s="3" t="inlineStr">
        <is>
          <t>000999</t>
        </is>
      </c>
      <c r="C24" s="3" t="inlineStr">
        <is>
          <t>000631</t>
        </is>
      </c>
      <c r="D24" s="4" t="n">
        <v>44944</v>
      </c>
      <c r="E24" s="2" t="inlineStr">
        <is>
          <t>12:59</t>
        </is>
      </c>
      <c r="F24" s="5">
        <f>C24-C23</f>
        <v/>
      </c>
      <c r="G24" s="5">
        <f>B24-B23</f>
        <v/>
      </c>
      <c r="H24" s="2">
        <f>IF(AND(F24=1,G24=1),"OK","À JUSTIFIER")</f>
        <v/>
      </c>
    </row>
    <row r="25">
      <c r="A25" s="2" t="inlineStr">
        <is>
          <t>EJ010223.TXT</t>
        </is>
      </c>
      <c r="B25" s="3" t="inlineStr">
        <is>
          <t>001000</t>
        </is>
      </c>
      <c r="C25" s="3" t="inlineStr">
        <is>
          <t>000632</t>
        </is>
      </c>
      <c r="D25" s="4" t="n">
        <v>44944</v>
      </c>
      <c r="E25" s="2" t="inlineStr">
        <is>
          <t>17:24</t>
        </is>
      </c>
      <c r="F25" s="5">
        <f>C25-C24</f>
        <v/>
      </c>
      <c r="G25" s="5">
        <f>B25-B24</f>
        <v/>
      </c>
      <c r="H25" s="2">
        <f>IF(AND(F25=1,G25=1),"OK","À JUSTIFIER")</f>
        <v/>
      </c>
    </row>
    <row r="26">
      <c r="A26" s="2" t="inlineStr">
        <is>
          <t>EJ010223.TXT</t>
        </is>
      </c>
      <c r="B26" s="3" t="inlineStr">
        <is>
          <t>001001</t>
        </is>
      </c>
      <c r="C26" s="3" t="inlineStr">
        <is>
          <t>000633</t>
        </is>
      </c>
      <c r="D26" s="4" t="n">
        <v>44945</v>
      </c>
      <c r="E26" s="2" t="inlineStr">
        <is>
          <t>12:34</t>
        </is>
      </c>
      <c r="F26" s="5">
        <f>C26-C25</f>
        <v/>
      </c>
      <c r="G26" s="5">
        <f>B26-B25</f>
        <v/>
      </c>
      <c r="H26" s="2">
        <f>IF(AND(F26=1,G26=1),"OK","À JUSTIFIER")</f>
        <v/>
      </c>
    </row>
    <row r="27">
      <c r="A27" s="2" t="inlineStr">
        <is>
          <t>EJ010223.TXT</t>
        </is>
      </c>
      <c r="B27" s="3" t="inlineStr">
        <is>
          <t>001002</t>
        </is>
      </c>
      <c r="C27" s="3" t="inlineStr">
        <is>
          <t>000634</t>
        </is>
      </c>
      <c r="D27" s="4" t="n">
        <v>44947</v>
      </c>
      <c r="E27" s="2" t="inlineStr">
        <is>
          <t>14:43</t>
        </is>
      </c>
      <c r="F27" s="5">
        <f>C27-C26</f>
        <v/>
      </c>
      <c r="G27" s="5">
        <f>B27-B26</f>
        <v/>
      </c>
      <c r="H27" s="2">
        <f>IF(AND(F27=1,G27=1),"OK","À JUSTIFIER")</f>
        <v/>
      </c>
    </row>
    <row r="28">
      <c r="A28" s="2" t="inlineStr">
        <is>
          <t>EJ010223.TXT</t>
        </is>
      </c>
      <c r="B28" s="3" t="inlineStr">
        <is>
          <t>001003</t>
        </is>
      </c>
      <c r="C28" s="3" t="inlineStr">
        <is>
          <t>000635</t>
        </is>
      </c>
      <c r="D28" s="4" t="n">
        <v>44951</v>
      </c>
      <c r="E28" s="2" t="inlineStr">
        <is>
          <t>09:58</t>
        </is>
      </c>
      <c r="F28" s="5">
        <f>C28-C27</f>
        <v/>
      </c>
      <c r="G28" s="5">
        <f>B28-B27</f>
        <v/>
      </c>
      <c r="H28" s="2">
        <f>IF(AND(F28=1,G28=1),"OK","À JUSTIFIER")</f>
        <v/>
      </c>
    </row>
    <row r="29">
      <c r="A29" s="2" t="inlineStr">
        <is>
          <t>EJ010223.TXT</t>
        </is>
      </c>
      <c r="B29" s="3" t="inlineStr">
        <is>
          <t>001004</t>
        </is>
      </c>
      <c r="C29" s="3" t="inlineStr">
        <is>
          <t>000636</t>
        </is>
      </c>
      <c r="D29" s="4" t="n">
        <v>44951</v>
      </c>
      <c r="E29" s="2" t="inlineStr">
        <is>
          <t>16:08</t>
        </is>
      </c>
      <c r="F29" s="5">
        <f>C29-C28</f>
        <v/>
      </c>
      <c r="G29" s="5">
        <f>B29-B28</f>
        <v/>
      </c>
      <c r="H29" s="2">
        <f>IF(AND(F29=1,G29=1),"OK","À JUSTIFIER")</f>
        <v/>
      </c>
    </row>
    <row r="30">
      <c r="A30" s="2" t="inlineStr">
        <is>
          <t>EJ010223.TXT</t>
        </is>
      </c>
      <c r="B30" s="3" t="inlineStr">
        <is>
          <t>001005</t>
        </is>
      </c>
      <c r="C30" s="3" t="inlineStr">
        <is>
          <t>000637</t>
        </is>
      </c>
      <c r="D30" s="4" t="n">
        <v>44951</v>
      </c>
      <c r="E30" s="2" t="inlineStr">
        <is>
          <t>16:46</t>
        </is>
      </c>
      <c r="F30" s="5">
        <f>C30-C29</f>
        <v/>
      </c>
      <c r="G30" s="5">
        <f>B30-B29</f>
        <v/>
      </c>
      <c r="H30" s="2">
        <f>IF(AND(F30=1,G30=1),"OK","À JUSTIFIER")</f>
        <v/>
      </c>
    </row>
    <row r="31">
      <c r="A31" s="2" t="inlineStr">
        <is>
          <t>EJ010223.TXT</t>
        </is>
      </c>
      <c r="B31" s="3" t="inlineStr">
        <is>
          <t>001006</t>
        </is>
      </c>
      <c r="C31" s="3" t="inlineStr">
        <is>
          <t>000638</t>
        </is>
      </c>
      <c r="D31" s="4" t="n">
        <v>44952</v>
      </c>
      <c r="E31" s="2" t="inlineStr">
        <is>
          <t>16:05</t>
        </is>
      </c>
      <c r="F31" s="5">
        <f>C31-C30</f>
        <v/>
      </c>
      <c r="G31" s="5">
        <f>B31-B30</f>
        <v/>
      </c>
      <c r="H31" s="2">
        <f>IF(AND(F31=1,G31=1),"OK","À JUSTIFIER")</f>
        <v/>
      </c>
    </row>
    <row r="32">
      <c r="A32" s="2" t="inlineStr">
        <is>
          <t>EJ010223.TXT</t>
        </is>
      </c>
      <c r="B32" s="3" t="inlineStr">
        <is>
          <t>001007</t>
        </is>
      </c>
      <c r="C32" s="3" t="inlineStr">
        <is>
          <t>000639</t>
        </is>
      </c>
      <c r="D32" s="4" t="n">
        <v>44953</v>
      </c>
      <c r="E32" s="2" t="inlineStr">
        <is>
          <t>13:19</t>
        </is>
      </c>
      <c r="F32" s="5">
        <f>C32-C31</f>
        <v/>
      </c>
      <c r="G32" s="5">
        <f>B32-B31</f>
        <v/>
      </c>
      <c r="H32" s="2">
        <f>IF(AND(F32=1,G32=1),"OK","À JUSTIFIER")</f>
        <v/>
      </c>
    </row>
    <row r="33">
      <c r="A33" s="2" t="inlineStr">
        <is>
          <t>EJ010223.TXT</t>
        </is>
      </c>
      <c r="B33" s="3" t="inlineStr">
        <is>
          <t>001008</t>
        </is>
      </c>
      <c r="C33" s="3" t="inlineStr">
        <is>
          <t>000640</t>
        </is>
      </c>
      <c r="D33" s="4" t="n">
        <v>44953</v>
      </c>
      <c r="E33" s="2" t="inlineStr">
        <is>
          <t>17:19</t>
        </is>
      </c>
      <c r="F33" s="5">
        <f>C33-C32</f>
        <v/>
      </c>
      <c r="G33" s="5">
        <f>B33-B32</f>
        <v/>
      </c>
      <c r="H33" s="2">
        <f>IF(AND(F33=1,G33=1),"OK","À JUSTIFIER")</f>
        <v/>
      </c>
    </row>
    <row r="34">
      <c r="A34" s="2" t="inlineStr">
        <is>
          <t>EJ010323.TXT</t>
        </is>
      </c>
      <c r="B34" s="3" t="inlineStr">
        <is>
          <t>001015</t>
        </is>
      </c>
      <c r="C34" s="3" t="inlineStr">
        <is>
          <t>000641</t>
        </is>
      </c>
      <c r="D34" s="4" t="n">
        <v>44958</v>
      </c>
      <c r="E34" s="2" t="inlineStr">
        <is>
          <t>15:26</t>
        </is>
      </c>
      <c r="F34" s="5">
        <f>C34-C33</f>
        <v/>
      </c>
      <c r="G34" s="5">
        <f>B34-B33</f>
        <v/>
      </c>
      <c r="H34" s="2">
        <f>IF(AND(F34=1,G34=1),"OK","À JUSTIFIER")</f>
        <v/>
      </c>
    </row>
    <row r="35">
      <c r="A35" s="2" t="inlineStr">
        <is>
          <t>EJ010323.TXT</t>
        </is>
      </c>
      <c r="B35" s="3" t="inlineStr">
        <is>
          <t>001017</t>
        </is>
      </c>
      <c r="C35" s="3" t="inlineStr">
        <is>
          <t>000642</t>
        </is>
      </c>
      <c r="D35" s="4" t="n">
        <v>44959</v>
      </c>
      <c r="E35" s="2" t="inlineStr">
        <is>
          <t>12:55</t>
        </is>
      </c>
      <c r="F35" s="5">
        <f>C35-C34</f>
        <v/>
      </c>
      <c r="G35" s="5">
        <f>B35-B34</f>
        <v/>
      </c>
      <c r="H35" s="2">
        <f>IF(AND(F35=1,G35=1),"OK","À JUSTIFIER")</f>
        <v/>
      </c>
    </row>
    <row r="36">
      <c r="A36" s="2" t="inlineStr">
        <is>
          <t>EJ010323.TXT</t>
        </is>
      </c>
      <c r="B36" s="3" t="inlineStr">
        <is>
          <t>001020</t>
        </is>
      </c>
      <c r="C36" s="3" t="inlineStr">
        <is>
          <t>000643</t>
        </is>
      </c>
      <c r="D36" s="4" t="n">
        <v>44959</v>
      </c>
      <c r="E36" s="2" t="inlineStr">
        <is>
          <t>14:04</t>
        </is>
      </c>
      <c r="F36" s="5">
        <f>C36-C35</f>
        <v/>
      </c>
      <c r="G36" s="5">
        <f>B36-B35</f>
        <v/>
      </c>
      <c r="H36" s="2">
        <f>IF(AND(F36=1,G36=1),"OK","À JUSTIFIER")</f>
        <v/>
      </c>
    </row>
    <row r="37">
      <c r="A37" s="2" t="inlineStr">
        <is>
          <t>EJ010323.TXT</t>
        </is>
      </c>
      <c r="B37" s="3" t="inlineStr">
        <is>
          <t>001021</t>
        </is>
      </c>
      <c r="C37" s="3" t="inlineStr">
        <is>
          <t>000644</t>
        </is>
      </c>
      <c r="D37" s="4" t="n">
        <v>44961</v>
      </c>
      <c r="E37" s="2" t="inlineStr">
        <is>
          <t>15:31</t>
        </is>
      </c>
      <c r="F37" s="5">
        <f>C37-C36</f>
        <v/>
      </c>
      <c r="G37" s="5">
        <f>B37-B36</f>
        <v/>
      </c>
      <c r="H37" s="2">
        <f>IF(AND(F37=1,G37=1),"OK","À JUSTIFIER")</f>
        <v/>
      </c>
    </row>
    <row r="38">
      <c r="A38" s="2" t="inlineStr">
        <is>
          <t>EJ010323.TXT</t>
        </is>
      </c>
      <c r="B38" s="3" t="inlineStr">
        <is>
          <t>001022</t>
        </is>
      </c>
      <c r="C38" s="3" t="inlineStr">
        <is>
          <t>000645</t>
        </is>
      </c>
      <c r="D38" s="4" t="n">
        <v>44961</v>
      </c>
      <c r="E38" s="2" t="inlineStr">
        <is>
          <t>15:34</t>
        </is>
      </c>
      <c r="F38" s="5">
        <f>C38-C37</f>
        <v/>
      </c>
      <c r="G38" s="5">
        <f>B38-B37</f>
        <v/>
      </c>
      <c r="H38" s="2">
        <f>IF(AND(F38=1,G38=1),"OK","À JUSTIFIER")</f>
        <v/>
      </c>
    </row>
    <row r="39">
      <c r="A39" s="2" t="inlineStr">
        <is>
          <t>EJ010323.TXT</t>
        </is>
      </c>
      <c r="B39" s="3" t="inlineStr">
        <is>
          <t>001023</t>
        </is>
      </c>
      <c r="C39" s="3" t="inlineStr">
        <is>
          <t>000646</t>
        </is>
      </c>
      <c r="D39" s="4" t="n">
        <v>44961</v>
      </c>
      <c r="E39" s="2" t="inlineStr">
        <is>
          <t>16:26</t>
        </is>
      </c>
      <c r="F39" s="5">
        <f>C39-C38</f>
        <v/>
      </c>
      <c r="G39" s="5">
        <f>B39-B38</f>
        <v/>
      </c>
      <c r="H39" s="2">
        <f>IF(AND(F39=1,G39=1),"OK","À JUSTIFIER")</f>
        <v/>
      </c>
    </row>
    <row r="40">
      <c r="A40" s="2" t="inlineStr">
        <is>
          <t>EJ010323.TXT</t>
        </is>
      </c>
      <c r="B40" s="3" t="inlineStr">
        <is>
          <t>001024</t>
        </is>
      </c>
      <c r="C40" s="3" t="inlineStr">
        <is>
          <t>000647</t>
        </is>
      </c>
      <c r="D40" s="4" t="n">
        <v>44961</v>
      </c>
      <c r="E40" s="2" t="inlineStr">
        <is>
          <t>16:35</t>
        </is>
      </c>
      <c r="F40" s="5">
        <f>C40-C39</f>
        <v/>
      </c>
      <c r="G40" s="5">
        <f>B40-B39</f>
        <v/>
      </c>
      <c r="H40" s="2">
        <f>IF(AND(F40=1,G40=1),"OK","À JUSTIFIER")</f>
        <v/>
      </c>
    </row>
    <row r="41">
      <c r="A41" s="2" t="inlineStr">
        <is>
          <t>EJ010323.TXT</t>
        </is>
      </c>
      <c r="B41" s="3" t="inlineStr">
        <is>
          <t>001025</t>
        </is>
      </c>
      <c r="C41" s="3" t="inlineStr">
        <is>
          <t>000648</t>
        </is>
      </c>
      <c r="D41" s="4" t="n">
        <v>44963</v>
      </c>
      <c r="E41" s="2" t="inlineStr">
        <is>
          <t>13:29</t>
        </is>
      </c>
      <c r="F41" s="5">
        <f>C41-C40</f>
        <v/>
      </c>
      <c r="G41" s="5">
        <f>B41-B40</f>
        <v/>
      </c>
      <c r="H41" s="2">
        <f>IF(AND(F41=1,G41=1),"OK","À JUSTIFIER")</f>
        <v/>
      </c>
    </row>
    <row r="42">
      <c r="A42" s="2" t="inlineStr">
        <is>
          <t>EJ010323.TXT</t>
        </is>
      </c>
      <c r="B42" s="3" t="inlineStr">
        <is>
          <t>001026</t>
        </is>
      </c>
      <c r="C42" s="3" t="inlineStr">
        <is>
          <t>000649</t>
        </is>
      </c>
      <c r="D42" s="4" t="n">
        <v>44963</v>
      </c>
      <c r="E42" s="2" t="inlineStr">
        <is>
          <t>17:56</t>
        </is>
      </c>
      <c r="F42" s="5">
        <f>C42-C41</f>
        <v/>
      </c>
      <c r="G42" s="5">
        <f>B42-B41</f>
        <v/>
      </c>
      <c r="H42" s="2">
        <f>IF(AND(F42=1,G42=1),"OK","À JUSTIFIER")</f>
        <v/>
      </c>
    </row>
    <row r="43">
      <c r="A43" s="2" t="inlineStr">
        <is>
          <t>EJ010323.TXT</t>
        </is>
      </c>
      <c r="B43" s="3" t="inlineStr">
        <is>
          <t>001027</t>
        </is>
      </c>
      <c r="C43" s="3" t="inlineStr">
        <is>
          <t>000650</t>
        </is>
      </c>
      <c r="D43" s="4" t="n">
        <v>44966</v>
      </c>
      <c r="E43" s="2" t="inlineStr">
        <is>
          <t>15:16</t>
        </is>
      </c>
      <c r="F43" s="5">
        <f>C43-C42</f>
        <v/>
      </c>
      <c r="G43" s="5">
        <f>B43-B42</f>
        <v/>
      </c>
      <c r="H43" s="2">
        <f>IF(AND(F43=1,G43=1),"OK","À JUSTIFIER")</f>
        <v/>
      </c>
    </row>
    <row r="44">
      <c r="A44" s="2" t="inlineStr">
        <is>
          <t>EJ010323.TXT</t>
        </is>
      </c>
      <c r="B44" s="3" t="inlineStr">
        <is>
          <t>001029</t>
        </is>
      </c>
      <c r="C44" s="3" t="inlineStr">
        <is>
          <t>000651</t>
        </is>
      </c>
      <c r="D44" s="4" t="n">
        <v>44967</v>
      </c>
      <c r="E44" s="2" t="inlineStr">
        <is>
          <t>17:03</t>
        </is>
      </c>
      <c r="F44" s="5">
        <f>C44-C43</f>
        <v/>
      </c>
      <c r="G44" s="5">
        <f>B44-B43</f>
        <v/>
      </c>
      <c r="H44" s="2">
        <f>IF(AND(F44=1,G44=1),"OK","À JUSTIFIER")</f>
        <v/>
      </c>
    </row>
    <row r="45">
      <c r="A45" s="2" t="inlineStr">
        <is>
          <t>EJ010323.TXT</t>
        </is>
      </c>
      <c r="B45" s="3" t="inlineStr">
        <is>
          <t>001030</t>
        </is>
      </c>
      <c r="C45" s="3" t="inlineStr">
        <is>
          <t>000652</t>
        </is>
      </c>
      <c r="D45" s="4" t="n">
        <v>44970</v>
      </c>
      <c r="E45" s="2" t="inlineStr">
        <is>
          <t>11:49</t>
        </is>
      </c>
      <c r="F45" s="5">
        <f>C45-C44</f>
        <v/>
      </c>
      <c r="G45" s="5">
        <f>B45-B44</f>
        <v/>
      </c>
      <c r="H45" s="2">
        <f>IF(AND(F45=1,G45=1),"OK","À JUSTIFIER")</f>
        <v/>
      </c>
    </row>
    <row r="46">
      <c r="A46" s="2" t="inlineStr">
        <is>
          <t>EJ010323.TXT</t>
        </is>
      </c>
      <c r="B46" s="3" t="inlineStr">
        <is>
          <t>001031</t>
        </is>
      </c>
      <c r="C46" s="3" t="inlineStr">
        <is>
          <t>000653</t>
        </is>
      </c>
      <c r="D46" s="4" t="n">
        <v>44972</v>
      </c>
      <c r="E46" s="2" t="inlineStr">
        <is>
          <t>10:22</t>
        </is>
      </c>
      <c r="F46" s="5">
        <f>C46-C45</f>
        <v/>
      </c>
      <c r="G46" s="5">
        <f>B46-B45</f>
        <v/>
      </c>
      <c r="H46" s="2">
        <f>IF(AND(F46=1,G46=1),"OK","À JUSTIFIER")</f>
        <v/>
      </c>
    </row>
    <row r="47">
      <c r="A47" s="2" t="inlineStr">
        <is>
          <t>EJ010323.TXT</t>
        </is>
      </c>
      <c r="B47" s="3" t="inlineStr">
        <is>
          <t>001033</t>
        </is>
      </c>
      <c r="C47" s="3" t="inlineStr">
        <is>
          <t>000654</t>
        </is>
      </c>
      <c r="D47" s="4" t="n">
        <v>44972</v>
      </c>
      <c r="E47" s="2" t="inlineStr">
        <is>
          <t>10:50</t>
        </is>
      </c>
      <c r="F47" s="5">
        <f>C47-C46</f>
        <v/>
      </c>
      <c r="G47" s="5">
        <f>B47-B46</f>
        <v/>
      </c>
      <c r="H47" s="2">
        <f>IF(AND(F47=1,G47=1),"OK","À JUSTIFIER")</f>
        <v/>
      </c>
    </row>
    <row r="48">
      <c r="A48" s="2" t="inlineStr">
        <is>
          <t>EJ010323.TXT</t>
        </is>
      </c>
      <c r="B48" s="3" t="inlineStr">
        <is>
          <t>001034</t>
        </is>
      </c>
      <c r="C48" s="3" t="inlineStr">
        <is>
          <t>000655</t>
        </is>
      </c>
      <c r="D48" s="4" t="n">
        <v>44972</v>
      </c>
      <c r="E48" s="2" t="inlineStr">
        <is>
          <t>13:58</t>
        </is>
      </c>
      <c r="F48" s="5">
        <f>C48-C47</f>
        <v/>
      </c>
      <c r="G48" s="5">
        <f>B48-B47</f>
        <v/>
      </c>
      <c r="H48" s="2">
        <f>IF(AND(F48=1,G48=1),"OK","À JUSTIFIER")</f>
        <v/>
      </c>
    </row>
    <row r="49">
      <c r="A49" s="2" t="inlineStr">
        <is>
          <t>EJ010323.TXT</t>
        </is>
      </c>
      <c r="B49" s="3" t="inlineStr">
        <is>
          <t>001035</t>
        </is>
      </c>
      <c r="C49" s="3" t="inlineStr">
        <is>
          <t>000656</t>
        </is>
      </c>
      <c r="D49" s="4" t="n">
        <v>44972</v>
      </c>
      <c r="E49" s="2" t="inlineStr">
        <is>
          <t>15:51</t>
        </is>
      </c>
      <c r="F49" s="5">
        <f>C49-C48</f>
        <v/>
      </c>
      <c r="G49" s="5">
        <f>B49-B48</f>
        <v/>
      </c>
      <c r="H49" s="2">
        <f>IF(AND(F49=1,G49=1),"OK","À JUSTIFIER")</f>
        <v/>
      </c>
    </row>
    <row r="50">
      <c r="A50" s="2" t="inlineStr">
        <is>
          <t>EJ010323.TXT</t>
        </is>
      </c>
      <c r="B50" s="3" t="inlineStr">
        <is>
          <t>001038</t>
        </is>
      </c>
      <c r="C50" s="3" t="inlineStr">
        <is>
          <t>000657</t>
        </is>
      </c>
      <c r="D50" s="4" t="n">
        <v>44974</v>
      </c>
      <c r="E50" s="2" t="inlineStr">
        <is>
          <t>13:43</t>
        </is>
      </c>
      <c r="F50" s="5">
        <f>C50-C49</f>
        <v/>
      </c>
      <c r="G50" s="5">
        <f>B50-B49</f>
        <v/>
      </c>
      <c r="H50" s="2">
        <f>IF(AND(F50=1,G50=1),"OK","À JUSTIFIER")</f>
        <v/>
      </c>
    </row>
    <row r="51">
      <c r="A51" s="2" t="inlineStr">
        <is>
          <t>EJ010323.TXT</t>
        </is>
      </c>
      <c r="B51" s="3" t="inlineStr">
        <is>
          <t>001039</t>
        </is>
      </c>
      <c r="C51" s="3" t="inlineStr">
        <is>
          <t>000658</t>
        </is>
      </c>
      <c r="D51" s="4" t="n">
        <v>44974</v>
      </c>
      <c r="E51" s="2" t="inlineStr">
        <is>
          <t>13:43</t>
        </is>
      </c>
      <c r="F51" s="5">
        <f>C51-C50</f>
        <v/>
      </c>
      <c r="G51" s="5">
        <f>B51-B50</f>
        <v/>
      </c>
      <c r="H51" s="2">
        <f>IF(AND(F51=1,G51=1),"OK","À JUSTIFIER")</f>
        <v/>
      </c>
    </row>
    <row r="52">
      <c r="A52" s="2" t="inlineStr">
        <is>
          <t>EJ010323.TXT</t>
        </is>
      </c>
      <c r="B52" s="3" t="inlineStr">
        <is>
          <t>001040</t>
        </is>
      </c>
      <c r="C52" s="3" t="inlineStr">
        <is>
          <t>000659</t>
        </is>
      </c>
      <c r="D52" s="4" t="n">
        <v>44975</v>
      </c>
      <c r="E52" s="2" t="inlineStr">
        <is>
          <t>17:47</t>
        </is>
      </c>
      <c r="F52" s="5">
        <f>C52-C51</f>
        <v/>
      </c>
      <c r="G52" s="5">
        <f>B52-B51</f>
        <v/>
      </c>
      <c r="H52" s="2">
        <f>IF(AND(F52=1,G52=1),"OK","À JUSTIFIER")</f>
        <v/>
      </c>
    </row>
    <row r="53">
      <c r="A53" s="2" t="inlineStr">
        <is>
          <t>EJ010323.TXT</t>
        </is>
      </c>
      <c r="B53" s="3" t="inlineStr">
        <is>
          <t>001041</t>
        </is>
      </c>
      <c r="C53" s="3" t="inlineStr">
        <is>
          <t>000660</t>
        </is>
      </c>
      <c r="D53" s="4" t="n">
        <v>44978</v>
      </c>
      <c r="E53" s="2" t="inlineStr">
        <is>
          <t>11:02</t>
        </is>
      </c>
      <c r="F53" s="5">
        <f>C53-C52</f>
        <v/>
      </c>
      <c r="G53" s="5">
        <f>B53-B52</f>
        <v/>
      </c>
      <c r="H53" s="2">
        <f>IF(AND(F53=1,G53=1),"OK","À JUSTIFIER")</f>
        <v/>
      </c>
    </row>
    <row r="54">
      <c r="A54" s="2" t="inlineStr">
        <is>
          <t>EJ010323.TXT</t>
        </is>
      </c>
      <c r="B54" s="3" t="inlineStr">
        <is>
          <t>001042</t>
        </is>
      </c>
      <c r="C54" s="3" t="inlineStr">
        <is>
          <t>000661</t>
        </is>
      </c>
      <c r="D54" s="4" t="n">
        <v>44978</v>
      </c>
      <c r="E54" s="2" t="inlineStr">
        <is>
          <t>11:03</t>
        </is>
      </c>
      <c r="F54" s="5">
        <f>C54-C53</f>
        <v/>
      </c>
      <c r="G54" s="5">
        <f>B54-B53</f>
        <v/>
      </c>
      <c r="H54" s="2">
        <f>IF(AND(F54=1,G54=1),"OK","À JUSTIFIER")</f>
        <v/>
      </c>
    </row>
    <row r="55">
      <c r="A55" s="2" t="inlineStr">
        <is>
          <t>EJ010323.TXT</t>
        </is>
      </c>
      <c r="B55" s="3" t="inlineStr">
        <is>
          <t>001043</t>
        </is>
      </c>
      <c r="C55" s="3" t="inlineStr">
        <is>
          <t>000662</t>
        </is>
      </c>
      <c r="D55" s="4" t="n">
        <v>44978</v>
      </c>
      <c r="E55" s="2" t="inlineStr">
        <is>
          <t>11:09</t>
        </is>
      </c>
      <c r="F55" s="5">
        <f>C55-C54</f>
        <v/>
      </c>
      <c r="G55" s="5">
        <f>B55-B54</f>
        <v/>
      </c>
      <c r="H55" s="2">
        <f>IF(AND(F55=1,G55=1),"OK","À JUSTIFIER")</f>
        <v/>
      </c>
    </row>
    <row r="56">
      <c r="A56" s="2" t="inlineStr">
        <is>
          <t>EJ010323.TXT</t>
        </is>
      </c>
      <c r="B56" s="3" t="inlineStr">
        <is>
          <t>001044</t>
        </is>
      </c>
      <c r="C56" s="3" t="inlineStr">
        <is>
          <t>000663</t>
        </is>
      </c>
      <c r="D56" s="4" t="n">
        <v>44978</v>
      </c>
      <c r="E56" s="2" t="inlineStr">
        <is>
          <t>13:53</t>
        </is>
      </c>
      <c r="F56" s="5">
        <f>C56-C55</f>
        <v/>
      </c>
      <c r="G56" s="5">
        <f>B56-B55</f>
        <v/>
      </c>
      <c r="H56" s="2">
        <f>IF(AND(F56=1,G56=1),"OK","À JUSTIFIER")</f>
        <v/>
      </c>
    </row>
    <row r="57">
      <c r="A57" s="2" t="inlineStr">
        <is>
          <t>EJ010323.TXT</t>
        </is>
      </c>
      <c r="B57" s="3" t="inlineStr">
        <is>
          <t>001045</t>
        </is>
      </c>
      <c r="C57" s="3" t="inlineStr">
        <is>
          <t>000664</t>
        </is>
      </c>
      <c r="D57" s="4" t="n">
        <v>44982</v>
      </c>
      <c r="E57" s="2" t="inlineStr">
        <is>
          <t>15:57</t>
        </is>
      </c>
      <c r="F57" s="5">
        <f>C57-C56</f>
        <v/>
      </c>
      <c r="G57" s="5">
        <f>B57-B56</f>
        <v/>
      </c>
      <c r="H57" s="2">
        <f>IF(AND(F57=1,G57=1),"OK","À JUSTIFIER")</f>
        <v/>
      </c>
    </row>
    <row r="58">
      <c r="A58" s="2" t="inlineStr">
        <is>
          <t>EJ010323.TXT</t>
        </is>
      </c>
      <c r="B58" s="3" t="inlineStr">
        <is>
          <t>001046</t>
        </is>
      </c>
      <c r="C58" s="3" t="inlineStr">
        <is>
          <t>000665</t>
        </is>
      </c>
      <c r="D58" s="4" t="n">
        <v>44982</v>
      </c>
      <c r="E58" s="2" t="inlineStr">
        <is>
          <t>15:58</t>
        </is>
      </c>
      <c r="F58" s="5">
        <f>C58-C57</f>
        <v/>
      </c>
      <c r="G58" s="5">
        <f>B58-B57</f>
        <v/>
      </c>
      <c r="H58" s="2">
        <f>IF(AND(F58=1,G58=1),"OK","À JUSTIFIER")</f>
        <v/>
      </c>
    </row>
    <row r="59">
      <c r="A59" s="2" t="inlineStr">
        <is>
          <t>EJ010423.TXT</t>
        </is>
      </c>
      <c r="B59" s="3" t="inlineStr">
        <is>
          <t>001055</t>
        </is>
      </c>
      <c r="C59" s="3" t="inlineStr">
        <is>
          <t>000666</t>
        </is>
      </c>
      <c r="D59" s="4" t="n">
        <v>44988</v>
      </c>
      <c r="E59" s="2" t="inlineStr">
        <is>
          <t>15:04</t>
        </is>
      </c>
      <c r="F59" s="5">
        <f>C59-C58</f>
        <v/>
      </c>
      <c r="G59" s="5">
        <f>B59-B58</f>
        <v/>
      </c>
      <c r="H59" s="2">
        <f>IF(AND(F59=1,G59=1),"OK","À JUSTIFIER")</f>
        <v/>
      </c>
    </row>
    <row r="60">
      <c r="A60" s="2" t="inlineStr">
        <is>
          <t>EJ010423.TXT</t>
        </is>
      </c>
      <c r="B60" s="3" t="inlineStr">
        <is>
          <t>001056</t>
        </is>
      </c>
      <c r="C60" s="3" t="inlineStr">
        <is>
          <t>000667</t>
        </is>
      </c>
      <c r="D60" s="4" t="n">
        <v>44988</v>
      </c>
      <c r="E60" s="2" t="inlineStr">
        <is>
          <t>16:02</t>
        </is>
      </c>
      <c r="F60" s="5">
        <f>C60-C59</f>
        <v/>
      </c>
      <c r="G60" s="5">
        <f>B60-B59</f>
        <v/>
      </c>
      <c r="H60" s="2">
        <f>IF(AND(F60=1,G60=1),"OK","À JUSTIFIER")</f>
        <v/>
      </c>
    </row>
    <row r="61">
      <c r="A61" s="2" t="inlineStr">
        <is>
          <t>EJ010423.TXT</t>
        </is>
      </c>
      <c r="B61" s="3" t="inlineStr">
        <is>
          <t>001057</t>
        </is>
      </c>
      <c r="C61" s="3" t="inlineStr">
        <is>
          <t>000668</t>
        </is>
      </c>
      <c r="D61" s="4" t="n">
        <v>44991</v>
      </c>
      <c r="E61" s="2" t="inlineStr">
        <is>
          <t>17:27</t>
        </is>
      </c>
      <c r="F61" s="5">
        <f>C61-C60</f>
        <v/>
      </c>
      <c r="G61" s="5">
        <f>B61-B60</f>
        <v/>
      </c>
      <c r="H61" s="2">
        <f>IF(AND(F61=1,G61=1),"OK","À JUSTIFIER")</f>
        <v/>
      </c>
    </row>
    <row r="62">
      <c r="A62" s="2" t="inlineStr">
        <is>
          <t>EJ010423.TXT</t>
        </is>
      </c>
      <c r="B62" s="3" t="inlineStr">
        <is>
          <t>001058</t>
        </is>
      </c>
      <c r="C62" s="3" t="inlineStr">
        <is>
          <t>000669</t>
        </is>
      </c>
      <c r="D62" s="4" t="n">
        <v>44993</v>
      </c>
      <c r="E62" s="2" t="inlineStr">
        <is>
          <t>10:18</t>
        </is>
      </c>
      <c r="F62" s="5">
        <f>C62-C61</f>
        <v/>
      </c>
      <c r="G62" s="5">
        <f>B62-B61</f>
        <v/>
      </c>
      <c r="H62" s="2">
        <f>IF(AND(F62=1,G62=1),"OK","À JUSTIFIER")</f>
        <v/>
      </c>
    </row>
    <row r="63">
      <c r="A63" s="2" t="inlineStr">
        <is>
          <t>EJ010423.TXT</t>
        </is>
      </c>
      <c r="B63" s="3" t="inlineStr">
        <is>
          <t>001059</t>
        </is>
      </c>
      <c r="C63" s="3" t="inlineStr">
        <is>
          <t>000670</t>
        </is>
      </c>
      <c r="D63" s="4" t="n">
        <v>44996</v>
      </c>
      <c r="E63" s="2" t="inlineStr">
        <is>
          <t>17:07</t>
        </is>
      </c>
      <c r="F63" s="5">
        <f>C63-C62</f>
        <v/>
      </c>
      <c r="G63" s="5">
        <f>B63-B62</f>
        <v/>
      </c>
      <c r="H63" s="2">
        <f>IF(AND(F63=1,G63=1),"OK","À JUSTIFIER")</f>
        <v/>
      </c>
    </row>
    <row r="64">
      <c r="A64" s="2" t="inlineStr">
        <is>
          <t>EJ010423.TXT</t>
        </is>
      </c>
      <c r="B64" s="3" t="inlineStr">
        <is>
          <t>001060</t>
        </is>
      </c>
      <c r="C64" s="3" t="inlineStr">
        <is>
          <t>000671</t>
        </is>
      </c>
      <c r="D64" s="4" t="n">
        <v>45001</v>
      </c>
      <c r="E64" s="2" t="inlineStr">
        <is>
          <t>11:14</t>
        </is>
      </c>
      <c r="F64" s="5">
        <f>C64-C63</f>
        <v/>
      </c>
      <c r="G64" s="5">
        <f>B64-B63</f>
        <v/>
      </c>
      <c r="H64" s="2">
        <f>IF(AND(F64=1,G64=1),"OK","À JUSTIFIER")</f>
        <v/>
      </c>
    </row>
    <row r="65">
      <c r="A65" s="2" t="inlineStr">
        <is>
          <t>EJ010423.TXT</t>
        </is>
      </c>
      <c r="B65" s="3" t="inlineStr">
        <is>
          <t>001062</t>
        </is>
      </c>
      <c r="C65" s="3" t="inlineStr">
        <is>
          <t>000672</t>
        </is>
      </c>
      <c r="D65" s="4" t="n">
        <v>45001</v>
      </c>
      <c r="E65" s="2" t="inlineStr">
        <is>
          <t>11:24</t>
        </is>
      </c>
      <c r="F65" s="5">
        <f>C65-C64</f>
        <v/>
      </c>
      <c r="G65" s="5">
        <f>B65-B64</f>
        <v/>
      </c>
      <c r="H65" s="2">
        <f>IF(AND(F65=1,G65=1),"OK","À JUSTIFIER")</f>
        <v/>
      </c>
    </row>
    <row r="66">
      <c r="A66" s="2" t="inlineStr">
        <is>
          <t>EJ010423.TXT</t>
        </is>
      </c>
      <c r="B66" s="3" t="inlineStr">
        <is>
          <t>001063</t>
        </is>
      </c>
      <c r="C66" s="3" t="inlineStr">
        <is>
          <t>000673</t>
        </is>
      </c>
      <c r="D66" s="4" t="n">
        <v>45002</v>
      </c>
      <c r="E66" s="2" t="inlineStr">
        <is>
          <t>17:35</t>
        </is>
      </c>
      <c r="F66" s="5">
        <f>C66-C65</f>
        <v/>
      </c>
      <c r="G66" s="5">
        <f>B66-B65</f>
        <v/>
      </c>
      <c r="H66" s="2">
        <f>IF(AND(F66=1,G66=1),"OK","À JUSTIFIER")</f>
        <v/>
      </c>
    </row>
    <row r="67">
      <c r="A67" s="2" t="inlineStr">
        <is>
          <t>EJ010423.TXT</t>
        </is>
      </c>
      <c r="B67" s="3" t="inlineStr">
        <is>
          <t>001064</t>
        </is>
      </c>
      <c r="C67" s="3" t="inlineStr">
        <is>
          <t>000674</t>
        </is>
      </c>
      <c r="D67" s="4" t="n">
        <v>45003</v>
      </c>
      <c r="E67" s="2" t="inlineStr">
        <is>
          <t>14:58</t>
        </is>
      </c>
      <c r="F67" s="5">
        <f>C67-C66</f>
        <v/>
      </c>
      <c r="G67" s="5">
        <f>B67-B66</f>
        <v/>
      </c>
      <c r="H67" s="2">
        <f>IF(AND(F67=1,G67=1),"OK","À JUSTIFIER")</f>
        <v/>
      </c>
    </row>
    <row r="68">
      <c r="A68" s="2" t="inlineStr">
        <is>
          <t>EJ010423.TXT</t>
        </is>
      </c>
      <c r="B68" s="3" t="inlineStr">
        <is>
          <t>001066</t>
        </is>
      </c>
      <c r="C68" s="3" t="inlineStr">
        <is>
          <t>000675</t>
        </is>
      </c>
      <c r="D68" s="4" t="n">
        <v>45003</v>
      </c>
      <c r="E68" s="2" t="inlineStr">
        <is>
          <t>16:53</t>
        </is>
      </c>
      <c r="F68" s="5">
        <f>C68-C67</f>
        <v/>
      </c>
      <c r="G68" s="5">
        <f>B68-B67</f>
        <v/>
      </c>
      <c r="H68" s="2">
        <f>IF(AND(F68=1,G68=1),"OK","À JUSTIFIER")</f>
        <v/>
      </c>
    </row>
    <row r="69">
      <c r="A69" s="2" t="inlineStr">
        <is>
          <t>EJ010423.TXT</t>
        </is>
      </c>
      <c r="B69" s="3" t="inlineStr">
        <is>
          <t>001067</t>
        </is>
      </c>
      <c r="C69" s="3" t="inlineStr">
        <is>
          <t>000676</t>
        </is>
      </c>
      <c r="D69" s="4" t="n">
        <v>45005</v>
      </c>
      <c r="E69" s="2" t="inlineStr">
        <is>
          <t>13:47</t>
        </is>
      </c>
      <c r="F69" s="5">
        <f>C69-C68</f>
        <v/>
      </c>
      <c r="G69" s="5">
        <f>B69-B68</f>
        <v/>
      </c>
      <c r="H69" s="2">
        <f>IF(AND(F69=1,G69=1),"OK","À JUSTIFIER")</f>
        <v/>
      </c>
    </row>
    <row r="70">
      <c r="A70" s="2" t="inlineStr">
        <is>
          <t>EJ010423.TXT</t>
        </is>
      </c>
      <c r="B70" s="3" t="inlineStr">
        <is>
          <t>001070</t>
        </is>
      </c>
      <c r="C70" s="3" t="inlineStr">
        <is>
          <t>000677</t>
        </is>
      </c>
      <c r="D70" s="4" t="n">
        <v>45010</v>
      </c>
      <c r="E70" s="2" t="inlineStr">
        <is>
          <t>14:47</t>
        </is>
      </c>
      <c r="F70" s="5">
        <f>C70-C69</f>
        <v/>
      </c>
      <c r="G70" s="5">
        <f>B70-B69</f>
        <v/>
      </c>
      <c r="H70" s="2">
        <f>IF(AND(F70=1,G70=1),"OK","À JUSTIFIER")</f>
        <v/>
      </c>
    </row>
    <row r="71">
      <c r="A71" s="2" t="inlineStr">
        <is>
          <t>EJ010423.TXT</t>
        </is>
      </c>
      <c r="B71" s="3" t="inlineStr">
        <is>
          <t>001071</t>
        </is>
      </c>
      <c r="C71" s="3" t="inlineStr">
        <is>
          <t>000678</t>
        </is>
      </c>
      <c r="D71" s="4" t="n">
        <v>45010</v>
      </c>
      <c r="E71" s="2" t="inlineStr">
        <is>
          <t>15:18</t>
        </is>
      </c>
      <c r="F71" s="5">
        <f>C71-C70</f>
        <v/>
      </c>
      <c r="G71" s="5">
        <f>B71-B70</f>
        <v/>
      </c>
      <c r="H71" s="2">
        <f>IF(AND(F71=1,G71=1),"OK","À JUSTIFIER")</f>
        <v/>
      </c>
    </row>
    <row r="72">
      <c r="A72" s="2" t="inlineStr">
        <is>
          <t>EJ010423.TXT</t>
        </is>
      </c>
      <c r="B72" s="3" t="inlineStr">
        <is>
          <t>001072</t>
        </is>
      </c>
      <c r="C72" s="3" t="inlineStr">
        <is>
          <t>000679</t>
        </is>
      </c>
      <c r="D72" s="4" t="n">
        <v>45010</v>
      </c>
      <c r="E72" s="2" t="inlineStr">
        <is>
          <t>15:26</t>
        </is>
      </c>
      <c r="F72" s="5">
        <f>C72-C71</f>
        <v/>
      </c>
      <c r="G72" s="5">
        <f>B72-B71</f>
        <v/>
      </c>
      <c r="H72" s="2">
        <f>IF(AND(F72=1,G72=1),"OK","À JUSTIFIER")</f>
        <v/>
      </c>
    </row>
    <row r="73">
      <c r="A73" s="2" t="inlineStr">
        <is>
          <t>EJ010423.TXT</t>
        </is>
      </c>
      <c r="B73" s="3" t="inlineStr">
        <is>
          <t>001074</t>
        </is>
      </c>
      <c r="C73" s="3" t="inlineStr">
        <is>
          <t>000680</t>
        </is>
      </c>
      <c r="D73" s="4" t="n">
        <v>45010</v>
      </c>
      <c r="E73" s="2" t="inlineStr">
        <is>
          <t>15:31</t>
        </is>
      </c>
      <c r="F73" s="5">
        <f>C73-C72</f>
        <v/>
      </c>
      <c r="G73" s="5">
        <f>B73-B72</f>
        <v/>
      </c>
      <c r="H73" s="2">
        <f>IF(AND(F73=1,G73=1),"OK","À JUSTIFIER")</f>
        <v/>
      </c>
    </row>
    <row r="74">
      <c r="A74" s="2" t="inlineStr">
        <is>
          <t>EJ010423.TXT</t>
        </is>
      </c>
      <c r="B74" s="3" t="inlineStr">
        <is>
          <t>001075</t>
        </is>
      </c>
      <c r="C74" s="3" t="inlineStr">
        <is>
          <t>000681</t>
        </is>
      </c>
      <c r="D74" s="4" t="n">
        <v>45010</v>
      </c>
      <c r="E74" s="2" t="inlineStr">
        <is>
          <t>15:41</t>
        </is>
      </c>
      <c r="F74" s="5">
        <f>C74-C73</f>
        <v/>
      </c>
      <c r="G74" s="5">
        <f>B74-B73</f>
        <v/>
      </c>
      <c r="H74" s="2">
        <f>IF(AND(F74=1,G74=1),"OK","À JUSTIFIER")</f>
        <v/>
      </c>
    </row>
    <row r="75">
      <c r="A75" s="2" t="inlineStr">
        <is>
          <t>EJ010423.TXT</t>
        </is>
      </c>
      <c r="B75" s="3" t="inlineStr">
        <is>
          <t>001076</t>
        </is>
      </c>
      <c r="C75" s="3" t="inlineStr">
        <is>
          <t>000682</t>
        </is>
      </c>
      <c r="D75" s="4" t="n">
        <v>45010</v>
      </c>
      <c r="E75" s="2" t="inlineStr">
        <is>
          <t>16:05</t>
        </is>
      </c>
      <c r="F75" s="5">
        <f>C75-C74</f>
        <v/>
      </c>
      <c r="G75" s="5">
        <f>B75-B74</f>
        <v/>
      </c>
      <c r="H75" s="2">
        <f>IF(AND(F75=1,G75=1),"OK","À JUSTIFIER")</f>
        <v/>
      </c>
    </row>
    <row r="76">
      <c r="A76" s="2" t="inlineStr">
        <is>
          <t>EJ010423.TXT</t>
        </is>
      </c>
      <c r="B76" s="3" t="inlineStr">
        <is>
          <t>001077</t>
        </is>
      </c>
      <c r="C76" s="3" t="inlineStr">
        <is>
          <t>000683</t>
        </is>
      </c>
      <c r="D76" s="4" t="n">
        <v>45010</v>
      </c>
      <c r="E76" s="2" t="inlineStr">
        <is>
          <t>16:06</t>
        </is>
      </c>
      <c r="F76" s="5">
        <f>C76-C75</f>
        <v/>
      </c>
      <c r="G76" s="5">
        <f>B76-B75</f>
        <v/>
      </c>
      <c r="H76" s="2">
        <f>IF(AND(F76=1,G76=1),"OK","À JUSTIFIER")</f>
        <v/>
      </c>
    </row>
    <row r="77">
      <c r="A77" s="2" t="inlineStr">
        <is>
          <t>EJ010423.TXT</t>
        </is>
      </c>
      <c r="B77" s="3" t="inlineStr">
        <is>
          <t>001078</t>
        </is>
      </c>
      <c r="C77" s="3" t="inlineStr">
        <is>
          <t>000684</t>
        </is>
      </c>
      <c r="D77" s="4" t="n">
        <v>45010</v>
      </c>
      <c r="E77" s="2" t="inlineStr">
        <is>
          <t>16:09</t>
        </is>
      </c>
      <c r="F77" s="5">
        <f>C77-C76</f>
        <v/>
      </c>
      <c r="G77" s="5">
        <f>B77-B76</f>
        <v/>
      </c>
      <c r="H77" s="2">
        <f>IF(AND(F77=1,G77=1),"OK","À JUSTIFIER")</f>
        <v/>
      </c>
    </row>
    <row r="78">
      <c r="A78" s="2" t="inlineStr">
        <is>
          <t>EJ010423.TXT</t>
        </is>
      </c>
      <c r="B78" s="3" t="inlineStr">
        <is>
          <t>001079</t>
        </is>
      </c>
      <c r="C78" s="3" t="inlineStr">
        <is>
          <t>000685</t>
        </is>
      </c>
      <c r="D78" s="4" t="n">
        <v>45010</v>
      </c>
      <c r="E78" s="2" t="inlineStr">
        <is>
          <t>16:19</t>
        </is>
      </c>
      <c r="F78" s="5">
        <f>C78-C77</f>
        <v/>
      </c>
      <c r="G78" s="5">
        <f>B78-B77</f>
        <v/>
      </c>
      <c r="H78" s="2">
        <f>IF(AND(F78=1,G78=1),"OK","À JUSTIFIER")</f>
        <v/>
      </c>
    </row>
    <row r="79">
      <c r="A79" s="2" t="inlineStr">
        <is>
          <t>EJ010423.TXT</t>
        </is>
      </c>
      <c r="B79" s="3" t="inlineStr">
        <is>
          <t>001080</t>
        </is>
      </c>
      <c r="C79" s="3" t="inlineStr">
        <is>
          <t>000686</t>
        </is>
      </c>
      <c r="D79" s="4" t="n">
        <v>45011</v>
      </c>
      <c r="E79" s="2" t="inlineStr">
        <is>
          <t>17:15</t>
        </is>
      </c>
      <c r="F79" s="5">
        <f>C79-C78</f>
        <v/>
      </c>
      <c r="G79" s="5">
        <f>B79-B78</f>
        <v/>
      </c>
      <c r="H79" s="2">
        <f>IF(AND(F79=1,G79=1),"OK","À JUSTIFIER")</f>
        <v/>
      </c>
    </row>
    <row r="80">
      <c r="A80" s="2" t="inlineStr">
        <is>
          <t>EJ010423.TXT</t>
        </is>
      </c>
      <c r="B80" s="3" t="inlineStr">
        <is>
          <t>001081</t>
        </is>
      </c>
      <c r="C80" s="3" t="inlineStr">
        <is>
          <t>000687</t>
        </is>
      </c>
      <c r="D80" s="4" t="n">
        <v>45011</v>
      </c>
      <c r="E80" s="2" t="inlineStr">
        <is>
          <t>17:18</t>
        </is>
      </c>
      <c r="F80" s="5">
        <f>C80-C79</f>
        <v/>
      </c>
      <c r="G80" s="5">
        <f>B80-B79</f>
        <v/>
      </c>
      <c r="H80" s="2">
        <f>IF(AND(F80=1,G80=1),"OK","À JUSTIFIER")</f>
        <v/>
      </c>
    </row>
    <row r="81">
      <c r="A81" s="2" t="inlineStr">
        <is>
          <t>EJ010423.TXT</t>
        </is>
      </c>
      <c r="B81" s="3" t="inlineStr">
        <is>
          <t>001082</t>
        </is>
      </c>
      <c r="C81" s="3" t="inlineStr">
        <is>
          <t>000688</t>
        </is>
      </c>
      <c r="D81" s="4" t="n">
        <v>45013</v>
      </c>
      <c r="E81" s="2" t="inlineStr">
        <is>
          <t>09:40</t>
        </is>
      </c>
      <c r="F81" s="5">
        <f>C81-C80</f>
        <v/>
      </c>
      <c r="G81" s="5">
        <f>B81-B80</f>
        <v/>
      </c>
      <c r="H81" s="2">
        <f>IF(AND(F81=1,G81=1),"OK","À JUSTIFIER")</f>
        <v/>
      </c>
    </row>
    <row r="82">
      <c r="A82" s="2" t="inlineStr">
        <is>
          <t>EJ010423.TXT</t>
        </is>
      </c>
      <c r="B82" s="3" t="inlineStr">
        <is>
          <t>001083</t>
        </is>
      </c>
      <c r="C82" s="3" t="inlineStr">
        <is>
          <t>000689</t>
        </is>
      </c>
      <c r="D82" s="4" t="n">
        <v>45014</v>
      </c>
      <c r="E82" s="2" t="inlineStr">
        <is>
          <t>11:47</t>
        </is>
      </c>
      <c r="F82" s="5">
        <f>C82-C81</f>
        <v/>
      </c>
      <c r="G82" s="5">
        <f>B82-B81</f>
        <v/>
      </c>
      <c r="H82" s="2">
        <f>IF(AND(F82=1,G82=1),"OK","À JUSTIFIER")</f>
        <v/>
      </c>
    </row>
    <row r="83">
      <c r="A83" s="2" t="inlineStr">
        <is>
          <t>EJ010423.TXT</t>
        </is>
      </c>
      <c r="B83" s="3" t="inlineStr">
        <is>
          <t>001084</t>
        </is>
      </c>
      <c r="C83" s="3" t="inlineStr">
        <is>
          <t>000690</t>
        </is>
      </c>
      <c r="D83" s="4" t="n">
        <v>45016</v>
      </c>
      <c r="E83" s="2" t="inlineStr">
        <is>
          <t>08:58</t>
        </is>
      </c>
      <c r="F83" s="5">
        <f>C83-C82</f>
        <v/>
      </c>
      <c r="G83" s="5">
        <f>B83-B82</f>
        <v/>
      </c>
      <c r="H83" s="2">
        <f>IF(AND(F83=1,G83=1),"OK","À JUSTIFIER")</f>
        <v/>
      </c>
    </row>
    <row r="84">
      <c r="A84" s="2" t="inlineStr">
        <is>
          <t>EJ020523.TXT</t>
        </is>
      </c>
      <c r="B84" s="3" t="inlineStr">
        <is>
          <t>001092</t>
        </is>
      </c>
      <c r="C84" s="3" t="inlineStr">
        <is>
          <t>000691</t>
        </is>
      </c>
      <c r="D84" s="4" t="n">
        <v>45020</v>
      </c>
      <c r="E84" s="2" t="inlineStr">
        <is>
          <t>12:37</t>
        </is>
      </c>
      <c r="F84" s="5">
        <f>C84-C83</f>
        <v/>
      </c>
      <c r="G84" s="5">
        <f>B84-B83</f>
        <v/>
      </c>
      <c r="H84" s="2">
        <f>IF(AND(F84=1,G84=1),"OK","À JUSTIFIER")</f>
        <v/>
      </c>
    </row>
    <row r="85">
      <c r="A85" s="2" t="inlineStr">
        <is>
          <t>EJ020523.TXT</t>
        </is>
      </c>
      <c r="B85" s="3" t="inlineStr">
        <is>
          <t>001098</t>
        </is>
      </c>
      <c r="C85" s="3" t="inlineStr">
        <is>
          <t>000692</t>
        </is>
      </c>
      <c r="D85" s="4" t="n">
        <v>45023</v>
      </c>
      <c r="E85" s="2" t="inlineStr">
        <is>
          <t>12:24</t>
        </is>
      </c>
      <c r="F85" s="5">
        <f>C85-C84</f>
        <v/>
      </c>
      <c r="G85" s="5">
        <f>B85-B84</f>
        <v/>
      </c>
      <c r="H85" s="2">
        <f>IF(AND(F85=1,G85=1),"OK","À JUSTIFIER")</f>
        <v/>
      </c>
    </row>
    <row r="86">
      <c r="A86" s="2" t="inlineStr">
        <is>
          <t>EJ020523.TXT</t>
        </is>
      </c>
      <c r="B86" s="3" t="inlineStr">
        <is>
          <t>001099</t>
        </is>
      </c>
      <c r="C86" s="3" t="inlineStr">
        <is>
          <t>000693</t>
        </is>
      </c>
      <c r="D86" s="4" t="n">
        <v>45028</v>
      </c>
      <c r="E86" s="2" t="inlineStr">
        <is>
          <t>12:43</t>
        </is>
      </c>
      <c r="F86" s="5">
        <f>C86-C85</f>
        <v/>
      </c>
      <c r="G86" s="5">
        <f>B86-B85</f>
        <v/>
      </c>
      <c r="H86" s="2">
        <f>IF(AND(F86=1,G86=1),"OK","À JUSTIFIER")</f>
        <v/>
      </c>
    </row>
    <row r="87">
      <c r="A87" s="2" t="inlineStr">
        <is>
          <t>EJ020523.TXT</t>
        </is>
      </c>
      <c r="B87" s="3" t="inlineStr">
        <is>
          <t>001100</t>
        </is>
      </c>
      <c r="C87" s="3" t="inlineStr">
        <is>
          <t>000694</t>
        </is>
      </c>
      <c r="D87" s="4" t="n">
        <v>45030</v>
      </c>
      <c r="E87" s="2" t="inlineStr">
        <is>
          <t>12:11</t>
        </is>
      </c>
      <c r="F87" s="5">
        <f>C87-C86</f>
        <v/>
      </c>
      <c r="G87" s="5">
        <f>B87-B86</f>
        <v/>
      </c>
      <c r="H87" s="2">
        <f>IF(AND(F87=1,G87=1),"OK","À JUSTIFIER")</f>
        <v/>
      </c>
    </row>
    <row r="88">
      <c r="A88" s="2" t="inlineStr">
        <is>
          <t>EJ020523.TXT</t>
        </is>
      </c>
      <c r="B88" s="3" t="inlineStr">
        <is>
          <t>001107</t>
        </is>
      </c>
      <c r="C88" s="3" t="inlineStr">
        <is>
          <t>000695</t>
        </is>
      </c>
      <c r="D88" s="4" t="n">
        <v>45038</v>
      </c>
      <c r="E88" s="2" t="inlineStr">
        <is>
          <t>15:55</t>
        </is>
      </c>
      <c r="F88" s="5">
        <f>C88-C87</f>
        <v/>
      </c>
      <c r="G88" s="5">
        <f>B88-B87</f>
        <v/>
      </c>
      <c r="H88" s="2">
        <f>IF(AND(F88=1,G88=1),"OK","À JUSTIFIER")</f>
        <v/>
      </c>
    </row>
    <row r="89">
      <c r="A89" s="2" t="inlineStr">
        <is>
          <t>EJ020523.TXT</t>
        </is>
      </c>
      <c r="B89" s="3" t="inlineStr">
        <is>
          <t>001109</t>
        </is>
      </c>
      <c r="C89" s="3" t="inlineStr">
        <is>
          <t>000696</t>
        </is>
      </c>
      <c r="D89" s="4" t="n">
        <v>45041</v>
      </c>
      <c r="E89" s="2" t="inlineStr">
        <is>
          <t>15:17</t>
        </is>
      </c>
      <c r="F89" s="5">
        <f>C89-C88</f>
        <v/>
      </c>
      <c r="G89" s="5">
        <f>B89-B88</f>
        <v/>
      </c>
      <c r="H89" s="2">
        <f>IF(AND(F89=1,G89=1),"OK","À JUSTIFIER")</f>
        <v/>
      </c>
    </row>
    <row r="90">
      <c r="A90" s="2" t="inlineStr">
        <is>
          <t>EJ020523.TXT</t>
        </is>
      </c>
      <c r="B90" s="3" t="inlineStr">
        <is>
          <t>001110</t>
        </is>
      </c>
      <c r="C90" s="3" t="inlineStr">
        <is>
          <t>000697</t>
        </is>
      </c>
      <c r="D90" s="4" t="n">
        <v>45041</v>
      </c>
      <c r="E90" s="2" t="inlineStr">
        <is>
          <t>15:48</t>
        </is>
      </c>
      <c r="F90" s="5">
        <f>C90-C89</f>
        <v/>
      </c>
      <c r="G90" s="5">
        <f>B90-B89</f>
        <v/>
      </c>
      <c r="H90" s="2">
        <f>IF(AND(F90=1,G90=1),"OK","À JUSTIFIER")</f>
        <v/>
      </c>
    </row>
    <row r="91">
      <c r="A91" s="2" t="inlineStr">
        <is>
          <t>EJ020523.TXT</t>
        </is>
      </c>
      <c r="B91" s="3" t="inlineStr">
        <is>
          <t>001111</t>
        </is>
      </c>
      <c r="C91" s="3" t="inlineStr">
        <is>
          <t>000698</t>
        </is>
      </c>
      <c r="D91" s="4" t="n">
        <v>45041</v>
      </c>
      <c r="E91" s="2" t="inlineStr">
        <is>
          <t>15:57</t>
        </is>
      </c>
      <c r="F91" s="5">
        <f>C91-C90</f>
        <v/>
      </c>
      <c r="G91" s="5">
        <f>B91-B90</f>
        <v/>
      </c>
      <c r="H91" s="2">
        <f>IF(AND(F91=1,G91=1),"OK","À JUSTIFIER")</f>
        <v/>
      </c>
    </row>
    <row r="92">
      <c r="A92" s="2" t="inlineStr">
        <is>
          <t>EJ020523.TXT</t>
        </is>
      </c>
      <c r="B92" s="3" t="inlineStr">
        <is>
          <t>001112</t>
        </is>
      </c>
      <c r="C92" s="3" t="inlineStr">
        <is>
          <t>000699</t>
        </is>
      </c>
      <c r="D92" s="4" t="n">
        <v>45041</v>
      </c>
      <c r="E92" s="2" t="inlineStr">
        <is>
          <t>17:02</t>
        </is>
      </c>
      <c r="F92" s="5">
        <f>C92-C91</f>
        <v/>
      </c>
      <c r="G92" s="5">
        <f>B92-B91</f>
        <v/>
      </c>
      <c r="H92" s="2">
        <f>IF(AND(F92=1,G92=1),"OK","À JUSTIFIER")</f>
        <v/>
      </c>
    </row>
    <row r="93">
      <c r="A93" s="2" t="inlineStr">
        <is>
          <t>EJ020523.TXT</t>
        </is>
      </c>
      <c r="B93" s="3" t="inlineStr">
        <is>
          <t>001114</t>
        </is>
      </c>
      <c r="C93" s="3" t="inlineStr">
        <is>
          <t>000700</t>
        </is>
      </c>
      <c r="D93" s="4" t="n">
        <v>45042</v>
      </c>
      <c r="E93" s="2" t="inlineStr">
        <is>
          <t>09:36</t>
        </is>
      </c>
      <c r="F93" s="5">
        <f>C93-C92</f>
        <v/>
      </c>
      <c r="G93" s="5">
        <f>B93-B92</f>
        <v/>
      </c>
      <c r="H93" s="2">
        <f>IF(AND(F93=1,G93=1),"OK","À JUSTIFIER")</f>
        <v/>
      </c>
    </row>
    <row r="94">
      <c r="A94" s="2" t="inlineStr">
        <is>
          <t>EJ020523.TXT</t>
        </is>
      </c>
      <c r="B94" s="3" t="inlineStr">
        <is>
          <t>001115</t>
        </is>
      </c>
      <c r="C94" s="3" t="inlineStr">
        <is>
          <t>000701</t>
        </is>
      </c>
      <c r="D94" s="4" t="n">
        <v>45042</v>
      </c>
      <c r="E94" s="2" t="inlineStr">
        <is>
          <t>09:50</t>
        </is>
      </c>
      <c r="F94" s="5">
        <f>C94-C93</f>
        <v/>
      </c>
      <c r="G94" s="5">
        <f>B94-B93</f>
        <v/>
      </c>
      <c r="H94" s="2">
        <f>IF(AND(F94=1,G94=1),"OK","À JUSTIFIER")</f>
        <v/>
      </c>
    </row>
    <row r="95">
      <c r="A95" s="2" t="inlineStr">
        <is>
          <t>EJ020523.TXT</t>
        </is>
      </c>
      <c r="B95" s="3" t="inlineStr">
        <is>
          <t>001119</t>
        </is>
      </c>
      <c r="C95" s="3" t="inlineStr">
        <is>
          <t>000702</t>
        </is>
      </c>
      <c r="D95" s="4" t="n">
        <v>45043</v>
      </c>
      <c r="E95" s="2" t="inlineStr">
        <is>
          <t>12:23</t>
        </is>
      </c>
      <c r="F95" s="5">
        <f>C95-C94</f>
        <v/>
      </c>
      <c r="G95" s="5">
        <f>B95-B94</f>
        <v/>
      </c>
      <c r="H95" s="2">
        <f>IF(AND(F95=1,G95=1),"OK","À JUSTIFIER")</f>
        <v/>
      </c>
    </row>
    <row r="96">
      <c r="A96" s="2" t="inlineStr">
        <is>
          <t>EJ020523.TXT</t>
        </is>
      </c>
      <c r="B96" s="3" t="inlineStr">
        <is>
          <t>001120</t>
        </is>
      </c>
      <c r="C96" s="3" t="inlineStr">
        <is>
          <t>000703</t>
        </is>
      </c>
      <c r="D96" s="4" t="n">
        <v>45043</v>
      </c>
      <c r="E96" s="2" t="inlineStr">
        <is>
          <t>16:00</t>
        </is>
      </c>
      <c r="F96" s="5">
        <f>C96-C95</f>
        <v/>
      </c>
      <c r="G96" s="5">
        <f>B96-B95</f>
        <v/>
      </c>
      <c r="H96" s="2">
        <f>IF(AND(F96=1,G96=1),"OK","À JUSTIFIER")</f>
        <v/>
      </c>
    </row>
    <row r="97">
      <c r="A97" s="2" t="inlineStr">
        <is>
          <t>EJ020523.TXT</t>
        </is>
      </c>
      <c r="B97" s="3" t="inlineStr">
        <is>
          <t>001122</t>
        </is>
      </c>
      <c r="C97" s="3" t="inlineStr">
        <is>
          <t>000704</t>
        </is>
      </c>
      <c r="D97" s="4" t="n">
        <v>45045</v>
      </c>
      <c r="E97" s="2" t="inlineStr">
        <is>
          <t>16:12</t>
        </is>
      </c>
      <c r="F97" s="5">
        <f>C97-C96</f>
        <v/>
      </c>
      <c r="G97" s="5">
        <f>B97-B96</f>
        <v/>
      </c>
      <c r="H97" s="2">
        <f>IF(AND(F97=1,G97=1),"OK","À JUSTIFIER")</f>
        <v/>
      </c>
    </row>
    <row r="98">
      <c r="A98" s="2" t="inlineStr">
        <is>
          <t>EJ020523.TXT</t>
        </is>
      </c>
      <c r="B98" s="3" t="inlineStr">
        <is>
          <t>001123</t>
        </is>
      </c>
      <c r="C98" s="3" t="inlineStr">
        <is>
          <t>000705</t>
        </is>
      </c>
      <c r="D98" s="4" t="n">
        <v>45045</v>
      </c>
      <c r="E98" s="2" t="inlineStr">
        <is>
          <t>16:55</t>
        </is>
      </c>
      <c r="F98" s="5">
        <f>C98-C97</f>
        <v/>
      </c>
      <c r="G98" s="5">
        <f>B98-B97</f>
        <v/>
      </c>
      <c r="H98" s="2">
        <f>IF(AND(F98=1,G98=1),"OK","À JUSTIFIER")</f>
        <v/>
      </c>
    </row>
    <row r="99">
      <c r="A99" s="2" t="inlineStr">
        <is>
          <t>EJ010623.TXT</t>
        </is>
      </c>
      <c r="B99" s="3" t="inlineStr">
        <is>
          <t>001130</t>
        </is>
      </c>
      <c r="C99" s="3" t="inlineStr">
        <is>
          <t>000706</t>
        </is>
      </c>
      <c r="D99" s="4" t="n">
        <v>45048</v>
      </c>
      <c r="E99" s="2" t="inlineStr">
        <is>
          <t>12:22</t>
        </is>
      </c>
      <c r="F99" s="5">
        <f>C99-C98</f>
        <v/>
      </c>
      <c r="G99" s="5">
        <f>B99-B98</f>
        <v/>
      </c>
      <c r="H99" s="2">
        <f>IF(AND(F99=1,G99=1),"OK","À JUSTIFIER")</f>
        <v/>
      </c>
    </row>
    <row r="100">
      <c r="A100" s="2" t="inlineStr">
        <is>
          <t>EJ010623.TXT</t>
        </is>
      </c>
      <c r="B100" s="3" t="inlineStr">
        <is>
          <t>001131</t>
        </is>
      </c>
      <c r="C100" s="3" t="inlineStr">
        <is>
          <t>000707</t>
        </is>
      </c>
      <c r="D100" s="4" t="n">
        <v>45048</v>
      </c>
      <c r="E100" s="2" t="inlineStr">
        <is>
          <t>13:04</t>
        </is>
      </c>
      <c r="F100" s="5">
        <f>C100-C99</f>
        <v/>
      </c>
      <c r="G100" s="5">
        <f>B100-B99</f>
        <v/>
      </c>
      <c r="H100" s="2">
        <f>IF(AND(F100=1,G100=1),"OK","À JUSTIFIER")</f>
        <v/>
      </c>
    </row>
    <row r="101">
      <c r="A101" s="2" t="inlineStr">
        <is>
          <t>EJ010623.TXT</t>
        </is>
      </c>
      <c r="B101" s="3" t="inlineStr">
        <is>
          <t>001132</t>
        </is>
      </c>
      <c r="C101" s="3" t="inlineStr">
        <is>
          <t>000708</t>
        </is>
      </c>
      <c r="D101" s="4" t="n">
        <v>45049</v>
      </c>
      <c r="E101" s="2" t="inlineStr">
        <is>
          <t>12:24</t>
        </is>
      </c>
      <c r="F101" s="5">
        <f>C101-C100</f>
        <v/>
      </c>
      <c r="G101" s="5">
        <f>B101-B100</f>
        <v/>
      </c>
      <c r="H101" s="2">
        <f>IF(AND(F101=1,G101=1),"OK","À JUSTIFIER")</f>
        <v/>
      </c>
    </row>
    <row r="102">
      <c r="A102" s="2" t="inlineStr">
        <is>
          <t>EJ010623.TXT</t>
        </is>
      </c>
      <c r="B102" s="3" t="inlineStr">
        <is>
          <t>001134</t>
        </is>
      </c>
      <c r="C102" s="3" t="inlineStr">
        <is>
          <t>000709</t>
        </is>
      </c>
      <c r="D102" s="4" t="n">
        <v>45050</v>
      </c>
      <c r="E102" s="2" t="inlineStr">
        <is>
          <t>14:46</t>
        </is>
      </c>
      <c r="F102" s="5">
        <f>C102-C101</f>
        <v/>
      </c>
      <c r="G102" s="5">
        <f>B102-B101</f>
        <v/>
      </c>
      <c r="H102" s="2">
        <f>IF(AND(F102=1,G102=1),"OK","À JUSTIFIER")</f>
        <v/>
      </c>
    </row>
    <row r="103">
      <c r="A103" s="2" t="inlineStr">
        <is>
          <t>EJ010623.TXT</t>
        </is>
      </c>
      <c r="B103" s="3" t="inlineStr">
        <is>
          <t>001136</t>
        </is>
      </c>
      <c r="C103" s="3" t="inlineStr">
        <is>
          <t>000710</t>
        </is>
      </c>
      <c r="D103" s="4" t="n">
        <v>45058</v>
      </c>
      <c r="E103" s="2" t="inlineStr">
        <is>
          <t>14:37</t>
        </is>
      </c>
      <c r="F103" s="5">
        <f>C103-C102</f>
        <v/>
      </c>
      <c r="G103" s="5">
        <f>B103-B102</f>
        <v/>
      </c>
      <c r="H103" s="2">
        <f>IF(AND(F103=1,G103=1),"OK","À JUSTIFIER")</f>
        <v/>
      </c>
    </row>
    <row r="104">
      <c r="A104" s="2" t="inlineStr">
        <is>
          <t>EJ010623.TXT</t>
        </is>
      </c>
      <c r="B104" s="3" t="inlineStr">
        <is>
          <t>001137</t>
        </is>
      </c>
      <c r="C104" s="3" t="inlineStr">
        <is>
          <t>000711</t>
        </is>
      </c>
      <c r="D104" s="4" t="n">
        <v>45058</v>
      </c>
      <c r="E104" s="2" t="inlineStr">
        <is>
          <t>16:20</t>
        </is>
      </c>
      <c r="F104" s="5">
        <f>C104-C103</f>
        <v/>
      </c>
      <c r="G104" s="5">
        <f>B104-B103</f>
        <v/>
      </c>
      <c r="H104" s="2">
        <f>IF(AND(F104=1,G104=1),"OK","À JUSTIFIER")</f>
        <v/>
      </c>
    </row>
    <row r="105">
      <c r="A105" s="2" t="inlineStr">
        <is>
          <t>EJ010623.TXT</t>
        </is>
      </c>
      <c r="B105" s="3" t="inlineStr">
        <is>
          <t>001138</t>
        </is>
      </c>
      <c r="C105" s="3" t="inlineStr">
        <is>
          <t>000712</t>
        </is>
      </c>
      <c r="D105" s="4" t="n">
        <v>45059</v>
      </c>
      <c r="E105" s="2" t="inlineStr">
        <is>
          <t>13:45</t>
        </is>
      </c>
      <c r="F105" s="5">
        <f>C105-C104</f>
        <v/>
      </c>
      <c r="G105" s="5">
        <f>B105-B104</f>
        <v/>
      </c>
      <c r="H105" s="2">
        <f>IF(AND(F105=1,G105=1),"OK","À JUSTIFIER")</f>
        <v/>
      </c>
    </row>
    <row r="106">
      <c r="A106" s="2" t="inlineStr">
        <is>
          <t>EJ010623.TXT</t>
        </is>
      </c>
      <c r="B106" s="3" t="inlineStr">
        <is>
          <t>001139</t>
        </is>
      </c>
      <c r="C106" s="3" t="inlineStr">
        <is>
          <t>000713</t>
        </is>
      </c>
      <c r="D106" s="4" t="n">
        <v>45059</v>
      </c>
      <c r="E106" s="2" t="inlineStr">
        <is>
          <t>14:04</t>
        </is>
      </c>
      <c r="F106" s="5">
        <f>C106-C105</f>
        <v/>
      </c>
      <c r="G106" s="5">
        <f>B106-B105</f>
        <v/>
      </c>
      <c r="H106" s="2">
        <f>IF(AND(F106=1,G106=1),"OK","À JUSTIFIER")</f>
        <v/>
      </c>
    </row>
    <row r="107">
      <c r="A107" s="2" t="inlineStr">
        <is>
          <t>EJ010623.TXT</t>
        </is>
      </c>
      <c r="B107" s="3" t="inlineStr">
        <is>
          <t>001140</t>
        </is>
      </c>
      <c r="C107" s="3" t="inlineStr">
        <is>
          <t>000714</t>
        </is>
      </c>
      <c r="D107" s="4" t="n">
        <v>45059</v>
      </c>
      <c r="E107" s="2" t="inlineStr">
        <is>
          <t>14:43</t>
        </is>
      </c>
      <c r="F107" s="5">
        <f>C107-C106</f>
        <v/>
      </c>
      <c r="G107" s="5">
        <f>B107-B106</f>
        <v/>
      </c>
      <c r="H107" s="2">
        <f>IF(AND(F107=1,G107=1),"OK","À JUSTIFIER")</f>
        <v/>
      </c>
    </row>
    <row r="108">
      <c r="A108" s="2" t="inlineStr">
        <is>
          <t>EJ010623.TXT</t>
        </is>
      </c>
      <c r="B108" s="3" t="inlineStr">
        <is>
          <t>001141</t>
        </is>
      </c>
      <c r="C108" s="3" t="inlineStr">
        <is>
          <t>000715</t>
        </is>
      </c>
      <c r="D108" s="4" t="n">
        <v>45059</v>
      </c>
      <c r="E108" s="2" t="inlineStr">
        <is>
          <t>15:13</t>
        </is>
      </c>
      <c r="F108" s="5">
        <f>C108-C107</f>
        <v/>
      </c>
      <c r="G108" s="5">
        <f>B108-B107</f>
        <v/>
      </c>
      <c r="H108" s="2">
        <f>IF(AND(F108=1,G108=1),"OK","À JUSTIFIER")</f>
        <v/>
      </c>
    </row>
    <row r="109">
      <c r="A109" s="2" t="inlineStr">
        <is>
          <t>EJ010623.TXT</t>
        </is>
      </c>
      <c r="B109" s="3" t="inlineStr">
        <is>
          <t>001142</t>
        </is>
      </c>
      <c r="C109" s="3" t="inlineStr">
        <is>
          <t>000716</t>
        </is>
      </c>
      <c r="D109" s="4" t="n">
        <v>45062</v>
      </c>
      <c r="E109" s="2" t="inlineStr">
        <is>
          <t>13:26</t>
        </is>
      </c>
      <c r="F109" s="5">
        <f>C109-C108</f>
        <v/>
      </c>
      <c r="G109" s="5">
        <f>B109-B108</f>
        <v/>
      </c>
      <c r="H109" s="2">
        <f>IF(AND(F109=1,G109=1),"OK","À JUSTIFIER")</f>
        <v/>
      </c>
    </row>
    <row r="110">
      <c r="A110" s="2" t="inlineStr">
        <is>
          <t>EJ010623.TXT</t>
        </is>
      </c>
      <c r="B110" s="3" t="inlineStr">
        <is>
          <t>001144</t>
        </is>
      </c>
      <c r="C110" s="3" t="inlineStr">
        <is>
          <t>000717</t>
        </is>
      </c>
      <c r="D110" s="4" t="n">
        <v>45065</v>
      </c>
      <c r="E110" s="2" t="inlineStr">
        <is>
          <t>09:52</t>
        </is>
      </c>
      <c r="F110" s="5">
        <f>C110-C109</f>
        <v/>
      </c>
      <c r="G110" s="5">
        <f>B110-B109</f>
        <v/>
      </c>
      <c r="H110" s="2">
        <f>IF(AND(F110=1,G110=1),"OK","À JUSTIFIER")</f>
        <v/>
      </c>
    </row>
    <row r="111">
      <c r="A111" s="2" t="inlineStr">
        <is>
          <t>EJ010623.TXT</t>
        </is>
      </c>
      <c r="B111" s="3" t="inlineStr">
        <is>
          <t>001145</t>
        </is>
      </c>
      <c r="C111" s="3" t="inlineStr">
        <is>
          <t>000718</t>
        </is>
      </c>
      <c r="D111" s="4" t="n">
        <v>45065</v>
      </c>
      <c r="E111" s="2" t="inlineStr">
        <is>
          <t>11:25</t>
        </is>
      </c>
      <c r="F111" s="5">
        <f>C111-C110</f>
        <v/>
      </c>
      <c r="G111" s="5">
        <f>B111-B110</f>
        <v/>
      </c>
      <c r="H111" s="2">
        <f>IF(AND(F111=1,G111=1),"OK","À JUSTIFIER")</f>
        <v/>
      </c>
    </row>
    <row r="112">
      <c r="A112" s="2" t="inlineStr">
        <is>
          <t>EJ010623.TXT</t>
        </is>
      </c>
      <c r="B112" s="3" t="inlineStr">
        <is>
          <t>001146</t>
        </is>
      </c>
      <c r="C112" s="3" t="inlineStr">
        <is>
          <t>000719</t>
        </is>
      </c>
      <c r="D112" s="4" t="n">
        <v>45065</v>
      </c>
      <c r="E112" s="2" t="inlineStr">
        <is>
          <t>15:19</t>
        </is>
      </c>
      <c r="F112" s="5">
        <f>C112-C111</f>
        <v/>
      </c>
      <c r="G112" s="5">
        <f>B112-B111</f>
        <v/>
      </c>
      <c r="H112" s="2">
        <f>IF(AND(F112=1,G112=1),"OK","À JUSTIFIER")</f>
        <v/>
      </c>
    </row>
    <row r="113">
      <c r="A113" s="2" t="inlineStr">
        <is>
          <t>EJ010623.TXT</t>
        </is>
      </c>
      <c r="B113" s="3" t="inlineStr">
        <is>
          <t>001147</t>
        </is>
      </c>
      <c r="C113" s="3" t="inlineStr">
        <is>
          <t>000720</t>
        </is>
      </c>
      <c r="D113" s="4" t="n">
        <v>45066</v>
      </c>
      <c r="E113" s="2" t="inlineStr">
        <is>
          <t>15:12</t>
        </is>
      </c>
      <c r="F113" s="5">
        <f>C113-C112</f>
        <v/>
      </c>
      <c r="G113" s="5">
        <f>B113-B112</f>
        <v/>
      </c>
      <c r="H113" s="2">
        <f>IF(AND(F113=1,G113=1),"OK","À JUSTIFIER")</f>
        <v/>
      </c>
    </row>
    <row r="114">
      <c r="A114" s="2" t="inlineStr">
        <is>
          <t>EJ010623.TXT</t>
        </is>
      </c>
      <c r="B114" s="3" t="inlineStr">
        <is>
          <t>001148</t>
        </is>
      </c>
      <c r="C114" s="3" t="inlineStr">
        <is>
          <t>000721</t>
        </is>
      </c>
      <c r="D114" s="4" t="n">
        <v>45068</v>
      </c>
      <c r="E114" s="2" t="inlineStr">
        <is>
          <t>13:01</t>
        </is>
      </c>
      <c r="F114" s="5">
        <f>C114-C113</f>
        <v/>
      </c>
      <c r="G114" s="5">
        <f>B114-B113</f>
        <v/>
      </c>
      <c r="H114" s="2">
        <f>IF(AND(F114=1,G114=1),"OK","À JUSTIFIER")</f>
        <v/>
      </c>
    </row>
    <row r="115">
      <c r="A115" s="2" t="inlineStr">
        <is>
          <t>EJ010623.TXT</t>
        </is>
      </c>
      <c r="B115" s="3" t="inlineStr">
        <is>
          <t>001149</t>
        </is>
      </c>
      <c r="C115" s="3" t="inlineStr">
        <is>
          <t>000722</t>
        </is>
      </c>
      <c r="D115" s="4" t="n">
        <v>45069</v>
      </c>
      <c r="E115" s="2" t="inlineStr">
        <is>
          <t>13:58</t>
        </is>
      </c>
      <c r="F115" s="5">
        <f>C115-C114</f>
        <v/>
      </c>
      <c r="G115" s="5">
        <f>B115-B114</f>
        <v/>
      </c>
      <c r="H115" s="2">
        <f>IF(AND(F115=1,G115=1),"OK","À JUSTIFIER")</f>
        <v/>
      </c>
    </row>
    <row r="116">
      <c r="A116" s="2" t="inlineStr">
        <is>
          <t>EJ010623.TXT</t>
        </is>
      </c>
      <c r="B116" s="3" t="inlineStr">
        <is>
          <t>001150</t>
        </is>
      </c>
      <c r="C116" s="3" t="inlineStr">
        <is>
          <t>000723</t>
        </is>
      </c>
      <c r="D116" s="4" t="n">
        <v>45073</v>
      </c>
      <c r="E116" s="2" t="inlineStr">
        <is>
          <t>13:56</t>
        </is>
      </c>
      <c r="F116" s="5">
        <f>C116-C115</f>
        <v/>
      </c>
      <c r="G116" s="5">
        <f>B116-B115</f>
        <v/>
      </c>
      <c r="H116" s="2">
        <f>IF(AND(F116=1,G116=1),"OK","À JUSTIFIER")</f>
        <v/>
      </c>
    </row>
    <row r="117">
      <c r="A117" s="2" t="inlineStr">
        <is>
          <t>EJ010623.TXT</t>
        </is>
      </c>
      <c r="B117" s="3" t="inlineStr">
        <is>
          <t>001152</t>
        </is>
      </c>
      <c r="C117" s="3" t="inlineStr">
        <is>
          <t>000724</t>
        </is>
      </c>
      <c r="D117" s="4" t="n">
        <v>45073</v>
      </c>
      <c r="E117" s="2" t="inlineStr">
        <is>
          <t>14:45</t>
        </is>
      </c>
      <c r="F117" s="5">
        <f>C117-C116</f>
        <v/>
      </c>
      <c r="G117" s="5">
        <f>B117-B116</f>
        <v/>
      </c>
      <c r="H117" s="2">
        <f>IF(AND(F117=1,G117=1),"OK","À JUSTIFIER")</f>
        <v/>
      </c>
    </row>
    <row r="118">
      <c r="A118" s="2" t="inlineStr">
        <is>
          <t>EJ010623.TXT</t>
        </is>
      </c>
      <c r="B118" s="3" t="inlineStr">
        <is>
          <t>001153</t>
        </is>
      </c>
      <c r="C118" s="3" t="inlineStr">
        <is>
          <t>000725</t>
        </is>
      </c>
      <c r="D118" s="4" t="n">
        <v>45073</v>
      </c>
      <c r="E118" s="2" t="inlineStr">
        <is>
          <t>14:51</t>
        </is>
      </c>
      <c r="F118" s="5">
        <f>C118-C117</f>
        <v/>
      </c>
      <c r="G118" s="5">
        <f>B118-B117</f>
        <v/>
      </c>
      <c r="H118" s="2">
        <f>IF(AND(F118=1,G118=1),"OK","À JUSTIFIER")</f>
        <v/>
      </c>
    </row>
    <row r="119">
      <c r="A119" s="2" t="inlineStr">
        <is>
          <t>EJ010623.TXT</t>
        </is>
      </c>
      <c r="B119" s="3" t="inlineStr">
        <is>
          <t>001154</t>
        </is>
      </c>
      <c r="C119" s="3" t="inlineStr">
        <is>
          <t>000726</t>
        </is>
      </c>
      <c r="D119" s="4" t="n">
        <v>45073</v>
      </c>
      <c r="E119" s="2" t="inlineStr">
        <is>
          <t>15:50</t>
        </is>
      </c>
      <c r="F119" s="5">
        <f>C119-C118</f>
        <v/>
      </c>
      <c r="G119" s="5">
        <f>B119-B118</f>
        <v/>
      </c>
      <c r="H119" s="2">
        <f>IF(AND(F119=1,G119=1),"OK","À JUSTIFIER")</f>
        <v/>
      </c>
    </row>
    <row r="120">
      <c r="A120" s="2" t="inlineStr">
        <is>
          <t>EJ010623.TXT</t>
        </is>
      </c>
      <c r="B120" s="3" t="inlineStr">
        <is>
          <t>001155</t>
        </is>
      </c>
      <c r="C120" s="3" t="inlineStr">
        <is>
          <t>000727</t>
        </is>
      </c>
      <c r="D120" s="4" t="n">
        <v>45073</v>
      </c>
      <c r="E120" s="2" t="inlineStr">
        <is>
          <t>16:21</t>
        </is>
      </c>
      <c r="F120" s="5">
        <f>C120-C119</f>
        <v/>
      </c>
      <c r="G120" s="5">
        <f>B120-B119</f>
        <v/>
      </c>
      <c r="H120" s="2">
        <f>IF(AND(F120=1,G120=1),"OK","À JUSTIFIER")</f>
        <v/>
      </c>
    </row>
    <row r="121">
      <c r="A121" s="2" t="inlineStr">
        <is>
          <t>EJ010623.TXT</t>
        </is>
      </c>
      <c r="B121" s="3" t="inlineStr">
        <is>
          <t>001156</t>
        </is>
      </c>
      <c r="C121" s="3" t="inlineStr">
        <is>
          <t>000728</t>
        </is>
      </c>
      <c r="D121" s="4" t="n">
        <v>45075</v>
      </c>
      <c r="E121" s="2" t="inlineStr">
        <is>
          <t>12:21</t>
        </is>
      </c>
      <c r="F121" s="5">
        <f>C121-C120</f>
        <v/>
      </c>
      <c r="G121" s="5">
        <f>B121-B120</f>
        <v/>
      </c>
      <c r="H121" s="2">
        <f>IF(AND(F121=1,G121=1),"OK","À JUSTIFIER")</f>
        <v/>
      </c>
    </row>
    <row r="122">
      <c r="A122" s="2" t="inlineStr">
        <is>
          <t>EJ010623.TXT</t>
        </is>
      </c>
      <c r="B122" s="3" t="inlineStr">
        <is>
          <t>001157</t>
        </is>
      </c>
      <c r="C122" s="3" t="inlineStr">
        <is>
          <t>000729</t>
        </is>
      </c>
      <c r="D122" s="4" t="n">
        <v>45076</v>
      </c>
      <c r="E122" s="2" t="inlineStr">
        <is>
          <t>14:56</t>
        </is>
      </c>
      <c r="F122" s="5">
        <f>C122-C121</f>
        <v/>
      </c>
      <c r="G122" s="5">
        <f>B122-B121</f>
        <v/>
      </c>
      <c r="H122" s="2">
        <f>IF(AND(F122=1,G122=1),"OK","À JUSTIFIER")</f>
        <v/>
      </c>
    </row>
    <row r="123">
      <c r="A123" s="2" t="inlineStr">
        <is>
          <t>EJ010723.TXT</t>
        </is>
      </c>
      <c r="B123" s="3" t="inlineStr">
        <is>
          <t>001162</t>
        </is>
      </c>
      <c r="C123" s="3" t="inlineStr">
        <is>
          <t>000730</t>
        </is>
      </c>
      <c r="D123" s="4" t="n">
        <v>45079</v>
      </c>
      <c r="E123" s="2" t="inlineStr">
        <is>
          <t>10:37</t>
        </is>
      </c>
      <c r="F123" s="5">
        <f>C123-C122</f>
        <v/>
      </c>
      <c r="G123" s="5">
        <f>B123-B122</f>
        <v/>
      </c>
      <c r="H123" s="2">
        <f>IF(AND(F123=1,G123=1),"OK","À JUSTIFIER")</f>
        <v/>
      </c>
    </row>
    <row r="124">
      <c r="A124" s="2" t="inlineStr">
        <is>
          <t>EJ010723.TXT</t>
        </is>
      </c>
      <c r="B124" s="3" t="inlineStr">
        <is>
          <t>001164</t>
        </is>
      </c>
      <c r="C124" s="3" t="inlineStr">
        <is>
          <t>000731</t>
        </is>
      </c>
      <c r="D124" s="4" t="n">
        <v>45079</v>
      </c>
      <c r="E124" s="2" t="inlineStr">
        <is>
          <t>16:54</t>
        </is>
      </c>
      <c r="F124" s="5">
        <f>C124-C123</f>
        <v/>
      </c>
      <c r="G124" s="5">
        <f>B124-B123</f>
        <v/>
      </c>
      <c r="H124" s="2">
        <f>IF(AND(F124=1,G124=1),"OK","À JUSTIFIER")</f>
        <v/>
      </c>
    </row>
    <row r="125">
      <c r="A125" s="2" t="inlineStr">
        <is>
          <t>EJ010723.TXT</t>
        </is>
      </c>
      <c r="B125" s="3" t="inlineStr">
        <is>
          <t>001165</t>
        </is>
      </c>
      <c r="C125" s="3" t="inlineStr">
        <is>
          <t>000732</t>
        </is>
      </c>
      <c r="D125" s="4" t="n">
        <v>45079</v>
      </c>
      <c r="E125" s="2" t="inlineStr">
        <is>
          <t>16:59</t>
        </is>
      </c>
      <c r="F125" s="5">
        <f>C125-C124</f>
        <v/>
      </c>
      <c r="G125" s="5">
        <f>B125-B124</f>
        <v/>
      </c>
      <c r="H125" s="2">
        <f>IF(AND(F125=1,G125=1),"OK","À JUSTIFIER")</f>
        <v/>
      </c>
    </row>
    <row r="126">
      <c r="A126" s="2" t="inlineStr">
        <is>
          <t>EJ010723.TXT</t>
        </is>
      </c>
      <c r="B126" s="3" t="inlineStr">
        <is>
          <t>001166</t>
        </is>
      </c>
      <c r="C126" s="3" t="inlineStr">
        <is>
          <t>000733</t>
        </is>
      </c>
      <c r="D126" s="4" t="n">
        <v>45080</v>
      </c>
      <c r="E126" s="2" t="inlineStr">
        <is>
          <t>13:47</t>
        </is>
      </c>
      <c r="F126" s="5">
        <f>C126-C125</f>
        <v/>
      </c>
      <c r="G126" s="5">
        <f>B126-B125</f>
        <v/>
      </c>
      <c r="H126" s="2">
        <f>IF(AND(F126=1,G126=1),"OK","À JUSTIFIER")</f>
        <v/>
      </c>
    </row>
    <row r="127">
      <c r="A127" s="2" t="inlineStr">
        <is>
          <t>EJ010723.TXT</t>
        </is>
      </c>
      <c r="B127" s="3" t="inlineStr">
        <is>
          <t>001167</t>
        </is>
      </c>
      <c r="C127" s="3" t="inlineStr">
        <is>
          <t>000734</t>
        </is>
      </c>
      <c r="D127" s="4" t="n">
        <v>45082</v>
      </c>
      <c r="E127" s="2" t="inlineStr">
        <is>
          <t>13:43</t>
        </is>
      </c>
      <c r="F127" s="5">
        <f>C127-C126</f>
        <v/>
      </c>
      <c r="G127" s="5">
        <f>B127-B126</f>
        <v/>
      </c>
      <c r="H127" s="2">
        <f>IF(AND(F127=1,G127=1),"OK","À JUSTIFIER")</f>
        <v/>
      </c>
    </row>
    <row r="128">
      <c r="A128" s="2" t="inlineStr">
        <is>
          <t>EJ010723.TXT</t>
        </is>
      </c>
      <c r="B128" s="3" t="inlineStr">
        <is>
          <t>001168</t>
        </is>
      </c>
      <c r="C128" s="3" t="inlineStr">
        <is>
          <t>000735</t>
        </is>
      </c>
      <c r="D128" s="4" t="n">
        <v>45085</v>
      </c>
      <c r="E128" s="2" t="inlineStr">
        <is>
          <t>09:45</t>
        </is>
      </c>
      <c r="F128" s="5">
        <f>C128-C127</f>
        <v/>
      </c>
      <c r="G128" s="5">
        <f>B128-B127</f>
        <v/>
      </c>
      <c r="H128" s="2">
        <f>IF(AND(F128=1,G128=1),"OK","À JUSTIFIER")</f>
        <v/>
      </c>
    </row>
    <row r="129">
      <c r="A129" s="2" t="inlineStr">
        <is>
          <t>EJ010723.TXT</t>
        </is>
      </c>
      <c r="B129" s="3" t="inlineStr">
        <is>
          <t>001169</t>
        </is>
      </c>
      <c r="C129" s="3" t="inlineStr">
        <is>
          <t>000736</t>
        </is>
      </c>
      <c r="D129" s="4" t="n">
        <v>45085</v>
      </c>
      <c r="E129" s="2" t="inlineStr">
        <is>
          <t>09:51</t>
        </is>
      </c>
      <c r="F129" s="5">
        <f>C129-C128</f>
        <v/>
      </c>
      <c r="G129" s="5">
        <f>B129-B128</f>
        <v/>
      </c>
      <c r="H129" s="2">
        <f>IF(AND(F129=1,G129=1),"OK","À JUSTIFIER")</f>
        <v/>
      </c>
    </row>
    <row r="130">
      <c r="A130" s="2" t="inlineStr">
        <is>
          <t>EJ010723.TXT</t>
        </is>
      </c>
      <c r="B130" s="3" t="inlineStr">
        <is>
          <t>001170</t>
        </is>
      </c>
      <c r="C130" s="3" t="inlineStr">
        <is>
          <t>000737</t>
        </is>
      </c>
      <c r="D130" s="4" t="n">
        <v>45085</v>
      </c>
      <c r="E130" s="2" t="inlineStr">
        <is>
          <t>14:06</t>
        </is>
      </c>
      <c r="F130" s="5">
        <f>C130-C129</f>
        <v/>
      </c>
      <c r="G130" s="5">
        <f>B130-B129</f>
        <v/>
      </c>
      <c r="H130" s="2">
        <f>IF(AND(F130=1,G130=1),"OK","À JUSTIFIER")</f>
        <v/>
      </c>
    </row>
    <row r="131">
      <c r="A131" s="2" t="inlineStr">
        <is>
          <t>EJ010723.TXT</t>
        </is>
      </c>
      <c r="B131" s="3" t="inlineStr">
        <is>
          <t>001171</t>
        </is>
      </c>
      <c r="C131" s="3" t="inlineStr">
        <is>
          <t>000738</t>
        </is>
      </c>
      <c r="D131" s="4" t="n">
        <v>45086</v>
      </c>
      <c r="E131" s="2" t="inlineStr">
        <is>
          <t>13:15</t>
        </is>
      </c>
      <c r="F131" s="5">
        <f>C131-C130</f>
        <v/>
      </c>
      <c r="G131" s="5">
        <f>B131-B130</f>
        <v/>
      </c>
      <c r="H131" s="2">
        <f>IF(AND(F131=1,G131=1),"OK","À JUSTIFIER")</f>
        <v/>
      </c>
    </row>
    <row r="132">
      <c r="A132" s="2" t="inlineStr">
        <is>
          <t>EJ010723.TXT</t>
        </is>
      </c>
      <c r="B132" s="3" t="inlineStr">
        <is>
          <t>001172</t>
        </is>
      </c>
      <c r="C132" s="3" t="inlineStr">
        <is>
          <t>000739</t>
        </is>
      </c>
      <c r="D132" s="4" t="n">
        <v>45086</v>
      </c>
      <c r="E132" s="2" t="inlineStr">
        <is>
          <t>13:16</t>
        </is>
      </c>
      <c r="F132" s="5">
        <f>C132-C131</f>
        <v/>
      </c>
      <c r="G132" s="5">
        <f>B132-B131</f>
        <v/>
      </c>
      <c r="H132" s="2">
        <f>IF(AND(F132=1,G132=1),"OK","À JUSTIFIER")</f>
        <v/>
      </c>
    </row>
    <row r="133">
      <c r="A133" s="2" t="inlineStr">
        <is>
          <t>EJ010723.TXT</t>
        </is>
      </c>
      <c r="B133" s="3" t="inlineStr">
        <is>
          <t>001174</t>
        </is>
      </c>
      <c r="C133" s="3" t="inlineStr">
        <is>
          <t>000740</t>
        </is>
      </c>
      <c r="D133" s="4" t="n">
        <v>45086</v>
      </c>
      <c r="E133" s="2" t="inlineStr">
        <is>
          <t>15:11</t>
        </is>
      </c>
      <c r="F133" s="5">
        <f>C133-C132</f>
        <v/>
      </c>
      <c r="G133" s="5">
        <f>B133-B132</f>
        <v/>
      </c>
      <c r="H133" s="2">
        <f>IF(AND(F133=1,G133=1),"OK","À JUSTIFIER")</f>
        <v/>
      </c>
    </row>
    <row r="134">
      <c r="A134" s="2" t="inlineStr">
        <is>
          <t>EJ010723.TXT</t>
        </is>
      </c>
      <c r="B134" s="3" t="inlineStr">
        <is>
          <t>001175</t>
        </is>
      </c>
      <c r="C134" s="3" t="inlineStr">
        <is>
          <t>000741</t>
        </is>
      </c>
      <c r="D134" s="4" t="n">
        <v>45086</v>
      </c>
      <c r="E134" s="2" t="inlineStr">
        <is>
          <t>15:17</t>
        </is>
      </c>
      <c r="F134" s="5">
        <f>C134-C133</f>
        <v/>
      </c>
      <c r="G134" s="5">
        <f>B134-B133</f>
        <v/>
      </c>
      <c r="H134" s="2">
        <f>IF(AND(F134=1,G134=1),"OK","À JUSTIFIER")</f>
        <v/>
      </c>
    </row>
    <row r="135">
      <c r="A135" s="2" t="inlineStr">
        <is>
          <t>EJ010723.TXT</t>
        </is>
      </c>
      <c r="B135" s="3" t="inlineStr">
        <is>
          <t>001176</t>
        </is>
      </c>
      <c r="C135" s="3" t="inlineStr">
        <is>
          <t>000742</t>
        </is>
      </c>
      <c r="D135" s="4" t="n">
        <v>45086</v>
      </c>
      <c r="E135" s="2" t="inlineStr">
        <is>
          <t>15:19</t>
        </is>
      </c>
      <c r="F135" s="5">
        <f>C135-C134</f>
        <v/>
      </c>
      <c r="G135" s="5">
        <f>B135-B134</f>
        <v/>
      </c>
      <c r="H135" s="2">
        <f>IF(AND(F135=1,G135=1),"OK","À JUSTIFIER")</f>
        <v/>
      </c>
    </row>
    <row r="136">
      <c r="A136" s="2" t="inlineStr">
        <is>
          <t>EJ010723.TXT</t>
        </is>
      </c>
      <c r="B136" s="3" t="inlineStr">
        <is>
          <t>001177</t>
        </is>
      </c>
      <c r="C136" s="3" t="inlineStr">
        <is>
          <t>000743</t>
        </is>
      </c>
      <c r="D136" s="4" t="n">
        <v>45086</v>
      </c>
      <c r="E136" s="2" t="inlineStr">
        <is>
          <t>15:29</t>
        </is>
      </c>
      <c r="F136" s="5">
        <f>C136-C135</f>
        <v/>
      </c>
      <c r="G136" s="5">
        <f>B136-B135</f>
        <v/>
      </c>
      <c r="H136" s="2">
        <f>IF(AND(F136=1,G136=1),"OK","À JUSTIFIER")</f>
        <v/>
      </c>
    </row>
    <row r="137">
      <c r="A137" s="2" t="inlineStr">
        <is>
          <t>EJ010723.TXT</t>
        </is>
      </c>
      <c r="B137" s="3" t="inlineStr">
        <is>
          <t>001178</t>
        </is>
      </c>
      <c r="C137" s="3" t="inlineStr">
        <is>
          <t>000744</t>
        </is>
      </c>
      <c r="D137" s="4" t="n">
        <v>45090</v>
      </c>
      <c r="E137" s="2" t="inlineStr">
        <is>
          <t>13:37</t>
        </is>
      </c>
      <c r="F137" s="5">
        <f>C137-C136</f>
        <v/>
      </c>
      <c r="G137" s="5">
        <f>B137-B136</f>
        <v/>
      </c>
      <c r="H137" s="2">
        <f>IF(AND(F137=1,G137=1),"OK","À JUSTIFIER")</f>
        <v/>
      </c>
    </row>
    <row r="138">
      <c r="A138" s="2" t="inlineStr">
        <is>
          <t>EJ010723.TXT</t>
        </is>
      </c>
      <c r="B138" s="3" t="inlineStr">
        <is>
          <t>001179</t>
        </is>
      </c>
      <c r="C138" s="3" t="inlineStr">
        <is>
          <t>000745</t>
        </is>
      </c>
      <c r="D138" s="4" t="n">
        <v>45091</v>
      </c>
      <c r="E138" s="2" t="inlineStr">
        <is>
          <t>14:56</t>
        </is>
      </c>
      <c r="F138" s="5">
        <f>C138-C137</f>
        <v/>
      </c>
      <c r="G138" s="5">
        <f>B138-B137</f>
        <v/>
      </c>
      <c r="H138" s="2">
        <f>IF(AND(F138=1,G138=1),"OK","À JUSTIFIER")</f>
        <v/>
      </c>
    </row>
    <row r="139">
      <c r="A139" s="2" t="inlineStr">
        <is>
          <t>EJ010723.TXT</t>
        </is>
      </c>
      <c r="B139" s="3" t="inlineStr">
        <is>
          <t>001180</t>
        </is>
      </c>
      <c r="C139" s="3" t="inlineStr">
        <is>
          <t>000746</t>
        </is>
      </c>
      <c r="D139" s="4" t="n">
        <v>45091</v>
      </c>
      <c r="E139" s="2" t="inlineStr">
        <is>
          <t>16:43</t>
        </is>
      </c>
      <c r="F139" s="5">
        <f>C139-C138</f>
        <v/>
      </c>
      <c r="G139" s="5">
        <f>B139-B138</f>
        <v/>
      </c>
      <c r="H139" s="2">
        <f>IF(AND(F139=1,G139=1),"OK","À JUSTIFIER")</f>
        <v/>
      </c>
    </row>
    <row r="140">
      <c r="A140" s="2" t="inlineStr">
        <is>
          <t>EJ010723.TXT</t>
        </is>
      </c>
      <c r="B140" s="3" t="inlineStr">
        <is>
          <t>001181</t>
        </is>
      </c>
      <c r="C140" s="3" t="inlineStr">
        <is>
          <t>000747</t>
        </is>
      </c>
      <c r="D140" s="4" t="n">
        <v>45093</v>
      </c>
      <c r="E140" s="2" t="inlineStr">
        <is>
          <t>14:32</t>
        </is>
      </c>
      <c r="F140" s="5">
        <f>C140-C139</f>
        <v/>
      </c>
      <c r="G140" s="5">
        <f>B140-B139</f>
        <v/>
      </c>
      <c r="H140" s="2">
        <f>IF(AND(F140=1,G140=1),"OK","À JUSTIFIER")</f>
        <v/>
      </c>
    </row>
    <row r="141">
      <c r="A141" s="2" t="inlineStr">
        <is>
          <t>EJ010723.TXT</t>
        </is>
      </c>
      <c r="B141" s="3" t="inlineStr">
        <is>
          <t>001182</t>
        </is>
      </c>
      <c r="C141" s="3" t="inlineStr">
        <is>
          <t>000748</t>
        </is>
      </c>
      <c r="D141" s="4" t="n">
        <v>45094</v>
      </c>
      <c r="E141" s="2" t="inlineStr">
        <is>
          <t>13:56</t>
        </is>
      </c>
      <c r="F141" s="5">
        <f>C141-C140</f>
        <v/>
      </c>
      <c r="G141" s="5">
        <f>B141-B140</f>
        <v/>
      </c>
      <c r="H141" s="2">
        <f>IF(AND(F141=1,G141=1),"OK","À JUSTIFIER")</f>
        <v/>
      </c>
    </row>
    <row r="142">
      <c r="A142" s="2" t="inlineStr">
        <is>
          <t>EJ010723.TXT</t>
        </is>
      </c>
      <c r="B142" s="3" t="inlineStr">
        <is>
          <t>001184</t>
        </is>
      </c>
      <c r="C142" s="3" t="inlineStr">
        <is>
          <t>000749</t>
        </is>
      </c>
      <c r="D142" s="4" t="n">
        <v>45096</v>
      </c>
      <c r="E142" s="2" t="inlineStr">
        <is>
          <t>12:10</t>
        </is>
      </c>
      <c r="F142" s="5">
        <f>C142-C141</f>
        <v/>
      </c>
      <c r="G142" s="5">
        <f>B142-B141</f>
        <v/>
      </c>
      <c r="H142" s="2">
        <f>IF(AND(F142=1,G142=1),"OK","À JUSTIFIER")</f>
        <v/>
      </c>
    </row>
    <row r="143">
      <c r="A143" s="2" t="inlineStr">
        <is>
          <t>EJ010723.TXT</t>
        </is>
      </c>
      <c r="B143" s="3" t="inlineStr">
        <is>
          <t>001186</t>
        </is>
      </c>
      <c r="C143" s="3" t="inlineStr">
        <is>
          <t>000750</t>
        </is>
      </c>
      <c r="D143" s="4" t="n">
        <v>45101</v>
      </c>
      <c r="E143" s="2" t="inlineStr">
        <is>
          <t>15:57</t>
        </is>
      </c>
      <c r="F143" s="5">
        <f>C143-C142</f>
        <v/>
      </c>
      <c r="G143" s="5">
        <f>B143-B142</f>
        <v/>
      </c>
      <c r="H143" s="2">
        <f>IF(AND(F143=1,G143=1),"OK","À JUSTIFIER")</f>
        <v/>
      </c>
    </row>
    <row r="144">
      <c r="A144" s="2" t="inlineStr">
        <is>
          <t>EJ010723.TXT</t>
        </is>
      </c>
      <c r="B144" s="3" t="inlineStr">
        <is>
          <t>001187</t>
        </is>
      </c>
      <c r="C144" s="3" t="inlineStr">
        <is>
          <t>000751</t>
        </is>
      </c>
      <c r="D144" s="4" t="n">
        <v>45104</v>
      </c>
      <c r="E144" s="2" t="inlineStr">
        <is>
          <t>14:36</t>
        </is>
      </c>
      <c r="F144" s="5">
        <f>C144-C143</f>
        <v/>
      </c>
      <c r="G144" s="5">
        <f>B144-B143</f>
        <v/>
      </c>
      <c r="H144" s="2">
        <f>IF(AND(F144=1,G144=1),"OK","À JUSTIFIER")</f>
        <v/>
      </c>
    </row>
    <row r="145">
      <c r="A145" s="2" t="inlineStr">
        <is>
          <t>EJ010723.TXT</t>
        </is>
      </c>
      <c r="B145" s="3" t="inlineStr">
        <is>
          <t>001188</t>
        </is>
      </c>
      <c r="C145" s="3" t="inlineStr">
        <is>
          <t>000752</t>
        </is>
      </c>
      <c r="D145" s="4" t="n">
        <v>45104</v>
      </c>
      <c r="E145" s="2" t="inlineStr">
        <is>
          <t>14:46</t>
        </is>
      </c>
      <c r="F145" s="5">
        <f>C145-C144</f>
        <v/>
      </c>
      <c r="G145" s="5">
        <f>B145-B144</f>
        <v/>
      </c>
      <c r="H145" s="2">
        <f>IF(AND(F145=1,G145=1),"OK","À JUSTIFIER")</f>
        <v/>
      </c>
    </row>
    <row r="146">
      <c r="A146" s="2" t="inlineStr">
        <is>
          <t>EJ010723.TXT</t>
        </is>
      </c>
      <c r="B146" s="3" t="inlineStr">
        <is>
          <t>001189</t>
        </is>
      </c>
      <c r="C146" s="3" t="inlineStr">
        <is>
          <t>000753</t>
        </is>
      </c>
      <c r="D146" s="4" t="n">
        <v>45105</v>
      </c>
      <c r="E146" s="2" t="inlineStr">
        <is>
          <t>15:03</t>
        </is>
      </c>
      <c r="F146" s="5">
        <f>C146-C145</f>
        <v/>
      </c>
      <c r="G146" s="5">
        <f>B146-B145</f>
        <v/>
      </c>
      <c r="H146" s="2">
        <f>IF(AND(F146=1,G146=1),"OK","À JUSTIFIER")</f>
        <v/>
      </c>
    </row>
    <row r="147">
      <c r="A147" s="2" t="inlineStr">
        <is>
          <t>EJ010723.TXT</t>
        </is>
      </c>
      <c r="B147" s="3" t="inlineStr">
        <is>
          <t>001190</t>
        </is>
      </c>
      <c r="C147" s="3" t="inlineStr">
        <is>
          <t>000754</t>
        </is>
      </c>
      <c r="D147" s="4" t="n">
        <v>45107</v>
      </c>
      <c r="E147" s="2" t="inlineStr">
        <is>
          <t>09:08</t>
        </is>
      </c>
      <c r="F147" s="5">
        <f>C147-C146</f>
        <v/>
      </c>
      <c r="G147" s="5">
        <f>B147-B146</f>
        <v/>
      </c>
      <c r="H147" s="2">
        <f>IF(AND(F147=1,G147=1),"OK","À JUSTIFIER")</f>
        <v/>
      </c>
    </row>
    <row r="148">
      <c r="A148" s="2" t="inlineStr">
        <is>
          <t>EJ010823.TXT</t>
        </is>
      </c>
      <c r="B148" s="3" t="inlineStr">
        <is>
          <t>001194</t>
        </is>
      </c>
      <c r="C148" s="3" t="inlineStr">
        <is>
          <t>000755</t>
        </is>
      </c>
      <c r="D148" s="4" t="n">
        <v>45108</v>
      </c>
      <c r="E148" s="2" t="inlineStr">
        <is>
          <t>13:41</t>
        </is>
      </c>
      <c r="F148" s="5">
        <f>C148-C147</f>
        <v/>
      </c>
      <c r="G148" s="5">
        <f>B148-B147</f>
        <v/>
      </c>
      <c r="H148" s="2">
        <f>IF(AND(F148=1,G148=1),"OK","À JUSTIFIER")</f>
        <v/>
      </c>
    </row>
    <row r="149">
      <c r="A149" s="2" t="inlineStr">
        <is>
          <t>EJ010823.TXT</t>
        </is>
      </c>
      <c r="B149" s="3" t="inlineStr">
        <is>
          <t>001195</t>
        </is>
      </c>
      <c r="C149" s="3" t="inlineStr">
        <is>
          <t>000756</t>
        </is>
      </c>
      <c r="D149" s="4" t="n">
        <v>45108</v>
      </c>
      <c r="E149" s="2" t="inlineStr">
        <is>
          <t>14:04</t>
        </is>
      </c>
      <c r="F149" s="5">
        <f>C149-C148</f>
        <v/>
      </c>
      <c r="G149" s="5">
        <f>B149-B148</f>
        <v/>
      </c>
      <c r="H149" s="2">
        <f>IF(AND(F149=1,G149=1),"OK","À JUSTIFIER")</f>
        <v/>
      </c>
    </row>
    <row r="150">
      <c r="A150" s="2" t="inlineStr">
        <is>
          <t>EJ010823.TXT</t>
        </is>
      </c>
      <c r="B150" s="3" t="inlineStr">
        <is>
          <t>001196</t>
        </is>
      </c>
      <c r="C150" s="3" t="inlineStr">
        <is>
          <t>000757</t>
        </is>
      </c>
      <c r="D150" s="4" t="n">
        <v>45108</v>
      </c>
      <c r="E150" s="2" t="inlineStr">
        <is>
          <t>14:05</t>
        </is>
      </c>
      <c r="F150" s="5">
        <f>C150-C149</f>
        <v/>
      </c>
      <c r="G150" s="5">
        <f>B150-B149</f>
        <v/>
      </c>
      <c r="H150" s="2">
        <f>IF(AND(F150=1,G150=1),"OK","À JUSTIFIER")</f>
        <v/>
      </c>
    </row>
    <row r="151">
      <c r="A151" s="2" t="inlineStr">
        <is>
          <t>EJ010823.TXT</t>
        </is>
      </c>
      <c r="B151" s="3" t="inlineStr">
        <is>
          <t>001197</t>
        </is>
      </c>
      <c r="C151" s="3" t="inlineStr">
        <is>
          <t>000758</t>
        </is>
      </c>
      <c r="D151" s="4" t="n">
        <v>45108</v>
      </c>
      <c r="E151" s="2" t="inlineStr">
        <is>
          <t>15:09</t>
        </is>
      </c>
      <c r="F151" s="5">
        <f>C151-C150</f>
        <v/>
      </c>
      <c r="G151" s="5">
        <f>B151-B150</f>
        <v/>
      </c>
      <c r="H151" s="2">
        <f>IF(AND(F151=1,G151=1),"OK","À JUSTIFIER")</f>
        <v/>
      </c>
    </row>
    <row r="152">
      <c r="A152" s="2" t="inlineStr">
        <is>
          <t>EJ010823.TXT</t>
        </is>
      </c>
      <c r="B152" s="3" t="inlineStr">
        <is>
          <t>001198</t>
        </is>
      </c>
      <c r="C152" s="3" t="inlineStr">
        <is>
          <t>000759</t>
        </is>
      </c>
      <c r="D152" s="4" t="n">
        <v>45108</v>
      </c>
      <c r="E152" s="2" t="inlineStr">
        <is>
          <t>15:10</t>
        </is>
      </c>
      <c r="F152" s="5">
        <f>C152-C151</f>
        <v/>
      </c>
      <c r="G152" s="5">
        <f>B152-B151</f>
        <v/>
      </c>
      <c r="H152" s="2">
        <f>IF(AND(F152=1,G152=1),"OK","À JUSTIFIER")</f>
        <v/>
      </c>
    </row>
    <row r="153">
      <c r="A153" s="2" t="inlineStr">
        <is>
          <t>EJ010823.TXT</t>
        </is>
      </c>
      <c r="B153" s="3" t="inlineStr">
        <is>
          <t>001202</t>
        </is>
      </c>
      <c r="C153" s="3" t="inlineStr">
        <is>
          <t>000760</t>
        </is>
      </c>
      <c r="D153" s="4" t="n">
        <v>45110</v>
      </c>
      <c r="E153" s="2" t="inlineStr">
        <is>
          <t>15:57</t>
        </is>
      </c>
      <c r="F153" s="5">
        <f>C153-C152</f>
        <v/>
      </c>
      <c r="G153" s="5">
        <f>B153-B152</f>
        <v/>
      </c>
      <c r="H153" s="2">
        <f>IF(AND(F153=1,G153=1),"OK","À JUSTIFIER")</f>
        <v/>
      </c>
    </row>
    <row r="154">
      <c r="A154" s="2" t="inlineStr">
        <is>
          <t>EJ010823.TXT</t>
        </is>
      </c>
      <c r="B154" s="3" t="inlineStr">
        <is>
          <t>001203</t>
        </is>
      </c>
      <c r="C154" s="3" t="inlineStr">
        <is>
          <t>000761</t>
        </is>
      </c>
      <c r="D154" s="4" t="n">
        <v>45111</v>
      </c>
      <c r="E154" s="2" t="inlineStr">
        <is>
          <t>12:07</t>
        </is>
      </c>
      <c r="F154" s="5">
        <f>C154-C153</f>
        <v/>
      </c>
      <c r="G154" s="5">
        <f>B154-B153</f>
        <v/>
      </c>
      <c r="H154" s="2">
        <f>IF(AND(F154=1,G154=1),"OK","À JUSTIFIER")</f>
        <v/>
      </c>
    </row>
    <row r="155">
      <c r="A155" s="2" t="inlineStr">
        <is>
          <t>EJ010823.TXT</t>
        </is>
      </c>
      <c r="B155" s="3" t="inlineStr">
        <is>
          <t>001204</t>
        </is>
      </c>
      <c r="C155" s="3" t="inlineStr">
        <is>
          <t>000762</t>
        </is>
      </c>
      <c r="D155" s="4" t="n">
        <v>45112</v>
      </c>
      <c r="E155" s="2" t="inlineStr">
        <is>
          <t>15:23</t>
        </is>
      </c>
      <c r="F155" s="5">
        <f>C155-C154</f>
        <v/>
      </c>
      <c r="G155" s="5">
        <f>B155-B154</f>
        <v/>
      </c>
      <c r="H155" s="2">
        <f>IF(AND(F155=1,G155=1),"OK","À JUSTIFIER")</f>
        <v/>
      </c>
    </row>
    <row r="156">
      <c r="A156" s="2" t="inlineStr">
        <is>
          <t>EJ010823.TXT</t>
        </is>
      </c>
      <c r="B156" s="3" t="inlineStr">
        <is>
          <t>001205</t>
        </is>
      </c>
      <c r="C156" s="3" t="inlineStr">
        <is>
          <t>000763</t>
        </is>
      </c>
      <c r="D156" s="4" t="n">
        <v>45112</v>
      </c>
      <c r="E156" s="2" t="inlineStr">
        <is>
          <t>16:19</t>
        </is>
      </c>
      <c r="F156" s="5">
        <f>C156-C155</f>
        <v/>
      </c>
      <c r="G156" s="5">
        <f>B156-B155</f>
        <v/>
      </c>
      <c r="H156" s="2">
        <f>IF(AND(F156=1,G156=1),"OK","À JUSTIFIER")</f>
        <v/>
      </c>
    </row>
    <row r="157">
      <c r="A157" s="2" t="inlineStr">
        <is>
          <t>EJ010823.TXT</t>
        </is>
      </c>
      <c r="B157" s="3" t="inlineStr">
        <is>
          <t>001206</t>
        </is>
      </c>
      <c r="C157" s="3" t="inlineStr">
        <is>
          <t>000764</t>
        </is>
      </c>
      <c r="D157" s="4" t="n">
        <v>45113</v>
      </c>
      <c r="E157" s="2" t="inlineStr">
        <is>
          <t>13:21</t>
        </is>
      </c>
      <c r="F157" s="5">
        <f>C157-C156</f>
        <v/>
      </c>
      <c r="G157" s="5">
        <f>B157-B156</f>
        <v/>
      </c>
      <c r="H157" s="2">
        <f>IF(AND(F157=1,G157=1),"OK","À JUSTIFIER")</f>
        <v/>
      </c>
    </row>
    <row r="158">
      <c r="A158" s="2" t="inlineStr">
        <is>
          <t>EJ010823.TXT</t>
        </is>
      </c>
      <c r="B158" s="3" t="inlineStr">
        <is>
          <t>001207</t>
        </is>
      </c>
      <c r="C158" s="3" t="inlineStr">
        <is>
          <t>000765</t>
        </is>
      </c>
      <c r="D158" s="4" t="n">
        <v>45114</v>
      </c>
      <c r="E158" s="2" t="inlineStr">
        <is>
          <t>12:06</t>
        </is>
      </c>
      <c r="F158" s="5">
        <f>C158-C157</f>
        <v/>
      </c>
      <c r="G158" s="5">
        <f>B158-B157</f>
        <v/>
      </c>
      <c r="H158" s="2">
        <f>IF(AND(F158=1,G158=1),"OK","À JUSTIFIER")</f>
        <v/>
      </c>
    </row>
    <row r="159">
      <c r="A159" s="2" t="inlineStr">
        <is>
          <t>EJ010823.TXT</t>
        </is>
      </c>
      <c r="B159" s="3" t="inlineStr">
        <is>
          <t>001208</t>
        </is>
      </c>
      <c r="C159" s="3" t="inlineStr">
        <is>
          <t>000766</t>
        </is>
      </c>
      <c r="D159" s="4" t="n">
        <v>45114</v>
      </c>
      <c r="E159" s="2" t="inlineStr">
        <is>
          <t>15:20</t>
        </is>
      </c>
      <c r="F159" s="5">
        <f>C159-C158</f>
        <v/>
      </c>
      <c r="G159" s="5">
        <f>B159-B158</f>
        <v/>
      </c>
      <c r="H159" s="2">
        <f>IF(AND(F159=1,G159=1),"OK","À JUSTIFIER")</f>
        <v/>
      </c>
    </row>
    <row r="160">
      <c r="A160" s="2" t="inlineStr">
        <is>
          <t>EJ010823.TXT</t>
        </is>
      </c>
      <c r="B160" s="3" t="inlineStr">
        <is>
          <t>001209</t>
        </is>
      </c>
      <c r="C160" s="3" t="inlineStr">
        <is>
          <t>000767</t>
        </is>
      </c>
      <c r="D160" s="4" t="n">
        <v>45114</v>
      </c>
      <c r="E160" s="2" t="inlineStr">
        <is>
          <t>16:42</t>
        </is>
      </c>
      <c r="F160" s="5">
        <f>C160-C159</f>
        <v/>
      </c>
      <c r="G160" s="5">
        <f>B160-B159</f>
        <v/>
      </c>
      <c r="H160" s="2">
        <f>IF(AND(F160=1,G160=1),"OK","À JUSTIFIER")</f>
        <v/>
      </c>
    </row>
    <row r="161">
      <c r="A161" s="2" t="inlineStr">
        <is>
          <t>EJ010823.TXT</t>
        </is>
      </c>
      <c r="B161" s="3" t="inlineStr">
        <is>
          <t>001210</t>
        </is>
      </c>
      <c r="C161" s="3" t="inlineStr">
        <is>
          <t>000768</t>
        </is>
      </c>
      <c r="D161" s="4" t="n">
        <v>45114</v>
      </c>
      <c r="E161" s="2" t="inlineStr">
        <is>
          <t>16:57</t>
        </is>
      </c>
      <c r="F161" s="5">
        <f>C161-C160</f>
        <v/>
      </c>
      <c r="G161" s="5">
        <f>B161-B160</f>
        <v/>
      </c>
      <c r="H161" s="2">
        <f>IF(AND(F161=1,G161=1),"OK","À JUSTIFIER")</f>
        <v/>
      </c>
    </row>
    <row r="162">
      <c r="A162" s="2" t="inlineStr">
        <is>
          <t>EJ010823.TXT</t>
        </is>
      </c>
      <c r="B162" s="3" t="inlineStr">
        <is>
          <t>001211</t>
        </is>
      </c>
      <c r="C162" s="3" t="inlineStr">
        <is>
          <t>000769</t>
        </is>
      </c>
      <c r="D162" s="4" t="n">
        <v>45115</v>
      </c>
      <c r="E162" s="2" t="inlineStr">
        <is>
          <t>12:46</t>
        </is>
      </c>
      <c r="F162" s="5">
        <f>C162-C161</f>
        <v/>
      </c>
      <c r="G162" s="5">
        <f>B162-B161</f>
        <v/>
      </c>
      <c r="H162" s="2">
        <f>IF(AND(F162=1,G162=1),"OK","À JUSTIFIER")</f>
        <v/>
      </c>
    </row>
    <row r="163">
      <c r="A163" s="2" t="inlineStr">
        <is>
          <t>EJ010823.TXT</t>
        </is>
      </c>
      <c r="B163" s="3" t="inlineStr">
        <is>
          <t>001212</t>
        </is>
      </c>
      <c r="C163" s="3" t="inlineStr">
        <is>
          <t>000770</t>
        </is>
      </c>
      <c r="D163" s="4" t="n">
        <v>45115</v>
      </c>
      <c r="E163" s="2" t="inlineStr">
        <is>
          <t>15:26</t>
        </is>
      </c>
      <c r="F163" s="5">
        <f>C163-C162</f>
        <v/>
      </c>
      <c r="G163" s="5">
        <f>B163-B162</f>
        <v/>
      </c>
      <c r="H163" s="2">
        <f>IF(AND(F163=1,G163=1),"OK","À JUSTIFIER")</f>
        <v/>
      </c>
    </row>
    <row r="164">
      <c r="A164" s="2" t="inlineStr">
        <is>
          <t>EJ010823.TXT</t>
        </is>
      </c>
      <c r="B164" s="3" t="inlineStr">
        <is>
          <t>001213</t>
        </is>
      </c>
      <c r="C164" s="3" t="inlineStr">
        <is>
          <t>000771</t>
        </is>
      </c>
      <c r="D164" s="4" t="n">
        <v>45119</v>
      </c>
      <c r="E164" s="2" t="inlineStr">
        <is>
          <t>11:51</t>
        </is>
      </c>
      <c r="F164" s="5">
        <f>C164-C163</f>
        <v/>
      </c>
      <c r="G164" s="5">
        <f>B164-B163</f>
        <v/>
      </c>
      <c r="H164" s="2">
        <f>IF(AND(F164=1,G164=1),"OK","À JUSTIFIER")</f>
        <v/>
      </c>
    </row>
    <row r="165">
      <c r="A165" s="2" t="inlineStr">
        <is>
          <t>EJ010823.TXT</t>
        </is>
      </c>
      <c r="B165" s="3" t="inlineStr">
        <is>
          <t>001214</t>
        </is>
      </c>
      <c r="C165" s="3" t="inlineStr">
        <is>
          <t>000772</t>
        </is>
      </c>
      <c r="D165" s="4" t="n">
        <v>45119</v>
      </c>
      <c r="E165" s="2" t="inlineStr">
        <is>
          <t>13:37</t>
        </is>
      </c>
      <c r="F165" s="5">
        <f>C165-C164</f>
        <v/>
      </c>
      <c r="G165" s="5">
        <f>B165-B164</f>
        <v/>
      </c>
      <c r="H165" s="2">
        <f>IF(AND(F165=1,G165=1),"OK","À JUSTIFIER")</f>
        <v/>
      </c>
    </row>
    <row r="166">
      <c r="A166" s="2" t="inlineStr">
        <is>
          <t>EJ010823.TXT</t>
        </is>
      </c>
      <c r="B166" s="3" t="inlineStr">
        <is>
          <t>001215</t>
        </is>
      </c>
      <c r="C166" s="3" t="inlineStr">
        <is>
          <t>000773</t>
        </is>
      </c>
      <c r="D166" s="4" t="n">
        <v>45122</v>
      </c>
      <c r="E166" s="2" t="inlineStr">
        <is>
          <t>13:55</t>
        </is>
      </c>
      <c r="F166" s="5">
        <f>C166-C165</f>
        <v/>
      </c>
      <c r="G166" s="5">
        <f>B166-B165</f>
        <v/>
      </c>
      <c r="H166" s="2">
        <f>IF(AND(F166=1,G166=1),"OK","À JUSTIFIER")</f>
        <v/>
      </c>
    </row>
    <row r="167">
      <c r="A167" s="2" t="inlineStr">
        <is>
          <t>EJ010823.TXT</t>
        </is>
      </c>
      <c r="B167" s="3" t="inlineStr">
        <is>
          <t>001216</t>
        </is>
      </c>
      <c r="C167" s="3" t="inlineStr">
        <is>
          <t>000774</t>
        </is>
      </c>
      <c r="D167" s="4" t="n">
        <v>45122</v>
      </c>
      <c r="E167" s="2" t="inlineStr">
        <is>
          <t>14:25</t>
        </is>
      </c>
      <c r="F167" s="5">
        <f>C167-C166</f>
        <v/>
      </c>
      <c r="G167" s="5">
        <f>B167-B166</f>
        <v/>
      </c>
      <c r="H167" s="2">
        <f>IF(AND(F167=1,G167=1),"OK","À JUSTIFIER")</f>
        <v/>
      </c>
    </row>
    <row r="168">
      <c r="A168" s="2" t="inlineStr">
        <is>
          <t>EJ010823.TXT</t>
        </is>
      </c>
      <c r="B168" s="3" t="inlineStr">
        <is>
          <t>001217</t>
        </is>
      </c>
      <c r="C168" s="3" t="inlineStr">
        <is>
          <t>000775</t>
        </is>
      </c>
      <c r="D168" s="4" t="n">
        <v>45122</v>
      </c>
      <c r="E168" s="2" t="inlineStr">
        <is>
          <t>15:40</t>
        </is>
      </c>
      <c r="F168" s="5">
        <f>C168-C167</f>
        <v/>
      </c>
      <c r="G168" s="5">
        <f>B168-B167</f>
        <v/>
      </c>
      <c r="H168" s="2">
        <f>IF(AND(F168=1,G168=1),"OK","À JUSTIFIER")</f>
        <v/>
      </c>
    </row>
    <row r="169">
      <c r="A169" s="2" t="inlineStr">
        <is>
          <t>EJ010823.TXT</t>
        </is>
      </c>
      <c r="B169" s="3" t="inlineStr">
        <is>
          <t>001218</t>
        </is>
      </c>
      <c r="C169" s="3" t="inlineStr">
        <is>
          <t>000776</t>
        </is>
      </c>
      <c r="D169" s="4" t="n">
        <v>45122</v>
      </c>
      <c r="E169" s="2" t="inlineStr">
        <is>
          <t>15:40</t>
        </is>
      </c>
      <c r="F169" s="5">
        <f>C169-C168</f>
        <v/>
      </c>
      <c r="G169" s="5">
        <f>B169-B168</f>
        <v/>
      </c>
      <c r="H169" s="2">
        <f>IF(AND(F169=1,G169=1),"OK","À JUSTIFIER")</f>
        <v/>
      </c>
    </row>
    <row r="170">
      <c r="A170" s="2" t="inlineStr">
        <is>
          <t>EJ010823.TXT</t>
        </is>
      </c>
      <c r="B170" s="3" t="inlineStr">
        <is>
          <t>001219</t>
        </is>
      </c>
      <c r="C170" s="3" t="inlineStr">
        <is>
          <t>000777</t>
        </is>
      </c>
      <c r="D170" s="4" t="n">
        <v>45122</v>
      </c>
      <c r="E170" s="2" t="inlineStr">
        <is>
          <t>16:46</t>
        </is>
      </c>
      <c r="F170" s="5">
        <f>C170-C169</f>
        <v/>
      </c>
      <c r="G170" s="5">
        <f>B170-B169</f>
        <v/>
      </c>
      <c r="H170" s="2">
        <f>IF(AND(F170=1,G170=1),"OK","À JUSTIFIER")</f>
        <v/>
      </c>
    </row>
    <row r="171">
      <c r="A171" s="2" t="inlineStr">
        <is>
          <t>EJ010823.TXT</t>
        </is>
      </c>
      <c r="B171" s="3" t="inlineStr">
        <is>
          <t>001220</t>
        </is>
      </c>
      <c r="C171" s="3" t="inlineStr">
        <is>
          <t>000778</t>
        </is>
      </c>
      <c r="D171" s="4" t="n">
        <v>45126</v>
      </c>
      <c r="E171" s="2" t="inlineStr">
        <is>
          <t>16:31</t>
        </is>
      </c>
      <c r="F171" s="5">
        <f>C171-C170</f>
        <v/>
      </c>
      <c r="G171" s="5">
        <f>B171-B170</f>
        <v/>
      </c>
      <c r="H171" s="2">
        <f>IF(AND(F171=1,G171=1),"OK","À JUSTIFIER")</f>
        <v/>
      </c>
    </row>
    <row r="172">
      <c r="A172" s="2" t="inlineStr">
        <is>
          <t>EJ010823.TXT</t>
        </is>
      </c>
      <c r="B172" s="3" t="inlineStr">
        <is>
          <t>001222</t>
        </is>
      </c>
      <c r="C172" s="3" t="inlineStr">
        <is>
          <t>000779</t>
        </is>
      </c>
      <c r="D172" s="4" t="n">
        <v>45127</v>
      </c>
      <c r="E172" s="2" t="inlineStr">
        <is>
          <t>09:36</t>
        </is>
      </c>
      <c r="F172" s="5">
        <f>C172-C171</f>
        <v/>
      </c>
      <c r="G172" s="5">
        <f>B172-B171</f>
        <v/>
      </c>
      <c r="H172" s="2">
        <f>IF(AND(F172=1,G172=1),"OK","À JUSTIFIER")</f>
        <v/>
      </c>
    </row>
    <row r="173">
      <c r="A173" s="2" t="inlineStr">
        <is>
          <t>EJ010823.TXT</t>
        </is>
      </c>
      <c r="B173" s="3" t="inlineStr">
        <is>
          <t>001223</t>
        </is>
      </c>
      <c r="C173" s="3" t="inlineStr">
        <is>
          <t>000780</t>
        </is>
      </c>
      <c r="D173" s="4" t="n">
        <v>45128</v>
      </c>
      <c r="E173" s="2" t="inlineStr">
        <is>
          <t>16:41</t>
        </is>
      </c>
      <c r="F173" s="5">
        <f>C173-C172</f>
        <v/>
      </c>
      <c r="G173" s="5">
        <f>B173-B172</f>
        <v/>
      </c>
      <c r="H173" s="2">
        <f>IF(AND(F173=1,G173=1),"OK","À JUSTIFIER")</f>
        <v/>
      </c>
    </row>
    <row r="174">
      <c r="A174" s="2" t="inlineStr">
        <is>
          <t>EJ010823.TXT</t>
        </is>
      </c>
      <c r="B174" s="3" t="inlineStr">
        <is>
          <t>001224</t>
        </is>
      </c>
      <c r="C174" s="3" t="inlineStr">
        <is>
          <t>000781</t>
        </is>
      </c>
      <c r="D174" s="4" t="n">
        <v>45128</v>
      </c>
      <c r="E174" s="2" t="inlineStr">
        <is>
          <t>16:45</t>
        </is>
      </c>
      <c r="F174" s="5">
        <f>C174-C173</f>
        <v/>
      </c>
      <c r="G174" s="5">
        <f>B174-B173</f>
        <v/>
      </c>
      <c r="H174" s="2">
        <f>IF(AND(F174=1,G174=1),"OK","À JUSTIFIER")</f>
        <v/>
      </c>
    </row>
    <row r="175">
      <c r="A175" s="2" t="inlineStr">
        <is>
          <t>EJ010823.TXT</t>
        </is>
      </c>
      <c r="B175" s="3" t="inlineStr">
        <is>
          <t>001225</t>
        </is>
      </c>
      <c r="C175" s="3" t="inlineStr">
        <is>
          <t>000782</t>
        </is>
      </c>
      <c r="D175" s="4" t="n">
        <v>45129</v>
      </c>
      <c r="E175" s="2" t="inlineStr">
        <is>
          <t>13:27</t>
        </is>
      </c>
      <c r="F175" s="5">
        <f>C175-C174</f>
        <v/>
      </c>
      <c r="G175" s="5">
        <f>B175-B174</f>
        <v/>
      </c>
      <c r="H175" s="2">
        <f>IF(AND(F175=1,G175=1),"OK","À JUSTIFIER")</f>
        <v/>
      </c>
    </row>
    <row r="176">
      <c r="A176" s="2" t="inlineStr">
        <is>
          <t>EJ010823.TXT</t>
        </is>
      </c>
      <c r="B176" s="3" t="inlineStr">
        <is>
          <t>001226</t>
        </is>
      </c>
      <c r="C176" s="3" t="inlineStr">
        <is>
          <t>000783</t>
        </is>
      </c>
      <c r="D176" s="4" t="n">
        <v>45129</v>
      </c>
      <c r="E176" s="2" t="inlineStr">
        <is>
          <t>14:42</t>
        </is>
      </c>
      <c r="F176" s="5">
        <f>C176-C175</f>
        <v/>
      </c>
      <c r="G176" s="5">
        <f>B176-B175</f>
        <v/>
      </c>
      <c r="H176" s="2">
        <f>IF(AND(F176=1,G176=1),"OK","À JUSTIFIER")</f>
        <v/>
      </c>
    </row>
    <row r="177">
      <c r="A177" s="2" t="inlineStr">
        <is>
          <t>EJ010823.TXT</t>
        </is>
      </c>
      <c r="B177" s="3" t="inlineStr">
        <is>
          <t>001228</t>
        </is>
      </c>
      <c r="C177" s="3" t="inlineStr">
        <is>
          <t>000784</t>
        </is>
      </c>
      <c r="D177" s="4" t="n">
        <v>45132</v>
      </c>
      <c r="E177" s="2" t="inlineStr">
        <is>
          <t>13:52</t>
        </is>
      </c>
      <c r="F177" s="5">
        <f>C177-C176</f>
        <v/>
      </c>
      <c r="G177" s="5">
        <f>B177-B176</f>
        <v/>
      </c>
      <c r="H177" s="2">
        <f>IF(AND(F177=1,G177=1),"OK","À JUSTIFIER")</f>
        <v/>
      </c>
    </row>
    <row r="178">
      <c r="A178" s="2" t="inlineStr">
        <is>
          <t>EJ010823.TXT</t>
        </is>
      </c>
      <c r="B178" s="3" t="inlineStr">
        <is>
          <t>001229</t>
        </is>
      </c>
      <c r="C178" s="3" t="inlineStr">
        <is>
          <t>000785</t>
        </is>
      </c>
      <c r="D178" s="4" t="n">
        <v>45132</v>
      </c>
      <c r="E178" s="2" t="inlineStr">
        <is>
          <t>14:04</t>
        </is>
      </c>
      <c r="F178" s="5">
        <f>C178-C177</f>
        <v/>
      </c>
      <c r="G178" s="5">
        <f>B178-B177</f>
        <v/>
      </c>
      <c r="H178" s="2">
        <f>IF(AND(F178=1,G178=1),"OK","À JUSTIFIER")</f>
        <v/>
      </c>
    </row>
    <row r="179">
      <c r="A179" s="2" t="inlineStr">
        <is>
          <t>EJ010823.TXT</t>
        </is>
      </c>
      <c r="B179" s="3" t="inlineStr">
        <is>
          <t>001230</t>
        </is>
      </c>
      <c r="C179" s="3" t="inlineStr">
        <is>
          <t>000786</t>
        </is>
      </c>
      <c r="D179" s="4" t="n">
        <v>45133</v>
      </c>
      <c r="E179" s="2" t="inlineStr">
        <is>
          <t>09:34</t>
        </is>
      </c>
      <c r="F179" s="5">
        <f>C179-C178</f>
        <v/>
      </c>
      <c r="G179" s="5">
        <f>B179-B178</f>
        <v/>
      </c>
      <c r="H179" s="2">
        <f>IF(AND(F179=1,G179=1),"OK","À JUSTIFIER")</f>
        <v/>
      </c>
    </row>
    <row r="180">
      <c r="A180" s="2" t="inlineStr">
        <is>
          <t>EJ010823.TXT</t>
        </is>
      </c>
      <c r="B180" s="3" t="inlineStr">
        <is>
          <t>001234</t>
        </is>
      </c>
      <c r="C180" s="3" t="inlineStr">
        <is>
          <t>000787</t>
        </is>
      </c>
      <c r="D180" s="4" t="n">
        <v>45133</v>
      </c>
      <c r="E180" s="2" t="inlineStr">
        <is>
          <t>13:22</t>
        </is>
      </c>
      <c r="F180" s="5">
        <f>C180-C179</f>
        <v/>
      </c>
      <c r="G180" s="5">
        <f>B180-B179</f>
        <v/>
      </c>
      <c r="H180" s="2">
        <f>IF(AND(F180=1,G180=1),"OK","À JUSTIFIER")</f>
        <v/>
      </c>
    </row>
    <row r="181">
      <c r="A181" s="2" t="inlineStr">
        <is>
          <t>EJ010823.TXT</t>
        </is>
      </c>
      <c r="B181" s="3" t="inlineStr">
        <is>
          <t>001235</t>
        </is>
      </c>
      <c r="C181" s="3" t="inlineStr">
        <is>
          <t>000788</t>
        </is>
      </c>
      <c r="D181" s="4" t="n">
        <v>45134</v>
      </c>
      <c r="E181" s="2" t="inlineStr">
        <is>
          <t>15:29</t>
        </is>
      </c>
      <c r="F181" s="5">
        <f>C181-C180</f>
        <v/>
      </c>
      <c r="G181" s="5">
        <f>B181-B180</f>
        <v/>
      </c>
      <c r="H181" s="2">
        <f>IF(AND(F181=1,G181=1),"OK","À JUSTIFIER")</f>
        <v/>
      </c>
    </row>
    <row r="182">
      <c r="A182" s="2" t="inlineStr">
        <is>
          <t>EJ010823.TXT</t>
        </is>
      </c>
      <c r="B182" s="3" t="inlineStr">
        <is>
          <t>001236</t>
        </is>
      </c>
      <c r="C182" s="3" t="inlineStr">
        <is>
          <t>000789</t>
        </is>
      </c>
      <c r="D182" s="4" t="n">
        <v>45134</v>
      </c>
      <c r="E182" s="2" t="inlineStr">
        <is>
          <t>15:33</t>
        </is>
      </c>
      <c r="F182" s="5">
        <f>C182-C181</f>
        <v/>
      </c>
      <c r="G182" s="5">
        <f>B182-B181</f>
        <v/>
      </c>
      <c r="H182" s="2">
        <f>IF(AND(F182=1,G182=1),"OK","À JUSTIFIER")</f>
        <v/>
      </c>
    </row>
    <row r="183">
      <c r="A183" s="2" t="inlineStr">
        <is>
          <t>EJ010823.TXT</t>
        </is>
      </c>
      <c r="B183" s="3" t="inlineStr">
        <is>
          <t>001237</t>
        </is>
      </c>
      <c r="C183" s="3" t="inlineStr">
        <is>
          <t>000790</t>
        </is>
      </c>
      <c r="D183" s="4" t="n">
        <v>45134</v>
      </c>
      <c r="E183" s="2" t="inlineStr">
        <is>
          <t>15:35</t>
        </is>
      </c>
      <c r="F183" s="5">
        <f>C183-C182</f>
        <v/>
      </c>
      <c r="G183" s="5">
        <f>B183-B182</f>
        <v/>
      </c>
      <c r="H183" s="2">
        <f>IF(AND(F183=1,G183=1),"OK","À JUSTIFIER")</f>
        <v/>
      </c>
    </row>
    <row r="184">
      <c r="A184" s="2" t="inlineStr">
        <is>
          <t>EJ010823.TXT</t>
        </is>
      </c>
      <c r="B184" s="3" t="inlineStr">
        <is>
          <t>001238</t>
        </is>
      </c>
      <c r="C184" s="3" t="inlineStr">
        <is>
          <t>000791</t>
        </is>
      </c>
      <c r="D184" s="4" t="n">
        <v>45134</v>
      </c>
      <c r="E184" s="2" t="inlineStr">
        <is>
          <t>15:37</t>
        </is>
      </c>
      <c r="F184" s="5">
        <f>C184-C183</f>
        <v/>
      </c>
      <c r="G184" s="5">
        <f>B184-B183</f>
        <v/>
      </c>
      <c r="H184" s="2">
        <f>IF(AND(F184=1,G184=1),"OK","À JUSTIFIER")</f>
        <v/>
      </c>
    </row>
    <row r="185">
      <c r="A185" s="2" t="inlineStr">
        <is>
          <t>EJ010823.TXT</t>
        </is>
      </c>
      <c r="B185" s="3" t="inlineStr">
        <is>
          <t>001239</t>
        </is>
      </c>
      <c r="C185" s="3" t="inlineStr">
        <is>
          <t>000792</t>
        </is>
      </c>
      <c r="D185" s="4" t="n">
        <v>45136</v>
      </c>
      <c r="E185" s="2" t="inlineStr">
        <is>
          <t>14:30</t>
        </is>
      </c>
      <c r="F185" s="5">
        <f>C185-C184</f>
        <v/>
      </c>
      <c r="G185" s="5">
        <f>B185-B184</f>
        <v/>
      </c>
      <c r="H185" s="2">
        <f>IF(AND(F185=1,G185=1),"OK","À JUSTIFIER")</f>
        <v/>
      </c>
    </row>
    <row r="186">
      <c r="A186" s="2" t="inlineStr">
        <is>
          <t>EJ010823.TXT</t>
        </is>
      </c>
      <c r="B186" s="3" t="inlineStr">
        <is>
          <t>001240</t>
        </is>
      </c>
      <c r="C186" s="3" t="inlineStr">
        <is>
          <t>000793</t>
        </is>
      </c>
      <c r="D186" s="4" t="n">
        <v>45136</v>
      </c>
      <c r="E186" s="2" t="inlineStr">
        <is>
          <t>15:41</t>
        </is>
      </c>
      <c r="F186" s="5">
        <f>C186-C185</f>
        <v/>
      </c>
      <c r="G186" s="5">
        <f>B186-B185</f>
        <v/>
      </c>
      <c r="H186" s="2">
        <f>IF(AND(F186=1,G186=1),"OK","À JUSTIFIER")</f>
        <v/>
      </c>
    </row>
    <row r="187">
      <c r="A187" s="2" t="inlineStr">
        <is>
          <t>EJ010823.TXT</t>
        </is>
      </c>
      <c r="B187" s="3" t="inlineStr">
        <is>
          <t>001246</t>
        </is>
      </c>
      <c r="C187" s="3" t="inlineStr">
        <is>
          <t>000794</t>
        </is>
      </c>
      <c r="D187" s="4" t="n">
        <v>45136</v>
      </c>
      <c r="E187" s="2" t="inlineStr">
        <is>
          <t>15:56</t>
        </is>
      </c>
      <c r="F187" s="5">
        <f>C187-C186</f>
        <v/>
      </c>
      <c r="G187" s="5">
        <f>B187-B186</f>
        <v/>
      </c>
      <c r="H187" s="2">
        <f>IF(AND(F187=1,G187=1),"OK","À JUSTIFIER")</f>
        <v/>
      </c>
    </row>
    <row r="188">
      <c r="A188" s="2" t="inlineStr">
        <is>
          <t>EJ010823.TXT</t>
        </is>
      </c>
      <c r="B188" s="3" t="inlineStr">
        <is>
          <t>001249</t>
        </is>
      </c>
      <c r="C188" s="3" t="inlineStr">
        <is>
          <t>000795</t>
        </is>
      </c>
      <c r="D188" s="4" t="n">
        <v>45138</v>
      </c>
      <c r="E188" s="2" t="inlineStr">
        <is>
          <t>12:34</t>
        </is>
      </c>
      <c r="F188" s="5">
        <f>C188-C187</f>
        <v/>
      </c>
      <c r="G188" s="5">
        <f>B188-B187</f>
        <v/>
      </c>
      <c r="H188" s="2">
        <f>IF(AND(F188=1,G188=1),"OK","À JUSTIFIER")</f>
        <v/>
      </c>
    </row>
    <row r="189">
      <c r="A189" s="2" t="inlineStr">
        <is>
          <t>EJ010923.TXT</t>
        </is>
      </c>
      <c r="B189" s="3" t="inlineStr">
        <is>
          <t>001260</t>
        </is>
      </c>
      <c r="C189" s="3" t="inlineStr">
        <is>
          <t>000796</t>
        </is>
      </c>
      <c r="D189" s="4" t="n">
        <v>45140</v>
      </c>
      <c r="E189" s="2" t="inlineStr">
        <is>
          <t>10:14</t>
        </is>
      </c>
      <c r="F189" s="5">
        <f>C189-C188</f>
        <v/>
      </c>
      <c r="G189" s="5">
        <f>B189-B188</f>
        <v/>
      </c>
      <c r="H189" s="2">
        <f>IF(AND(F189=1,G189=1),"OK","À JUSTIFIER")</f>
        <v/>
      </c>
    </row>
    <row r="190">
      <c r="A190" s="2" t="inlineStr">
        <is>
          <t>EJ010923.TXT</t>
        </is>
      </c>
      <c r="B190" s="3" t="inlineStr">
        <is>
          <t>001261</t>
        </is>
      </c>
      <c r="C190" s="3" t="inlineStr">
        <is>
          <t>000797</t>
        </is>
      </c>
      <c r="D190" s="4" t="n">
        <v>45142</v>
      </c>
      <c r="E190" s="2" t="inlineStr">
        <is>
          <t>14:28</t>
        </is>
      </c>
      <c r="F190" s="5">
        <f>C190-C189</f>
        <v/>
      </c>
      <c r="G190" s="5">
        <f>B190-B189</f>
        <v/>
      </c>
      <c r="H190" s="2">
        <f>IF(AND(F190=1,G190=1),"OK","À JUSTIFIER")</f>
        <v/>
      </c>
    </row>
    <row r="191">
      <c r="A191" s="2" t="inlineStr">
        <is>
          <t>EJ010923.TXT</t>
        </is>
      </c>
      <c r="B191" s="3" t="inlineStr">
        <is>
          <t>001262</t>
        </is>
      </c>
      <c r="C191" s="3" t="inlineStr">
        <is>
          <t>000798</t>
        </is>
      </c>
      <c r="D191" s="4" t="n">
        <v>45143</v>
      </c>
      <c r="E191" s="2" t="inlineStr">
        <is>
          <t>14:05</t>
        </is>
      </c>
      <c r="F191" s="5">
        <f>C191-C190</f>
        <v/>
      </c>
      <c r="G191" s="5">
        <f>B191-B190</f>
        <v/>
      </c>
      <c r="H191" s="2">
        <f>IF(AND(F191=1,G191=1),"OK","À JUSTIFIER")</f>
        <v/>
      </c>
    </row>
    <row r="192">
      <c r="A192" s="2" t="inlineStr">
        <is>
          <t>EJ010923.TXT</t>
        </is>
      </c>
      <c r="B192" s="3" t="inlineStr">
        <is>
          <t>001263</t>
        </is>
      </c>
      <c r="C192" s="3" t="inlineStr">
        <is>
          <t>000799</t>
        </is>
      </c>
      <c r="D192" s="4" t="n">
        <v>45143</v>
      </c>
      <c r="E192" s="2" t="inlineStr">
        <is>
          <t>15:38</t>
        </is>
      </c>
      <c r="F192" s="5">
        <f>C192-C191</f>
        <v/>
      </c>
      <c r="G192" s="5">
        <f>B192-B191</f>
        <v/>
      </c>
      <c r="H192" s="2">
        <f>IF(AND(F192=1,G192=1),"OK","À JUSTIFIER")</f>
        <v/>
      </c>
    </row>
    <row r="193">
      <c r="A193" s="2" t="inlineStr">
        <is>
          <t>EJ010923.TXT</t>
        </is>
      </c>
      <c r="B193" s="3" t="inlineStr">
        <is>
          <t>001264</t>
        </is>
      </c>
      <c r="C193" s="3" t="inlineStr">
        <is>
          <t>000800</t>
        </is>
      </c>
      <c r="D193" s="4" t="n">
        <v>45148</v>
      </c>
      <c r="E193" s="2" t="inlineStr">
        <is>
          <t>13:03</t>
        </is>
      </c>
      <c r="F193" s="5">
        <f>C193-C192</f>
        <v/>
      </c>
      <c r="G193" s="5">
        <f>B193-B192</f>
        <v/>
      </c>
      <c r="H193" s="2">
        <f>IF(AND(F193=1,G193=1),"OK","À JUSTIFIER")</f>
        <v/>
      </c>
    </row>
    <row r="194">
      <c r="A194" s="2" t="inlineStr">
        <is>
          <t>EJ010923.TXT</t>
        </is>
      </c>
      <c r="B194" s="3" t="inlineStr">
        <is>
          <t>001265</t>
        </is>
      </c>
      <c r="C194" s="3" t="inlineStr">
        <is>
          <t>000801</t>
        </is>
      </c>
      <c r="D194" s="4" t="n">
        <v>45150</v>
      </c>
      <c r="E194" s="2" t="inlineStr">
        <is>
          <t>13:23</t>
        </is>
      </c>
      <c r="F194" s="5">
        <f>C194-C193</f>
        <v/>
      </c>
      <c r="G194" s="5">
        <f>B194-B193</f>
        <v/>
      </c>
      <c r="H194" s="2">
        <f>IF(AND(F194=1,G194=1),"OK","À JUSTIFIER")</f>
        <v/>
      </c>
    </row>
    <row r="195">
      <c r="A195" s="2" t="inlineStr">
        <is>
          <t>EJ010923.TXT</t>
        </is>
      </c>
      <c r="B195" s="3" t="inlineStr">
        <is>
          <t>001266</t>
        </is>
      </c>
      <c r="C195" s="3" t="inlineStr">
        <is>
          <t>000802</t>
        </is>
      </c>
      <c r="D195" s="4" t="n">
        <v>45150</v>
      </c>
      <c r="E195" s="2" t="inlineStr">
        <is>
          <t>14:52</t>
        </is>
      </c>
      <c r="F195" s="5">
        <f>C195-C194</f>
        <v/>
      </c>
      <c r="G195" s="5">
        <f>B195-B194</f>
        <v/>
      </c>
      <c r="H195" s="2">
        <f>IF(AND(F195=1,G195=1),"OK","À JUSTIFIER")</f>
        <v/>
      </c>
    </row>
    <row r="196">
      <c r="A196" s="2" t="inlineStr">
        <is>
          <t>EJ010923.TXT</t>
        </is>
      </c>
      <c r="B196" s="3" t="inlineStr">
        <is>
          <t>001269</t>
        </is>
      </c>
      <c r="C196" s="3" t="inlineStr">
        <is>
          <t>000803</t>
        </is>
      </c>
      <c r="D196" s="4" t="n">
        <v>45152</v>
      </c>
      <c r="E196" s="2" t="inlineStr">
        <is>
          <t>15:02</t>
        </is>
      </c>
      <c r="F196" s="5">
        <f>C196-C195</f>
        <v/>
      </c>
      <c r="G196" s="5">
        <f>B196-B195</f>
        <v/>
      </c>
      <c r="H196" s="2">
        <f>IF(AND(F196=1,G196=1),"OK","À JUSTIFIER")</f>
        <v/>
      </c>
    </row>
    <row r="197">
      <c r="A197" s="2" t="inlineStr">
        <is>
          <t>EJ010923.TXT</t>
        </is>
      </c>
      <c r="B197" s="3" t="inlineStr">
        <is>
          <t>001270</t>
        </is>
      </c>
      <c r="C197" s="3" t="inlineStr">
        <is>
          <t>000804</t>
        </is>
      </c>
      <c r="D197" s="4" t="n">
        <v>45154</v>
      </c>
      <c r="E197" s="2" t="inlineStr">
        <is>
          <t>13:36</t>
        </is>
      </c>
      <c r="F197" s="5">
        <f>C197-C196</f>
        <v/>
      </c>
      <c r="G197" s="5">
        <f>B197-B196</f>
        <v/>
      </c>
      <c r="H197" s="2">
        <f>IF(AND(F197=1,G197=1),"OK","À JUSTIFIER")</f>
        <v/>
      </c>
    </row>
    <row r="198">
      <c r="A198" s="2" t="inlineStr">
        <is>
          <t>EJ010923.TXT</t>
        </is>
      </c>
      <c r="B198" s="3" t="inlineStr">
        <is>
          <t>001271</t>
        </is>
      </c>
      <c r="C198" s="3" t="inlineStr">
        <is>
          <t>000805</t>
        </is>
      </c>
      <c r="D198" s="4" t="n">
        <v>45156</v>
      </c>
      <c r="E198" s="2" t="inlineStr">
        <is>
          <t>16:41</t>
        </is>
      </c>
      <c r="F198" s="5">
        <f>C198-C197</f>
        <v/>
      </c>
      <c r="G198" s="5">
        <f>B198-B197</f>
        <v/>
      </c>
      <c r="H198" s="2">
        <f>IF(AND(F198=1,G198=1),"OK","À JUSTIFIER")</f>
        <v/>
      </c>
    </row>
    <row r="199">
      <c r="A199" s="2" t="inlineStr">
        <is>
          <t>EJ010923.TXT</t>
        </is>
      </c>
      <c r="B199" s="3" t="inlineStr">
        <is>
          <t>001272</t>
        </is>
      </c>
      <c r="C199" s="3" t="inlineStr">
        <is>
          <t>000806</t>
        </is>
      </c>
      <c r="D199" s="4" t="n">
        <v>45157</v>
      </c>
      <c r="E199" s="2" t="inlineStr">
        <is>
          <t>13:14</t>
        </is>
      </c>
      <c r="F199" s="5">
        <f>C199-C198</f>
        <v/>
      </c>
      <c r="G199" s="5">
        <f>B199-B198</f>
        <v/>
      </c>
      <c r="H199" s="2">
        <f>IF(AND(F199=1,G199=1),"OK","À JUSTIFIER")</f>
        <v/>
      </c>
    </row>
    <row r="200">
      <c r="A200" s="2" t="inlineStr">
        <is>
          <t>EJ010923.TXT</t>
        </is>
      </c>
      <c r="B200" s="3" t="inlineStr">
        <is>
          <t>001273</t>
        </is>
      </c>
      <c r="C200" s="3" t="inlineStr">
        <is>
          <t>000807</t>
        </is>
      </c>
      <c r="D200" s="4" t="n">
        <v>45157</v>
      </c>
      <c r="E200" s="2" t="inlineStr">
        <is>
          <t>16:25</t>
        </is>
      </c>
      <c r="F200" s="5">
        <f>C200-C199</f>
        <v/>
      </c>
      <c r="G200" s="5">
        <f>B200-B199</f>
        <v/>
      </c>
      <c r="H200" s="2">
        <f>IF(AND(F200=1,G200=1),"OK","À JUSTIFIER")</f>
        <v/>
      </c>
    </row>
    <row r="201">
      <c r="A201" s="2" t="inlineStr">
        <is>
          <t>EJ010923.TXT</t>
        </is>
      </c>
      <c r="B201" s="3" t="inlineStr">
        <is>
          <t>001274</t>
        </is>
      </c>
      <c r="C201" s="3" t="inlineStr">
        <is>
          <t>000808</t>
        </is>
      </c>
      <c r="D201" s="4" t="n">
        <v>45157</v>
      </c>
      <c r="E201" s="2" t="inlineStr">
        <is>
          <t>16:41</t>
        </is>
      </c>
      <c r="F201" s="5">
        <f>C201-C200</f>
        <v/>
      </c>
      <c r="G201" s="5">
        <f>B201-B200</f>
        <v/>
      </c>
      <c r="H201" s="2">
        <f>IF(AND(F201=1,G201=1),"OK","À JUSTIFIER")</f>
        <v/>
      </c>
    </row>
    <row r="202">
      <c r="A202" s="2" t="inlineStr">
        <is>
          <t>EJ010923.TXT</t>
        </is>
      </c>
      <c r="B202" s="3" t="inlineStr">
        <is>
          <t>001275</t>
        </is>
      </c>
      <c r="C202" s="3" t="inlineStr">
        <is>
          <t>000809</t>
        </is>
      </c>
      <c r="D202" s="4" t="n">
        <v>45163</v>
      </c>
      <c r="E202" s="2" t="inlineStr">
        <is>
          <t>11:21</t>
        </is>
      </c>
      <c r="F202" s="5">
        <f>C202-C201</f>
        <v/>
      </c>
      <c r="G202" s="5">
        <f>B202-B201</f>
        <v/>
      </c>
      <c r="H202" s="2">
        <f>IF(AND(F202=1,G202=1),"OK","À JUSTIFIER")</f>
        <v/>
      </c>
    </row>
    <row r="203">
      <c r="A203" s="2" t="inlineStr">
        <is>
          <t>EJ010923.TXT</t>
        </is>
      </c>
      <c r="B203" s="3" t="inlineStr">
        <is>
          <t>001276</t>
        </is>
      </c>
      <c r="C203" s="3" t="inlineStr">
        <is>
          <t>000810</t>
        </is>
      </c>
      <c r="D203" s="4" t="n">
        <v>45166</v>
      </c>
      <c r="E203" s="2" t="inlineStr">
        <is>
          <t>14:30</t>
        </is>
      </c>
      <c r="F203" s="5">
        <f>C203-C202</f>
        <v/>
      </c>
      <c r="G203" s="5">
        <f>B203-B202</f>
        <v/>
      </c>
      <c r="H203" s="2">
        <f>IF(AND(F203=1,G203=1),"OK","À JUSTIFIER")</f>
        <v/>
      </c>
    </row>
    <row r="204">
      <c r="A204" s="2" t="inlineStr">
        <is>
          <t>EJ010923.TXT</t>
        </is>
      </c>
      <c r="B204" s="3" t="inlineStr">
        <is>
          <t>001277</t>
        </is>
      </c>
      <c r="C204" s="3" t="inlineStr">
        <is>
          <t>000811</t>
        </is>
      </c>
      <c r="D204" s="4" t="n">
        <v>45166</v>
      </c>
      <c r="E204" s="2" t="inlineStr">
        <is>
          <t>15:40</t>
        </is>
      </c>
      <c r="F204" s="5">
        <f>C204-C203</f>
        <v/>
      </c>
      <c r="G204" s="5">
        <f>B204-B203</f>
        <v/>
      </c>
      <c r="H204" s="2">
        <f>IF(AND(F204=1,G204=1),"OK","À JUSTIFIER")</f>
        <v/>
      </c>
    </row>
    <row r="205">
      <c r="A205" s="2" t="inlineStr">
        <is>
          <t>EJ010923.TXT</t>
        </is>
      </c>
      <c r="B205" s="3" t="inlineStr">
        <is>
          <t>001278</t>
        </is>
      </c>
      <c r="C205" s="3" t="inlineStr">
        <is>
          <t>000812</t>
        </is>
      </c>
      <c r="D205" s="4" t="n">
        <v>45167</v>
      </c>
      <c r="E205" s="2" t="inlineStr">
        <is>
          <t>08:52</t>
        </is>
      </c>
      <c r="F205" s="5">
        <f>C205-C204</f>
        <v/>
      </c>
      <c r="G205" s="5">
        <f>B205-B204</f>
        <v/>
      </c>
      <c r="H205" s="2">
        <f>IF(AND(F205=1,G205=1),"OK","À JUSTIFIER")</f>
        <v/>
      </c>
    </row>
    <row r="206">
      <c r="A206" s="2" t="inlineStr">
        <is>
          <t>EJ021023.TXT</t>
        </is>
      </c>
      <c r="B206" s="3" t="inlineStr">
        <is>
          <t>001283</t>
        </is>
      </c>
      <c r="C206" s="3" t="inlineStr">
        <is>
          <t>000813</t>
        </is>
      </c>
      <c r="D206" s="4" t="n">
        <v>45170</v>
      </c>
      <c r="E206" s="2" t="inlineStr">
        <is>
          <t>11:29</t>
        </is>
      </c>
      <c r="F206" s="5">
        <f>C206-C205</f>
        <v/>
      </c>
      <c r="G206" s="5">
        <f>B206-B205</f>
        <v/>
      </c>
      <c r="H206" s="2">
        <f>IF(AND(F206=1,G206=1),"OK","À JUSTIFIER")</f>
        <v/>
      </c>
    </row>
    <row r="207">
      <c r="A207" s="2" t="inlineStr">
        <is>
          <t>EJ021023.TXT</t>
        </is>
      </c>
      <c r="B207" s="3" t="inlineStr">
        <is>
          <t>001284</t>
        </is>
      </c>
      <c r="C207" s="3" t="inlineStr">
        <is>
          <t>000814</t>
        </is>
      </c>
      <c r="D207" s="4" t="n">
        <v>45170</v>
      </c>
      <c r="E207" s="2" t="inlineStr">
        <is>
          <t>14:53</t>
        </is>
      </c>
      <c r="F207" s="5">
        <f>C207-C206</f>
        <v/>
      </c>
      <c r="G207" s="5">
        <f>B207-B206</f>
        <v/>
      </c>
      <c r="H207" s="2">
        <f>IF(AND(F207=1,G207=1),"OK","À JUSTIFIER")</f>
        <v/>
      </c>
    </row>
    <row r="208">
      <c r="A208" s="2" t="inlineStr">
        <is>
          <t>EJ021023.TXT</t>
        </is>
      </c>
      <c r="B208" s="3" t="inlineStr">
        <is>
          <t>001285</t>
        </is>
      </c>
      <c r="C208" s="3" t="inlineStr">
        <is>
          <t>000815</t>
        </is>
      </c>
      <c r="D208" s="4" t="n">
        <v>45170</v>
      </c>
      <c r="E208" s="2" t="inlineStr">
        <is>
          <t>14:56</t>
        </is>
      </c>
      <c r="F208" s="5">
        <f>C208-C207</f>
        <v/>
      </c>
      <c r="G208" s="5">
        <f>B208-B207</f>
        <v/>
      </c>
      <c r="H208" s="2">
        <f>IF(AND(F208=1,G208=1),"OK","À JUSTIFIER")</f>
        <v/>
      </c>
    </row>
    <row r="209">
      <c r="A209" s="2" t="inlineStr">
        <is>
          <t>EJ021023.TXT</t>
        </is>
      </c>
      <c r="B209" s="3" t="inlineStr">
        <is>
          <t>001287</t>
        </is>
      </c>
      <c r="C209" s="3" t="inlineStr">
        <is>
          <t>000816</t>
        </is>
      </c>
      <c r="D209" s="4" t="n">
        <v>45170</v>
      </c>
      <c r="E209" s="2" t="inlineStr">
        <is>
          <t>15:39</t>
        </is>
      </c>
      <c r="F209" s="5">
        <f>C209-C208</f>
        <v/>
      </c>
      <c r="G209" s="5">
        <f>B209-B208</f>
        <v/>
      </c>
      <c r="H209" s="2">
        <f>IF(AND(F209=1,G209=1),"OK","À JUSTIFIER")</f>
        <v/>
      </c>
    </row>
    <row r="210">
      <c r="A210" s="2" t="inlineStr">
        <is>
          <t>EJ021023.TXT</t>
        </is>
      </c>
      <c r="B210" s="3" t="inlineStr">
        <is>
          <t>001288</t>
        </is>
      </c>
      <c r="C210" s="3" t="inlineStr">
        <is>
          <t>000817</t>
        </is>
      </c>
      <c r="D210" s="4" t="n">
        <v>45170</v>
      </c>
      <c r="E210" s="2" t="inlineStr">
        <is>
          <t>15:39</t>
        </is>
      </c>
      <c r="F210" s="5">
        <f>C210-C209</f>
        <v/>
      </c>
      <c r="G210" s="5">
        <f>B210-B209</f>
        <v/>
      </c>
      <c r="H210" s="2">
        <f>IF(AND(F210=1,G210=1),"OK","À JUSTIFIER")</f>
        <v/>
      </c>
    </row>
    <row r="211">
      <c r="A211" s="2" t="inlineStr">
        <is>
          <t>EJ021023.TXT</t>
        </is>
      </c>
      <c r="B211" s="3" t="inlineStr">
        <is>
          <t>001289</t>
        </is>
      </c>
      <c r="C211" s="3" t="inlineStr">
        <is>
          <t>000818</t>
        </is>
      </c>
      <c r="D211" s="4" t="n">
        <v>45170</v>
      </c>
      <c r="E211" s="2" t="inlineStr">
        <is>
          <t>16:38</t>
        </is>
      </c>
      <c r="F211" s="5">
        <f>C211-C210</f>
        <v/>
      </c>
      <c r="G211" s="5">
        <f>B211-B210</f>
        <v/>
      </c>
      <c r="H211" s="2">
        <f>IF(AND(F211=1,G211=1),"OK","À JUSTIFIER")</f>
        <v/>
      </c>
    </row>
    <row r="212">
      <c r="A212" s="2" t="inlineStr">
        <is>
          <t>EJ021023.TXT</t>
        </is>
      </c>
      <c r="B212" s="3" t="inlineStr">
        <is>
          <t>001293</t>
        </is>
      </c>
      <c r="C212" s="3" t="inlineStr">
        <is>
          <t>000819</t>
        </is>
      </c>
      <c r="D212" s="4" t="n">
        <v>45173</v>
      </c>
      <c r="E212" s="2" t="inlineStr">
        <is>
          <t>14:23</t>
        </is>
      </c>
      <c r="F212" s="5">
        <f>C212-C211</f>
        <v/>
      </c>
      <c r="G212" s="5">
        <f>B212-B211</f>
        <v/>
      </c>
      <c r="H212" s="2">
        <f>IF(AND(F212=1,G212=1),"OK","À JUSTIFIER")</f>
        <v/>
      </c>
    </row>
    <row r="213">
      <c r="A213" s="2" t="inlineStr">
        <is>
          <t>EJ021023.TXT</t>
        </is>
      </c>
      <c r="B213" s="3" t="inlineStr">
        <is>
          <t>001296</t>
        </is>
      </c>
      <c r="C213" s="3" t="inlineStr">
        <is>
          <t>000820</t>
        </is>
      </c>
      <c r="D213" s="4" t="n">
        <v>45175</v>
      </c>
      <c r="E213" s="2" t="inlineStr">
        <is>
          <t>09:30</t>
        </is>
      </c>
      <c r="F213" s="5">
        <f>C213-C212</f>
        <v/>
      </c>
      <c r="G213" s="5">
        <f>B213-B212</f>
        <v/>
      </c>
      <c r="H213" s="2">
        <f>IF(AND(F213=1,G213=1),"OK","À JUSTIFIER")</f>
        <v/>
      </c>
    </row>
    <row r="214">
      <c r="A214" s="2" t="inlineStr">
        <is>
          <t>EJ021023.TXT</t>
        </is>
      </c>
      <c r="B214" s="3" t="inlineStr">
        <is>
          <t>001297</t>
        </is>
      </c>
      <c r="C214" s="3" t="inlineStr">
        <is>
          <t>000821</t>
        </is>
      </c>
      <c r="D214" s="4" t="n">
        <v>45175</v>
      </c>
      <c r="E214" s="2" t="inlineStr">
        <is>
          <t>10:10</t>
        </is>
      </c>
      <c r="F214" s="5">
        <f>C214-C213</f>
        <v/>
      </c>
      <c r="G214" s="5">
        <f>B214-B213</f>
        <v/>
      </c>
      <c r="H214" s="2">
        <f>IF(AND(F214=1,G214=1),"OK","À JUSTIFIER")</f>
        <v/>
      </c>
    </row>
    <row r="215">
      <c r="A215" s="2" t="inlineStr">
        <is>
          <t>EJ021023.TXT</t>
        </is>
      </c>
      <c r="B215" s="3" t="inlineStr">
        <is>
          <t>001300</t>
        </is>
      </c>
      <c r="C215" s="3" t="inlineStr">
        <is>
          <t>000822</t>
        </is>
      </c>
      <c r="D215" s="4" t="n">
        <v>45176</v>
      </c>
      <c r="E215" s="2" t="inlineStr">
        <is>
          <t>15:54</t>
        </is>
      </c>
      <c r="F215" s="5">
        <f>C215-C214</f>
        <v/>
      </c>
      <c r="G215" s="5">
        <f>B215-B214</f>
        <v/>
      </c>
      <c r="H215" s="2">
        <f>IF(AND(F215=1,G215=1),"OK","À JUSTIFIER")</f>
        <v/>
      </c>
    </row>
    <row r="216">
      <c r="A216" s="2" t="inlineStr">
        <is>
          <t>EJ021023.TXT</t>
        </is>
      </c>
      <c r="B216" s="3" t="inlineStr">
        <is>
          <t>001301</t>
        </is>
      </c>
      <c r="C216" s="3" t="inlineStr">
        <is>
          <t>000823</t>
        </is>
      </c>
      <c r="D216" s="4" t="n">
        <v>45176</v>
      </c>
      <c r="E216" s="2" t="inlineStr">
        <is>
          <t>16:30</t>
        </is>
      </c>
      <c r="F216" s="5">
        <f>C216-C215</f>
        <v/>
      </c>
      <c r="G216" s="5">
        <f>B216-B215</f>
        <v/>
      </c>
      <c r="H216" s="2">
        <f>IF(AND(F216=1,G216=1),"OK","À JUSTIFIER")</f>
        <v/>
      </c>
    </row>
    <row r="217">
      <c r="A217" s="2" t="inlineStr">
        <is>
          <t>EJ021023.TXT</t>
        </is>
      </c>
      <c r="B217" s="3" t="inlineStr">
        <is>
          <t>001302</t>
        </is>
      </c>
      <c r="C217" s="3" t="inlineStr">
        <is>
          <t>000824</t>
        </is>
      </c>
      <c r="D217" s="4" t="n">
        <v>45178</v>
      </c>
      <c r="E217" s="2" t="inlineStr">
        <is>
          <t>15:52</t>
        </is>
      </c>
      <c r="F217" s="5">
        <f>C217-C216</f>
        <v/>
      </c>
      <c r="G217" s="5">
        <f>B217-B216</f>
        <v/>
      </c>
      <c r="H217" s="2">
        <f>IF(AND(F217=1,G217=1),"OK","À JUSTIFIER")</f>
        <v/>
      </c>
    </row>
    <row r="218">
      <c r="A218" s="2" t="inlineStr">
        <is>
          <t>EJ021023.TXT</t>
        </is>
      </c>
      <c r="B218" s="3" t="inlineStr">
        <is>
          <t>001304</t>
        </is>
      </c>
      <c r="C218" s="3" t="inlineStr">
        <is>
          <t>000825</t>
        </is>
      </c>
      <c r="D218" s="4" t="n">
        <v>45183</v>
      </c>
      <c r="E218" s="2" t="inlineStr">
        <is>
          <t>10:05</t>
        </is>
      </c>
      <c r="F218" s="5">
        <f>C218-C217</f>
        <v/>
      </c>
      <c r="G218" s="5">
        <f>B218-B217</f>
        <v/>
      </c>
      <c r="H218" s="2">
        <f>IF(AND(F218=1,G218=1),"OK","À JUSTIFIER")</f>
        <v/>
      </c>
    </row>
    <row r="219">
      <c r="A219" s="2" t="inlineStr">
        <is>
          <t>EJ021023.TXT</t>
        </is>
      </c>
      <c r="B219" s="3" t="inlineStr">
        <is>
          <t>001306</t>
        </is>
      </c>
      <c r="C219" s="3" t="inlineStr">
        <is>
          <t>000826</t>
        </is>
      </c>
      <c r="D219" s="4" t="n">
        <v>45183</v>
      </c>
      <c r="E219" s="2" t="inlineStr">
        <is>
          <t>13:01</t>
        </is>
      </c>
      <c r="F219" s="5">
        <f>C219-C218</f>
        <v/>
      </c>
      <c r="G219" s="5">
        <f>B219-B218</f>
        <v/>
      </c>
      <c r="H219" s="2">
        <f>IF(AND(F219=1,G219=1),"OK","À JUSTIFIER")</f>
        <v/>
      </c>
    </row>
    <row r="220">
      <c r="A220" s="2" t="inlineStr">
        <is>
          <t>EJ021023.TXT</t>
        </is>
      </c>
      <c r="B220" s="3" t="inlineStr">
        <is>
          <t>001307</t>
        </is>
      </c>
      <c r="C220" s="3" t="inlineStr">
        <is>
          <t>000827</t>
        </is>
      </c>
      <c r="D220" s="4" t="n">
        <v>45183</v>
      </c>
      <c r="E220" s="2" t="inlineStr">
        <is>
          <t>13:02</t>
        </is>
      </c>
      <c r="F220" s="5">
        <f>C220-C219</f>
        <v/>
      </c>
      <c r="G220" s="5">
        <f>B220-B219</f>
        <v/>
      </c>
      <c r="H220" s="2">
        <f>IF(AND(F220=1,G220=1),"OK","À JUSTIFIER")</f>
        <v/>
      </c>
    </row>
    <row r="221">
      <c r="A221" s="2" t="inlineStr">
        <is>
          <t>EJ021023.TXT</t>
        </is>
      </c>
      <c r="B221" s="3" t="inlineStr">
        <is>
          <t>001308</t>
        </is>
      </c>
      <c r="C221" s="3" t="inlineStr">
        <is>
          <t>000828</t>
        </is>
      </c>
      <c r="D221" s="4" t="n">
        <v>45183</v>
      </c>
      <c r="E221" s="2" t="inlineStr">
        <is>
          <t>14:25</t>
        </is>
      </c>
      <c r="F221" s="5">
        <f>C221-C220</f>
        <v/>
      </c>
      <c r="G221" s="5">
        <f>B221-B220</f>
        <v/>
      </c>
      <c r="H221" s="2">
        <f>IF(AND(F221=1,G221=1),"OK","À JUSTIFIER")</f>
        <v/>
      </c>
    </row>
    <row r="222">
      <c r="A222" s="2" t="inlineStr">
        <is>
          <t>EJ021023.TXT</t>
        </is>
      </c>
      <c r="B222" s="3" t="inlineStr">
        <is>
          <t>001310</t>
        </is>
      </c>
      <c r="C222" s="3" t="inlineStr">
        <is>
          <t>000829</t>
        </is>
      </c>
      <c r="D222" s="4" t="n">
        <v>45189</v>
      </c>
      <c r="E222" s="2" t="inlineStr">
        <is>
          <t>09:37</t>
        </is>
      </c>
      <c r="F222" s="5">
        <f>C222-C221</f>
        <v/>
      </c>
      <c r="G222" s="5">
        <f>B222-B221</f>
        <v/>
      </c>
      <c r="H222" s="2">
        <f>IF(AND(F222=1,G222=1),"OK","À JUSTIFIER")</f>
        <v/>
      </c>
    </row>
    <row r="223">
      <c r="A223" s="2" t="inlineStr">
        <is>
          <t>EJ021023.TXT</t>
        </is>
      </c>
      <c r="B223" s="3" t="inlineStr">
        <is>
          <t>001311</t>
        </is>
      </c>
      <c r="C223" s="3" t="inlineStr">
        <is>
          <t>000830</t>
        </is>
      </c>
      <c r="D223" s="4" t="n">
        <v>45189</v>
      </c>
      <c r="E223" s="2" t="inlineStr">
        <is>
          <t>12:01</t>
        </is>
      </c>
      <c r="F223" s="5">
        <f>C223-C222</f>
        <v/>
      </c>
      <c r="G223" s="5">
        <f>B223-B222</f>
        <v/>
      </c>
      <c r="H223" s="2">
        <f>IF(AND(F223=1,G223=1),"OK","À JUSTIFIER")</f>
        <v/>
      </c>
    </row>
    <row r="224">
      <c r="A224" s="2" t="inlineStr">
        <is>
          <t>EJ021023.TXT</t>
        </is>
      </c>
      <c r="B224" s="3" t="inlineStr">
        <is>
          <t>001312</t>
        </is>
      </c>
      <c r="C224" s="3" t="inlineStr">
        <is>
          <t>000831</t>
        </is>
      </c>
      <c r="D224" s="4" t="n">
        <v>45189</v>
      </c>
      <c r="E224" s="2" t="inlineStr">
        <is>
          <t>16:07</t>
        </is>
      </c>
      <c r="F224" s="5">
        <f>C224-C223</f>
        <v/>
      </c>
      <c r="G224" s="5">
        <f>B224-B223</f>
        <v/>
      </c>
      <c r="H224" s="2">
        <f>IF(AND(F224=1,G224=1),"OK","À JUSTIFIER")</f>
        <v/>
      </c>
    </row>
    <row r="225">
      <c r="A225" s="2" t="inlineStr">
        <is>
          <t>EJ021023.TXT</t>
        </is>
      </c>
      <c r="B225" s="3" t="inlineStr">
        <is>
          <t>001316</t>
        </is>
      </c>
      <c r="C225" s="3" t="inlineStr">
        <is>
          <t>000832</t>
        </is>
      </c>
      <c r="D225" s="4" t="n">
        <v>45191</v>
      </c>
      <c r="E225" s="2" t="inlineStr">
        <is>
          <t>16:08</t>
        </is>
      </c>
      <c r="F225" s="5">
        <f>C225-C224</f>
        <v/>
      </c>
      <c r="G225" s="5">
        <f>B225-B224</f>
        <v/>
      </c>
      <c r="H225" s="2">
        <f>IF(AND(F225=1,G225=1),"OK","À JUSTIFIER")</f>
        <v/>
      </c>
    </row>
    <row r="226">
      <c r="A226" s="2" t="inlineStr">
        <is>
          <t>EJ021023.TXT</t>
        </is>
      </c>
      <c r="B226" s="3" t="inlineStr">
        <is>
          <t>001319</t>
        </is>
      </c>
      <c r="C226" s="3" t="inlineStr">
        <is>
          <t>000833</t>
        </is>
      </c>
      <c r="D226" s="4" t="n">
        <v>45192</v>
      </c>
      <c r="E226" s="2" t="inlineStr">
        <is>
          <t>14:10</t>
        </is>
      </c>
      <c r="F226" s="5">
        <f>C226-C225</f>
        <v/>
      </c>
      <c r="G226" s="5">
        <f>B226-B225</f>
        <v/>
      </c>
      <c r="H226" s="2">
        <f>IF(AND(F226=1,G226=1),"OK","À JUSTIFIER")</f>
        <v/>
      </c>
    </row>
    <row r="227">
      <c r="A227" s="2" t="inlineStr">
        <is>
          <t>EJ021023.TXT</t>
        </is>
      </c>
      <c r="B227" s="3" t="inlineStr">
        <is>
          <t>001320</t>
        </is>
      </c>
      <c r="C227" s="3" t="inlineStr">
        <is>
          <t>000834</t>
        </is>
      </c>
      <c r="D227" s="4" t="n">
        <v>45192</v>
      </c>
      <c r="E227" s="2" t="inlineStr">
        <is>
          <t>14:11</t>
        </is>
      </c>
      <c r="F227" s="5">
        <f>C227-C226</f>
        <v/>
      </c>
      <c r="G227" s="5">
        <f>B227-B226</f>
        <v/>
      </c>
      <c r="H227" s="2">
        <f>IF(AND(F227=1,G227=1),"OK","À JUSTIFIER")</f>
        <v/>
      </c>
    </row>
    <row r="228">
      <c r="A228" s="2" t="inlineStr">
        <is>
          <t>EJ021023.TXT</t>
        </is>
      </c>
      <c r="B228" s="3" t="inlineStr">
        <is>
          <t>001322</t>
        </is>
      </c>
      <c r="C228" s="3" t="inlineStr">
        <is>
          <t>000835</t>
        </is>
      </c>
      <c r="D228" s="4" t="n">
        <v>45192</v>
      </c>
      <c r="E228" s="2" t="inlineStr">
        <is>
          <t>16:41</t>
        </is>
      </c>
      <c r="F228" s="5">
        <f>C228-C227</f>
        <v/>
      </c>
      <c r="G228" s="5">
        <f>B228-B227</f>
        <v/>
      </c>
      <c r="H228" s="2">
        <f>IF(AND(F228=1,G228=1),"OK","À JUSTIFIER")</f>
        <v/>
      </c>
    </row>
    <row r="229">
      <c r="A229" s="2" t="inlineStr">
        <is>
          <t>EJ021023.TXT</t>
        </is>
      </c>
      <c r="B229" s="3" t="inlineStr">
        <is>
          <t>001323</t>
        </is>
      </c>
      <c r="C229" s="3" t="inlineStr">
        <is>
          <t>000836</t>
        </is>
      </c>
      <c r="D229" s="4" t="n">
        <v>45194</v>
      </c>
      <c r="E229" s="2" t="inlineStr">
        <is>
          <t>16:38</t>
        </is>
      </c>
      <c r="F229" s="5">
        <f>C229-C228</f>
        <v/>
      </c>
      <c r="G229" s="5">
        <f>B229-B228</f>
        <v/>
      </c>
      <c r="H229" s="2">
        <f>IF(AND(F229=1,G229=1),"OK","À JUSTIFIER")</f>
        <v/>
      </c>
    </row>
    <row r="230">
      <c r="A230" s="2" t="inlineStr">
        <is>
          <t>EJ021023.TXT</t>
        </is>
      </c>
      <c r="B230" s="3" t="inlineStr">
        <is>
          <t>001324</t>
        </is>
      </c>
      <c r="C230" s="3" t="inlineStr">
        <is>
          <t>000837</t>
        </is>
      </c>
      <c r="D230" s="4" t="n">
        <v>45195</v>
      </c>
      <c r="E230" s="2" t="inlineStr">
        <is>
          <t>15:20</t>
        </is>
      </c>
      <c r="F230" s="5">
        <f>C230-C229</f>
        <v/>
      </c>
      <c r="G230" s="5">
        <f>B230-B229</f>
        <v/>
      </c>
      <c r="H230" s="2">
        <f>IF(AND(F230=1,G230=1),"OK","À JUSTIFIER")</f>
        <v/>
      </c>
    </row>
    <row r="231">
      <c r="A231" s="2" t="inlineStr">
        <is>
          <t>EJ021023.TXT</t>
        </is>
      </c>
      <c r="B231" s="3" t="inlineStr">
        <is>
          <t>001326</t>
        </is>
      </c>
      <c r="C231" s="3" t="inlineStr">
        <is>
          <t>000838</t>
        </is>
      </c>
      <c r="D231" s="4" t="n">
        <v>45198</v>
      </c>
      <c r="E231" s="2" t="inlineStr">
        <is>
          <t>15:31</t>
        </is>
      </c>
      <c r="F231" s="5">
        <f>C231-C230</f>
        <v/>
      </c>
      <c r="G231" s="5">
        <f>B231-B230</f>
        <v/>
      </c>
      <c r="H231" s="2">
        <f>IF(AND(F231=1,G231=1),"OK","À JUSTIFIER")</f>
        <v/>
      </c>
    </row>
    <row r="232">
      <c r="A232" s="2" t="inlineStr">
        <is>
          <t>EJ021023.TXT</t>
        </is>
      </c>
      <c r="B232" s="3" t="inlineStr">
        <is>
          <t>001327</t>
        </is>
      </c>
      <c r="C232" s="3" t="inlineStr">
        <is>
          <t>000839</t>
        </is>
      </c>
      <c r="D232" s="4" t="n">
        <v>45198</v>
      </c>
      <c r="E232" s="2" t="inlineStr">
        <is>
          <t>16:46</t>
        </is>
      </c>
      <c r="F232" s="5">
        <f>C232-C231</f>
        <v/>
      </c>
      <c r="G232" s="5">
        <f>B232-B231</f>
        <v/>
      </c>
      <c r="H232" s="2">
        <f>IF(AND(F232=1,G232=1),"OK","À JUSTIFIER")</f>
        <v/>
      </c>
    </row>
    <row r="233">
      <c r="A233" s="2" t="inlineStr">
        <is>
          <t>EJ021023.TXT</t>
        </is>
      </c>
      <c r="B233" s="3" t="inlineStr">
        <is>
          <t>001328</t>
        </is>
      </c>
      <c r="C233" s="3" t="inlineStr">
        <is>
          <t>000840</t>
        </is>
      </c>
      <c r="D233" s="4" t="n">
        <v>45199</v>
      </c>
      <c r="E233" s="2" t="inlineStr">
        <is>
          <t>13:47</t>
        </is>
      </c>
      <c r="F233" s="5">
        <f>C233-C232</f>
        <v/>
      </c>
      <c r="G233" s="5">
        <f>B233-B232</f>
        <v/>
      </c>
      <c r="H233" s="2">
        <f>IF(AND(F233=1,G233=1),"OK","À JUSTIFIER")</f>
        <v/>
      </c>
    </row>
    <row r="234">
      <c r="A234" s="2" t="inlineStr">
        <is>
          <t>EJ021023.TXT</t>
        </is>
      </c>
      <c r="B234" s="3" t="inlineStr">
        <is>
          <t>001329</t>
        </is>
      </c>
      <c r="C234" s="3" t="inlineStr">
        <is>
          <t>000841</t>
        </is>
      </c>
      <c r="D234" s="4" t="n">
        <v>45199</v>
      </c>
      <c r="E234" s="2" t="inlineStr">
        <is>
          <t>13:47</t>
        </is>
      </c>
      <c r="F234" s="5">
        <f>C234-C233</f>
        <v/>
      </c>
      <c r="G234" s="5">
        <f>B234-B233</f>
        <v/>
      </c>
      <c r="H234" s="2">
        <f>IF(AND(F234=1,G234=1),"OK","À JUSTIFIER")</f>
        <v/>
      </c>
    </row>
    <row r="235">
      <c r="A235" s="2" t="inlineStr">
        <is>
          <t>EJ021023.TXT</t>
        </is>
      </c>
      <c r="B235" s="3" t="inlineStr">
        <is>
          <t>001330</t>
        </is>
      </c>
      <c r="C235" s="3" t="inlineStr">
        <is>
          <t>000842</t>
        </is>
      </c>
      <c r="D235" s="4" t="n">
        <v>45199</v>
      </c>
      <c r="E235" s="2" t="inlineStr">
        <is>
          <t>16:09</t>
        </is>
      </c>
      <c r="F235" s="5">
        <f>C235-C234</f>
        <v/>
      </c>
      <c r="G235" s="5">
        <f>B235-B234</f>
        <v/>
      </c>
      <c r="H235" s="2">
        <f>IF(AND(F235=1,G235=1),"OK","À JUSTIFIER")</f>
        <v/>
      </c>
    </row>
    <row r="236">
      <c r="A236" s="2" t="inlineStr">
        <is>
          <t>EJ021023.TXT</t>
        </is>
      </c>
      <c r="B236" s="3" t="inlineStr">
        <is>
          <t>001331</t>
        </is>
      </c>
      <c r="C236" s="3" t="inlineStr">
        <is>
          <t>000843</t>
        </is>
      </c>
      <c r="D236" s="4" t="n">
        <v>45201</v>
      </c>
      <c r="E236" s="2" t="inlineStr">
        <is>
          <t>09:01</t>
        </is>
      </c>
      <c r="F236" s="5">
        <f>C236-C235</f>
        <v/>
      </c>
      <c r="G236" s="5">
        <f>B236-B235</f>
        <v/>
      </c>
      <c r="H236" s="2">
        <f>IF(AND(F236=1,G236=1),"OK","À JUSTIFIER")</f>
        <v/>
      </c>
    </row>
    <row r="237">
      <c r="A237" s="2" t="inlineStr">
        <is>
          <t>EJ021123.TXT</t>
        </is>
      </c>
      <c r="B237" s="3" t="inlineStr">
        <is>
          <t>001340</t>
        </is>
      </c>
      <c r="C237" s="3" t="inlineStr">
        <is>
          <t>000844</t>
        </is>
      </c>
      <c r="D237" s="4" t="n">
        <v>45202</v>
      </c>
      <c r="E237" s="2" t="inlineStr">
        <is>
          <t>12:25</t>
        </is>
      </c>
      <c r="F237" s="5">
        <f>C237-C236</f>
        <v/>
      </c>
      <c r="G237" s="5">
        <f>B237-B236</f>
        <v/>
      </c>
      <c r="H237" s="2">
        <f>IF(AND(F237=1,G237=1),"OK","À JUSTIFIER")</f>
        <v/>
      </c>
    </row>
    <row r="238">
      <c r="A238" s="2" t="inlineStr">
        <is>
          <t>EJ021123.TXT</t>
        </is>
      </c>
      <c r="B238" s="3" t="inlineStr">
        <is>
          <t>001342</t>
        </is>
      </c>
      <c r="C238" s="3" t="inlineStr">
        <is>
          <t>000845</t>
        </is>
      </c>
      <c r="D238" s="4" t="n">
        <v>45202</v>
      </c>
      <c r="E238" s="2" t="inlineStr">
        <is>
          <t>14:17</t>
        </is>
      </c>
      <c r="F238" s="5">
        <f>C238-C237</f>
        <v/>
      </c>
      <c r="G238" s="5">
        <f>B238-B237</f>
        <v/>
      </c>
      <c r="H238" s="2">
        <f>IF(AND(F238=1,G238=1),"OK","À JUSTIFIER")</f>
        <v/>
      </c>
    </row>
    <row r="239">
      <c r="A239" s="2" t="inlineStr">
        <is>
          <t>EJ021123.TXT</t>
        </is>
      </c>
      <c r="B239" s="3" t="inlineStr">
        <is>
          <t>001343</t>
        </is>
      </c>
      <c r="C239" s="3" t="inlineStr">
        <is>
          <t>000846</t>
        </is>
      </c>
      <c r="D239" s="4" t="n">
        <v>45202</v>
      </c>
      <c r="E239" s="2" t="inlineStr">
        <is>
          <t>14:53</t>
        </is>
      </c>
      <c r="F239" s="5">
        <f>C239-C238</f>
        <v/>
      </c>
      <c r="G239" s="5">
        <f>B239-B238</f>
        <v/>
      </c>
      <c r="H239" s="2">
        <f>IF(AND(F239=1,G239=1),"OK","À JUSTIFIER")</f>
        <v/>
      </c>
    </row>
    <row r="240">
      <c r="A240" s="2" t="inlineStr">
        <is>
          <t>EJ021123.TXT</t>
        </is>
      </c>
      <c r="B240" s="3" t="inlineStr">
        <is>
          <t>001344</t>
        </is>
      </c>
      <c r="C240" s="3" t="inlineStr">
        <is>
          <t>000847</t>
        </is>
      </c>
      <c r="D240" s="4" t="n">
        <v>45202</v>
      </c>
      <c r="E240" s="2" t="inlineStr">
        <is>
          <t>15:05</t>
        </is>
      </c>
      <c r="F240" s="5">
        <f>C240-C239</f>
        <v/>
      </c>
      <c r="G240" s="5">
        <f>B240-B239</f>
        <v/>
      </c>
      <c r="H240" s="2">
        <f>IF(AND(F240=1,G240=1),"OK","À JUSTIFIER")</f>
        <v/>
      </c>
    </row>
    <row r="241">
      <c r="A241" s="2" t="inlineStr">
        <is>
          <t>EJ021123.TXT</t>
        </is>
      </c>
      <c r="B241" s="3" t="inlineStr">
        <is>
          <t>001345</t>
        </is>
      </c>
      <c r="C241" s="3" t="inlineStr">
        <is>
          <t>000848</t>
        </is>
      </c>
      <c r="D241" s="4" t="n">
        <v>45203</v>
      </c>
      <c r="E241" s="2" t="inlineStr">
        <is>
          <t>13:44</t>
        </is>
      </c>
      <c r="F241" s="5">
        <f>C241-C240</f>
        <v/>
      </c>
      <c r="G241" s="5">
        <f>B241-B240</f>
        <v/>
      </c>
      <c r="H241" s="2">
        <f>IF(AND(F241=1,G241=1),"OK","À JUSTIFIER")</f>
        <v/>
      </c>
    </row>
    <row r="242">
      <c r="A242" s="2" t="inlineStr">
        <is>
          <t>EJ021123.TXT</t>
        </is>
      </c>
      <c r="B242" s="3" t="inlineStr">
        <is>
          <t>001346</t>
        </is>
      </c>
      <c r="C242" s="3" t="inlineStr">
        <is>
          <t>000849</t>
        </is>
      </c>
      <c r="D242" s="4" t="n">
        <v>45204</v>
      </c>
      <c r="E242" s="2" t="inlineStr">
        <is>
          <t>12:26</t>
        </is>
      </c>
      <c r="F242" s="5">
        <f>C242-C241</f>
        <v/>
      </c>
      <c r="G242" s="5">
        <f>B242-B241</f>
        <v/>
      </c>
      <c r="H242" s="2">
        <f>IF(AND(F242=1,G242=1),"OK","À JUSTIFIER")</f>
        <v/>
      </c>
    </row>
    <row r="243">
      <c r="A243" s="2" t="inlineStr">
        <is>
          <t>EJ021123.TXT</t>
        </is>
      </c>
      <c r="B243" s="3" t="inlineStr">
        <is>
          <t>001347</t>
        </is>
      </c>
      <c r="C243" s="3" t="inlineStr">
        <is>
          <t>000850</t>
        </is>
      </c>
      <c r="D243" s="4" t="n">
        <v>45204</v>
      </c>
      <c r="E243" s="2" t="inlineStr">
        <is>
          <t>13:53</t>
        </is>
      </c>
      <c r="F243" s="5">
        <f>C243-C242</f>
        <v/>
      </c>
      <c r="G243" s="5">
        <f>B243-B242</f>
        <v/>
      </c>
      <c r="H243" s="2">
        <f>IF(AND(F243=1,G243=1),"OK","À JUSTIFIER")</f>
        <v/>
      </c>
    </row>
    <row r="244">
      <c r="A244" s="2" t="inlineStr">
        <is>
          <t>EJ021123.TXT</t>
        </is>
      </c>
      <c r="B244" s="3" t="inlineStr">
        <is>
          <t>001348</t>
        </is>
      </c>
      <c r="C244" s="3" t="inlineStr">
        <is>
          <t>000851</t>
        </is>
      </c>
      <c r="D244" s="4" t="n">
        <v>45205</v>
      </c>
      <c r="E244" s="2" t="inlineStr">
        <is>
          <t>12:13</t>
        </is>
      </c>
      <c r="F244" s="5">
        <f>C244-C243</f>
        <v/>
      </c>
      <c r="G244" s="5">
        <f>B244-B243</f>
        <v/>
      </c>
      <c r="H244" s="2">
        <f>IF(AND(F244=1,G244=1),"OK","À JUSTIFIER")</f>
        <v/>
      </c>
    </row>
    <row r="245">
      <c r="A245" s="2" t="inlineStr">
        <is>
          <t>EJ021123.TXT</t>
        </is>
      </c>
      <c r="B245" s="3" t="inlineStr">
        <is>
          <t>001349</t>
        </is>
      </c>
      <c r="C245" s="3" t="inlineStr">
        <is>
          <t>000852</t>
        </is>
      </c>
      <c r="D245" s="4" t="n">
        <v>45205</v>
      </c>
      <c r="E245" s="2" t="inlineStr">
        <is>
          <t>14:10</t>
        </is>
      </c>
      <c r="F245" s="5">
        <f>C245-C244</f>
        <v/>
      </c>
      <c r="G245" s="5">
        <f>B245-B244</f>
        <v/>
      </c>
      <c r="H245" s="2">
        <f>IF(AND(F245=1,G245=1),"OK","À JUSTIFIER")</f>
        <v/>
      </c>
    </row>
    <row r="246">
      <c r="A246" s="2" t="inlineStr">
        <is>
          <t>EJ021123.TXT</t>
        </is>
      </c>
      <c r="B246" s="3" t="inlineStr">
        <is>
          <t>001350</t>
        </is>
      </c>
      <c r="C246" s="3" t="inlineStr">
        <is>
          <t>000853</t>
        </is>
      </c>
      <c r="D246" s="4" t="n">
        <v>45205</v>
      </c>
      <c r="E246" s="2" t="inlineStr">
        <is>
          <t>15:09</t>
        </is>
      </c>
      <c r="F246" s="5">
        <f>C246-C245</f>
        <v/>
      </c>
      <c r="G246" s="5">
        <f>B246-B245</f>
        <v/>
      </c>
      <c r="H246" s="2">
        <f>IF(AND(F246=1,G246=1),"OK","À JUSTIFIER")</f>
        <v/>
      </c>
    </row>
    <row r="247">
      <c r="A247" s="2" t="inlineStr">
        <is>
          <t>EJ021123.TXT</t>
        </is>
      </c>
      <c r="B247" s="3" t="inlineStr">
        <is>
          <t>001351</t>
        </is>
      </c>
      <c r="C247" s="3" t="inlineStr">
        <is>
          <t>000854</t>
        </is>
      </c>
      <c r="D247" s="4" t="n">
        <v>45208</v>
      </c>
      <c r="E247" s="2" t="inlineStr">
        <is>
          <t>12:41</t>
        </is>
      </c>
      <c r="F247" s="5">
        <f>C247-C246</f>
        <v/>
      </c>
      <c r="G247" s="5">
        <f>B247-B246</f>
        <v/>
      </c>
      <c r="H247" s="2">
        <f>IF(AND(F247=1,G247=1),"OK","À JUSTIFIER")</f>
        <v/>
      </c>
    </row>
    <row r="248">
      <c r="A248" s="2" t="inlineStr">
        <is>
          <t>EJ021123.TXT</t>
        </is>
      </c>
      <c r="B248" s="3" t="inlineStr">
        <is>
          <t>001352</t>
        </is>
      </c>
      <c r="C248" s="3" t="inlineStr">
        <is>
          <t>000855</t>
        </is>
      </c>
      <c r="D248" s="4" t="n">
        <v>45208</v>
      </c>
      <c r="E248" s="2" t="inlineStr">
        <is>
          <t>14:55</t>
        </is>
      </c>
      <c r="F248" s="5">
        <f>C248-C247</f>
        <v/>
      </c>
      <c r="G248" s="5">
        <f>B248-B247</f>
        <v/>
      </c>
      <c r="H248" s="2">
        <f>IF(AND(F248=1,G248=1),"OK","À JUSTIFIER")</f>
        <v/>
      </c>
    </row>
    <row r="249">
      <c r="A249" s="2" t="inlineStr">
        <is>
          <t>EJ021123.TXT</t>
        </is>
      </c>
      <c r="B249" s="3" t="inlineStr">
        <is>
          <t>001355</t>
        </is>
      </c>
      <c r="C249" s="3" t="inlineStr">
        <is>
          <t>000856</t>
        </is>
      </c>
      <c r="D249" s="4" t="n">
        <v>45211</v>
      </c>
      <c r="E249" s="2" t="inlineStr">
        <is>
          <t>15:56</t>
        </is>
      </c>
      <c r="F249" s="5">
        <f>C249-C248</f>
        <v/>
      </c>
      <c r="G249" s="5">
        <f>B249-B248</f>
        <v/>
      </c>
      <c r="H249" s="2">
        <f>IF(AND(F249=1,G249=1),"OK","À JUSTIFIER")</f>
        <v/>
      </c>
    </row>
    <row r="250">
      <c r="A250" s="2" t="inlineStr">
        <is>
          <t>EJ021123.TXT</t>
        </is>
      </c>
      <c r="B250" s="3" t="inlineStr">
        <is>
          <t>001356</t>
        </is>
      </c>
      <c r="C250" s="3" t="inlineStr">
        <is>
          <t>000857</t>
        </is>
      </c>
      <c r="D250" s="4" t="n">
        <v>45212</v>
      </c>
      <c r="E250" s="2" t="inlineStr">
        <is>
          <t>12:23</t>
        </is>
      </c>
      <c r="F250" s="5">
        <f>C250-C249</f>
        <v/>
      </c>
      <c r="G250" s="5">
        <f>B250-B249</f>
        <v/>
      </c>
      <c r="H250" s="2">
        <f>IF(AND(F250=1,G250=1),"OK","À JUSTIFIER")</f>
        <v/>
      </c>
    </row>
    <row r="251">
      <c r="A251" s="2" t="inlineStr">
        <is>
          <t>EJ021123.TXT</t>
        </is>
      </c>
      <c r="B251" s="3" t="inlineStr">
        <is>
          <t>001357</t>
        </is>
      </c>
      <c r="C251" s="3" t="inlineStr">
        <is>
          <t>000858</t>
        </is>
      </c>
      <c r="D251" s="4" t="n">
        <v>45213</v>
      </c>
      <c r="E251" s="2" t="inlineStr">
        <is>
          <t>14:43</t>
        </is>
      </c>
      <c r="F251" s="5">
        <f>C251-C250</f>
        <v/>
      </c>
      <c r="G251" s="5">
        <f>B251-B250</f>
        <v/>
      </c>
      <c r="H251" s="2">
        <f>IF(AND(F251=1,G251=1),"OK","À JUSTIFIER")</f>
        <v/>
      </c>
    </row>
    <row r="252">
      <c r="A252" s="2" t="inlineStr">
        <is>
          <t>EJ021123.TXT</t>
        </is>
      </c>
      <c r="B252" s="3" t="inlineStr">
        <is>
          <t>001358</t>
        </is>
      </c>
      <c r="C252" s="3" t="inlineStr">
        <is>
          <t>000859</t>
        </is>
      </c>
      <c r="D252" s="4" t="n">
        <v>45215</v>
      </c>
      <c r="E252" s="2" t="inlineStr">
        <is>
          <t>16:08</t>
        </is>
      </c>
      <c r="F252" s="5">
        <f>C252-C251</f>
        <v/>
      </c>
      <c r="G252" s="5">
        <f>B252-B251</f>
        <v/>
      </c>
      <c r="H252" s="2">
        <f>IF(AND(F252=1,G252=1),"OK","À JUSTIFIER")</f>
        <v/>
      </c>
    </row>
    <row r="253">
      <c r="A253" s="2" t="inlineStr">
        <is>
          <t>EJ021123.TXT</t>
        </is>
      </c>
      <c r="B253" s="3" t="inlineStr">
        <is>
          <t>001359</t>
        </is>
      </c>
      <c r="C253" s="3" t="inlineStr">
        <is>
          <t>000860</t>
        </is>
      </c>
      <c r="D253" s="4" t="n">
        <v>45216</v>
      </c>
      <c r="E253" s="2" t="inlineStr">
        <is>
          <t>11:15</t>
        </is>
      </c>
      <c r="F253" s="5">
        <f>C253-C252</f>
        <v/>
      </c>
      <c r="G253" s="5">
        <f>B253-B252</f>
        <v/>
      </c>
      <c r="H253" s="2">
        <f>IF(AND(F253=1,G253=1),"OK","À JUSTIFIER")</f>
        <v/>
      </c>
    </row>
    <row r="254">
      <c r="A254" s="2" t="inlineStr">
        <is>
          <t>EJ021123.TXT</t>
        </is>
      </c>
      <c r="B254" s="3" t="inlineStr">
        <is>
          <t>001360</t>
        </is>
      </c>
      <c r="C254" s="3" t="inlineStr">
        <is>
          <t>000861</t>
        </is>
      </c>
      <c r="D254" s="4" t="n">
        <v>45217</v>
      </c>
      <c r="E254" s="2" t="inlineStr">
        <is>
          <t>16:43</t>
        </is>
      </c>
      <c r="F254" s="5">
        <f>C254-C253</f>
        <v/>
      </c>
      <c r="G254" s="5">
        <f>B254-B253</f>
        <v/>
      </c>
      <c r="H254" s="2">
        <f>IF(AND(F254=1,G254=1),"OK","À JUSTIFIER")</f>
        <v/>
      </c>
    </row>
    <row r="255">
      <c r="A255" s="2" t="inlineStr">
        <is>
          <t>EJ021123.TXT</t>
        </is>
      </c>
      <c r="B255" s="3" t="inlineStr">
        <is>
          <t>001361</t>
        </is>
      </c>
      <c r="C255" s="3" t="inlineStr">
        <is>
          <t>000862</t>
        </is>
      </c>
      <c r="D255" s="4" t="n">
        <v>45218</v>
      </c>
      <c r="E255" s="2" t="inlineStr">
        <is>
          <t>12:41</t>
        </is>
      </c>
      <c r="F255" s="5">
        <f>C255-C254</f>
        <v/>
      </c>
      <c r="G255" s="5">
        <f>B255-B254</f>
        <v/>
      </c>
      <c r="H255" s="2">
        <f>IF(AND(F255=1,G255=1),"OK","À JUSTIFIER")</f>
        <v/>
      </c>
    </row>
    <row r="256">
      <c r="A256" s="2" t="inlineStr">
        <is>
          <t>EJ021123.TXT</t>
        </is>
      </c>
      <c r="B256" s="3" t="inlineStr">
        <is>
          <t>001362</t>
        </is>
      </c>
      <c r="C256" s="3" t="inlineStr">
        <is>
          <t>000863</t>
        </is>
      </c>
      <c r="D256" s="4" t="n">
        <v>45218</v>
      </c>
      <c r="E256" s="2" t="inlineStr">
        <is>
          <t>16:53</t>
        </is>
      </c>
      <c r="F256" s="5">
        <f>C256-C255</f>
        <v/>
      </c>
      <c r="G256" s="5">
        <f>B256-B255</f>
        <v/>
      </c>
      <c r="H256" s="2">
        <f>IF(AND(F256=1,G256=1),"OK","À JUSTIFIER")</f>
        <v/>
      </c>
    </row>
    <row r="257">
      <c r="A257" s="2" t="inlineStr">
        <is>
          <t>EJ021123.TXT</t>
        </is>
      </c>
      <c r="B257" s="3" t="inlineStr">
        <is>
          <t>001363</t>
        </is>
      </c>
      <c r="C257" s="3" t="inlineStr">
        <is>
          <t>000864</t>
        </is>
      </c>
      <c r="D257" s="4" t="n">
        <v>45220</v>
      </c>
      <c r="E257" s="2" t="inlineStr">
        <is>
          <t>13:40</t>
        </is>
      </c>
      <c r="F257" s="5">
        <f>C257-C256</f>
        <v/>
      </c>
      <c r="G257" s="5">
        <f>B257-B256</f>
        <v/>
      </c>
      <c r="H257" s="2">
        <f>IF(AND(F257=1,G257=1),"OK","À JUSTIFIER")</f>
        <v/>
      </c>
    </row>
    <row r="258">
      <c r="A258" s="2" t="inlineStr">
        <is>
          <t>EJ021123.TXT</t>
        </is>
      </c>
      <c r="B258" s="3" t="inlineStr">
        <is>
          <t>001366</t>
        </is>
      </c>
      <c r="C258" s="3" t="inlineStr">
        <is>
          <t>000865</t>
        </is>
      </c>
      <c r="D258" s="4" t="n">
        <v>45222</v>
      </c>
      <c r="E258" s="2" t="inlineStr">
        <is>
          <t>12:31</t>
        </is>
      </c>
      <c r="F258" s="5">
        <f>C258-C257</f>
        <v/>
      </c>
      <c r="G258" s="5">
        <f>B258-B257</f>
        <v/>
      </c>
      <c r="H258" s="2">
        <f>IF(AND(F258=1,G258=1),"OK","À JUSTIFIER")</f>
        <v/>
      </c>
    </row>
    <row r="259">
      <c r="A259" s="2" t="inlineStr">
        <is>
          <t>EJ021123.TXT</t>
        </is>
      </c>
      <c r="B259" s="3" t="inlineStr">
        <is>
          <t>001369</t>
        </is>
      </c>
      <c r="C259" s="3" t="inlineStr">
        <is>
          <t>000866</t>
        </is>
      </c>
      <c r="D259" s="4" t="n">
        <v>45223</v>
      </c>
      <c r="E259" s="2" t="inlineStr">
        <is>
          <t>12:41</t>
        </is>
      </c>
      <c r="F259" s="5">
        <f>C259-C258</f>
        <v/>
      </c>
      <c r="G259" s="5">
        <f>B259-B258</f>
        <v/>
      </c>
      <c r="H259" s="2">
        <f>IF(AND(F259=1,G259=1),"OK","À JUSTIFIER")</f>
        <v/>
      </c>
    </row>
    <row r="260">
      <c r="A260" s="2" t="inlineStr">
        <is>
          <t>EJ021123.TXT</t>
        </is>
      </c>
      <c r="B260" s="3" t="inlineStr">
        <is>
          <t>001370</t>
        </is>
      </c>
      <c r="C260" s="3" t="inlineStr">
        <is>
          <t>000867</t>
        </is>
      </c>
      <c r="D260" s="4" t="n">
        <v>45224</v>
      </c>
      <c r="E260" s="2" t="inlineStr">
        <is>
          <t>14:51</t>
        </is>
      </c>
      <c r="F260" s="5">
        <f>C260-C259</f>
        <v/>
      </c>
      <c r="G260" s="5">
        <f>B260-B259</f>
        <v/>
      </c>
      <c r="H260" s="2">
        <f>IF(AND(F260=1,G260=1),"OK","À JUSTIFIER")</f>
        <v/>
      </c>
    </row>
    <row r="261">
      <c r="A261" s="2" t="inlineStr">
        <is>
          <t>EJ021123.TXT</t>
        </is>
      </c>
      <c r="B261" s="3" t="inlineStr">
        <is>
          <t>001371</t>
        </is>
      </c>
      <c r="C261" s="3" t="inlineStr">
        <is>
          <t>000868</t>
        </is>
      </c>
      <c r="D261" s="4" t="n">
        <v>45224</v>
      </c>
      <c r="E261" s="2" t="inlineStr">
        <is>
          <t>16:43</t>
        </is>
      </c>
      <c r="F261" s="5">
        <f>C261-C260</f>
        <v/>
      </c>
      <c r="G261" s="5">
        <f>B261-B260</f>
        <v/>
      </c>
      <c r="H261" s="2">
        <f>IF(AND(F261=1,G261=1),"OK","À JUSTIFIER")</f>
        <v/>
      </c>
    </row>
    <row r="262">
      <c r="A262" s="2" t="inlineStr">
        <is>
          <t>EJ021123.TXT</t>
        </is>
      </c>
      <c r="B262" s="3" t="inlineStr">
        <is>
          <t>001375</t>
        </is>
      </c>
      <c r="C262" s="3" t="inlineStr">
        <is>
          <t>000869</t>
        </is>
      </c>
      <c r="D262" s="4" t="n">
        <v>45225</v>
      </c>
      <c r="E262" s="2" t="inlineStr">
        <is>
          <t>13:00</t>
        </is>
      </c>
      <c r="F262" s="5">
        <f>C262-C261</f>
        <v/>
      </c>
      <c r="G262" s="5">
        <f>B262-B261</f>
        <v/>
      </c>
      <c r="H262" s="2">
        <f>IF(AND(F262=1,G262=1),"OK","À JUSTIFIER")</f>
        <v/>
      </c>
    </row>
    <row r="263">
      <c r="A263" s="2" t="inlineStr">
        <is>
          <t>EJ021123.TXT</t>
        </is>
      </c>
      <c r="B263" s="3" t="inlineStr">
        <is>
          <t>001376</t>
        </is>
      </c>
      <c r="C263" s="3" t="inlineStr">
        <is>
          <t>000870</t>
        </is>
      </c>
      <c r="D263" s="4" t="n">
        <v>45225</v>
      </c>
      <c r="E263" s="2" t="inlineStr">
        <is>
          <t>15:20</t>
        </is>
      </c>
      <c r="F263" s="5">
        <f>C263-C262</f>
        <v/>
      </c>
      <c r="G263" s="5">
        <f>B263-B262</f>
        <v/>
      </c>
      <c r="H263" s="2">
        <f>IF(AND(F263=1,G263=1),"OK","À JUSTIFIER")</f>
        <v/>
      </c>
    </row>
    <row r="264">
      <c r="A264" s="2" t="inlineStr">
        <is>
          <t>EJ021123.TXT</t>
        </is>
      </c>
      <c r="B264" s="3" t="inlineStr">
        <is>
          <t>001377</t>
        </is>
      </c>
      <c r="C264" s="3" t="inlineStr">
        <is>
          <t>000871</t>
        </is>
      </c>
      <c r="D264" s="4" t="n">
        <v>45227</v>
      </c>
      <c r="E264" s="2" t="inlineStr">
        <is>
          <t>15:47</t>
        </is>
      </c>
      <c r="F264" s="5">
        <f>C264-C263</f>
        <v/>
      </c>
      <c r="G264" s="5">
        <f>B264-B263</f>
        <v/>
      </c>
      <c r="H264" s="2">
        <f>IF(AND(F264=1,G264=1),"OK","À JUSTIFIER")</f>
        <v/>
      </c>
    </row>
    <row r="265">
      <c r="A265" s="2" t="inlineStr">
        <is>
          <t>EJ061223.TXT</t>
        </is>
      </c>
      <c r="B265" s="3" t="inlineStr">
        <is>
          <t>001383</t>
        </is>
      </c>
      <c r="C265" s="3" t="inlineStr">
        <is>
          <t>000872</t>
        </is>
      </c>
      <c r="D265" s="4" t="n">
        <v>45232</v>
      </c>
      <c r="E265" s="2" t="inlineStr">
        <is>
          <t>16:46</t>
        </is>
      </c>
      <c r="F265" s="5">
        <f>C265-C264</f>
        <v/>
      </c>
      <c r="G265" s="5">
        <f>B265-B264</f>
        <v/>
      </c>
      <c r="H265" s="2">
        <f>IF(AND(F265=1,G265=1),"OK","À JUSTIFIER")</f>
        <v/>
      </c>
    </row>
    <row r="266">
      <c r="A266" s="2" t="inlineStr">
        <is>
          <t>EJ061223.TXT</t>
        </is>
      </c>
      <c r="B266" s="3" t="inlineStr">
        <is>
          <t>001384</t>
        </is>
      </c>
      <c r="C266" s="3" t="inlineStr">
        <is>
          <t>000873</t>
        </is>
      </c>
      <c r="D266" s="4" t="n">
        <v>45236</v>
      </c>
      <c r="E266" s="2" t="inlineStr">
        <is>
          <t>13:11</t>
        </is>
      </c>
      <c r="F266" s="5">
        <f>C266-C265</f>
        <v/>
      </c>
      <c r="G266" s="5">
        <f>B266-B265</f>
        <v/>
      </c>
      <c r="H266" s="2">
        <f>IF(AND(F266=1,G266=1),"OK","À JUSTIFIER")</f>
        <v/>
      </c>
    </row>
    <row r="267">
      <c r="A267" s="2" t="inlineStr">
        <is>
          <t>EJ061223.TXT</t>
        </is>
      </c>
      <c r="B267" s="3" t="inlineStr">
        <is>
          <t>001385</t>
        </is>
      </c>
      <c r="C267" s="3" t="inlineStr">
        <is>
          <t>000874</t>
        </is>
      </c>
      <c r="D267" s="4" t="n">
        <v>45236</v>
      </c>
      <c r="E267" s="2" t="inlineStr">
        <is>
          <t>13:29</t>
        </is>
      </c>
      <c r="F267" s="5">
        <f>C267-C266</f>
        <v/>
      </c>
      <c r="G267" s="5">
        <f>B267-B266</f>
        <v/>
      </c>
      <c r="H267" s="2">
        <f>IF(AND(F267=1,G267=1),"OK","À JUSTIFIER")</f>
        <v/>
      </c>
    </row>
    <row r="268">
      <c r="A268" s="2" t="inlineStr">
        <is>
          <t>EJ061223.TXT</t>
        </is>
      </c>
      <c r="B268" s="3" t="inlineStr">
        <is>
          <t>001386</t>
        </is>
      </c>
      <c r="C268" s="3" t="inlineStr">
        <is>
          <t>000875</t>
        </is>
      </c>
      <c r="D268" s="4" t="n">
        <v>45237</v>
      </c>
      <c r="E268" s="2" t="inlineStr">
        <is>
          <t>11:11</t>
        </is>
      </c>
      <c r="F268" s="5">
        <f>C268-C267</f>
        <v/>
      </c>
      <c r="G268" s="5">
        <f>B268-B267</f>
        <v/>
      </c>
      <c r="H268" s="2">
        <f>IF(AND(F268=1,G268=1),"OK","À JUSTIFIER")</f>
        <v/>
      </c>
    </row>
    <row r="269">
      <c r="A269" s="2" t="inlineStr">
        <is>
          <t>EJ061223.TXT</t>
        </is>
      </c>
      <c r="B269" s="3" t="inlineStr">
        <is>
          <t>001387</t>
        </is>
      </c>
      <c r="C269" s="3" t="inlineStr">
        <is>
          <t>000876</t>
        </is>
      </c>
      <c r="D269" s="4" t="n">
        <v>45237</v>
      </c>
      <c r="E269" s="2" t="inlineStr">
        <is>
          <t>11:56</t>
        </is>
      </c>
      <c r="F269" s="5">
        <f>C269-C268</f>
        <v/>
      </c>
      <c r="G269" s="5">
        <f>B269-B268</f>
        <v/>
      </c>
      <c r="H269" s="2">
        <f>IF(AND(F269=1,G269=1),"OK","À JUSTIFIER")</f>
        <v/>
      </c>
    </row>
    <row r="270">
      <c r="A270" s="2" t="inlineStr">
        <is>
          <t>EJ061223.TXT</t>
        </is>
      </c>
      <c r="B270" s="3" t="inlineStr">
        <is>
          <t>001393</t>
        </is>
      </c>
      <c r="C270" s="3" t="inlineStr">
        <is>
          <t>000877</t>
        </is>
      </c>
      <c r="D270" s="4" t="n">
        <v>45240</v>
      </c>
      <c r="E270" s="2" t="inlineStr">
        <is>
          <t>15:31</t>
        </is>
      </c>
      <c r="F270" s="5">
        <f>C270-C269</f>
        <v/>
      </c>
      <c r="G270" s="5">
        <f>B270-B269</f>
        <v/>
      </c>
      <c r="H270" s="2">
        <f>IF(AND(F270=1,G270=1),"OK","À JUSTIFIER")</f>
        <v/>
      </c>
    </row>
    <row r="271">
      <c r="A271" s="2" t="inlineStr">
        <is>
          <t>EJ061223.TXT</t>
        </is>
      </c>
      <c r="B271" s="3" t="inlineStr">
        <is>
          <t>001394</t>
        </is>
      </c>
      <c r="C271" s="3" t="inlineStr">
        <is>
          <t>000878</t>
        </is>
      </c>
      <c r="D271" s="4" t="n">
        <v>45240</v>
      </c>
      <c r="E271" s="2" t="inlineStr">
        <is>
          <t>15:31</t>
        </is>
      </c>
      <c r="F271" s="5">
        <f>C271-C270</f>
        <v/>
      </c>
      <c r="G271" s="5">
        <f>B271-B270</f>
        <v/>
      </c>
      <c r="H271" s="2">
        <f>IF(AND(F271=1,G271=1),"OK","À JUSTIFIER")</f>
        <v/>
      </c>
    </row>
    <row r="272">
      <c r="A272" s="2" t="inlineStr">
        <is>
          <t>EJ061223.TXT</t>
        </is>
      </c>
      <c r="B272" s="3" t="inlineStr">
        <is>
          <t>001395</t>
        </is>
      </c>
      <c r="C272" s="3" t="inlineStr">
        <is>
          <t>000879</t>
        </is>
      </c>
      <c r="D272" s="4" t="n">
        <v>45240</v>
      </c>
      <c r="E272" s="2" t="inlineStr">
        <is>
          <t>15:32</t>
        </is>
      </c>
      <c r="F272" s="5">
        <f>C272-C271</f>
        <v/>
      </c>
      <c r="G272" s="5">
        <f>B272-B271</f>
        <v/>
      </c>
      <c r="H272" s="2">
        <f>IF(AND(F272=1,G272=1),"OK","À JUSTIFIER")</f>
        <v/>
      </c>
    </row>
    <row r="273">
      <c r="A273" s="2" t="inlineStr">
        <is>
          <t>EJ061223.TXT</t>
        </is>
      </c>
      <c r="B273" s="3" t="inlineStr">
        <is>
          <t>001396</t>
        </is>
      </c>
      <c r="C273" s="3" t="inlineStr">
        <is>
          <t>000880</t>
        </is>
      </c>
      <c r="D273" s="4" t="n">
        <v>45240</v>
      </c>
      <c r="E273" s="2" t="inlineStr">
        <is>
          <t>15:32</t>
        </is>
      </c>
      <c r="F273" s="5">
        <f>C273-C272</f>
        <v/>
      </c>
      <c r="G273" s="5">
        <f>B273-B272</f>
        <v/>
      </c>
      <c r="H273" s="2">
        <f>IF(AND(F273=1,G273=1),"OK","À JUSTIFIER")</f>
        <v/>
      </c>
    </row>
    <row r="274">
      <c r="A274" s="2" t="inlineStr">
        <is>
          <t>EJ061223.TXT</t>
        </is>
      </c>
      <c r="B274" s="3" t="inlineStr">
        <is>
          <t>001397</t>
        </is>
      </c>
      <c r="C274" s="3" t="inlineStr">
        <is>
          <t>000881</t>
        </is>
      </c>
      <c r="D274" s="4" t="n">
        <v>45240</v>
      </c>
      <c r="E274" s="2" t="inlineStr">
        <is>
          <t>15:33</t>
        </is>
      </c>
      <c r="F274" s="5">
        <f>C274-C273</f>
        <v/>
      </c>
      <c r="G274" s="5">
        <f>B274-B273</f>
        <v/>
      </c>
      <c r="H274" s="2">
        <f>IF(AND(F274=1,G274=1),"OK","À JUSTIFIER")</f>
        <v/>
      </c>
    </row>
    <row r="275">
      <c r="A275" s="2" t="inlineStr">
        <is>
          <t>EJ061223.TXT</t>
        </is>
      </c>
      <c r="B275" s="3" t="inlineStr">
        <is>
          <t>001398</t>
        </is>
      </c>
      <c r="C275" s="3" t="inlineStr">
        <is>
          <t>000882</t>
        </is>
      </c>
      <c r="D275" s="4" t="n">
        <v>45240</v>
      </c>
      <c r="E275" s="2" t="inlineStr">
        <is>
          <t>15:33</t>
        </is>
      </c>
      <c r="F275" s="5">
        <f>C275-C274</f>
        <v/>
      </c>
      <c r="G275" s="5">
        <f>B275-B274</f>
        <v/>
      </c>
      <c r="H275" s="2">
        <f>IF(AND(F275=1,G275=1),"OK","À JUSTIFIER")</f>
        <v/>
      </c>
    </row>
    <row r="276">
      <c r="A276" s="2" t="inlineStr">
        <is>
          <t>EJ061223.TXT</t>
        </is>
      </c>
      <c r="B276" s="3" t="inlineStr">
        <is>
          <t>001399</t>
        </is>
      </c>
      <c r="C276" s="3" t="inlineStr">
        <is>
          <t>000883</t>
        </is>
      </c>
      <c r="D276" s="4" t="n">
        <v>45240</v>
      </c>
      <c r="E276" s="2" t="inlineStr">
        <is>
          <t>15:33</t>
        </is>
      </c>
      <c r="F276" s="5">
        <f>C276-C275</f>
        <v/>
      </c>
      <c r="G276" s="5">
        <f>B276-B275</f>
        <v/>
      </c>
      <c r="H276" s="2">
        <f>IF(AND(F276=1,G276=1),"OK","À JUSTIFIER")</f>
        <v/>
      </c>
    </row>
    <row r="277">
      <c r="A277" s="2" t="inlineStr">
        <is>
          <t>EJ061223.TXT</t>
        </is>
      </c>
      <c r="B277" s="3" t="inlineStr">
        <is>
          <t>001400</t>
        </is>
      </c>
      <c r="C277" s="3" t="inlineStr">
        <is>
          <t>000884</t>
        </is>
      </c>
      <c r="D277" s="4" t="n">
        <v>45240</v>
      </c>
      <c r="E277" s="2" t="inlineStr">
        <is>
          <t>15:33</t>
        </is>
      </c>
      <c r="F277" s="5">
        <f>C277-C276</f>
        <v/>
      </c>
      <c r="G277" s="5">
        <f>B277-B276</f>
        <v/>
      </c>
      <c r="H277" s="2">
        <f>IF(AND(F277=1,G277=1),"OK","À JUSTIFIER")</f>
        <v/>
      </c>
    </row>
    <row r="278">
      <c r="A278" s="2" t="inlineStr">
        <is>
          <t>EJ061223.TXT</t>
        </is>
      </c>
      <c r="B278" s="3" t="inlineStr">
        <is>
          <t>001402</t>
        </is>
      </c>
      <c r="C278" s="3" t="inlineStr">
        <is>
          <t>000885</t>
        </is>
      </c>
      <c r="D278" s="4" t="n">
        <v>45243</v>
      </c>
      <c r="E278" s="2" t="inlineStr">
        <is>
          <t>11:59</t>
        </is>
      </c>
      <c r="F278" s="5">
        <f>C278-C277</f>
        <v/>
      </c>
      <c r="G278" s="5">
        <f>B278-B277</f>
        <v/>
      </c>
      <c r="H278" s="2">
        <f>IF(AND(F278=1,G278=1),"OK","À JUSTIFIER")</f>
        <v/>
      </c>
    </row>
    <row r="279">
      <c r="A279" s="2" t="inlineStr">
        <is>
          <t>EJ061223.TXT</t>
        </is>
      </c>
      <c r="B279" s="3" t="inlineStr">
        <is>
          <t>001403</t>
        </is>
      </c>
      <c r="C279" s="3" t="inlineStr">
        <is>
          <t>000886</t>
        </is>
      </c>
      <c r="D279" s="4" t="n">
        <v>45244</v>
      </c>
      <c r="E279" s="2" t="inlineStr">
        <is>
          <t>11:32</t>
        </is>
      </c>
      <c r="F279" s="5">
        <f>C279-C278</f>
        <v/>
      </c>
      <c r="G279" s="5">
        <f>B279-B278</f>
        <v/>
      </c>
      <c r="H279" s="2">
        <f>IF(AND(F279=1,G279=1),"OK","À JUSTIFIER")</f>
        <v/>
      </c>
    </row>
    <row r="280">
      <c r="A280" s="2" t="inlineStr">
        <is>
          <t>EJ061223.TXT</t>
        </is>
      </c>
      <c r="B280" s="3" t="inlineStr">
        <is>
          <t>001404</t>
        </is>
      </c>
      <c r="C280" s="3" t="inlineStr">
        <is>
          <t>000887</t>
        </is>
      </c>
      <c r="D280" s="4" t="n">
        <v>45246</v>
      </c>
      <c r="E280" s="2" t="inlineStr">
        <is>
          <t>16:39</t>
        </is>
      </c>
      <c r="F280" s="5">
        <f>C280-C279</f>
        <v/>
      </c>
      <c r="G280" s="5">
        <f>B280-B279</f>
        <v/>
      </c>
      <c r="H280" s="2">
        <f>IF(AND(F280=1,G280=1),"OK","À JUSTIFIER")</f>
        <v/>
      </c>
    </row>
    <row r="281">
      <c r="A281" s="2" t="inlineStr">
        <is>
          <t>EJ061223.TXT</t>
        </is>
      </c>
      <c r="B281" s="3" t="inlineStr">
        <is>
          <t>001405</t>
        </is>
      </c>
      <c r="C281" s="3" t="inlineStr">
        <is>
          <t>000888</t>
        </is>
      </c>
      <c r="D281" s="4" t="n">
        <v>45246</v>
      </c>
      <c r="E281" s="2" t="inlineStr">
        <is>
          <t>16:39</t>
        </is>
      </c>
      <c r="F281" s="5">
        <f>C281-C280</f>
        <v/>
      </c>
      <c r="G281" s="5">
        <f>B281-B280</f>
        <v/>
      </c>
      <c r="H281" s="2">
        <f>IF(AND(F281=1,G281=1),"OK","À JUSTIFIER")</f>
        <v/>
      </c>
    </row>
    <row r="282">
      <c r="A282" s="2" t="inlineStr">
        <is>
          <t>EJ061223.TXT</t>
        </is>
      </c>
      <c r="B282" s="3" t="inlineStr">
        <is>
          <t>001406</t>
        </is>
      </c>
      <c r="C282" s="3" t="inlineStr">
        <is>
          <t>000889</t>
        </is>
      </c>
      <c r="D282" s="4" t="n">
        <v>45246</v>
      </c>
      <c r="E282" s="2" t="inlineStr">
        <is>
          <t>16:40</t>
        </is>
      </c>
      <c r="F282" s="5">
        <f>C282-C281</f>
        <v/>
      </c>
      <c r="G282" s="5">
        <f>B282-B281</f>
        <v/>
      </c>
      <c r="H282" s="2">
        <f>IF(AND(F282=1,G282=1),"OK","À JUSTIFIER")</f>
        <v/>
      </c>
    </row>
    <row r="283">
      <c r="A283" s="2" t="inlineStr">
        <is>
          <t>EJ061223.TXT</t>
        </is>
      </c>
      <c r="B283" s="3" t="inlineStr">
        <is>
          <t>001407</t>
        </is>
      </c>
      <c r="C283" s="3" t="inlineStr">
        <is>
          <t>000890</t>
        </is>
      </c>
      <c r="D283" s="4" t="n">
        <v>45247</v>
      </c>
      <c r="E283" s="2" t="inlineStr">
        <is>
          <t>10:45</t>
        </is>
      </c>
      <c r="F283" s="5">
        <f>C283-C282</f>
        <v/>
      </c>
      <c r="G283" s="5">
        <f>B283-B282</f>
        <v/>
      </c>
      <c r="H283" s="2">
        <f>IF(AND(F283=1,G283=1),"OK","À JUSTIFIER")</f>
        <v/>
      </c>
    </row>
    <row r="284">
      <c r="A284" s="2" t="inlineStr">
        <is>
          <t>EJ061223.TXT</t>
        </is>
      </c>
      <c r="B284" s="3" t="inlineStr">
        <is>
          <t>001408</t>
        </is>
      </c>
      <c r="C284" s="3" t="inlineStr">
        <is>
          <t>000891</t>
        </is>
      </c>
      <c r="D284" s="4" t="n">
        <v>45251</v>
      </c>
      <c r="E284" s="2" t="inlineStr">
        <is>
          <t>14:34</t>
        </is>
      </c>
      <c r="F284" s="5">
        <f>C284-C283</f>
        <v/>
      </c>
      <c r="G284" s="5">
        <f>B284-B283</f>
        <v/>
      </c>
      <c r="H284" s="2">
        <f>IF(AND(F284=1,G284=1),"OK","À JUSTIFIER")</f>
        <v/>
      </c>
    </row>
    <row r="285">
      <c r="A285" s="2" t="inlineStr">
        <is>
          <t>EJ061223.TXT</t>
        </is>
      </c>
      <c r="B285" s="3" t="inlineStr">
        <is>
          <t>001409</t>
        </is>
      </c>
      <c r="C285" s="3" t="inlineStr">
        <is>
          <t>000892</t>
        </is>
      </c>
      <c r="D285" s="4" t="n">
        <v>45253</v>
      </c>
      <c r="E285" s="2" t="inlineStr">
        <is>
          <t>15:35</t>
        </is>
      </c>
      <c r="F285" s="5">
        <f>C285-C284</f>
        <v/>
      </c>
      <c r="G285" s="5">
        <f>B285-B284</f>
        <v/>
      </c>
      <c r="H285" s="2">
        <f>IF(AND(F285=1,G285=1),"OK","À JUSTIFIER")</f>
        <v/>
      </c>
    </row>
    <row r="286">
      <c r="A286" s="2" t="inlineStr">
        <is>
          <t>EJ061223.TXT</t>
        </is>
      </c>
      <c r="B286" s="3" t="inlineStr">
        <is>
          <t>001410</t>
        </is>
      </c>
      <c r="C286" s="3" t="inlineStr">
        <is>
          <t>000893</t>
        </is>
      </c>
      <c r="D286" s="4" t="n">
        <v>45257</v>
      </c>
      <c r="E286" s="2" t="inlineStr">
        <is>
          <t>12:36</t>
        </is>
      </c>
      <c r="F286" s="5">
        <f>C286-C285</f>
        <v/>
      </c>
      <c r="G286" s="5">
        <f>B286-B285</f>
        <v/>
      </c>
      <c r="H286" s="2">
        <f>IF(AND(F286=1,G286=1),"OK","À JUSTIFIER")</f>
        <v/>
      </c>
    </row>
    <row r="287">
      <c r="A287" s="2" t="inlineStr">
        <is>
          <t>EJ061223.TXT</t>
        </is>
      </c>
      <c r="B287" s="3" t="inlineStr">
        <is>
          <t>001411</t>
        </is>
      </c>
      <c r="C287" s="3" t="inlineStr">
        <is>
          <t>000894</t>
        </is>
      </c>
      <c r="D287" s="4" t="n">
        <v>45257</v>
      </c>
      <c r="E287" s="2" t="inlineStr">
        <is>
          <t>14:15</t>
        </is>
      </c>
      <c r="F287" s="5">
        <f>C287-C286</f>
        <v/>
      </c>
      <c r="G287" s="5">
        <f>B287-B286</f>
        <v/>
      </c>
      <c r="H287" s="2">
        <f>IF(AND(F287=1,G287=1),"OK","À JUSTIFIER")</f>
        <v/>
      </c>
    </row>
    <row r="288">
      <c r="A288" s="2" t="inlineStr">
        <is>
          <t>EJ061223.TXT</t>
        </is>
      </c>
      <c r="B288" s="3" t="inlineStr">
        <is>
          <t>001412</t>
        </is>
      </c>
      <c r="C288" s="3" t="inlineStr">
        <is>
          <t>000895</t>
        </is>
      </c>
      <c r="D288" s="4" t="n">
        <v>45257</v>
      </c>
      <c r="E288" s="2" t="inlineStr">
        <is>
          <t>14:20</t>
        </is>
      </c>
      <c r="F288" s="5">
        <f>C288-C287</f>
        <v/>
      </c>
      <c r="G288" s="5">
        <f>B288-B287</f>
        <v/>
      </c>
      <c r="H288" s="2">
        <f>IF(AND(F288=1,G288=1),"OK","À JUSTIFIER")</f>
        <v/>
      </c>
    </row>
    <row r="289">
      <c r="A289" s="2" t="inlineStr">
        <is>
          <t>EJ061223.TXT</t>
        </is>
      </c>
      <c r="B289" s="3" t="inlineStr">
        <is>
          <t>001413</t>
        </is>
      </c>
      <c r="C289" s="3" t="inlineStr">
        <is>
          <t>000896</t>
        </is>
      </c>
      <c r="D289" s="4" t="n">
        <v>45258</v>
      </c>
      <c r="E289" s="2" t="inlineStr">
        <is>
          <t>11:32</t>
        </is>
      </c>
      <c r="F289" s="5">
        <f>C289-C288</f>
        <v/>
      </c>
      <c r="G289" s="5">
        <f>B289-B288</f>
        <v/>
      </c>
      <c r="H289" s="2">
        <f>IF(AND(F289=1,G289=1),"OK","À JUSTIFIER")</f>
        <v/>
      </c>
    </row>
    <row r="290">
      <c r="A290" s="2" t="inlineStr">
        <is>
          <t>EJ061223.TXT</t>
        </is>
      </c>
      <c r="B290" s="3" t="inlineStr">
        <is>
          <t>001414</t>
        </is>
      </c>
      <c r="C290" s="3" t="inlineStr">
        <is>
          <t>000897</t>
        </is>
      </c>
      <c r="D290" s="4" t="n">
        <v>45258</v>
      </c>
      <c r="E290" s="2" t="inlineStr">
        <is>
          <t>13:38</t>
        </is>
      </c>
      <c r="F290" s="5">
        <f>C290-C289</f>
        <v/>
      </c>
      <c r="G290" s="5">
        <f>B290-B289</f>
        <v/>
      </c>
      <c r="H290" s="2">
        <f>IF(AND(F290=1,G290=1),"OK","À JUSTIFIER")</f>
        <v/>
      </c>
    </row>
    <row r="291">
      <c r="A291" s="2" t="inlineStr">
        <is>
          <t>EJ061223.TXT</t>
        </is>
      </c>
      <c r="B291" s="3" t="inlineStr">
        <is>
          <t>001415</t>
        </is>
      </c>
      <c r="C291" s="3" t="inlineStr">
        <is>
          <t>000898</t>
        </is>
      </c>
      <c r="D291" s="4" t="n">
        <v>45259</v>
      </c>
      <c r="E291" s="2" t="inlineStr">
        <is>
          <t>10:27</t>
        </is>
      </c>
      <c r="F291" s="5">
        <f>C291-C290</f>
        <v/>
      </c>
      <c r="G291" s="5">
        <f>B291-B290</f>
        <v/>
      </c>
      <c r="H291" s="2">
        <f>IF(AND(F291=1,G291=1),"OK","À JUSTIFIER")</f>
        <v/>
      </c>
    </row>
    <row r="292">
      <c r="A292" s="2" t="inlineStr">
        <is>
          <t>EJ061223.TXT</t>
        </is>
      </c>
      <c r="B292" s="3" t="inlineStr">
        <is>
          <t>001416</t>
        </is>
      </c>
      <c r="C292" s="3" t="inlineStr">
        <is>
          <t>000899</t>
        </is>
      </c>
      <c r="D292" s="4" t="n">
        <v>45260</v>
      </c>
      <c r="E292" s="2" t="inlineStr">
        <is>
          <t>15:53</t>
        </is>
      </c>
      <c r="F292" s="5">
        <f>C292-C291</f>
        <v/>
      </c>
      <c r="G292" s="5">
        <f>B292-B291</f>
        <v/>
      </c>
      <c r="H292" s="2">
        <f>IF(AND(F292=1,G292=1),"OK","À JUSTIFIER")</f>
        <v/>
      </c>
    </row>
    <row r="293">
      <c r="A293" s="2" t="inlineStr">
        <is>
          <t>EJ061223.TXT</t>
        </is>
      </c>
      <c r="B293" s="3" t="inlineStr">
        <is>
          <t>001417</t>
        </is>
      </c>
      <c r="C293" s="3" t="inlineStr">
        <is>
          <t>000900</t>
        </is>
      </c>
      <c r="D293" s="4" t="n">
        <v>45261</v>
      </c>
      <c r="E293" s="2" t="inlineStr">
        <is>
          <t>12:25</t>
        </is>
      </c>
      <c r="F293" s="5">
        <f>C293-C292</f>
        <v/>
      </c>
      <c r="G293" s="5">
        <f>B293-B292</f>
        <v/>
      </c>
      <c r="H293" s="2">
        <f>IF(AND(F293=1,G293=1),"OK","À JUSTIFIER")</f>
        <v/>
      </c>
    </row>
    <row r="294">
      <c r="A294" s="2" t="inlineStr">
        <is>
          <t>EJ061223.TXT</t>
        </is>
      </c>
      <c r="B294" s="3" t="inlineStr">
        <is>
          <t>001418</t>
        </is>
      </c>
      <c r="C294" s="3" t="inlineStr">
        <is>
          <t>000901</t>
        </is>
      </c>
      <c r="D294" s="4" t="n">
        <v>45261</v>
      </c>
      <c r="E294" s="2" t="inlineStr">
        <is>
          <t>15:48</t>
        </is>
      </c>
      <c r="F294" s="5">
        <f>C294-C293</f>
        <v/>
      </c>
      <c r="G294" s="5">
        <f>B294-B293</f>
        <v/>
      </c>
      <c r="H294" s="2">
        <f>IF(AND(F294=1,G294=1),"OK","À JUSTIFIER")</f>
        <v/>
      </c>
    </row>
    <row r="295">
      <c r="A295" s="2" t="inlineStr">
        <is>
          <t>EJ061223.TXT</t>
        </is>
      </c>
      <c r="B295" s="3" t="inlineStr">
        <is>
          <t>001419</t>
        </is>
      </c>
      <c r="C295" s="3" t="inlineStr">
        <is>
          <t>000902</t>
        </is>
      </c>
      <c r="D295" s="4" t="n">
        <v>45262</v>
      </c>
      <c r="E295" s="2" t="inlineStr">
        <is>
          <t>16:22</t>
        </is>
      </c>
      <c r="F295" s="5">
        <f>C295-C294</f>
        <v/>
      </c>
      <c r="G295" s="5">
        <f>B295-B294</f>
        <v/>
      </c>
      <c r="H295" s="2">
        <f>IF(AND(F295=1,G295=1),"OK","À JUSTIFIER")</f>
        <v/>
      </c>
    </row>
    <row r="296">
      <c r="A296" s="2" t="inlineStr">
        <is>
          <t>EJ061223.TXT</t>
        </is>
      </c>
      <c r="B296" s="3" t="inlineStr">
        <is>
          <t>001420</t>
        </is>
      </c>
      <c r="C296" s="3" t="inlineStr">
        <is>
          <t>000903</t>
        </is>
      </c>
      <c r="D296" s="4" t="n">
        <v>45266</v>
      </c>
      <c r="E296" s="2" t="inlineStr">
        <is>
          <t>14:10</t>
        </is>
      </c>
      <c r="F296" s="5">
        <f>C296-C295</f>
        <v/>
      </c>
      <c r="G296" s="5">
        <f>B296-B295</f>
        <v/>
      </c>
      <c r="H296" s="2">
        <f>IF(AND(F296=1,G296=1),"OK","À JUSTIFIER")</f>
        <v/>
      </c>
    </row>
    <row r="297">
      <c r="A297" s="2" t="inlineStr">
        <is>
          <t>EJ050124.TXT</t>
        </is>
      </c>
      <c r="B297" s="3" t="inlineStr">
        <is>
          <t>001428</t>
        </is>
      </c>
      <c r="C297" s="3" t="inlineStr">
        <is>
          <t>000904</t>
        </is>
      </c>
      <c r="D297" s="4" t="n">
        <v>45268</v>
      </c>
      <c r="E297" s="2" t="inlineStr">
        <is>
          <t>14:17</t>
        </is>
      </c>
      <c r="F297" s="5">
        <f>C297-C296</f>
        <v/>
      </c>
      <c r="G297" s="5">
        <f>B297-B296</f>
        <v/>
      </c>
      <c r="H297" s="2">
        <f>IF(AND(F297=1,G297=1),"OK","À JUSTIFIER")</f>
        <v/>
      </c>
    </row>
    <row r="298">
      <c r="A298" s="2" t="inlineStr">
        <is>
          <t>EJ050124.TXT</t>
        </is>
      </c>
      <c r="B298" s="3" t="inlineStr">
        <is>
          <t>001429</t>
        </is>
      </c>
      <c r="C298" s="3" t="inlineStr">
        <is>
          <t>000905</t>
        </is>
      </c>
      <c r="D298" s="4" t="n">
        <v>45269</v>
      </c>
      <c r="E298" s="2" t="inlineStr">
        <is>
          <t>16:52</t>
        </is>
      </c>
      <c r="F298" s="5">
        <f>C298-C297</f>
        <v/>
      </c>
      <c r="G298" s="5">
        <f>B298-B297</f>
        <v/>
      </c>
      <c r="H298" s="2">
        <f>IF(AND(F298=1,G298=1),"OK","À JUSTIFIER")</f>
        <v/>
      </c>
    </row>
    <row r="299">
      <c r="A299" s="2" t="inlineStr">
        <is>
          <t>EJ050124.TXT</t>
        </is>
      </c>
      <c r="B299" s="3" t="inlineStr">
        <is>
          <t>001430</t>
        </is>
      </c>
      <c r="C299" s="3" t="inlineStr">
        <is>
          <t>000906</t>
        </is>
      </c>
      <c r="D299" s="4" t="n">
        <v>45271</v>
      </c>
      <c r="E299" s="2" t="inlineStr">
        <is>
          <t>15:32</t>
        </is>
      </c>
      <c r="F299" s="5">
        <f>C299-C298</f>
        <v/>
      </c>
      <c r="G299" s="5">
        <f>B299-B298</f>
        <v/>
      </c>
      <c r="H299" s="2">
        <f>IF(AND(F299=1,G299=1),"OK","À JUSTIFIER")</f>
        <v/>
      </c>
    </row>
    <row r="300">
      <c r="A300" s="2" t="inlineStr">
        <is>
          <t>EJ050124.TXT</t>
        </is>
      </c>
      <c r="B300" s="3" t="inlineStr">
        <is>
          <t>001431</t>
        </is>
      </c>
      <c r="C300" s="3" t="inlineStr">
        <is>
          <t>000907</t>
        </is>
      </c>
      <c r="D300" s="4" t="n">
        <v>45272</v>
      </c>
      <c r="E300" s="2" t="inlineStr">
        <is>
          <t>17:06</t>
        </is>
      </c>
      <c r="F300" s="5">
        <f>C300-C299</f>
        <v/>
      </c>
      <c r="G300" s="5">
        <f>B300-B299</f>
        <v/>
      </c>
      <c r="H300" s="2">
        <f>IF(AND(F300=1,G300=1),"OK","À JUSTIFIER")</f>
        <v/>
      </c>
    </row>
    <row r="301">
      <c r="A301" s="2" t="inlineStr">
        <is>
          <t>EJ050124.TXT</t>
        </is>
      </c>
      <c r="B301" s="3" t="inlineStr">
        <is>
          <t>001432</t>
        </is>
      </c>
      <c r="C301" s="3" t="inlineStr">
        <is>
          <t>000908</t>
        </is>
      </c>
      <c r="D301" s="4" t="n">
        <v>45274</v>
      </c>
      <c r="E301" s="2" t="inlineStr">
        <is>
          <t>14:45</t>
        </is>
      </c>
      <c r="F301" s="5">
        <f>C301-C300</f>
        <v/>
      </c>
      <c r="G301" s="5">
        <f>B301-B300</f>
        <v/>
      </c>
      <c r="H301" s="2">
        <f>IF(AND(F301=1,G301=1),"OK","À JUSTIFIER")</f>
        <v/>
      </c>
    </row>
    <row r="302">
      <c r="A302" s="2" t="inlineStr">
        <is>
          <t>EJ050124.TXT</t>
        </is>
      </c>
      <c r="B302" s="3" t="inlineStr">
        <is>
          <t>001433</t>
        </is>
      </c>
      <c r="C302" s="3" t="inlineStr">
        <is>
          <t>000909</t>
        </is>
      </c>
      <c r="D302" s="4" t="n">
        <v>45274</v>
      </c>
      <c r="E302" s="2" t="inlineStr">
        <is>
          <t>16:07</t>
        </is>
      </c>
      <c r="F302" s="5">
        <f>C302-C301</f>
        <v/>
      </c>
      <c r="G302" s="5">
        <f>B302-B301</f>
        <v/>
      </c>
      <c r="H302" s="2">
        <f>IF(AND(F302=1,G302=1),"OK","À JUSTIFIER")</f>
        <v/>
      </c>
    </row>
    <row r="303">
      <c r="A303" s="2" t="inlineStr">
        <is>
          <t>EJ050124.TXT</t>
        </is>
      </c>
      <c r="B303" s="3" t="inlineStr">
        <is>
          <t>001434</t>
        </is>
      </c>
      <c r="C303" s="3" t="inlineStr">
        <is>
          <t>000910</t>
        </is>
      </c>
      <c r="D303" s="4" t="n">
        <v>45275</v>
      </c>
      <c r="E303" s="2" t="inlineStr">
        <is>
          <t>11:02</t>
        </is>
      </c>
      <c r="F303" s="5">
        <f>C303-C302</f>
        <v/>
      </c>
      <c r="G303" s="5">
        <f>B303-B302</f>
        <v/>
      </c>
      <c r="H303" s="2">
        <f>IF(AND(F303=1,G303=1),"OK","À JUSTIFIER")</f>
        <v/>
      </c>
    </row>
    <row r="304">
      <c r="A304" s="2" t="inlineStr">
        <is>
          <t>EJ050124.TXT</t>
        </is>
      </c>
      <c r="B304" s="3" t="inlineStr">
        <is>
          <t>001435</t>
        </is>
      </c>
      <c r="C304" s="3" t="inlineStr">
        <is>
          <t>000911</t>
        </is>
      </c>
      <c r="D304" s="4" t="n">
        <v>45275</v>
      </c>
      <c r="E304" s="2" t="inlineStr">
        <is>
          <t>17:21</t>
        </is>
      </c>
      <c r="F304" s="5">
        <f>C304-C303</f>
        <v/>
      </c>
      <c r="G304" s="5">
        <f>B304-B303</f>
        <v/>
      </c>
      <c r="H304" s="2">
        <f>IF(AND(F304=1,G304=1),"OK","À JUSTIFIER")</f>
        <v/>
      </c>
    </row>
    <row r="305">
      <c r="A305" s="2" t="inlineStr">
        <is>
          <t>EJ050124.TXT</t>
        </is>
      </c>
      <c r="B305" s="3" t="inlineStr">
        <is>
          <t>001436</t>
        </is>
      </c>
      <c r="C305" s="3" t="inlineStr">
        <is>
          <t>000912</t>
        </is>
      </c>
      <c r="D305" s="4" t="n">
        <v>45276</v>
      </c>
      <c r="E305" s="2" t="inlineStr">
        <is>
          <t>15:24</t>
        </is>
      </c>
      <c r="F305" s="5">
        <f>C305-C304</f>
        <v/>
      </c>
      <c r="G305" s="5">
        <f>B305-B304</f>
        <v/>
      </c>
      <c r="H305" s="2">
        <f>IF(AND(F305=1,G305=1),"OK","À JUSTIFIER")</f>
        <v/>
      </c>
    </row>
    <row r="306">
      <c r="A306" s="2" t="inlineStr">
        <is>
          <t>EJ050124.TXT</t>
        </is>
      </c>
      <c r="B306" s="3" t="inlineStr">
        <is>
          <t>001437</t>
        </is>
      </c>
      <c r="C306" s="3" t="inlineStr">
        <is>
          <t>000913</t>
        </is>
      </c>
      <c r="D306" s="4" t="n">
        <v>45276</v>
      </c>
      <c r="E306" s="2" t="inlineStr">
        <is>
          <t>17:07</t>
        </is>
      </c>
      <c r="F306" s="5">
        <f>C306-C305</f>
        <v/>
      </c>
      <c r="G306" s="5">
        <f>B306-B305</f>
        <v/>
      </c>
      <c r="H306" s="2">
        <f>IF(AND(F306=1,G306=1),"OK","À JUSTIFIER")</f>
        <v/>
      </c>
    </row>
    <row r="307">
      <c r="A307" s="2" t="inlineStr">
        <is>
          <t>EJ050124.TXT</t>
        </is>
      </c>
      <c r="B307" s="3" t="inlineStr">
        <is>
          <t>001438</t>
        </is>
      </c>
      <c r="C307" s="3" t="inlineStr">
        <is>
          <t>000914</t>
        </is>
      </c>
      <c r="D307" s="4" t="n">
        <v>45278</v>
      </c>
      <c r="E307" s="2" t="inlineStr">
        <is>
          <t>11:34</t>
        </is>
      </c>
      <c r="F307" s="5">
        <f>C307-C306</f>
        <v/>
      </c>
      <c r="G307" s="5">
        <f>B307-B306</f>
        <v/>
      </c>
      <c r="H307" s="2">
        <f>IF(AND(F307=1,G307=1),"OK","À JUSTIFIER")</f>
        <v/>
      </c>
    </row>
    <row r="308">
      <c r="A308" s="2" t="inlineStr">
        <is>
          <t>EJ050124.TXT</t>
        </is>
      </c>
      <c r="B308" s="3" t="inlineStr">
        <is>
          <t>001439</t>
        </is>
      </c>
      <c r="C308" s="3" t="inlineStr">
        <is>
          <t>000915</t>
        </is>
      </c>
      <c r="D308" s="4" t="n">
        <v>45278</v>
      </c>
      <c r="E308" s="2" t="inlineStr">
        <is>
          <t>11:36</t>
        </is>
      </c>
      <c r="F308" s="5">
        <f>C308-C307</f>
        <v/>
      </c>
      <c r="G308" s="5">
        <f>B308-B307</f>
        <v/>
      </c>
      <c r="H308" s="2">
        <f>IF(AND(F308=1,G308=1),"OK","À JUSTIFIER")</f>
        <v/>
      </c>
    </row>
    <row r="309">
      <c r="A309" s="2" t="inlineStr">
        <is>
          <t>EJ050124.TXT</t>
        </is>
      </c>
      <c r="B309" s="3" t="inlineStr">
        <is>
          <t>001440</t>
        </is>
      </c>
      <c r="C309" s="3" t="inlineStr">
        <is>
          <t>000916</t>
        </is>
      </c>
      <c r="D309" s="4" t="n">
        <v>45279</v>
      </c>
      <c r="E309" s="2" t="inlineStr">
        <is>
          <t>16:04</t>
        </is>
      </c>
      <c r="F309" s="5">
        <f>C309-C308</f>
        <v/>
      </c>
      <c r="G309" s="5">
        <f>B309-B308</f>
        <v/>
      </c>
      <c r="H309" s="2">
        <f>IF(AND(F309=1,G309=1),"OK","À JUSTIFIER")</f>
        <v/>
      </c>
    </row>
    <row r="310">
      <c r="A310" s="2" t="inlineStr">
        <is>
          <t>EJ050124.TXT</t>
        </is>
      </c>
      <c r="B310" s="3" t="inlineStr">
        <is>
          <t>001441</t>
        </is>
      </c>
      <c r="C310" s="3" t="inlineStr">
        <is>
          <t>000917</t>
        </is>
      </c>
      <c r="D310" s="4" t="n">
        <v>45280</v>
      </c>
      <c r="E310" s="2" t="inlineStr">
        <is>
          <t>12:42</t>
        </is>
      </c>
      <c r="F310" s="5">
        <f>C310-C309</f>
        <v/>
      </c>
      <c r="G310" s="5">
        <f>B310-B309</f>
        <v/>
      </c>
      <c r="H310" s="2">
        <f>IF(AND(F310=1,G310=1),"OK","À JUSTIFIER")</f>
        <v/>
      </c>
    </row>
    <row r="311">
      <c r="A311" s="2" t="inlineStr">
        <is>
          <t>EJ050124.TXT</t>
        </is>
      </c>
      <c r="B311" s="3" t="inlineStr">
        <is>
          <t>001442</t>
        </is>
      </c>
      <c r="C311" s="3" t="inlineStr">
        <is>
          <t>000918</t>
        </is>
      </c>
      <c r="D311" s="4" t="n">
        <v>45280</v>
      </c>
      <c r="E311" s="2" t="inlineStr">
        <is>
          <t>12:50</t>
        </is>
      </c>
      <c r="F311" s="5">
        <f>C311-C310</f>
        <v/>
      </c>
      <c r="G311" s="5">
        <f>B311-B310</f>
        <v/>
      </c>
      <c r="H311" s="2">
        <f>IF(AND(F311=1,G311=1),"OK","À JUSTIFIER")</f>
        <v/>
      </c>
    </row>
    <row r="312">
      <c r="A312" s="2" t="inlineStr">
        <is>
          <t>EJ050124.TXT</t>
        </is>
      </c>
      <c r="B312" s="3" t="inlineStr">
        <is>
          <t>001443</t>
        </is>
      </c>
      <c r="C312" s="3" t="inlineStr">
        <is>
          <t>000919</t>
        </is>
      </c>
      <c r="D312" s="4" t="n">
        <v>45280</v>
      </c>
      <c r="E312" s="2" t="inlineStr">
        <is>
          <t>14:22</t>
        </is>
      </c>
      <c r="F312" s="5">
        <f>C312-C311</f>
        <v/>
      </c>
      <c r="G312" s="5">
        <f>B312-B311</f>
        <v/>
      </c>
      <c r="H312" s="2">
        <f>IF(AND(F312=1,G312=1),"OK","À JUSTIFIER")</f>
        <v/>
      </c>
    </row>
    <row r="313">
      <c r="A313" s="2" t="inlineStr">
        <is>
          <t>EJ050124.TXT</t>
        </is>
      </c>
      <c r="B313" s="3" t="inlineStr">
        <is>
          <t>001444</t>
        </is>
      </c>
      <c r="C313" s="3" t="inlineStr">
        <is>
          <t>000920</t>
        </is>
      </c>
      <c r="D313" s="4" t="n">
        <v>45280</v>
      </c>
      <c r="E313" s="2" t="inlineStr">
        <is>
          <t>16:51</t>
        </is>
      </c>
      <c r="F313" s="5">
        <f>C313-C312</f>
        <v/>
      </c>
      <c r="G313" s="5">
        <f>B313-B312</f>
        <v/>
      </c>
      <c r="H313" s="2">
        <f>IF(AND(F313=1,G313=1),"OK","À JUSTIFIER")</f>
        <v/>
      </c>
    </row>
    <row r="314">
      <c r="A314" s="2" t="inlineStr">
        <is>
          <t>EJ050124.TXT</t>
        </is>
      </c>
      <c r="B314" s="3" t="inlineStr">
        <is>
          <t>001445</t>
        </is>
      </c>
      <c r="C314" s="3" t="inlineStr">
        <is>
          <t>000921</t>
        </is>
      </c>
      <c r="D314" s="4" t="n">
        <v>45281</v>
      </c>
      <c r="E314" s="2" t="inlineStr">
        <is>
          <t>14:26</t>
        </is>
      </c>
      <c r="F314" s="5">
        <f>C314-C313</f>
        <v/>
      </c>
      <c r="G314" s="5">
        <f>B314-B313</f>
        <v/>
      </c>
      <c r="H314" s="2">
        <f>IF(AND(F314=1,G314=1),"OK","À JUSTIFIER")</f>
        <v/>
      </c>
    </row>
    <row r="315">
      <c r="A315" s="2" t="inlineStr">
        <is>
          <t>EJ050124.TXT</t>
        </is>
      </c>
      <c r="B315" s="3" t="inlineStr">
        <is>
          <t>001446</t>
        </is>
      </c>
      <c r="C315" s="3" t="inlineStr">
        <is>
          <t>000922</t>
        </is>
      </c>
      <c r="D315" s="4" t="n">
        <v>45281</v>
      </c>
      <c r="E315" s="2" t="inlineStr">
        <is>
          <t>14:27</t>
        </is>
      </c>
      <c r="F315" s="5">
        <f>C315-C314</f>
        <v/>
      </c>
      <c r="G315" s="5">
        <f>B315-B314</f>
        <v/>
      </c>
      <c r="H315" s="2">
        <f>IF(AND(F315=1,G315=1),"OK","À JUSTIFIER")</f>
        <v/>
      </c>
    </row>
    <row r="316">
      <c r="A316" s="2" t="inlineStr">
        <is>
          <t>EJ050124.TXT</t>
        </is>
      </c>
      <c r="B316" s="3" t="inlineStr">
        <is>
          <t>001447</t>
        </is>
      </c>
      <c r="C316" s="3" t="inlineStr">
        <is>
          <t>000923</t>
        </is>
      </c>
      <c r="D316" s="4" t="n">
        <v>45282</v>
      </c>
      <c r="E316" s="2" t="inlineStr">
        <is>
          <t>11:26</t>
        </is>
      </c>
      <c r="F316" s="5">
        <f>C316-C315</f>
        <v/>
      </c>
      <c r="G316" s="5">
        <f>B316-B315</f>
        <v/>
      </c>
      <c r="H316" s="2">
        <f>IF(AND(F316=1,G316=1),"OK","À JUSTIFIER")</f>
        <v/>
      </c>
    </row>
    <row r="317">
      <c r="A317" s="2" t="inlineStr">
        <is>
          <t>EJ050124.TXT</t>
        </is>
      </c>
      <c r="B317" s="3" t="inlineStr">
        <is>
          <t>001448</t>
        </is>
      </c>
      <c r="C317" s="3" t="inlineStr">
        <is>
          <t>000924</t>
        </is>
      </c>
      <c r="D317" s="4" t="n">
        <v>45282</v>
      </c>
      <c r="E317" s="2" t="inlineStr">
        <is>
          <t>15:41</t>
        </is>
      </c>
      <c r="F317" s="5">
        <f>C317-C316</f>
        <v/>
      </c>
      <c r="G317" s="5">
        <f>B317-B316</f>
        <v/>
      </c>
      <c r="H317" s="2">
        <f>IF(AND(F317=1,G317=1),"OK","À JUSTIFIER")</f>
        <v/>
      </c>
    </row>
    <row r="318">
      <c r="A318" s="2" t="inlineStr">
        <is>
          <t>EJ050124.TXT</t>
        </is>
      </c>
      <c r="B318" s="3" t="inlineStr">
        <is>
          <t>001449</t>
        </is>
      </c>
      <c r="C318" s="3" t="inlineStr">
        <is>
          <t>000925</t>
        </is>
      </c>
      <c r="D318" s="4" t="n">
        <v>45282</v>
      </c>
      <c r="E318" s="2" t="inlineStr">
        <is>
          <t>15:57</t>
        </is>
      </c>
      <c r="F318" s="5">
        <f>C318-C317</f>
        <v/>
      </c>
      <c r="G318" s="5">
        <f>B318-B317</f>
        <v/>
      </c>
      <c r="H318" s="2">
        <f>IF(AND(F318=1,G318=1),"OK","À JUSTIFIER")</f>
        <v/>
      </c>
    </row>
    <row r="319">
      <c r="A319" s="2" t="inlineStr">
        <is>
          <t>EJ050124.TXT</t>
        </is>
      </c>
      <c r="B319" s="3" t="inlineStr">
        <is>
          <t>001450</t>
        </is>
      </c>
      <c r="C319" s="3" t="inlineStr">
        <is>
          <t>000926</t>
        </is>
      </c>
      <c r="D319" s="4" t="n">
        <v>45282</v>
      </c>
      <c r="E319" s="2" t="inlineStr">
        <is>
          <t>16:42</t>
        </is>
      </c>
      <c r="F319" s="5">
        <f>C319-C318</f>
        <v/>
      </c>
      <c r="G319" s="5">
        <f>B319-B318</f>
        <v/>
      </c>
      <c r="H319" s="2">
        <f>IF(AND(F319=1,G319=1),"OK","À JUSTIFIER")</f>
        <v/>
      </c>
    </row>
    <row r="320">
      <c r="A320" s="2" t="inlineStr">
        <is>
          <t>EJ050124.TXT</t>
        </is>
      </c>
      <c r="B320" s="3" t="inlineStr">
        <is>
          <t>001451</t>
        </is>
      </c>
      <c r="C320" s="3" t="inlineStr">
        <is>
          <t>000927</t>
        </is>
      </c>
      <c r="D320" s="4" t="n">
        <v>45286</v>
      </c>
      <c r="E320" s="2" t="inlineStr">
        <is>
          <t>15:13</t>
        </is>
      </c>
      <c r="F320" s="5">
        <f>C320-C319</f>
        <v/>
      </c>
      <c r="G320" s="5">
        <f>B320-B319</f>
        <v/>
      </c>
      <c r="H320" s="2">
        <f>IF(AND(F320=1,G320=1),"OK","À JUSTIFIER")</f>
        <v/>
      </c>
    </row>
    <row r="321">
      <c r="A321" s="2" t="inlineStr">
        <is>
          <t>EJ050124.TXT</t>
        </is>
      </c>
      <c r="B321" s="3" t="inlineStr">
        <is>
          <t>001452</t>
        </is>
      </c>
      <c r="C321" s="3" t="inlineStr">
        <is>
          <t>000928</t>
        </is>
      </c>
      <c r="D321" s="4" t="n">
        <v>45286</v>
      </c>
      <c r="E321" s="2" t="inlineStr">
        <is>
          <t>15:13</t>
        </is>
      </c>
      <c r="F321" s="5">
        <f>C321-C320</f>
        <v/>
      </c>
      <c r="G321" s="5">
        <f>B321-B320</f>
        <v/>
      </c>
      <c r="H321" s="2">
        <f>IF(AND(F321=1,G321=1),"OK","À JUSTIFIER")</f>
        <v/>
      </c>
    </row>
    <row r="322">
      <c r="A322" s="2" t="inlineStr">
        <is>
          <t>EJ050124.TXT</t>
        </is>
      </c>
      <c r="B322" s="3" t="inlineStr">
        <is>
          <t>001453</t>
        </is>
      </c>
      <c r="C322" s="3" t="inlineStr">
        <is>
          <t>000929</t>
        </is>
      </c>
      <c r="D322" s="4" t="n">
        <v>45286</v>
      </c>
      <c r="E322" s="2" t="inlineStr">
        <is>
          <t>15:16</t>
        </is>
      </c>
      <c r="F322" s="5">
        <f>C322-C321</f>
        <v/>
      </c>
      <c r="G322" s="5">
        <f>B322-B321</f>
        <v/>
      </c>
      <c r="H322" s="2">
        <f>IF(AND(F322=1,G322=1),"OK","À JUSTIFIER")</f>
        <v/>
      </c>
    </row>
    <row r="323">
      <c r="A323" s="2" t="inlineStr">
        <is>
          <t>EJ050124.TXT</t>
        </is>
      </c>
      <c r="B323" s="3" t="inlineStr">
        <is>
          <t>001454</t>
        </is>
      </c>
      <c r="C323" s="3" t="inlineStr">
        <is>
          <t>000930</t>
        </is>
      </c>
      <c r="D323" s="4" t="n">
        <v>45287</v>
      </c>
      <c r="E323" s="2" t="inlineStr">
        <is>
          <t>15:07</t>
        </is>
      </c>
      <c r="F323" s="5">
        <f>C323-C322</f>
        <v/>
      </c>
      <c r="G323" s="5">
        <f>B323-B322</f>
        <v/>
      </c>
      <c r="H323" s="2">
        <f>IF(AND(F323=1,G323=1),"OK","À JUSTIFIER")</f>
        <v/>
      </c>
    </row>
    <row r="324">
      <c r="A324" s="2" t="inlineStr">
        <is>
          <t>EJ050124.TXT</t>
        </is>
      </c>
      <c r="B324" s="3" t="inlineStr">
        <is>
          <t>001456</t>
        </is>
      </c>
      <c r="C324" s="3" t="inlineStr">
        <is>
          <t>000931</t>
        </is>
      </c>
      <c r="D324" s="4" t="n">
        <v>45289</v>
      </c>
      <c r="E324" s="2" t="inlineStr">
        <is>
          <t>10:55</t>
        </is>
      </c>
      <c r="F324" s="5">
        <f>C324-C323</f>
        <v/>
      </c>
      <c r="G324" s="5">
        <f>B324-B323</f>
        <v/>
      </c>
      <c r="H324" s="2">
        <f>IF(AND(F324=1,G324=1),"OK","À JUSTIFIER")</f>
        <v/>
      </c>
    </row>
    <row r="325">
      <c r="A325" s="2" t="inlineStr">
        <is>
          <t>EJ050124.TXT</t>
        </is>
      </c>
      <c r="B325" s="3" t="inlineStr">
        <is>
          <t>001457</t>
        </is>
      </c>
      <c r="C325" s="3" t="inlineStr">
        <is>
          <t>000932</t>
        </is>
      </c>
      <c r="D325" s="4" t="n">
        <v>45289</v>
      </c>
      <c r="E325" s="2" t="inlineStr">
        <is>
          <t>13:19</t>
        </is>
      </c>
      <c r="F325" s="5">
        <f>C325-C324</f>
        <v/>
      </c>
      <c r="G325" s="5">
        <f>B325-B324</f>
        <v/>
      </c>
      <c r="H325" s="2">
        <f>IF(AND(F325=1,G325=1),"OK","À JUSTIFIER")</f>
        <v/>
      </c>
    </row>
    <row r="326">
      <c r="A326" s="2" t="inlineStr">
        <is>
          <t>EJ050124.TXT</t>
        </is>
      </c>
      <c r="B326" s="3" t="inlineStr">
        <is>
          <t>001458</t>
        </is>
      </c>
      <c r="C326" s="3" t="inlineStr">
        <is>
          <t>000933</t>
        </is>
      </c>
      <c r="D326" s="4" t="n">
        <v>45289</v>
      </c>
      <c r="E326" s="2" t="inlineStr">
        <is>
          <t>13:31</t>
        </is>
      </c>
      <c r="F326" s="5">
        <f>C326-C325</f>
        <v/>
      </c>
      <c r="G326" s="5">
        <f>B326-B325</f>
        <v/>
      </c>
      <c r="H326" s="2">
        <f>IF(AND(F326=1,G326=1),"OK","À JUSTIFIER")</f>
        <v/>
      </c>
    </row>
    <row r="327">
      <c r="A327" s="2" t="inlineStr">
        <is>
          <t>EJ050124.TXT</t>
        </is>
      </c>
      <c r="B327" s="3" t="inlineStr">
        <is>
          <t>001459</t>
        </is>
      </c>
      <c r="C327" s="3" t="inlineStr">
        <is>
          <t>000934</t>
        </is>
      </c>
      <c r="D327" s="4" t="n">
        <v>45290</v>
      </c>
      <c r="E327" s="2" t="inlineStr">
        <is>
          <t>14:35</t>
        </is>
      </c>
      <c r="F327" s="5">
        <f>C327-C326</f>
        <v/>
      </c>
      <c r="G327" s="5">
        <f>B327-B326</f>
        <v/>
      </c>
      <c r="H327" s="2">
        <f>IF(AND(F327=1,G327=1),"OK","À JUSTIFIER")</f>
        <v/>
      </c>
    </row>
    <row r="328">
      <c r="A328" s="2" t="inlineStr">
        <is>
          <t>EJ050124.TXT</t>
        </is>
      </c>
      <c r="B328" s="3" t="inlineStr">
        <is>
          <t>001460</t>
        </is>
      </c>
      <c r="C328" s="3" t="inlineStr">
        <is>
          <t>000935</t>
        </is>
      </c>
      <c r="D328" s="4" t="n">
        <v>45290</v>
      </c>
      <c r="E328" s="2" t="inlineStr">
        <is>
          <t>15:43</t>
        </is>
      </c>
      <c r="F328" s="5">
        <f>C328-C327</f>
        <v/>
      </c>
      <c r="G328" s="5">
        <f>B328-B327</f>
        <v/>
      </c>
      <c r="H328" s="2">
        <f>IF(AND(F328=1,G328=1),"OK","À JUSTIFIER")</f>
        <v/>
      </c>
    </row>
    <row r="329">
      <c r="A329" s="2" t="inlineStr">
        <is>
          <t>EJ050124.TXT</t>
        </is>
      </c>
      <c r="B329" s="3" t="inlineStr">
        <is>
          <t>001461</t>
        </is>
      </c>
      <c r="C329" s="3" t="inlineStr">
        <is>
          <t>000936</t>
        </is>
      </c>
      <c r="D329" s="4" t="n">
        <v>45290</v>
      </c>
      <c r="E329" s="2" t="inlineStr">
        <is>
          <t>17:01</t>
        </is>
      </c>
      <c r="F329" s="5">
        <f>C329-C328</f>
        <v/>
      </c>
      <c r="G329" s="5">
        <f>B329-B328</f>
        <v/>
      </c>
      <c r="H329" s="2">
        <f>IF(AND(F329=1,G329=1),"OK","À JUSTIFIER")</f>
        <v/>
      </c>
    </row>
    <row r="330">
      <c r="A330" s="2" t="inlineStr">
        <is>
          <t>EJ050124.TXT</t>
        </is>
      </c>
      <c r="B330" s="3" t="inlineStr">
        <is>
          <t>001462</t>
        </is>
      </c>
      <c r="C330" s="3" t="inlineStr">
        <is>
          <t>000937</t>
        </is>
      </c>
      <c r="D330" s="4" t="n">
        <v>45290</v>
      </c>
      <c r="E330" s="2" t="inlineStr">
        <is>
          <t>17:02</t>
        </is>
      </c>
      <c r="F330" s="5">
        <f>C330-C329</f>
        <v/>
      </c>
      <c r="G330" s="5">
        <f>B330-B329</f>
        <v/>
      </c>
      <c r="H330" s="2">
        <f>IF(AND(F330=1,G330=1),"OK","À JUSTIFIER")</f>
        <v/>
      </c>
    </row>
    <row r="331">
      <c r="A331" s="2" t="inlineStr">
        <is>
          <t>EJ050124.TXT</t>
        </is>
      </c>
      <c r="B331" s="3" t="inlineStr">
        <is>
          <t>001465</t>
        </is>
      </c>
      <c r="C331" s="3" t="inlineStr">
        <is>
          <t>000938</t>
        </is>
      </c>
      <c r="D331" s="4" t="n">
        <v>45295</v>
      </c>
      <c r="E331" s="2" t="inlineStr">
        <is>
          <t>17:15</t>
        </is>
      </c>
      <c r="F331" s="5">
        <f>C331-C330</f>
        <v/>
      </c>
      <c r="G331" s="5">
        <f>B331-B330</f>
        <v/>
      </c>
      <c r="H331" s="2">
        <f>IF(AND(F331=1,G331=1),"OK","À JUSTIFIER")</f>
        <v/>
      </c>
    </row>
    <row r="332">
      <c r="A332" s="2" t="inlineStr">
        <is>
          <t>EJ010224.TXT</t>
        </is>
      </c>
      <c r="B332" s="3" t="inlineStr">
        <is>
          <t>001473</t>
        </is>
      </c>
      <c r="C332" s="3" t="inlineStr">
        <is>
          <t>000939</t>
        </is>
      </c>
      <c r="D332" s="4" t="n">
        <v>45297</v>
      </c>
      <c r="E332" s="2" t="inlineStr">
        <is>
          <t>14:08</t>
        </is>
      </c>
      <c r="F332" s="5">
        <f>C332-C331</f>
        <v/>
      </c>
      <c r="G332" s="5">
        <f>B332-B331</f>
        <v/>
      </c>
      <c r="H332" s="2">
        <f>IF(AND(F332=1,G332=1),"OK","À JUSTIFIER")</f>
        <v/>
      </c>
    </row>
    <row r="333">
      <c r="A333" s="2" t="inlineStr">
        <is>
          <t>EJ010224.TXT</t>
        </is>
      </c>
      <c r="B333" s="3" t="inlineStr">
        <is>
          <t>001475</t>
        </is>
      </c>
      <c r="C333" s="3" t="inlineStr">
        <is>
          <t>000940</t>
        </is>
      </c>
      <c r="D333" s="4" t="n">
        <v>45300</v>
      </c>
      <c r="E333" s="2" t="inlineStr">
        <is>
          <t>11:25</t>
        </is>
      </c>
      <c r="F333" s="5">
        <f>C333-C332</f>
        <v/>
      </c>
      <c r="G333" s="5">
        <f>B333-B332</f>
        <v/>
      </c>
      <c r="H333" s="2">
        <f>IF(AND(F333=1,G333=1),"OK","À JUSTIFIER")</f>
        <v/>
      </c>
    </row>
    <row r="334">
      <c r="A334" s="2" t="inlineStr">
        <is>
          <t>EJ010224.TXT</t>
        </is>
      </c>
      <c r="B334" s="3" t="inlineStr">
        <is>
          <t>001476</t>
        </is>
      </c>
      <c r="C334" s="3" t="inlineStr">
        <is>
          <t>000941</t>
        </is>
      </c>
      <c r="D334" s="4" t="n">
        <v>45300</v>
      </c>
      <c r="E334" s="2" t="inlineStr">
        <is>
          <t>12:16</t>
        </is>
      </c>
      <c r="F334" s="5">
        <f>C334-C333</f>
        <v/>
      </c>
      <c r="G334" s="5">
        <f>B334-B333</f>
        <v/>
      </c>
      <c r="H334" s="2">
        <f>IF(AND(F334=1,G334=1),"OK","À JUSTIFIER")</f>
        <v/>
      </c>
    </row>
    <row r="335">
      <c r="A335" s="2" t="inlineStr">
        <is>
          <t>EJ010224.TXT</t>
        </is>
      </c>
      <c r="B335" s="3" t="inlineStr">
        <is>
          <t>001477</t>
        </is>
      </c>
      <c r="C335" s="3" t="inlineStr">
        <is>
          <t>000942</t>
        </is>
      </c>
      <c r="D335" s="4" t="n">
        <v>45302</v>
      </c>
      <c r="E335" s="2" t="inlineStr">
        <is>
          <t>13:05</t>
        </is>
      </c>
      <c r="F335" s="5">
        <f>C335-C334</f>
        <v/>
      </c>
      <c r="G335" s="5">
        <f>B335-B334</f>
        <v/>
      </c>
      <c r="H335" s="2">
        <f>IF(AND(F335=1,G335=1),"OK","À JUSTIFIER")</f>
        <v/>
      </c>
    </row>
    <row r="336">
      <c r="A336" s="2" t="inlineStr">
        <is>
          <t>EJ010224.TXT</t>
        </is>
      </c>
      <c r="B336" s="3" t="inlineStr">
        <is>
          <t>001478</t>
        </is>
      </c>
      <c r="C336" s="3" t="inlineStr">
        <is>
          <t>000943</t>
        </is>
      </c>
      <c r="D336" s="4" t="n">
        <v>45302</v>
      </c>
      <c r="E336" s="2" t="inlineStr">
        <is>
          <t>13:46</t>
        </is>
      </c>
      <c r="F336" s="5">
        <f>C336-C335</f>
        <v/>
      </c>
      <c r="G336" s="5">
        <f>B336-B335</f>
        <v/>
      </c>
      <c r="H336" s="2">
        <f>IF(AND(F336=1,G336=1),"OK","À JUSTIFIER")</f>
        <v/>
      </c>
    </row>
    <row r="337">
      <c r="A337" s="2" t="inlineStr">
        <is>
          <t>EJ010224.TXT</t>
        </is>
      </c>
      <c r="B337" s="3" t="inlineStr">
        <is>
          <t>001479</t>
        </is>
      </c>
      <c r="C337" s="3" t="inlineStr">
        <is>
          <t>000944</t>
        </is>
      </c>
      <c r="D337" s="4" t="n">
        <v>45302</v>
      </c>
      <c r="E337" s="2" t="inlineStr">
        <is>
          <t>15:37</t>
        </is>
      </c>
      <c r="F337" s="5">
        <f>C337-C336</f>
        <v/>
      </c>
      <c r="G337" s="5">
        <f>B337-B336</f>
        <v/>
      </c>
      <c r="H337" s="2">
        <f>IF(AND(F337=1,G337=1),"OK","À JUSTIFIER")</f>
        <v/>
      </c>
    </row>
    <row r="338">
      <c r="A338" s="2" t="inlineStr">
        <is>
          <t>EJ010224.TXT</t>
        </is>
      </c>
      <c r="B338" s="3" t="inlineStr">
        <is>
          <t>001480</t>
        </is>
      </c>
      <c r="C338" s="3" t="inlineStr">
        <is>
          <t>000945</t>
        </is>
      </c>
      <c r="D338" s="4" t="n">
        <v>45303</v>
      </c>
      <c r="E338" s="2" t="inlineStr">
        <is>
          <t>16:31</t>
        </is>
      </c>
      <c r="F338" s="5">
        <f>C338-C337</f>
        <v/>
      </c>
      <c r="G338" s="5">
        <f>B338-B337</f>
        <v/>
      </c>
      <c r="H338" s="2">
        <f>IF(AND(F338=1,G338=1),"OK","À JUSTIFIER")</f>
        <v/>
      </c>
    </row>
    <row r="339">
      <c r="A339" s="2" t="inlineStr">
        <is>
          <t>EJ010224.TXT</t>
        </is>
      </c>
      <c r="B339" s="3" t="inlineStr">
        <is>
          <t>001481</t>
        </is>
      </c>
      <c r="C339" s="3" t="inlineStr">
        <is>
          <t>000946</t>
        </is>
      </c>
      <c r="D339" s="4" t="n">
        <v>45303</v>
      </c>
      <c r="E339" s="2" t="inlineStr">
        <is>
          <t>17:05</t>
        </is>
      </c>
      <c r="F339" s="5">
        <f>C339-C338</f>
        <v/>
      </c>
      <c r="G339" s="5">
        <f>B339-B338</f>
        <v/>
      </c>
      <c r="H339" s="2">
        <f>IF(AND(F339=1,G339=1),"OK","À JUSTIFIER")</f>
        <v/>
      </c>
    </row>
    <row r="340">
      <c r="A340" s="2" t="inlineStr">
        <is>
          <t>EJ010224.TXT</t>
        </is>
      </c>
      <c r="B340" s="3" t="inlineStr">
        <is>
          <t>001482</t>
        </is>
      </c>
      <c r="C340" s="3" t="inlineStr">
        <is>
          <t>000947</t>
        </is>
      </c>
      <c r="D340" s="4" t="n">
        <v>45303</v>
      </c>
      <c r="E340" s="2" t="inlineStr">
        <is>
          <t>17:14</t>
        </is>
      </c>
      <c r="F340" s="5">
        <f>C340-C339</f>
        <v/>
      </c>
      <c r="G340" s="5">
        <f>B340-B339</f>
        <v/>
      </c>
      <c r="H340" s="2">
        <f>IF(AND(F340=1,G340=1),"OK","À JUSTIFIER")</f>
        <v/>
      </c>
    </row>
    <row r="341">
      <c r="A341" s="2" t="inlineStr">
        <is>
          <t>EJ010224.TXT</t>
        </is>
      </c>
      <c r="B341" s="3" t="inlineStr">
        <is>
          <t>001484</t>
        </is>
      </c>
      <c r="C341" s="3" t="inlineStr">
        <is>
          <t>000948</t>
        </is>
      </c>
      <c r="D341" s="4" t="n">
        <v>45309</v>
      </c>
      <c r="E341" s="2" t="inlineStr">
        <is>
          <t>14:04</t>
        </is>
      </c>
      <c r="F341" s="5">
        <f>C341-C340</f>
        <v/>
      </c>
      <c r="G341" s="5">
        <f>B341-B340</f>
        <v/>
      </c>
      <c r="H341" s="2">
        <f>IF(AND(F341=1,G341=1),"OK","À JUSTIFIER")</f>
        <v/>
      </c>
    </row>
    <row r="342">
      <c r="A342" s="2" t="inlineStr">
        <is>
          <t>EJ010224.TXT</t>
        </is>
      </c>
      <c r="B342" s="3" t="inlineStr">
        <is>
          <t>001485</t>
        </is>
      </c>
      <c r="C342" s="3" t="inlineStr">
        <is>
          <t>000949</t>
        </is>
      </c>
      <c r="D342" s="4" t="n">
        <v>45310</v>
      </c>
      <c r="E342" s="2" t="inlineStr">
        <is>
          <t>12:41</t>
        </is>
      </c>
      <c r="F342" s="5">
        <f>C342-C341</f>
        <v/>
      </c>
      <c r="G342" s="5">
        <f>B342-B341</f>
        <v/>
      </c>
      <c r="H342" s="2">
        <f>IF(AND(F342=1,G342=1),"OK","À JUSTIFIER")</f>
        <v/>
      </c>
    </row>
    <row r="343">
      <c r="A343" s="2" t="inlineStr">
        <is>
          <t>EJ010224.TXT</t>
        </is>
      </c>
      <c r="B343" s="3" t="inlineStr">
        <is>
          <t>001486</t>
        </is>
      </c>
      <c r="C343" s="3" t="inlineStr">
        <is>
          <t>000950</t>
        </is>
      </c>
      <c r="D343" s="4" t="n">
        <v>45310</v>
      </c>
      <c r="E343" s="2" t="inlineStr">
        <is>
          <t>12:41</t>
        </is>
      </c>
      <c r="F343" s="5">
        <f>C343-C342</f>
        <v/>
      </c>
      <c r="G343" s="5">
        <f>B343-B342</f>
        <v/>
      </c>
      <c r="H343" s="2">
        <f>IF(AND(F343=1,G343=1),"OK","À JUSTIFIER")</f>
        <v/>
      </c>
    </row>
    <row r="344">
      <c r="A344" s="2" t="inlineStr">
        <is>
          <t>EJ010224.TXT</t>
        </is>
      </c>
      <c r="B344" s="3" t="inlineStr">
        <is>
          <t>001487</t>
        </is>
      </c>
      <c r="C344" s="3" t="inlineStr">
        <is>
          <t>000951</t>
        </is>
      </c>
      <c r="D344" s="4" t="n">
        <v>45310</v>
      </c>
      <c r="E344" s="2" t="inlineStr">
        <is>
          <t>13:59</t>
        </is>
      </c>
      <c r="F344" s="5">
        <f>C344-C343</f>
        <v/>
      </c>
      <c r="G344" s="5">
        <f>B344-B343</f>
        <v/>
      </c>
      <c r="H344" s="2">
        <f>IF(AND(F344=1,G344=1),"OK","À JUSTIFIER")</f>
        <v/>
      </c>
    </row>
    <row r="345">
      <c r="A345" s="2" t="inlineStr">
        <is>
          <t>EJ010224.TXT</t>
        </is>
      </c>
      <c r="B345" s="3" t="inlineStr">
        <is>
          <t>001488</t>
        </is>
      </c>
      <c r="C345" s="3" t="inlineStr">
        <is>
          <t>000952</t>
        </is>
      </c>
      <c r="D345" s="4" t="n">
        <v>45311</v>
      </c>
      <c r="E345" s="2" t="inlineStr">
        <is>
          <t>14:59</t>
        </is>
      </c>
      <c r="F345" s="5">
        <f>C345-C344</f>
        <v/>
      </c>
      <c r="G345" s="5">
        <f>B345-B344</f>
        <v/>
      </c>
      <c r="H345" s="2">
        <f>IF(AND(F345=1,G345=1),"OK","À JUSTIFIER")</f>
        <v/>
      </c>
    </row>
    <row r="346">
      <c r="A346" s="2" t="inlineStr">
        <is>
          <t>EJ010224.TXT</t>
        </is>
      </c>
      <c r="B346" s="3" t="inlineStr">
        <is>
          <t>001489</t>
        </is>
      </c>
      <c r="C346" s="3" t="inlineStr">
        <is>
          <t>000953</t>
        </is>
      </c>
      <c r="D346" s="4" t="n">
        <v>45311</v>
      </c>
      <c r="E346" s="2" t="inlineStr">
        <is>
          <t>15:19</t>
        </is>
      </c>
      <c r="F346" s="5">
        <f>C346-C345</f>
        <v/>
      </c>
      <c r="G346" s="5">
        <f>B346-B345</f>
        <v/>
      </c>
      <c r="H346" s="2">
        <f>IF(AND(F346=1,G346=1),"OK","À JUSTIFIER")</f>
        <v/>
      </c>
    </row>
    <row r="347">
      <c r="A347" s="2" t="inlineStr">
        <is>
          <t>EJ010224.TXT</t>
        </is>
      </c>
      <c r="B347" s="3" t="inlineStr">
        <is>
          <t>001490</t>
        </is>
      </c>
      <c r="C347" s="3" t="inlineStr">
        <is>
          <t>000954</t>
        </is>
      </c>
      <c r="D347" s="4" t="n">
        <v>45311</v>
      </c>
      <c r="E347" s="2" t="inlineStr">
        <is>
          <t>17:16</t>
        </is>
      </c>
      <c r="F347" s="5">
        <f>C347-C346</f>
        <v/>
      </c>
      <c r="G347" s="5">
        <f>B347-B346</f>
        <v/>
      </c>
      <c r="H347" s="2">
        <f>IF(AND(F347=1,G347=1),"OK","À JUSTIFIER")</f>
        <v/>
      </c>
    </row>
    <row r="348">
      <c r="A348" s="2" t="inlineStr">
        <is>
          <t>EJ010224.TXT</t>
        </is>
      </c>
      <c r="B348" s="3" t="inlineStr">
        <is>
          <t>001491</t>
        </is>
      </c>
      <c r="C348" s="3" t="inlineStr">
        <is>
          <t>000955</t>
        </is>
      </c>
      <c r="D348" s="4" t="n">
        <v>45314</v>
      </c>
      <c r="E348" s="2" t="inlineStr">
        <is>
          <t>14:49</t>
        </is>
      </c>
      <c r="F348" s="5">
        <f>C348-C347</f>
        <v/>
      </c>
      <c r="G348" s="5">
        <f>B348-B347</f>
        <v/>
      </c>
      <c r="H348" s="2">
        <f>IF(AND(F348=1,G348=1),"OK","À JUSTIFIER")</f>
        <v/>
      </c>
    </row>
    <row r="349">
      <c r="A349" s="2" t="inlineStr">
        <is>
          <t>EJ010224.TXT</t>
        </is>
      </c>
      <c r="B349" s="3" t="inlineStr">
        <is>
          <t>001492</t>
        </is>
      </c>
      <c r="C349" s="3" t="inlineStr">
        <is>
          <t>000956</t>
        </is>
      </c>
      <c r="D349" s="4" t="n">
        <v>45317</v>
      </c>
      <c r="E349" s="2" t="inlineStr">
        <is>
          <t>16:10</t>
        </is>
      </c>
      <c r="F349" s="5">
        <f>C349-C348</f>
        <v/>
      </c>
      <c r="G349" s="5">
        <f>B349-B348</f>
        <v/>
      </c>
      <c r="H349" s="2">
        <f>IF(AND(F349=1,G349=1),"OK","À JUSTIFIER")</f>
        <v/>
      </c>
    </row>
    <row r="350">
      <c r="A350" s="2" t="inlineStr">
        <is>
          <t>EJ010224.TXT</t>
        </is>
      </c>
      <c r="B350" s="3" t="inlineStr">
        <is>
          <t>001493</t>
        </is>
      </c>
      <c r="C350" s="3" t="inlineStr">
        <is>
          <t>000957</t>
        </is>
      </c>
      <c r="D350" s="4" t="n">
        <v>45318</v>
      </c>
      <c r="E350" s="2" t="inlineStr">
        <is>
          <t>14:32</t>
        </is>
      </c>
      <c r="F350" s="5">
        <f>C350-C349</f>
        <v/>
      </c>
      <c r="G350" s="5">
        <f>B350-B349</f>
        <v/>
      </c>
      <c r="H350" s="2">
        <f>IF(AND(F350=1,G350=1),"OK","À JUSTIFIER")</f>
        <v/>
      </c>
    </row>
    <row r="351">
      <c r="A351" s="2" t="inlineStr">
        <is>
          <t>EJ010224.TXT</t>
        </is>
      </c>
      <c r="B351" s="3" t="inlineStr">
        <is>
          <t>001494</t>
        </is>
      </c>
      <c r="C351" s="3" t="inlineStr">
        <is>
          <t>000958</t>
        </is>
      </c>
      <c r="D351" s="4" t="n">
        <v>45318</v>
      </c>
      <c r="E351" s="2" t="inlineStr">
        <is>
          <t>16:20</t>
        </is>
      </c>
      <c r="F351" s="5">
        <f>C351-C350</f>
        <v/>
      </c>
      <c r="G351" s="5">
        <f>B351-B350</f>
        <v/>
      </c>
      <c r="H351" s="2">
        <f>IF(AND(F351=1,G351=1),"OK","À JUSTIFIER")</f>
        <v/>
      </c>
    </row>
    <row r="352">
      <c r="A352" s="2" t="inlineStr">
        <is>
          <t>EJ010224.TXT</t>
        </is>
      </c>
      <c r="B352" s="3" t="inlineStr">
        <is>
          <t>001495</t>
        </is>
      </c>
      <c r="C352" s="3" t="inlineStr">
        <is>
          <t>000959</t>
        </is>
      </c>
      <c r="D352" s="4" t="n">
        <v>45318</v>
      </c>
      <c r="E352" s="2" t="inlineStr">
        <is>
          <t>16:59</t>
        </is>
      </c>
      <c r="F352" s="5">
        <f>C352-C351</f>
        <v/>
      </c>
      <c r="G352" s="5">
        <f>B352-B351</f>
        <v/>
      </c>
      <c r="H352" s="2">
        <f>IF(AND(F352=1,G352=1),"OK","À JUSTIFIER")</f>
        <v/>
      </c>
    </row>
    <row r="353">
      <c r="A353" s="2" t="inlineStr">
        <is>
          <t>EJ010224.TXT</t>
        </is>
      </c>
      <c r="B353" s="3" t="inlineStr">
        <is>
          <t>001496</t>
        </is>
      </c>
      <c r="C353" s="3" t="inlineStr">
        <is>
          <t>000960</t>
        </is>
      </c>
      <c r="D353" s="4" t="n">
        <v>45318</v>
      </c>
      <c r="E353" s="2" t="inlineStr">
        <is>
          <t>17:17</t>
        </is>
      </c>
      <c r="F353" s="5">
        <f>C353-C352</f>
        <v/>
      </c>
      <c r="G353" s="5">
        <f>B353-B352</f>
        <v/>
      </c>
      <c r="H353" s="2">
        <f>IF(AND(F353=1,G353=1),"OK","À JUSTIFIER")</f>
        <v/>
      </c>
    </row>
    <row r="354">
      <c r="A354" s="2" t="inlineStr">
        <is>
          <t>EJ010224.TXT</t>
        </is>
      </c>
      <c r="B354" s="3" t="inlineStr">
        <is>
          <t>001497</t>
        </is>
      </c>
      <c r="C354" s="3" t="inlineStr">
        <is>
          <t>000961</t>
        </is>
      </c>
      <c r="D354" s="4" t="n">
        <v>45318</v>
      </c>
      <c r="E354" s="2" t="inlineStr">
        <is>
          <t>17:23</t>
        </is>
      </c>
      <c r="F354" s="5">
        <f>C354-C353</f>
        <v/>
      </c>
      <c r="G354" s="5">
        <f>B354-B353</f>
        <v/>
      </c>
      <c r="H354" s="2">
        <f>IF(AND(F354=1,G354=1),"OK","À JUSTIFIER")</f>
        <v/>
      </c>
    </row>
    <row r="355">
      <c r="A355" s="2" t="inlineStr">
        <is>
          <t>EJ010224.TXT</t>
        </is>
      </c>
      <c r="B355" s="3" t="inlineStr">
        <is>
          <t>001498</t>
        </is>
      </c>
      <c r="C355" s="3" t="inlineStr">
        <is>
          <t>000962</t>
        </is>
      </c>
      <c r="D355" s="4" t="n">
        <v>45320</v>
      </c>
      <c r="E355" s="2" t="inlineStr">
        <is>
          <t>14:52</t>
        </is>
      </c>
      <c r="F355" s="5">
        <f>C355-C354</f>
        <v/>
      </c>
      <c r="G355" s="5">
        <f>B355-B354</f>
        <v/>
      </c>
      <c r="H355" s="2">
        <f>IF(AND(F355=1,G355=1),"OK","À JUSTIFIER")</f>
        <v/>
      </c>
    </row>
    <row r="356">
      <c r="A356" s="2" t="inlineStr">
        <is>
          <t>EJ010224.TXT</t>
        </is>
      </c>
      <c r="B356" s="3" t="inlineStr">
        <is>
          <t>001499</t>
        </is>
      </c>
      <c r="C356" s="3" t="inlineStr">
        <is>
          <t>000963</t>
        </is>
      </c>
      <c r="D356" s="4" t="n">
        <v>45321</v>
      </c>
      <c r="E356" s="2" t="inlineStr">
        <is>
          <t>15:29</t>
        </is>
      </c>
      <c r="F356" s="5">
        <f>C356-C355</f>
        <v/>
      </c>
      <c r="G356" s="5">
        <f>B356-B355</f>
        <v/>
      </c>
      <c r="H356" s="2">
        <f>IF(AND(F356=1,G356=1),"OK","À JUSTIFIER")</f>
        <v/>
      </c>
    </row>
    <row r="357">
      <c r="A357" s="2" t="inlineStr">
        <is>
          <t>EJ010224.TXT</t>
        </is>
      </c>
      <c r="B357" s="3" t="inlineStr">
        <is>
          <t>001500</t>
        </is>
      </c>
      <c r="C357" s="3" t="inlineStr">
        <is>
          <t>000964</t>
        </is>
      </c>
      <c r="D357" s="4" t="n">
        <v>45321</v>
      </c>
      <c r="E357" s="2" t="inlineStr">
        <is>
          <t>17:41</t>
        </is>
      </c>
      <c r="F357" s="5">
        <f>C357-C356</f>
        <v/>
      </c>
      <c r="G357" s="5">
        <f>B357-B356</f>
        <v/>
      </c>
      <c r="H357" s="2">
        <f>IF(AND(F357=1,G357=1),"OK","À JUSTIFIER")</f>
        <v/>
      </c>
    </row>
    <row r="358">
      <c r="A358" s="2" t="inlineStr">
        <is>
          <t>EJ010224.TXT</t>
        </is>
      </c>
      <c r="B358" s="3" t="inlineStr">
        <is>
          <t>001503</t>
        </is>
      </c>
      <c r="C358" s="3" t="inlineStr">
        <is>
          <t>000965</t>
        </is>
      </c>
      <c r="D358" s="4" t="n">
        <v>45322</v>
      </c>
      <c r="E358" s="2" t="inlineStr">
        <is>
          <t>11:00</t>
        </is>
      </c>
      <c r="F358" s="5">
        <f>C358-C357</f>
        <v/>
      </c>
      <c r="G358" s="5">
        <f>B358-B357</f>
        <v/>
      </c>
      <c r="H358" s="2">
        <f>IF(AND(F358=1,G358=1),"OK","À JUSTIFIER")</f>
        <v/>
      </c>
    </row>
    <row r="359">
      <c r="A359" s="2" t="inlineStr">
        <is>
          <t>EJ010324.TXT</t>
        </is>
      </c>
      <c r="B359" s="3" t="inlineStr">
        <is>
          <t>001509</t>
        </is>
      </c>
      <c r="C359" s="3" t="inlineStr">
        <is>
          <t>000966</t>
        </is>
      </c>
      <c r="D359" s="4" t="n">
        <v>45323</v>
      </c>
      <c r="E359" s="2" t="inlineStr">
        <is>
          <t>11:10</t>
        </is>
      </c>
      <c r="F359" s="5">
        <f>C359-C358</f>
        <v/>
      </c>
      <c r="G359" s="5">
        <f>B359-B358</f>
        <v/>
      </c>
      <c r="H359" s="2">
        <f>IF(AND(F359=1,G359=1),"OK","À JUSTIFIER")</f>
        <v/>
      </c>
    </row>
    <row r="360">
      <c r="A360" s="2" t="inlineStr">
        <is>
          <t>EJ010324.TXT</t>
        </is>
      </c>
      <c r="B360" s="3" t="inlineStr">
        <is>
          <t>001510</t>
        </is>
      </c>
      <c r="C360" s="3" t="inlineStr">
        <is>
          <t>000967</t>
        </is>
      </c>
      <c r="D360" s="4" t="n">
        <v>45323</v>
      </c>
      <c r="E360" s="2" t="inlineStr">
        <is>
          <t>14:37</t>
        </is>
      </c>
      <c r="F360" s="5">
        <f>C360-C359</f>
        <v/>
      </c>
      <c r="G360" s="5">
        <f>B360-B359</f>
        <v/>
      </c>
      <c r="H360" s="2">
        <f>IF(AND(F360=1,G360=1),"OK","À JUSTIFIER")</f>
        <v/>
      </c>
    </row>
    <row r="361">
      <c r="A361" s="2" t="inlineStr">
        <is>
          <t>EJ010324.TXT</t>
        </is>
      </c>
      <c r="B361" s="3" t="inlineStr">
        <is>
          <t>001511</t>
        </is>
      </c>
      <c r="C361" s="3" t="inlineStr">
        <is>
          <t>000968</t>
        </is>
      </c>
      <c r="D361" s="4" t="n">
        <v>45323</v>
      </c>
      <c r="E361" s="2" t="inlineStr">
        <is>
          <t>16:17</t>
        </is>
      </c>
      <c r="F361" s="5">
        <f>C361-C360</f>
        <v/>
      </c>
      <c r="G361" s="5">
        <f>B361-B360</f>
        <v/>
      </c>
      <c r="H361" s="2">
        <f>IF(AND(F361=1,G361=1),"OK","À JUSTIFIER")</f>
        <v/>
      </c>
    </row>
    <row r="362">
      <c r="A362" s="2" t="inlineStr">
        <is>
          <t>EJ010324.TXT</t>
        </is>
      </c>
      <c r="B362" s="3" t="inlineStr">
        <is>
          <t>001515</t>
        </is>
      </c>
      <c r="C362" s="3" t="inlineStr">
        <is>
          <t>000969</t>
        </is>
      </c>
      <c r="D362" s="4" t="n">
        <v>45324</v>
      </c>
      <c r="E362" s="2" t="inlineStr">
        <is>
          <t>16:46</t>
        </is>
      </c>
      <c r="F362" s="5">
        <f>C362-C361</f>
        <v/>
      </c>
      <c r="G362" s="5">
        <f>B362-B361</f>
        <v/>
      </c>
      <c r="H362" s="2">
        <f>IF(AND(F362=1,G362=1),"OK","À JUSTIFIER")</f>
        <v/>
      </c>
    </row>
    <row r="363">
      <c r="A363" s="2" t="inlineStr">
        <is>
          <t>EJ010324.TXT</t>
        </is>
      </c>
      <c r="B363" s="3" t="inlineStr">
        <is>
          <t>001516</t>
        </is>
      </c>
      <c r="C363" s="3" t="inlineStr">
        <is>
          <t>000970</t>
        </is>
      </c>
      <c r="D363" s="4" t="n">
        <v>45325</v>
      </c>
      <c r="E363" s="2" t="inlineStr">
        <is>
          <t>15:24</t>
        </is>
      </c>
      <c r="F363" s="5">
        <f>C363-C362</f>
        <v/>
      </c>
      <c r="G363" s="5">
        <f>B363-B362</f>
        <v/>
      </c>
      <c r="H363" s="2">
        <f>IF(AND(F363=1,G363=1),"OK","À JUSTIFIER")</f>
        <v/>
      </c>
    </row>
    <row r="364">
      <c r="A364" s="2" t="inlineStr">
        <is>
          <t>EJ010324.TXT</t>
        </is>
      </c>
      <c r="B364" s="3" t="inlineStr">
        <is>
          <t>001517</t>
        </is>
      </c>
      <c r="C364" s="3" t="inlineStr">
        <is>
          <t>000971</t>
        </is>
      </c>
      <c r="D364" s="4" t="n">
        <v>45325</v>
      </c>
      <c r="E364" s="2" t="inlineStr">
        <is>
          <t>17:34</t>
        </is>
      </c>
      <c r="F364" s="5">
        <f>C364-C363</f>
        <v/>
      </c>
      <c r="G364" s="5">
        <f>B364-B363</f>
        <v/>
      </c>
      <c r="H364" s="2">
        <f>IF(AND(F364=1,G364=1),"OK","À JUSTIFIER")</f>
        <v/>
      </c>
    </row>
    <row r="365">
      <c r="A365" s="2" t="inlineStr">
        <is>
          <t>EJ010324.TXT</t>
        </is>
      </c>
      <c r="B365" s="3" t="inlineStr">
        <is>
          <t>001518</t>
        </is>
      </c>
      <c r="C365" s="3" t="inlineStr">
        <is>
          <t>000972</t>
        </is>
      </c>
      <c r="D365" s="4" t="n">
        <v>45327</v>
      </c>
      <c r="E365" s="2" t="inlineStr">
        <is>
          <t>12:32</t>
        </is>
      </c>
      <c r="F365" s="5">
        <f>C365-C364</f>
        <v/>
      </c>
      <c r="G365" s="5">
        <f>B365-B364</f>
        <v/>
      </c>
      <c r="H365" s="2">
        <f>IF(AND(F365=1,G365=1),"OK","À JUSTIFIER")</f>
        <v/>
      </c>
    </row>
    <row r="366">
      <c r="A366" s="2" t="inlineStr">
        <is>
          <t>EJ010324.TXT</t>
        </is>
      </c>
      <c r="B366" s="3" t="inlineStr">
        <is>
          <t>001520</t>
        </is>
      </c>
      <c r="C366" s="3" t="inlineStr">
        <is>
          <t>000973</t>
        </is>
      </c>
      <c r="D366" s="4" t="n">
        <v>45327</v>
      </c>
      <c r="E366" s="2" t="inlineStr">
        <is>
          <t>12:40</t>
        </is>
      </c>
      <c r="F366" s="5">
        <f>C366-C365</f>
        <v/>
      </c>
      <c r="G366" s="5">
        <f>B366-B365</f>
        <v/>
      </c>
      <c r="H366" s="2">
        <f>IF(AND(F366=1,G366=1),"OK","À JUSTIFIER")</f>
        <v/>
      </c>
    </row>
    <row r="367">
      <c r="A367" s="2" t="inlineStr">
        <is>
          <t>EJ010324.TXT</t>
        </is>
      </c>
      <c r="B367" s="3" t="inlineStr">
        <is>
          <t>001523</t>
        </is>
      </c>
      <c r="C367" s="3" t="inlineStr">
        <is>
          <t>000974</t>
        </is>
      </c>
      <c r="D367" s="4" t="n">
        <v>45328</v>
      </c>
      <c r="E367" s="2" t="inlineStr">
        <is>
          <t>12:54</t>
        </is>
      </c>
      <c r="F367" s="5">
        <f>C367-C366</f>
        <v/>
      </c>
      <c r="G367" s="5">
        <f>B367-B366</f>
        <v/>
      </c>
      <c r="H367" s="2">
        <f>IF(AND(F367=1,G367=1),"OK","À JUSTIFIER")</f>
        <v/>
      </c>
    </row>
    <row r="368">
      <c r="A368" s="2" t="inlineStr">
        <is>
          <t>EJ010324.TXT</t>
        </is>
      </c>
      <c r="B368" s="3" t="inlineStr">
        <is>
          <t>001524</t>
        </is>
      </c>
      <c r="C368" s="3" t="inlineStr">
        <is>
          <t>000975</t>
        </is>
      </c>
      <c r="D368" s="4" t="n">
        <v>45328</v>
      </c>
      <c r="E368" s="2" t="inlineStr">
        <is>
          <t>13:36</t>
        </is>
      </c>
      <c r="F368" s="5">
        <f>C368-C367</f>
        <v/>
      </c>
      <c r="G368" s="5">
        <f>B368-B367</f>
        <v/>
      </c>
      <c r="H368" s="2">
        <f>IF(AND(F368=1,G368=1),"OK","À JUSTIFIER")</f>
        <v/>
      </c>
    </row>
    <row r="369">
      <c r="A369" s="2" t="inlineStr">
        <is>
          <t>EJ010324.TXT</t>
        </is>
      </c>
      <c r="B369" s="3" t="inlineStr">
        <is>
          <t>001525</t>
        </is>
      </c>
      <c r="C369" s="3" t="inlineStr">
        <is>
          <t>000976</t>
        </is>
      </c>
      <c r="D369" s="4" t="n">
        <v>45328</v>
      </c>
      <c r="E369" s="2" t="inlineStr">
        <is>
          <t>16:24</t>
        </is>
      </c>
      <c r="F369" s="5">
        <f>C369-C368</f>
        <v/>
      </c>
      <c r="G369" s="5">
        <f>B369-B368</f>
        <v/>
      </c>
      <c r="H369" s="2">
        <f>IF(AND(F369=1,G369=1),"OK","À JUSTIFIER")</f>
        <v/>
      </c>
    </row>
    <row r="370">
      <c r="A370" s="2" t="inlineStr">
        <is>
          <t>EJ010324.TXT</t>
        </is>
      </c>
      <c r="B370" s="3" t="inlineStr">
        <is>
          <t>001526</t>
        </is>
      </c>
      <c r="C370" s="3" t="inlineStr">
        <is>
          <t>000977</t>
        </is>
      </c>
      <c r="D370" s="4" t="n">
        <v>45328</v>
      </c>
      <c r="E370" s="2" t="inlineStr">
        <is>
          <t>16:55</t>
        </is>
      </c>
      <c r="F370" s="5">
        <f>C370-C369</f>
        <v/>
      </c>
      <c r="G370" s="5">
        <f>B370-B369</f>
        <v/>
      </c>
      <c r="H370" s="2">
        <f>IF(AND(F370=1,G370=1),"OK","À JUSTIFIER")</f>
        <v/>
      </c>
    </row>
    <row r="371">
      <c r="A371" s="2" t="inlineStr">
        <is>
          <t>EJ010324.TXT</t>
        </is>
      </c>
      <c r="B371" s="3" t="inlineStr">
        <is>
          <t>001527</t>
        </is>
      </c>
      <c r="C371" s="3" t="inlineStr">
        <is>
          <t>000978</t>
        </is>
      </c>
      <c r="D371" s="4" t="n">
        <v>45329</v>
      </c>
      <c r="E371" s="2" t="inlineStr">
        <is>
          <t>10:37</t>
        </is>
      </c>
      <c r="F371" s="5">
        <f>C371-C370</f>
        <v/>
      </c>
      <c r="G371" s="5">
        <f>B371-B370</f>
        <v/>
      </c>
      <c r="H371" s="2">
        <f>IF(AND(F371=1,G371=1),"OK","À JUSTIFIER")</f>
        <v/>
      </c>
    </row>
    <row r="372">
      <c r="A372" s="2" t="inlineStr">
        <is>
          <t>EJ010324.TXT</t>
        </is>
      </c>
      <c r="B372" s="3" t="inlineStr">
        <is>
          <t>001528</t>
        </is>
      </c>
      <c r="C372" s="3" t="inlineStr">
        <is>
          <t>000979</t>
        </is>
      </c>
      <c r="D372" s="4" t="n">
        <v>45329</v>
      </c>
      <c r="E372" s="2" t="inlineStr">
        <is>
          <t>12:29</t>
        </is>
      </c>
      <c r="F372" s="5">
        <f>C372-C371</f>
        <v/>
      </c>
      <c r="G372" s="5">
        <f>B372-B371</f>
        <v/>
      </c>
      <c r="H372" s="2">
        <f>IF(AND(F372=1,G372=1),"OK","À JUSTIFIER")</f>
        <v/>
      </c>
    </row>
    <row r="373">
      <c r="A373" s="2" t="inlineStr">
        <is>
          <t>EJ010324.TXT</t>
        </is>
      </c>
      <c r="B373" s="3" t="inlineStr">
        <is>
          <t>001529</t>
        </is>
      </c>
      <c r="C373" s="3" t="inlineStr">
        <is>
          <t>000980</t>
        </is>
      </c>
      <c r="D373" s="4" t="n">
        <v>45329</v>
      </c>
      <c r="E373" s="2" t="inlineStr">
        <is>
          <t>15:20</t>
        </is>
      </c>
      <c r="F373" s="5">
        <f>C373-C372</f>
        <v/>
      </c>
      <c r="G373" s="5">
        <f>B373-B372</f>
        <v/>
      </c>
      <c r="H373" s="2">
        <f>IF(AND(F373=1,G373=1),"OK","À JUSTIFIER")</f>
        <v/>
      </c>
    </row>
    <row r="374">
      <c r="A374" s="2" t="inlineStr">
        <is>
          <t>EJ010324.TXT</t>
        </is>
      </c>
      <c r="B374" s="3" t="inlineStr">
        <is>
          <t>001530</t>
        </is>
      </c>
      <c r="C374" s="3" t="inlineStr">
        <is>
          <t>000981</t>
        </is>
      </c>
      <c r="D374" s="4" t="n">
        <v>45329</v>
      </c>
      <c r="E374" s="2" t="inlineStr">
        <is>
          <t>15:56</t>
        </is>
      </c>
      <c r="F374" s="5">
        <f>C374-C373</f>
        <v/>
      </c>
      <c r="G374" s="5">
        <f>B374-B373</f>
        <v/>
      </c>
      <c r="H374" s="2">
        <f>IF(AND(F374=1,G374=1),"OK","À JUSTIFIER")</f>
        <v/>
      </c>
    </row>
    <row r="375">
      <c r="A375" s="2" t="inlineStr">
        <is>
          <t>EJ010324.TXT</t>
        </is>
      </c>
      <c r="B375" s="3" t="inlineStr">
        <is>
          <t>001532</t>
        </is>
      </c>
      <c r="C375" s="3" t="inlineStr">
        <is>
          <t>000982</t>
        </is>
      </c>
      <c r="D375" s="4" t="n">
        <v>45330</v>
      </c>
      <c r="E375" s="2" t="inlineStr">
        <is>
          <t>15:29</t>
        </is>
      </c>
      <c r="F375" s="5">
        <f>C375-C374</f>
        <v/>
      </c>
      <c r="G375" s="5">
        <f>B375-B374</f>
        <v/>
      </c>
      <c r="H375" s="2">
        <f>IF(AND(F375=1,G375=1),"OK","À JUSTIFIER")</f>
        <v/>
      </c>
    </row>
    <row r="376">
      <c r="A376" s="2" t="inlineStr">
        <is>
          <t>EJ010324.TXT</t>
        </is>
      </c>
      <c r="B376" s="3" t="inlineStr">
        <is>
          <t>001533</t>
        </is>
      </c>
      <c r="C376" s="3" t="inlineStr">
        <is>
          <t>000983</t>
        </is>
      </c>
      <c r="D376" s="4" t="n">
        <v>45330</v>
      </c>
      <c r="E376" s="2" t="inlineStr">
        <is>
          <t>15:31</t>
        </is>
      </c>
      <c r="F376" s="5">
        <f>C376-C375</f>
        <v/>
      </c>
      <c r="G376" s="5">
        <f>B376-B375</f>
        <v/>
      </c>
      <c r="H376" s="2">
        <f>IF(AND(F376=1,G376=1),"OK","À JUSTIFIER")</f>
        <v/>
      </c>
    </row>
    <row r="377">
      <c r="A377" s="2" t="inlineStr">
        <is>
          <t>EJ010324.TXT</t>
        </is>
      </c>
      <c r="B377" s="3" t="inlineStr">
        <is>
          <t>001534</t>
        </is>
      </c>
      <c r="C377" s="3" t="inlineStr">
        <is>
          <t>000984</t>
        </is>
      </c>
      <c r="D377" s="4" t="n">
        <v>45331</v>
      </c>
      <c r="E377" s="2" t="inlineStr">
        <is>
          <t>10:18</t>
        </is>
      </c>
      <c r="F377" s="5">
        <f>C377-C376</f>
        <v/>
      </c>
      <c r="G377" s="5">
        <f>B377-B376</f>
        <v/>
      </c>
      <c r="H377" s="2">
        <f>IF(AND(F377=1,G377=1),"OK","À JUSTIFIER")</f>
        <v/>
      </c>
    </row>
    <row r="378">
      <c r="A378" s="2" t="inlineStr">
        <is>
          <t>EJ010324.TXT</t>
        </is>
      </c>
      <c r="B378" s="3" t="inlineStr">
        <is>
          <t>001536</t>
        </is>
      </c>
      <c r="C378" s="3" t="inlineStr">
        <is>
          <t>000985</t>
        </is>
      </c>
      <c r="D378" s="4" t="n">
        <v>45331</v>
      </c>
      <c r="E378" s="2" t="inlineStr">
        <is>
          <t>12:54</t>
        </is>
      </c>
      <c r="F378" s="5">
        <f>C378-C377</f>
        <v/>
      </c>
      <c r="G378" s="5">
        <f>B378-B377</f>
        <v/>
      </c>
      <c r="H378" s="2">
        <f>IF(AND(F378=1,G378=1),"OK","À JUSTIFIER")</f>
        <v/>
      </c>
    </row>
    <row r="379">
      <c r="A379" s="2" t="inlineStr">
        <is>
          <t>EJ010324.TXT</t>
        </is>
      </c>
      <c r="B379" s="3" t="inlineStr">
        <is>
          <t>001538</t>
        </is>
      </c>
      <c r="C379" s="3" t="inlineStr">
        <is>
          <t>000986</t>
        </is>
      </c>
      <c r="D379" s="4" t="n">
        <v>45331</v>
      </c>
      <c r="E379" s="2" t="inlineStr">
        <is>
          <t>14:12</t>
        </is>
      </c>
      <c r="F379" s="5">
        <f>C379-C378</f>
        <v/>
      </c>
      <c r="G379" s="5">
        <f>B379-B378</f>
        <v/>
      </c>
      <c r="H379" s="2">
        <f>IF(AND(F379=1,G379=1),"OK","À JUSTIFIER")</f>
        <v/>
      </c>
    </row>
    <row r="380">
      <c r="A380" s="2" t="inlineStr">
        <is>
          <t>EJ010324.TXT</t>
        </is>
      </c>
      <c r="B380" s="3" t="inlineStr">
        <is>
          <t>001539</t>
        </is>
      </c>
      <c r="C380" s="3" t="inlineStr">
        <is>
          <t>000987</t>
        </is>
      </c>
      <c r="D380" s="4" t="n">
        <v>45331</v>
      </c>
      <c r="E380" s="2" t="inlineStr">
        <is>
          <t>15:14</t>
        </is>
      </c>
      <c r="F380" s="5">
        <f>C380-C379</f>
        <v/>
      </c>
      <c r="G380" s="5">
        <f>B380-B379</f>
        <v/>
      </c>
      <c r="H380" s="2">
        <f>IF(AND(F380=1,G380=1),"OK","À JUSTIFIER")</f>
        <v/>
      </c>
    </row>
    <row r="381">
      <c r="A381" s="2" t="inlineStr">
        <is>
          <t>EJ010324.TXT</t>
        </is>
      </c>
      <c r="B381" s="3" t="inlineStr">
        <is>
          <t>001540</t>
        </is>
      </c>
      <c r="C381" s="3" t="inlineStr">
        <is>
          <t>000988</t>
        </is>
      </c>
      <c r="D381" s="4" t="n">
        <v>45331</v>
      </c>
      <c r="E381" s="2" t="inlineStr">
        <is>
          <t>16:52</t>
        </is>
      </c>
      <c r="F381" s="5">
        <f>C381-C380</f>
        <v/>
      </c>
      <c r="G381" s="5">
        <f>B381-B380</f>
        <v/>
      </c>
      <c r="H381" s="2">
        <f>IF(AND(F381=1,G381=1),"OK","À JUSTIFIER")</f>
        <v/>
      </c>
    </row>
    <row r="382">
      <c r="A382" s="2" t="inlineStr">
        <is>
          <t>EJ010324.TXT</t>
        </is>
      </c>
      <c r="B382" s="3" t="inlineStr">
        <is>
          <t>001541</t>
        </is>
      </c>
      <c r="C382" s="3" t="inlineStr">
        <is>
          <t>000989</t>
        </is>
      </c>
      <c r="D382" s="4" t="n">
        <v>45331</v>
      </c>
      <c r="E382" s="2" t="inlineStr">
        <is>
          <t>17:11</t>
        </is>
      </c>
      <c r="F382" s="5">
        <f>C382-C381</f>
        <v/>
      </c>
      <c r="G382" s="5">
        <f>B382-B381</f>
        <v/>
      </c>
      <c r="H382" s="2">
        <f>IF(AND(F382=1,G382=1),"OK","À JUSTIFIER")</f>
        <v/>
      </c>
    </row>
    <row r="383">
      <c r="A383" s="2" t="inlineStr">
        <is>
          <t>EJ010324.TXT</t>
        </is>
      </c>
      <c r="B383" s="3" t="inlineStr">
        <is>
          <t>001542</t>
        </is>
      </c>
      <c r="C383" s="3" t="inlineStr">
        <is>
          <t>000990</t>
        </is>
      </c>
      <c r="D383" s="4" t="n">
        <v>45334</v>
      </c>
      <c r="E383" s="2" t="inlineStr">
        <is>
          <t>10:09</t>
        </is>
      </c>
      <c r="F383" s="5">
        <f>C383-C382</f>
        <v/>
      </c>
      <c r="G383" s="5">
        <f>B383-B382</f>
        <v/>
      </c>
      <c r="H383" s="2">
        <f>IF(AND(F383=1,G383=1),"OK","À JUSTIFIER")</f>
        <v/>
      </c>
    </row>
    <row r="384">
      <c r="A384" s="2" t="inlineStr">
        <is>
          <t>EJ010324.TXT</t>
        </is>
      </c>
      <c r="B384" s="3" t="inlineStr">
        <is>
          <t>001543</t>
        </is>
      </c>
      <c r="C384" s="3" t="inlineStr">
        <is>
          <t>000991</t>
        </is>
      </c>
      <c r="D384" s="4" t="n">
        <v>45336</v>
      </c>
      <c r="E384" s="2" t="inlineStr">
        <is>
          <t>14:51</t>
        </is>
      </c>
      <c r="F384" s="5">
        <f>C384-C383</f>
        <v/>
      </c>
      <c r="G384" s="5">
        <f>B384-B383</f>
        <v/>
      </c>
      <c r="H384" s="2">
        <f>IF(AND(F384=1,G384=1),"OK","À JUSTIFIER")</f>
        <v/>
      </c>
    </row>
    <row r="385">
      <c r="A385" s="2" t="inlineStr">
        <is>
          <t>EJ010324.TXT</t>
        </is>
      </c>
      <c r="B385" s="3" t="inlineStr">
        <is>
          <t>001544</t>
        </is>
      </c>
      <c r="C385" s="3" t="inlineStr">
        <is>
          <t>000992</t>
        </is>
      </c>
      <c r="D385" s="4" t="n">
        <v>45337</v>
      </c>
      <c r="E385" s="2" t="inlineStr">
        <is>
          <t>15:34</t>
        </is>
      </c>
      <c r="F385" s="5">
        <f>C385-C384</f>
        <v/>
      </c>
      <c r="G385" s="5">
        <f>B385-B384</f>
        <v/>
      </c>
      <c r="H385" s="2">
        <f>IF(AND(F385=1,G385=1),"OK","À JUSTIFIER")</f>
        <v/>
      </c>
    </row>
    <row r="386">
      <c r="A386" s="2" t="inlineStr">
        <is>
          <t>EJ010324.TXT</t>
        </is>
      </c>
      <c r="B386" s="3" t="inlineStr">
        <is>
          <t>001545</t>
        </is>
      </c>
      <c r="C386" s="3" t="inlineStr">
        <is>
          <t>000993</t>
        </is>
      </c>
      <c r="D386" s="4" t="n">
        <v>45337</v>
      </c>
      <c r="E386" s="2" t="inlineStr">
        <is>
          <t>16:06</t>
        </is>
      </c>
      <c r="F386" s="5">
        <f>C386-C385</f>
        <v/>
      </c>
      <c r="G386" s="5">
        <f>B386-B385</f>
        <v/>
      </c>
      <c r="H386" s="2">
        <f>IF(AND(F386=1,G386=1),"OK","À JUSTIFIER")</f>
        <v/>
      </c>
    </row>
    <row r="387">
      <c r="A387" s="2" t="inlineStr">
        <is>
          <t>EJ010324.TXT</t>
        </is>
      </c>
      <c r="B387" s="3" t="inlineStr">
        <is>
          <t>001546</t>
        </is>
      </c>
      <c r="C387" s="3" t="inlineStr">
        <is>
          <t>000994</t>
        </is>
      </c>
      <c r="D387" s="4" t="n">
        <v>45337</v>
      </c>
      <c r="E387" s="2" t="inlineStr">
        <is>
          <t>16:18</t>
        </is>
      </c>
      <c r="F387" s="5">
        <f>C387-C386</f>
        <v/>
      </c>
      <c r="G387" s="5">
        <f>B387-B386</f>
        <v/>
      </c>
      <c r="H387" s="2">
        <f>IF(AND(F387=1,G387=1),"OK","À JUSTIFIER")</f>
        <v/>
      </c>
    </row>
    <row r="388">
      <c r="A388" s="2" t="inlineStr">
        <is>
          <t>EJ010324.TXT</t>
        </is>
      </c>
      <c r="B388" s="3" t="inlineStr">
        <is>
          <t>001548</t>
        </is>
      </c>
      <c r="C388" s="3" t="inlineStr">
        <is>
          <t>000995</t>
        </is>
      </c>
      <c r="D388" s="4" t="n">
        <v>45338</v>
      </c>
      <c r="E388" s="2" t="inlineStr">
        <is>
          <t>14:44</t>
        </is>
      </c>
      <c r="F388" s="5">
        <f>C388-C387</f>
        <v/>
      </c>
      <c r="G388" s="5">
        <f>B388-B387</f>
        <v/>
      </c>
      <c r="H388" s="2">
        <f>IF(AND(F388=1,G388=1),"OK","À JUSTIFIER")</f>
        <v/>
      </c>
    </row>
    <row r="389">
      <c r="A389" s="2" t="inlineStr">
        <is>
          <t>EJ010324.TXT</t>
        </is>
      </c>
      <c r="B389" s="3" t="inlineStr">
        <is>
          <t>001549</t>
        </is>
      </c>
      <c r="C389" s="3" t="inlineStr">
        <is>
          <t>000996</t>
        </is>
      </c>
      <c r="D389" s="4" t="n">
        <v>45338</v>
      </c>
      <c r="E389" s="2" t="inlineStr">
        <is>
          <t>15:35</t>
        </is>
      </c>
      <c r="F389" s="5">
        <f>C389-C388</f>
        <v/>
      </c>
      <c r="G389" s="5">
        <f>B389-B388</f>
        <v/>
      </c>
      <c r="H389" s="2">
        <f>IF(AND(F389=1,G389=1),"OK","À JUSTIFIER")</f>
        <v/>
      </c>
    </row>
    <row r="390">
      <c r="A390" s="2" t="inlineStr">
        <is>
          <t>EJ010324.TXT</t>
        </is>
      </c>
      <c r="B390" s="3" t="inlineStr">
        <is>
          <t>001550</t>
        </is>
      </c>
      <c r="C390" s="3" t="inlineStr">
        <is>
          <t>000997</t>
        </is>
      </c>
      <c r="D390" s="4" t="n">
        <v>45339</v>
      </c>
      <c r="E390" s="2" t="inlineStr">
        <is>
          <t>14:59</t>
        </is>
      </c>
      <c r="F390" s="5">
        <f>C390-C389</f>
        <v/>
      </c>
      <c r="G390" s="5">
        <f>B390-B389</f>
        <v/>
      </c>
      <c r="H390" s="2">
        <f>IF(AND(F390=1,G390=1),"OK","À JUSTIFIER")</f>
        <v/>
      </c>
    </row>
    <row r="391">
      <c r="A391" s="2" t="inlineStr">
        <is>
          <t>EJ010324.TXT</t>
        </is>
      </c>
      <c r="B391" s="3" t="inlineStr">
        <is>
          <t>001551</t>
        </is>
      </c>
      <c r="C391" s="3" t="inlineStr">
        <is>
          <t>000998</t>
        </is>
      </c>
      <c r="D391" s="4" t="n">
        <v>45341</v>
      </c>
      <c r="E391" s="2" t="inlineStr">
        <is>
          <t>16:17</t>
        </is>
      </c>
      <c r="F391" s="5">
        <f>C391-C390</f>
        <v/>
      </c>
      <c r="G391" s="5">
        <f>B391-B390</f>
        <v/>
      </c>
      <c r="H391" s="2">
        <f>IF(AND(F391=1,G391=1),"OK","À JUSTIFIER")</f>
        <v/>
      </c>
    </row>
    <row r="392">
      <c r="A392" s="2" t="inlineStr">
        <is>
          <t>EJ010324.TXT</t>
        </is>
      </c>
      <c r="B392" s="3" t="inlineStr">
        <is>
          <t>001552</t>
        </is>
      </c>
      <c r="C392" s="3" t="inlineStr">
        <is>
          <t>000999</t>
        </is>
      </c>
      <c r="D392" s="4" t="n">
        <v>45342</v>
      </c>
      <c r="E392" s="2" t="inlineStr">
        <is>
          <t>16:08</t>
        </is>
      </c>
      <c r="F392" s="5">
        <f>C392-C391</f>
        <v/>
      </c>
      <c r="G392" s="5">
        <f>B392-B391</f>
        <v/>
      </c>
      <c r="H392" s="2">
        <f>IF(AND(F392=1,G392=1),"OK","À JUSTIFIER")</f>
        <v/>
      </c>
    </row>
    <row r="393">
      <c r="A393" s="2" t="inlineStr">
        <is>
          <t>EJ010324.TXT</t>
        </is>
      </c>
      <c r="B393" s="3" t="inlineStr">
        <is>
          <t>001553</t>
        </is>
      </c>
      <c r="C393" s="3" t="inlineStr">
        <is>
          <t>001000</t>
        </is>
      </c>
      <c r="D393" s="4" t="n">
        <v>45343</v>
      </c>
      <c r="E393" s="2" t="inlineStr">
        <is>
          <t>11:06</t>
        </is>
      </c>
      <c r="F393" s="5">
        <f>C393-C392</f>
        <v/>
      </c>
      <c r="G393" s="5">
        <f>B393-B392</f>
        <v/>
      </c>
      <c r="H393" s="2">
        <f>IF(AND(F393=1,G393=1),"OK","À JUSTIFIER")</f>
        <v/>
      </c>
    </row>
    <row r="394">
      <c r="A394" s="2" t="inlineStr">
        <is>
          <t>EJ010324.TXT</t>
        </is>
      </c>
      <c r="B394" s="3" t="inlineStr">
        <is>
          <t>001555</t>
        </is>
      </c>
      <c r="C394" s="3" t="inlineStr">
        <is>
          <t>001001</t>
        </is>
      </c>
      <c r="D394" s="4" t="n">
        <v>45343</v>
      </c>
      <c r="E394" s="2" t="inlineStr">
        <is>
          <t>11:52</t>
        </is>
      </c>
      <c r="F394" s="5">
        <f>C394-C393</f>
        <v/>
      </c>
      <c r="G394" s="5">
        <f>B394-B393</f>
        <v/>
      </c>
      <c r="H394" s="2">
        <f>IF(AND(F394=1,G394=1),"OK","À JUSTIFIER")</f>
        <v/>
      </c>
    </row>
    <row r="395">
      <c r="A395" s="2" t="inlineStr">
        <is>
          <t>EJ010324.TXT</t>
        </is>
      </c>
      <c r="B395" s="3" t="inlineStr">
        <is>
          <t>001556</t>
        </is>
      </c>
      <c r="C395" s="3" t="inlineStr">
        <is>
          <t>001002</t>
        </is>
      </c>
      <c r="D395" s="4" t="n">
        <v>45344</v>
      </c>
      <c r="E395" s="2" t="inlineStr">
        <is>
          <t>17:50</t>
        </is>
      </c>
      <c r="F395" s="5">
        <f>C395-C394</f>
        <v/>
      </c>
      <c r="G395" s="5">
        <f>B395-B394</f>
        <v/>
      </c>
      <c r="H395" s="2">
        <f>IF(AND(F395=1,G395=1),"OK","À JUSTIFIER")</f>
        <v/>
      </c>
    </row>
    <row r="396">
      <c r="A396" s="2" t="inlineStr">
        <is>
          <t>EJ010324.TXT</t>
        </is>
      </c>
      <c r="B396" s="3" t="inlineStr">
        <is>
          <t>001560</t>
        </is>
      </c>
      <c r="C396" s="3" t="inlineStr">
        <is>
          <t>001003</t>
        </is>
      </c>
      <c r="D396" s="4" t="n">
        <v>45350</v>
      </c>
      <c r="E396" s="2" t="inlineStr">
        <is>
          <t>13:03</t>
        </is>
      </c>
      <c r="F396" s="5">
        <f>C396-C395</f>
        <v/>
      </c>
      <c r="G396" s="5">
        <f>B396-B395</f>
        <v/>
      </c>
      <c r="H396" s="2">
        <f>IF(AND(F396=1,G396=1),"OK","À JUSTIFIER")</f>
        <v/>
      </c>
    </row>
    <row r="397">
      <c r="A397" s="2" t="inlineStr">
        <is>
          <t>EJ010324.TXT</t>
        </is>
      </c>
      <c r="B397" s="3" t="inlineStr">
        <is>
          <t>001561</t>
        </is>
      </c>
      <c r="C397" s="3" t="inlineStr">
        <is>
          <t>001004</t>
        </is>
      </c>
      <c r="D397" s="4" t="n">
        <v>45350</v>
      </c>
      <c r="E397" s="2" t="inlineStr">
        <is>
          <t>14:31</t>
        </is>
      </c>
      <c r="F397" s="5">
        <f>C397-C396</f>
        <v/>
      </c>
      <c r="G397" s="5">
        <f>B397-B396</f>
        <v/>
      </c>
      <c r="H397" s="2">
        <f>IF(AND(F397=1,G397=1),"OK","À JUSTIFIER")</f>
        <v/>
      </c>
    </row>
    <row r="398">
      <c r="A398" s="2" t="inlineStr">
        <is>
          <t>EJ010324.TXT</t>
        </is>
      </c>
      <c r="B398" s="3" t="inlineStr">
        <is>
          <t>001562</t>
        </is>
      </c>
      <c r="C398" s="3" t="inlineStr">
        <is>
          <t>001005</t>
        </is>
      </c>
      <c r="D398" s="4" t="n">
        <v>45351</v>
      </c>
      <c r="E398" s="2" t="inlineStr">
        <is>
          <t>17:01</t>
        </is>
      </c>
      <c r="F398" s="5">
        <f>C398-C397</f>
        <v/>
      </c>
      <c r="G398" s="5">
        <f>B398-B397</f>
        <v/>
      </c>
      <c r="H398" s="2">
        <f>IF(AND(F398=1,G398=1),"OK","À JUSTIFIER")</f>
        <v/>
      </c>
    </row>
    <row r="399">
      <c r="A399" s="2" t="inlineStr">
        <is>
          <t>EJ020424.TXT</t>
        </is>
      </c>
      <c r="B399" s="3" t="inlineStr">
        <is>
          <t>001568</t>
        </is>
      </c>
      <c r="C399" s="3" t="inlineStr">
        <is>
          <t>001006</t>
        </is>
      </c>
      <c r="D399" s="4" t="n">
        <v>45352</v>
      </c>
      <c r="E399" s="2" t="inlineStr">
        <is>
          <t>15:01</t>
        </is>
      </c>
      <c r="F399" s="5">
        <f>C399-C398</f>
        <v/>
      </c>
      <c r="G399" s="5">
        <f>B399-B398</f>
        <v/>
      </c>
      <c r="H399" s="2">
        <f>IF(AND(F399=1,G399=1),"OK","À JUSTIFIER")</f>
        <v/>
      </c>
    </row>
    <row r="400">
      <c r="A400" s="2" t="inlineStr">
        <is>
          <t>EJ020424.TXT</t>
        </is>
      </c>
      <c r="B400" s="3" t="inlineStr">
        <is>
          <t>001569</t>
        </is>
      </c>
      <c r="C400" s="3" t="inlineStr">
        <is>
          <t>001007</t>
        </is>
      </c>
      <c r="D400" s="4" t="n">
        <v>45352</v>
      </c>
      <c r="E400" s="2" t="inlineStr">
        <is>
          <t>15:20</t>
        </is>
      </c>
      <c r="F400" s="5">
        <f>C400-C399</f>
        <v/>
      </c>
      <c r="G400" s="5">
        <f>B400-B399</f>
        <v/>
      </c>
      <c r="H400" s="2">
        <f>IF(AND(F400=1,G400=1),"OK","À JUSTIFIER")</f>
        <v/>
      </c>
    </row>
    <row r="401">
      <c r="A401" s="2" t="inlineStr">
        <is>
          <t>EJ020424.TXT</t>
        </is>
      </c>
      <c r="B401" s="3" t="inlineStr">
        <is>
          <t>001572</t>
        </is>
      </c>
      <c r="C401" s="3" t="inlineStr">
        <is>
          <t>001008</t>
        </is>
      </c>
      <c r="D401" s="4" t="n">
        <v>45356</v>
      </c>
      <c r="E401" s="2" t="inlineStr">
        <is>
          <t>12:27</t>
        </is>
      </c>
      <c r="F401" s="5">
        <f>C401-C400</f>
        <v/>
      </c>
      <c r="G401" s="5">
        <f>B401-B400</f>
        <v/>
      </c>
      <c r="H401" s="2">
        <f>IF(AND(F401=1,G401=1),"OK","À JUSTIFIER")</f>
        <v/>
      </c>
    </row>
    <row r="402">
      <c r="A402" s="2" t="inlineStr">
        <is>
          <t>EJ020424.TXT</t>
        </is>
      </c>
      <c r="B402" s="3" t="inlineStr">
        <is>
          <t>001573</t>
        </is>
      </c>
      <c r="C402" s="3" t="inlineStr">
        <is>
          <t>001009</t>
        </is>
      </c>
      <c r="D402" s="4" t="n">
        <v>45356</v>
      </c>
      <c r="E402" s="2" t="inlineStr">
        <is>
          <t>12:27</t>
        </is>
      </c>
      <c r="F402" s="5">
        <f>C402-C401</f>
        <v/>
      </c>
      <c r="G402" s="5">
        <f>B402-B401</f>
        <v/>
      </c>
      <c r="H402" s="2">
        <f>IF(AND(F402=1,G402=1),"OK","À JUSTIFIER")</f>
        <v/>
      </c>
    </row>
    <row r="403">
      <c r="A403" s="2" t="inlineStr">
        <is>
          <t>EJ020424.TXT</t>
        </is>
      </c>
      <c r="B403" s="3" t="inlineStr">
        <is>
          <t>001575</t>
        </is>
      </c>
      <c r="C403" s="3" t="inlineStr">
        <is>
          <t>001010</t>
        </is>
      </c>
      <c r="D403" s="4" t="n">
        <v>45357</v>
      </c>
      <c r="E403" s="2" t="inlineStr">
        <is>
          <t>17:55</t>
        </is>
      </c>
      <c r="F403" s="5">
        <f>C403-C402</f>
        <v/>
      </c>
      <c r="G403" s="5">
        <f>B403-B402</f>
        <v/>
      </c>
      <c r="H403" s="2">
        <f>IF(AND(F403=1,G403=1),"OK","À JUSTIFIER")</f>
        <v/>
      </c>
    </row>
    <row r="404">
      <c r="A404" s="2" t="inlineStr">
        <is>
          <t>EJ020424.TXT</t>
        </is>
      </c>
      <c r="B404" s="3" t="inlineStr">
        <is>
          <t>001576</t>
        </is>
      </c>
      <c r="C404" s="3" t="inlineStr">
        <is>
          <t>001011</t>
        </is>
      </c>
      <c r="D404" s="4" t="n">
        <v>45358</v>
      </c>
      <c r="E404" s="2" t="inlineStr">
        <is>
          <t>16:26</t>
        </is>
      </c>
      <c r="F404" s="5">
        <f>C404-C403</f>
        <v/>
      </c>
      <c r="G404" s="5">
        <f>B404-B403</f>
        <v/>
      </c>
      <c r="H404" s="2">
        <f>IF(AND(F404=1,G404=1),"OK","À JUSTIFIER")</f>
        <v/>
      </c>
    </row>
    <row r="405">
      <c r="A405" s="2" t="inlineStr">
        <is>
          <t>EJ020424.TXT</t>
        </is>
      </c>
      <c r="B405" s="3" t="inlineStr">
        <is>
          <t>001577</t>
        </is>
      </c>
      <c r="C405" s="3" t="inlineStr">
        <is>
          <t>001012</t>
        </is>
      </c>
      <c r="D405" s="4" t="n">
        <v>45359</v>
      </c>
      <c r="E405" s="2" t="inlineStr">
        <is>
          <t>14:28</t>
        </is>
      </c>
      <c r="F405" s="5">
        <f>C405-C404</f>
        <v/>
      </c>
      <c r="G405" s="5">
        <f>B405-B404</f>
        <v/>
      </c>
      <c r="H405" s="2">
        <f>IF(AND(F405=1,G405=1),"OK","À JUSTIFIER")</f>
        <v/>
      </c>
    </row>
    <row r="406">
      <c r="A406" s="2" t="inlineStr">
        <is>
          <t>EJ020424.TXT</t>
        </is>
      </c>
      <c r="B406" s="3" t="inlineStr">
        <is>
          <t>001578</t>
        </is>
      </c>
      <c r="C406" s="3" t="inlineStr">
        <is>
          <t>001013</t>
        </is>
      </c>
      <c r="D406" s="4" t="n">
        <v>45359</v>
      </c>
      <c r="E406" s="2" t="inlineStr">
        <is>
          <t>16:46</t>
        </is>
      </c>
      <c r="F406" s="5">
        <f>C406-C405</f>
        <v/>
      </c>
      <c r="G406" s="5">
        <f>B406-B405</f>
        <v/>
      </c>
      <c r="H406" s="2">
        <f>IF(AND(F406=1,G406=1),"OK","À JUSTIFIER")</f>
        <v/>
      </c>
    </row>
    <row r="407">
      <c r="A407" s="2" t="inlineStr">
        <is>
          <t>EJ020424.TXT</t>
        </is>
      </c>
      <c r="B407" s="3" t="inlineStr">
        <is>
          <t>001579</t>
        </is>
      </c>
      <c r="C407" s="3" t="inlineStr">
        <is>
          <t>001014</t>
        </is>
      </c>
      <c r="D407" s="4" t="n">
        <v>45360</v>
      </c>
      <c r="E407" s="2" t="inlineStr">
        <is>
          <t>15:02</t>
        </is>
      </c>
      <c r="F407" s="5">
        <f>C407-C406</f>
        <v/>
      </c>
      <c r="G407" s="5">
        <f>B407-B406</f>
        <v/>
      </c>
      <c r="H407" s="2">
        <f>IF(AND(F407=1,G407=1),"OK","À JUSTIFIER")</f>
        <v/>
      </c>
    </row>
    <row r="408">
      <c r="A408" s="2" t="inlineStr">
        <is>
          <t>EJ020424.TXT</t>
        </is>
      </c>
      <c r="B408" s="3" t="inlineStr">
        <is>
          <t>001580</t>
        </is>
      </c>
      <c r="C408" s="3" t="inlineStr">
        <is>
          <t>001015</t>
        </is>
      </c>
      <c r="D408" s="4" t="n">
        <v>45363</v>
      </c>
      <c r="E408" s="2" t="inlineStr">
        <is>
          <t>15:55</t>
        </is>
      </c>
      <c r="F408" s="5">
        <f>C408-C407</f>
        <v/>
      </c>
      <c r="G408" s="5">
        <f>B408-B407</f>
        <v/>
      </c>
      <c r="H408" s="2">
        <f>IF(AND(F408=1,G408=1),"OK","À JUSTIFIER")</f>
        <v/>
      </c>
    </row>
    <row r="409">
      <c r="A409" s="2" t="inlineStr">
        <is>
          <t>EJ020424.TXT</t>
        </is>
      </c>
      <c r="B409" s="3" t="inlineStr">
        <is>
          <t>001581</t>
        </is>
      </c>
      <c r="C409" s="3" t="inlineStr">
        <is>
          <t>001016</t>
        </is>
      </c>
      <c r="D409" s="4" t="n">
        <v>45364</v>
      </c>
      <c r="E409" s="2" t="inlineStr">
        <is>
          <t>15:54</t>
        </is>
      </c>
      <c r="F409" s="5">
        <f>C409-C408</f>
        <v/>
      </c>
      <c r="G409" s="5">
        <f>B409-B408</f>
        <v/>
      </c>
      <c r="H409" s="2">
        <f>IF(AND(F409=1,G409=1),"OK","À JUSTIFIER")</f>
        <v/>
      </c>
    </row>
    <row r="410">
      <c r="A410" s="2" t="inlineStr">
        <is>
          <t>EJ020424.TXT</t>
        </is>
      </c>
      <c r="B410" s="3" t="inlineStr">
        <is>
          <t>001582</t>
        </is>
      </c>
      <c r="C410" s="3" t="inlineStr">
        <is>
          <t>001017</t>
        </is>
      </c>
      <c r="D410" s="4" t="n">
        <v>45364</v>
      </c>
      <c r="E410" s="2" t="inlineStr">
        <is>
          <t>16:28</t>
        </is>
      </c>
      <c r="F410" s="5">
        <f>C410-C409</f>
        <v/>
      </c>
      <c r="G410" s="5">
        <f>B410-B409</f>
        <v/>
      </c>
      <c r="H410" s="2">
        <f>IF(AND(F410=1,G410=1),"OK","À JUSTIFIER")</f>
        <v/>
      </c>
    </row>
    <row r="411">
      <c r="A411" s="2" t="inlineStr">
        <is>
          <t>EJ020424.TXT</t>
        </is>
      </c>
      <c r="B411" s="3" t="inlineStr">
        <is>
          <t>001583</t>
        </is>
      </c>
      <c r="C411" s="3" t="inlineStr">
        <is>
          <t>001018</t>
        </is>
      </c>
      <c r="D411" s="4" t="n">
        <v>45365</v>
      </c>
      <c r="E411" s="2" t="inlineStr">
        <is>
          <t>12:24</t>
        </is>
      </c>
      <c r="F411" s="5">
        <f>C411-C410</f>
        <v/>
      </c>
      <c r="G411" s="5">
        <f>B411-B410</f>
        <v/>
      </c>
      <c r="H411" s="2">
        <f>IF(AND(F411=1,G411=1),"OK","À JUSTIFIER")</f>
        <v/>
      </c>
    </row>
    <row r="412">
      <c r="A412" s="2" t="inlineStr">
        <is>
          <t>EJ020424.TXT</t>
        </is>
      </c>
      <c r="B412" s="3" t="inlineStr">
        <is>
          <t>001584</t>
        </is>
      </c>
      <c r="C412" s="3" t="inlineStr">
        <is>
          <t>001019</t>
        </is>
      </c>
      <c r="D412" s="4" t="n">
        <v>45365</v>
      </c>
      <c r="E412" s="2" t="inlineStr">
        <is>
          <t>14:15</t>
        </is>
      </c>
      <c r="F412" s="5">
        <f>C412-C411</f>
        <v/>
      </c>
      <c r="G412" s="5">
        <f>B412-B411</f>
        <v/>
      </c>
      <c r="H412" s="2">
        <f>IF(AND(F412=1,G412=1),"OK","À JUSTIFIER")</f>
        <v/>
      </c>
    </row>
    <row r="413">
      <c r="A413" s="2" t="inlineStr">
        <is>
          <t>EJ020424.TXT</t>
        </is>
      </c>
      <c r="B413" s="3" t="inlineStr">
        <is>
          <t>001585</t>
        </is>
      </c>
      <c r="C413" s="3" t="inlineStr">
        <is>
          <t>001020</t>
        </is>
      </c>
      <c r="D413" s="4" t="n">
        <v>45367</v>
      </c>
      <c r="E413" s="2" t="inlineStr">
        <is>
          <t>15:56</t>
        </is>
      </c>
      <c r="F413" s="5">
        <f>C413-C412</f>
        <v/>
      </c>
      <c r="G413" s="5">
        <f>B413-B412</f>
        <v/>
      </c>
      <c r="H413" s="2">
        <f>IF(AND(F413=1,G413=1),"OK","À JUSTIFIER")</f>
        <v/>
      </c>
    </row>
    <row r="414">
      <c r="A414" s="2" t="inlineStr">
        <is>
          <t>EJ020424.TXT</t>
        </is>
      </c>
      <c r="B414" s="3" t="inlineStr">
        <is>
          <t>001586</t>
        </is>
      </c>
      <c r="C414" s="3" t="inlineStr">
        <is>
          <t>001021</t>
        </is>
      </c>
      <c r="D414" s="4" t="n">
        <v>45367</v>
      </c>
      <c r="E414" s="2" t="inlineStr">
        <is>
          <t>16:11</t>
        </is>
      </c>
      <c r="F414" s="5">
        <f>C414-C413</f>
        <v/>
      </c>
      <c r="G414" s="5">
        <f>B414-B413</f>
        <v/>
      </c>
      <c r="H414" s="2">
        <f>IF(AND(F414=1,G414=1),"OK","À JUSTIFIER")</f>
        <v/>
      </c>
    </row>
    <row r="415">
      <c r="A415" s="2" t="inlineStr">
        <is>
          <t>EJ020424.TXT</t>
        </is>
      </c>
      <c r="B415" s="3" t="inlineStr">
        <is>
          <t>001587</t>
        </is>
      </c>
      <c r="C415" s="3" t="inlineStr">
        <is>
          <t>001022</t>
        </is>
      </c>
      <c r="D415" s="4" t="n">
        <v>45367</v>
      </c>
      <c r="E415" s="2" t="inlineStr">
        <is>
          <t>16:30</t>
        </is>
      </c>
      <c r="F415" s="5">
        <f>C415-C414</f>
        <v/>
      </c>
      <c r="G415" s="5">
        <f>B415-B414</f>
        <v/>
      </c>
      <c r="H415" s="2">
        <f>IF(AND(F415=1,G415=1),"OK","À JUSTIFIER")</f>
        <v/>
      </c>
    </row>
    <row r="416">
      <c r="A416" s="2" t="inlineStr">
        <is>
          <t>EJ020424.TXT</t>
        </is>
      </c>
      <c r="B416" s="3" t="inlineStr">
        <is>
          <t>001588</t>
        </is>
      </c>
      <c r="C416" s="3" t="inlineStr">
        <is>
          <t>001023</t>
        </is>
      </c>
      <c r="D416" s="4" t="n">
        <v>45367</v>
      </c>
      <c r="E416" s="2" t="inlineStr">
        <is>
          <t>17:38</t>
        </is>
      </c>
      <c r="F416" s="5">
        <f>C416-C415</f>
        <v/>
      </c>
      <c r="G416" s="5">
        <f>B416-B415</f>
        <v/>
      </c>
      <c r="H416" s="2">
        <f>IF(AND(F416=1,G416=1),"OK","À JUSTIFIER")</f>
        <v/>
      </c>
    </row>
    <row r="417">
      <c r="A417" s="2" t="inlineStr">
        <is>
          <t>EJ020424.TXT</t>
        </is>
      </c>
      <c r="B417" s="3" t="inlineStr">
        <is>
          <t>001589</t>
        </is>
      </c>
      <c r="C417" s="3" t="inlineStr">
        <is>
          <t>001024</t>
        </is>
      </c>
      <c r="D417" s="4" t="n">
        <v>45370</v>
      </c>
      <c r="E417" s="2" t="inlineStr">
        <is>
          <t>15:31</t>
        </is>
      </c>
      <c r="F417" s="5">
        <f>C417-C416</f>
        <v/>
      </c>
      <c r="G417" s="5">
        <f>B417-B416</f>
        <v/>
      </c>
      <c r="H417" s="2">
        <f>IF(AND(F417=1,G417=1),"OK","À JUSTIFIER")</f>
        <v/>
      </c>
    </row>
    <row r="418">
      <c r="A418" s="2" t="inlineStr">
        <is>
          <t>EJ020424.TXT</t>
        </is>
      </c>
      <c r="B418" s="3" t="inlineStr">
        <is>
          <t>001590</t>
        </is>
      </c>
      <c r="C418" s="3" t="inlineStr">
        <is>
          <t>001025</t>
        </is>
      </c>
      <c r="D418" s="4" t="n">
        <v>45371</v>
      </c>
      <c r="E418" s="2" t="inlineStr">
        <is>
          <t>14:37</t>
        </is>
      </c>
      <c r="F418" s="5">
        <f>C418-C417</f>
        <v/>
      </c>
      <c r="G418" s="5">
        <f>B418-B417</f>
        <v/>
      </c>
      <c r="H418" s="2">
        <f>IF(AND(F418=1,G418=1),"OK","À JUSTIFIER")</f>
        <v/>
      </c>
    </row>
    <row r="419">
      <c r="A419" s="2" t="inlineStr">
        <is>
          <t>EJ020424.TXT</t>
        </is>
      </c>
      <c r="B419" s="3" t="inlineStr">
        <is>
          <t>001591</t>
        </is>
      </c>
      <c r="C419" s="3" t="inlineStr">
        <is>
          <t>001026</t>
        </is>
      </c>
      <c r="D419" s="4" t="n">
        <v>45371</v>
      </c>
      <c r="E419" s="2" t="inlineStr">
        <is>
          <t>14:37</t>
        </is>
      </c>
      <c r="F419" s="5">
        <f>C419-C418</f>
        <v/>
      </c>
      <c r="G419" s="5">
        <f>B419-B418</f>
        <v/>
      </c>
      <c r="H419" s="2">
        <f>IF(AND(F419=1,G419=1),"OK","À JUSTIFIER")</f>
        <v/>
      </c>
    </row>
    <row r="420">
      <c r="A420" s="2" t="inlineStr">
        <is>
          <t>EJ020424.TXT</t>
        </is>
      </c>
      <c r="B420" s="3" t="inlineStr">
        <is>
          <t>001592</t>
        </is>
      </c>
      <c r="C420" s="3" t="inlineStr">
        <is>
          <t>001027</t>
        </is>
      </c>
      <c r="D420" s="4" t="n">
        <v>45372</v>
      </c>
      <c r="E420" s="2" t="inlineStr">
        <is>
          <t>16:18</t>
        </is>
      </c>
      <c r="F420" s="5">
        <f>C420-C419</f>
        <v/>
      </c>
      <c r="G420" s="5">
        <f>B420-B419</f>
        <v/>
      </c>
      <c r="H420" s="2">
        <f>IF(AND(F420=1,G420=1),"OK","À JUSTIFIER")</f>
        <v/>
      </c>
    </row>
    <row r="421">
      <c r="A421" s="2" t="inlineStr">
        <is>
          <t>EJ020424.TXT</t>
        </is>
      </c>
      <c r="B421" s="3" t="inlineStr">
        <is>
          <t>001593</t>
        </is>
      </c>
      <c r="C421" s="3" t="inlineStr">
        <is>
          <t>001028</t>
        </is>
      </c>
      <c r="D421" s="4" t="n">
        <v>45373</v>
      </c>
      <c r="E421" s="2" t="inlineStr">
        <is>
          <t>17:20</t>
        </is>
      </c>
      <c r="F421" s="5">
        <f>C421-C420</f>
        <v/>
      </c>
      <c r="G421" s="5">
        <f>B421-B420</f>
        <v/>
      </c>
      <c r="H421" s="2">
        <f>IF(AND(F421=1,G421=1),"OK","À JUSTIFIER")</f>
        <v/>
      </c>
    </row>
    <row r="422">
      <c r="A422" s="2" t="inlineStr">
        <is>
          <t>EJ020424.TXT</t>
        </is>
      </c>
      <c r="B422" s="3" t="inlineStr">
        <is>
          <t>001594</t>
        </is>
      </c>
      <c r="C422" s="3" t="inlineStr">
        <is>
          <t>001029</t>
        </is>
      </c>
      <c r="D422" s="4" t="n">
        <v>45374</v>
      </c>
      <c r="E422" s="2" t="inlineStr">
        <is>
          <t>15:17</t>
        </is>
      </c>
      <c r="F422" s="5">
        <f>C422-C421</f>
        <v/>
      </c>
      <c r="G422" s="5">
        <f>B422-B421</f>
        <v/>
      </c>
      <c r="H422" s="2">
        <f>IF(AND(F422=1,G422=1),"OK","À JUSTIFIER")</f>
        <v/>
      </c>
    </row>
    <row r="423">
      <c r="A423" s="2" t="inlineStr">
        <is>
          <t>EJ020424.TXT</t>
        </is>
      </c>
      <c r="B423" s="3" t="inlineStr">
        <is>
          <t>001595</t>
        </is>
      </c>
      <c r="C423" s="3" t="inlineStr">
        <is>
          <t>001030</t>
        </is>
      </c>
      <c r="D423" s="4" t="n">
        <v>45374</v>
      </c>
      <c r="E423" s="2" t="inlineStr">
        <is>
          <t>15:17</t>
        </is>
      </c>
      <c r="F423" s="5">
        <f>C423-C422</f>
        <v/>
      </c>
      <c r="G423" s="5">
        <f>B423-B422</f>
        <v/>
      </c>
      <c r="H423" s="2">
        <f>IF(AND(F423=1,G423=1),"OK","À JUSTIFIER")</f>
        <v/>
      </c>
    </row>
    <row r="424">
      <c r="A424" s="2" t="inlineStr">
        <is>
          <t>EJ020424.TXT</t>
        </is>
      </c>
      <c r="B424" s="3" t="inlineStr">
        <is>
          <t>001596</t>
        </is>
      </c>
      <c r="C424" s="3" t="inlineStr">
        <is>
          <t>001031</t>
        </is>
      </c>
      <c r="D424" s="4" t="n">
        <v>45374</v>
      </c>
      <c r="E424" s="2" t="inlineStr">
        <is>
          <t>15:32</t>
        </is>
      </c>
      <c r="F424" s="5">
        <f>C424-C423</f>
        <v/>
      </c>
      <c r="G424" s="5">
        <f>B424-B423</f>
        <v/>
      </c>
      <c r="H424" s="2">
        <f>IF(AND(F424=1,G424=1),"OK","À JUSTIFIER")</f>
        <v/>
      </c>
    </row>
    <row r="425">
      <c r="A425" s="2" t="inlineStr">
        <is>
          <t>EJ020424.TXT</t>
        </is>
      </c>
      <c r="B425" s="3" t="inlineStr">
        <is>
          <t>001597</t>
        </is>
      </c>
      <c r="C425" s="3" t="inlineStr">
        <is>
          <t>001032</t>
        </is>
      </c>
      <c r="D425" s="4" t="n">
        <v>45377</v>
      </c>
      <c r="E425" s="2" t="inlineStr">
        <is>
          <t>13:58</t>
        </is>
      </c>
      <c r="F425" s="5">
        <f>C425-C424</f>
        <v/>
      </c>
      <c r="G425" s="5">
        <f>B425-B424</f>
        <v/>
      </c>
      <c r="H425" s="2">
        <f>IF(AND(F425=1,G425=1),"OK","À JUSTIFIER")</f>
        <v/>
      </c>
    </row>
    <row r="426">
      <c r="A426" s="2" t="inlineStr">
        <is>
          <t>EJ020424.TXT</t>
        </is>
      </c>
      <c r="B426" s="3" t="inlineStr">
        <is>
          <t>001598</t>
        </is>
      </c>
      <c r="C426" s="3" t="inlineStr">
        <is>
          <t>001033</t>
        </is>
      </c>
      <c r="D426" s="4" t="n">
        <v>45379</v>
      </c>
      <c r="E426" s="2" t="inlineStr">
        <is>
          <t>11:58</t>
        </is>
      </c>
      <c r="F426" s="5">
        <f>C426-C425</f>
        <v/>
      </c>
      <c r="G426" s="5">
        <f>B426-B425</f>
        <v/>
      </c>
      <c r="H426" s="2">
        <f>IF(AND(F426=1,G426=1),"OK","À JUSTIFIER")</f>
        <v/>
      </c>
    </row>
    <row r="427">
      <c r="A427" s="2" t="inlineStr">
        <is>
          <t>EJ020424.TXT</t>
        </is>
      </c>
      <c r="B427" s="3" t="inlineStr">
        <is>
          <t>001599</t>
        </is>
      </c>
      <c r="C427" s="3" t="inlineStr">
        <is>
          <t>001034</t>
        </is>
      </c>
      <c r="D427" s="4" t="n">
        <v>45380</v>
      </c>
      <c r="E427" s="2" t="inlineStr">
        <is>
          <t>16:02</t>
        </is>
      </c>
      <c r="F427" s="5">
        <f>C427-C426</f>
        <v/>
      </c>
      <c r="G427" s="5">
        <f>B427-B426</f>
        <v/>
      </c>
      <c r="H427" s="2">
        <f>IF(AND(F427=1,G427=1),"OK","À JUSTIFIER")</f>
        <v/>
      </c>
    </row>
    <row r="428">
      <c r="A428" s="2" t="inlineStr">
        <is>
          <t>EJ020424.TXT</t>
        </is>
      </c>
      <c r="B428" s="3" t="inlineStr">
        <is>
          <t>001600</t>
        </is>
      </c>
      <c r="C428" s="3" t="inlineStr">
        <is>
          <t>001035</t>
        </is>
      </c>
      <c r="D428" s="4" t="n">
        <v>45381</v>
      </c>
      <c r="E428" s="2" t="inlineStr">
        <is>
          <t>16:36</t>
        </is>
      </c>
      <c r="F428" s="5">
        <f>C428-C427</f>
        <v/>
      </c>
      <c r="G428" s="5">
        <f>B428-B427</f>
        <v/>
      </c>
      <c r="H428" s="2">
        <f>IF(AND(F428=1,G428=1),"OK","À JUSTIFIER")</f>
        <v/>
      </c>
    </row>
    <row r="429">
      <c r="A429" s="2" t="inlineStr">
        <is>
          <t>EJ020524.TXT</t>
        </is>
      </c>
      <c r="B429" s="3" t="inlineStr">
        <is>
          <t>001605</t>
        </is>
      </c>
      <c r="C429" s="3" t="inlineStr">
        <is>
          <t>001036</t>
        </is>
      </c>
      <c r="D429" s="4" t="n">
        <v>45386</v>
      </c>
      <c r="E429" s="2" t="inlineStr">
        <is>
          <t>13:58</t>
        </is>
      </c>
      <c r="F429" s="5">
        <f>C429-C428</f>
        <v/>
      </c>
      <c r="G429" s="5">
        <f>B429-B428</f>
        <v/>
      </c>
      <c r="H429" s="2">
        <f>IF(AND(F429=1,G429=1),"OK","À JUSTIFIER")</f>
        <v/>
      </c>
    </row>
    <row r="430">
      <c r="A430" s="2" t="inlineStr">
        <is>
          <t>EJ020524.TXT</t>
        </is>
      </c>
      <c r="B430" s="3" t="inlineStr">
        <is>
          <t>001606</t>
        </is>
      </c>
      <c r="C430" s="3" t="inlineStr">
        <is>
          <t>001037</t>
        </is>
      </c>
      <c r="D430" s="4" t="n">
        <v>45387</v>
      </c>
      <c r="E430" s="2" t="inlineStr">
        <is>
          <t>09:01</t>
        </is>
      </c>
      <c r="F430" s="5">
        <f>C430-C429</f>
        <v/>
      </c>
      <c r="G430" s="5">
        <f>B430-B429</f>
        <v/>
      </c>
      <c r="H430" s="2">
        <f>IF(AND(F430=1,G430=1),"OK","À JUSTIFIER")</f>
        <v/>
      </c>
    </row>
    <row r="431">
      <c r="A431" s="2" t="inlineStr">
        <is>
          <t>EJ020524.TXT</t>
        </is>
      </c>
      <c r="B431" s="3" t="inlineStr">
        <is>
          <t>001612</t>
        </is>
      </c>
      <c r="C431" s="3" t="inlineStr">
        <is>
          <t>001038</t>
        </is>
      </c>
      <c r="D431" s="4" t="n">
        <v>45390</v>
      </c>
      <c r="E431" s="2" t="inlineStr">
        <is>
          <t>14:35</t>
        </is>
      </c>
      <c r="F431" s="5">
        <f>C431-C430</f>
        <v/>
      </c>
      <c r="G431" s="5">
        <f>B431-B430</f>
        <v/>
      </c>
      <c r="H431" s="2">
        <f>IF(AND(F431=1,G431=1),"OK","À JUSTIFIER")</f>
        <v/>
      </c>
    </row>
    <row r="432">
      <c r="A432" s="2" t="inlineStr">
        <is>
          <t>EJ020524.TXT</t>
        </is>
      </c>
      <c r="B432" s="3" t="inlineStr">
        <is>
          <t>001613</t>
        </is>
      </c>
      <c r="C432" s="3" t="inlineStr">
        <is>
          <t>001039</t>
        </is>
      </c>
      <c r="D432" s="4" t="n">
        <v>45392</v>
      </c>
      <c r="E432" s="2" t="inlineStr">
        <is>
          <t>10:50</t>
        </is>
      </c>
      <c r="F432" s="5">
        <f>C432-C431</f>
        <v/>
      </c>
      <c r="G432" s="5">
        <f>B432-B431</f>
        <v/>
      </c>
      <c r="H432" s="2">
        <f>IF(AND(F432=1,G432=1),"OK","À JUSTIFIER")</f>
        <v/>
      </c>
    </row>
    <row r="433">
      <c r="A433" s="2" t="inlineStr">
        <is>
          <t>EJ020524.TXT</t>
        </is>
      </c>
      <c r="B433" s="3" t="inlineStr">
        <is>
          <t>001614</t>
        </is>
      </c>
      <c r="C433" s="3" t="inlineStr">
        <is>
          <t>001040</t>
        </is>
      </c>
      <c r="D433" s="4" t="n">
        <v>45392</v>
      </c>
      <c r="E433" s="2" t="inlineStr">
        <is>
          <t>10:52</t>
        </is>
      </c>
      <c r="F433" s="5">
        <f>C433-C432</f>
        <v/>
      </c>
      <c r="G433" s="5">
        <f>B433-B432</f>
        <v/>
      </c>
      <c r="H433" s="2">
        <f>IF(AND(F433=1,G433=1),"OK","À JUSTIFIER")</f>
        <v/>
      </c>
    </row>
    <row r="434">
      <c r="A434" s="2" t="inlineStr">
        <is>
          <t>EJ020524.TXT</t>
        </is>
      </c>
      <c r="B434" s="3" t="inlineStr">
        <is>
          <t>001617</t>
        </is>
      </c>
      <c r="C434" s="3" t="inlineStr">
        <is>
          <t>001041</t>
        </is>
      </c>
      <c r="D434" s="4" t="n">
        <v>45393</v>
      </c>
      <c r="E434" s="2" t="inlineStr">
        <is>
          <t>11:26</t>
        </is>
      </c>
      <c r="F434" s="5">
        <f>C434-C433</f>
        <v/>
      </c>
      <c r="G434" s="5">
        <f>B434-B433</f>
        <v/>
      </c>
      <c r="H434" s="2">
        <f>IF(AND(F434=1,G434=1),"OK","À JUSTIFIER")</f>
        <v/>
      </c>
    </row>
    <row r="435">
      <c r="A435" s="2" t="inlineStr">
        <is>
          <t>EJ020524.TXT</t>
        </is>
      </c>
      <c r="B435" s="3" t="inlineStr">
        <is>
          <t>001618</t>
        </is>
      </c>
      <c r="C435" s="3" t="inlineStr">
        <is>
          <t>001042</t>
        </is>
      </c>
      <c r="D435" s="4" t="n">
        <v>45393</v>
      </c>
      <c r="E435" s="2" t="inlineStr">
        <is>
          <t>12:53</t>
        </is>
      </c>
      <c r="F435" s="5">
        <f>C435-C434</f>
        <v/>
      </c>
      <c r="G435" s="5">
        <f>B435-B434</f>
        <v/>
      </c>
      <c r="H435" s="2">
        <f>IF(AND(F435=1,G435=1),"OK","À JUSTIFIER")</f>
        <v/>
      </c>
    </row>
    <row r="436">
      <c r="A436" s="2" t="inlineStr">
        <is>
          <t>EJ020524.TXT</t>
        </is>
      </c>
      <c r="B436" s="3" t="inlineStr">
        <is>
          <t>001619</t>
        </is>
      </c>
      <c r="C436" s="3" t="inlineStr">
        <is>
          <t>001043</t>
        </is>
      </c>
      <c r="D436" s="4" t="n">
        <v>45394</v>
      </c>
      <c r="E436" s="2" t="inlineStr">
        <is>
          <t>14:50</t>
        </is>
      </c>
      <c r="F436" s="5">
        <f>C436-C435</f>
        <v/>
      </c>
      <c r="G436" s="5">
        <f>B436-B435</f>
        <v/>
      </c>
      <c r="H436" s="2">
        <f>IF(AND(F436=1,G436=1),"OK","À JUSTIFIER")</f>
        <v/>
      </c>
    </row>
    <row r="437">
      <c r="A437" s="2" t="inlineStr">
        <is>
          <t>EJ020524.TXT</t>
        </is>
      </c>
      <c r="B437" s="3" t="inlineStr">
        <is>
          <t>001620</t>
        </is>
      </c>
      <c r="C437" s="3" t="inlineStr">
        <is>
          <t>001044</t>
        </is>
      </c>
      <c r="D437" s="4" t="n">
        <v>45394</v>
      </c>
      <c r="E437" s="2" t="inlineStr">
        <is>
          <t>14:52</t>
        </is>
      </c>
      <c r="F437" s="5">
        <f>C437-C436</f>
        <v/>
      </c>
      <c r="G437" s="5">
        <f>B437-B436</f>
        <v/>
      </c>
      <c r="H437" s="2">
        <f>IF(AND(F437=1,G437=1),"OK","À JUSTIFIER")</f>
        <v/>
      </c>
    </row>
    <row r="438">
      <c r="A438" s="2" t="inlineStr">
        <is>
          <t>EJ020524.TXT</t>
        </is>
      </c>
      <c r="B438" s="3" t="inlineStr">
        <is>
          <t>001621</t>
        </is>
      </c>
      <c r="C438" s="3" t="inlineStr">
        <is>
          <t>001045</t>
        </is>
      </c>
      <c r="D438" s="4" t="n">
        <v>45397</v>
      </c>
      <c r="E438" s="2" t="inlineStr">
        <is>
          <t>09:33</t>
        </is>
      </c>
      <c r="F438" s="5">
        <f>C438-C437</f>
        <v/>
      </c>
      <c r="G438" s="5">
        <f>B438-B437</f>
        <v/>
      </c>
      <c r="H438" s="2">
        <f>IF(AND(F438=1,G438=1),"OK","À JUSTIFIER")</f>
        <v/>
      </c>
    </row>
    <row r="439">
      <c r="A439" s="2" t="inlineStr">
        <is>
          <t>EJ020524.TXT</t>
        </is>
      </c>
      <c r="B439" s="3" t="inlineStr">
        <is>
          <t>001622</t>
        </is>
      </c>
      <c r="C439" s="3" t="inlineStr">
        <is>
          <t>001046</t>
        </is>
      </c>
      <c r="D439" s="4" t="n">
        <v>45397</v>
      </c>
      <c r="E439" s="2" t="inlineStr">
        <is>
          <t>09:33</t>
        </is>
      </c>
      <c r="F439" s="5">
        <f>C439-C438</f>
        <v/>
      </c>
      <c r="G439" s="5">
        <f>B439-B438</f>
        <v/>
      </c>
      <c r="H439" s="2">
        <f>IF(AND(F439=1,G439=1),"OK","À JUSTIFIER")</f>
        <v/>
      </c>
    </row>
    <row r="440">
      <c r="A440" s="2" t="inlineStr">
        <is>
          <t>EJ020524.TXT</t>
        </is>
      </c>
      <c r="B440" s="3" t="inlineStr">
        <is>
          <t>001623</t>
        </is>
      </c>
      <c r="C440" s="3" t="inlineStr">
        <is>
          <t>001047</t>
        </is>
      </c>
      <c r="D440" s="4" t="n">
        <v>45398</v>
      </c>
      <c r="E440" s="2" t="inlineStr">
        <is>
          <t>16:31</t>
        </is>
      </c>
      <c r="F440" s="5">
        <f>C440-C439</f>
        <v/>
      </c>
      <c r="G440" s="5">
        <f>B440-B439</f>
        <v/>
      </c>
      <c r="H440" s="2">
        <f>IF(AND(F440=1,G440=1),"OK","À JUSTIFIER")</f>
        <v/>
      </c>
    </row>
    <row r="441">
      <c r="A441" s="2" t="inlineStr">
        <is>
          <t>EJ020524.TXT</t>
        </is>
      </c>
      <c r="B441" s="3" t="inlineStr">
        <is>
          <t>001625</t>
        </is>
      </c>
      <c r="C441" s="3" t="inlineStr">
        <is>
          <t>001048</t>
        </is>
      </c>
      <c r="D441" s="4" t="n">
        <v>45400</v>
      </c>
      <c r="E441" s="2" t="inlineStr">
        <is>
          <t>10:03</t>
        </is>
      </c>
      <c r="F441" s="5">
        <f>C441-C440</f>
        <v/>
      </c>
      <c r="G441" s="5">
        <f>B441-B440</f>
        <v/>
      </c>
      <c r="H441" s="2">
        <f>IF(AND(F441=1,G441=1),"OK","À JUSTIFIER")</f>
        <v/>
      </c>
    </row>
    <row r="442">
      <c r="A442" s="2" t="inlineStr">
        <is>
          <t>EJ020524.TXT</t>
        </is>
      </c>
      <c r="B442" s="3" t="inlineStr">
        <is>
          <t>001627</t>
        </is>
      </c>
      <c r="C442" s="3" t="inlineStr">
        <is>
          <t>001049</t>
        </is>
      </c>
      <c r="D442" s="4" t="n">
        <v>45400</v>
      </c>
      <c r="E442" s="2" t="inlineStr">
        <is>
          <t>11:25</t>
        </is>
      </c>
      <c r="F442" s="5">
        <f>C442-C441</f>
        <v/>
      </c>
      <c r="G442" s="5">
        <f>B442-B441</f>
        <v/>
      </c>
      <c r="H442" s="2">
        <f>IF(AND(F442=1,G442=1),"OK","À JUSTIFIER")</f>
        <v/>
      </c>
    </row>
    <row r="443">
      <c r="A443" s="2" t="inlineStr">
        <is>
          <t>EJ020524.TXT</t>
        </is>
      </c>
      <c r="B443" s="3" t="inlineStr">
        <is>
          <t>001628</t>
        </is>
      </c>
      <c r="C443" s="3" t="inlineStr">
        <is>
          <t>001050</t>
        </is>
      </c>
      <c r="D443" s="4" t="n">
        <v>45400</v>
      </c>
      <c r="E443" s="2" t="inlineStr">
        <is>
          <t>11:49</t>
        </is>
      </c>
      <c r="F443" s="5">
        <f>C443-C442</f>
        <v/>
      </c>
      <c r="G443" s="5">
        <f>B443-B442</f>
        <v/>
      </c>
      <c r="H443" s="2">
        <f>IF(AND(F443=1,G443=1),"OK","À JUSTIFIER")</f>
        <v/>
      </c>
    </row>
    <row r="444">
      <c r="A444" s="2" t="inlineStr">
        <is>
          <t>EJ020524.TXT</t>
        </is>
      </c>
      <c r="B444" s="3" t="inlineStr">
        <is>
          <t>001629</t>
        </is>
      </c>
      <c r="C444" s="3" t="inlineStr">
        <is>
          <t>001051</t>
        </is>
      </c>
      <c r="D444" s="4" t="n">
        <v>45400</v>
      </c>
      <c r="E444" s="2" t="inlineStr">
        <is>
          <t>12:47</t>
        </is>
      </c>
      <c r="F444" s="5">
        <f>C444-C443</f>
        <v/>
      </c>
      <c r="G444" s="5">
        <f>B444-B443</f>
        <v/>
      </c>
      <c r="H444" s="2">
        <f>IF(AND(F444=1,G444=1),"OK","À JUSTIFIER")</f>
        <v/>
      </c>
    </row>
    <row r="445">
      <c r="A445" s="2" t="inlineStr">
        <is>
          <t>EJ020524.TXT</t>
        </is>
      </c>
      <c r="B445" s="3" t="inlineStr">
        <is>
          <t>001630</t>
        </is>
      </c>
      <c r="C445" s="3" t="inlineStr">
        <is>
          <t>001052</t>
        </is>
      </c>
      <c r="D445" s="4" t="n">
        <v>45402</v>
      </c>
      <c r="E445" s="2" t="inlineStr">
        <is>
          <t>13:16</t>
        </is>
      </c>
      <c r="F445" s="5">
        <f>C445-C444</f>
        <v/>
      </c>
      <c r="G445" s="5">
        <f>B445-B444</f>
        <v/>
      </c>
      <c r="H445" s="2">
        <f>IF(AND(F445=1,G445=1),"OK","À JUSTIFIER")</f>
        <v/>
      </c>
    </row>
    <row r="446">
      <c r="A446" s="2" t="inlineStr">
        <is>
          <t>EJ020524.TXT</t>
        </is>
      </c>
      <c r="B446" s="3" t="inlineStr">
        <is>
          <t>001632</t>
        </is>
      </c>
      <c r="C446" s="3" t="inlineStr">
        <is>
          <t>001053</t>
        </is>
      </c>
      <c r="D446" s="4" t="n">
        <v>45404</v>
      </c>
      <c r="E446" s="2" t="inlineStr">
        <is>
          <t>10:36</t>
        </is>
      </c>
      <c r="F446" s="5">
        <f>C446-C445</f>
        <v/>
      </c>
      <c r="G446" s="5">
        <f>B446-B445</f>
        <v/>
      </c>
      <c r="H446" s="2">
        <f>IF(AND(F446=1,G446=1),"OK","À JUSTIFIER")</f>
        <v/>
      </c>
    </row>
    <row r="447">
      <c r="A447" s="2" t="inlineStr">
        <is>
          <t>EJ020524.TXT</t>
        </is>
      </c>
      <c r="B447" s="3" t="inlineStr">
        <is>
          <t>001633</t>
        </is>
      </c>
      <c r="C447" s="3" t="inlineStr">
        <is>
          <t>001054</t>
        </is>
      </c>
      <c r="D447" s="4" t="n">
        <v>45404</v>
      </c>
      <c r="E447" s="2" t="inlineStr">
        <is>
          <t>10:53</t>
        </is>
      </c>
      <c r="F447" s="5">
        <f>C447-C446</f>
        <v/>
      </c>
      <c r="G447" s="5">
        <f>B447-B446</f>
        <v/>
      </c>
      <c r="H447" s="2">
        <f>IF(AND(F447=1,G447=1),"OK","À JUSTIFIER")</f>
        <v/>
      </c>
    </row>
    <row r="448">
      <c r="A448" s="2" t="inlineStr">
        <is>
          <t>EJ020524.TXT</t>
        </is>
      </c>
      <c r="B448" s="3" t="inlineStr">
        <is>
          <t>001634</t>
        </is>
      </c>
      <c r="C448" s="3" t="inlineStr">
        <is>
          <t>001055</t>
        </is>
      </c>
      <c r="D448" s="4" t="n">
        <v>45405</v>
      </c>
      <c r="E448" s="2" t="inlineStr">
        <is>
          <t>13:45</t>
        </is>
      </c>
      <c r="F448" s="5">
        <f>C448-C447</f>
        <v/>
      </c>
      <c r="G448" s="5">
        <f>B448-B447</f>
        <v/>
      </c>
      <c r="H448" s="2">
        <f>IF(AND(F448=1,G448=1),"OK","À JUSTIFIER")</f>
        <v/>
      </c>
    </row>
    <row r="449">
      <c r="A449" s="2" t="inlineStr">
        <is>
          <t>EJ020524.TXT</t>
        </is>
      </c>
      <c r="B449" s="3" t="inlineStr">
        <is>
          <t>001635</t>
        </is>
      </c>
      <c r="C449" s="3" t="inlineStr">
        <is>
          <t>001056</t>
        </is>
      </c>
      <c r="D449" s="4" t="n">
        <v>45406</v>
      </c>
      <c r="E449" s="2" t="inlineStr">
        <is>
          <t>12:23</t>
        </is>
      </c>
      <c r="F449" s="5">
        <f>C449-C448</f>
        <v/>
      </c>
      <c r="G449" s="5">
        <f>B449-B448</f>
        <v/>
      </c>
      <c r="H449" s="2">
        <f>IF(AND(F449=1,G449=1),"OK","À JUSTIFIER")</f>
        <v/>
      </c>
    </row>
    <row r="450">
      <c r="A450" s="2" t="inlineStr">
        <is>
          <t>EJ020524.TXT</t>
        </is>
      </c>
      <c r="B450" s="3" t="inlineStr">
        <is>
          <t>001637</t>
        </is>
      </c>
      <c r="C450" s="3" t="inlineStr">
        <is>
          <t>001057</t>
        </is>
      </c>
      <c r="D450" s="4" t="n">
        <v>45407</v>
      </c>
      <c r="E450" s="2" t="inlineStr">
        <is>
          <t>11:05</t>
        </is>
      </c>
      <c r="F450" s="5">
        <f>C450-C449</f>
        <v/>
      </c>
      <c r="G450" s="5">
        <f>B450-B449</f>
        <v/>
      </c>
      <c r="H450" s="2">
        <f>IF(AND(F450=1,G450=1),"OK","À JUSTIFIER")</f>
        <v/>
      </c>
    </row>
    <row r="451">
      <c r="A451" s="2" t="inlineStr">
        <is>
          <t>EJ020524.TXT</t>
        </is>
      </c>
      <c r="B451" s="3" t="inlineStr">
        <is>
          <t>001638</t>
        </is>
      </c>
      <c r="C451" s="3" t="inlineStr">
        <is>
          <t>001058</t>
        </is>
      </c>
      <c r="D451" s="4" t="n">
        <v>45407</v>
      </c>
      <c r="E451" s="2" t="inlineStr">
        <is>
          <t>12:38</t>
        </is>
      </c>
      <c r="F451" s="5">
        <f>C451-C450</f>
        <v/>
      </c>
      <c r="G451" s="5">
        <f>B451-B450</f>
        <v/>
      </c>
      <c r="H451" s="2">
        <f>IF(AND(F451=1,G451=1),"OK","À JUSTIFIER")</f>
        <v/>
      </c>
    </row>
    <row r="452">
      <c r="A452" s="2" t="inlineStr">
        <is>
          <t>EJ020524.TXT</t>
        </is>
      </c>
      <c r="B452" s="3" t="inlineStr">
        <is>
          <t>001639</t>
        </is>
      </c>
      <c r="C452" s="3" t="inlineStr">
        <is>
          <t>001059</t>
        </is>
      </c>
      <c r="D452" s="4" t="n">
        <v>45408</v>
      </c>
      <c r="E452" s="2" t="inlineStr">
        <is>
          <t>10:26</t>
        </is>
      </c>
      <c r="F452" s="5">
        <f>C452-C451</f>
        <v/>
      </c>
      <c r="G452" s="5">
        <f>B452-B451</f>
        <v/>
      </c>
      <c r="H452" s="2">
        <f>IF(AND(F452=1,G452=1),"OK","À JUSTIFIER")</f>
        <v/>
      </c>
    </row>
    <row r="453">
      <c r="A453" s="2" t="inlineStr">
        <is>
          <t>EJ020524.TXT</t>
        </is>
      </c>
      <c r="B453" s="3" t="inlineStr">
        <is>
          <t>001644</t>
        </is>
      </c>
      <c r="C453" s="3" t="inlineStr">
        <is>
          <t>001060</t>
        </is>
      </c>
      <c r="D453" s="4" t="n">
        <v>45408</v>
      </c>
      <c r="E453" s="2" t="inlineStr">
        <is>
          <t>13:49</t>
        </is>
      </c>
      <c r="F453" s="5">
        <f>C453-C452</f>
        <v/>
      </c>
      <c r="G453" s="5">
        <f>B453-B452</f>
        <v/>
      </c>
      <c r="H453" s="2">
        <f>IF(AND(F453=1,G453=1),"OK","À JUSTIFIER")</f>
        <v/>
      </c>
    </row>
    <row r="454">
      <c r="A454" s="2" t="inlineStr">
        <is>
          <t>EJ020524.TXT</t>
        </is>
      </c>
      <c r="B454" s="3" t="inlineStr">
        <is>
          <t>001645</t>
        </is>
      </c>
      <c r="C454" s="3" t="inlineStr">
        <is>
          <t>001061</t>
        </is>
      </c>
      <c r="D454" s="4" t="n">
        <v>45408</v>
      </c>
      <c r="E454" s="2" t="inlineStr">
        <is>
          <t>14:18</t>
        </is>
      </c>
      <c r="F454" s="5">
        <f>C454-C453</f>
        <v/>
      </c>
      <c r="G454" s="5">
        <f>B454-B453</f>
        <v/>
      </c>
      <c r="H454" s="2">
        <f>IF(AND(F454=1,G454=1),"OK","À JUSTIFIER")</f>
        <v/>
      </c>
    </row>
    <row r="455">
      <c r="A455" s="2" t="inlineStr">
        <is>
          <t>EJ020524.TXT</t>
        </is>
      </c>
      <c r="B455" s="3" t="inlineStr">
        <is>
          <t>001646</t>
        </is>
      </c>
      <c r="C455" s="3" t="inlineStr">
        <is>
          <t>001062</t>
        </is>
      </c>
      <c r="D455" s="4" t="n">
        <v>45408</v>
      </c>
      <c r="E455" s="2" t="inlineStr">
        <is>
          <t>14:39</t>
        </is>
      </c>
      <c r="F455" s="5">
        <f>C455-C454</f>
        <v/>
      </c>
      <c r="G455" s="5">
        <f>B455-B454</f>
        <v/>
      </c>
      <c r="H455" s="2">
        <f>IF(AND(F455=1,G455=1),"OK","À JUSTIFIER")</f>
        <v/>
      </c>
    </row>
    <row r="456">
      <c r="A456" s="2" t="inlineStr">
        <is>
          <t>EJ020524.TXT</t>
        </is>
      </c>
      <c r="B456" s="3" t="inlineStr">
        <is>
          <t>001647</t>
        </is>
      </c>
      <c r="C456" s="3" t="inlineStr">
        <is>
          <t>001063</t>
        </is>
      </c>
      <c r="D456" s="4" t="n">
        <v>45408</v>
      </c>
      <c r="E456" s="2" t="inlineStr">
        <is>
          <t>16:00</t>
        </is>
      </c>
      <c r="F456" s="5">
        <f>C456-C455</f>
        <v/>
      </c>
      <c r="G456" s="5">
        <f>B456-B455</f>
        <v/>
      </c>
      <c r="H456" s="2">
        <f>IF(AND(F456=1,G456=1),"OK","À JUSTIFIER")</f>
        <v/>
      </c>
    </row>
    <row r="457">
      <c r="A457" s="2" t="inlineStr">
        <is>
          <t>EJ020524.TXT</t>
        </is>
      </c>
      <c r="B457" s="3" t="inlineStr">
        <is>
          <t>001648</t>
        </is>
      </c>
      <c r="C457" s="3" t="inlineStr">
        <is>
          <t>001064</t>
        </is>
      </c>
      <c r="D457" s="4" t="n">
        <v>45409</v>
      </c>
      <c r="E457" s="2" t="inlineStr">
        <is>
          <t>16:42</t>
        </is>
      </c>
      <c r="F457" s="5">
        <f>C457-C456</f>
        <v/>
      </c>
      <c r="G457" s="5">
        <f>B457-B456</f>
        <v/>
      </c>
      <c r="H457" s="2">
        <f>IF(AND(F457=1,G457=1),"OK","À JUSTIFIER")</f>
        <v/>
      </c>
    </row>
    <row r="458">
      <c r="A458" s="2" t="inlineStr">
        <is>
          <t>EJ010624.TXT</t>
        </is>
      </c>
      <c r="B458" s="3" t="inlineStr">
        <is>
          <t>001655</t>
        </is>
      </c>
      <c r="C458" s="3" t="inlineStr">
        <is>
          <t>001065</t>
        </is>
      </c>
      <c r="D458" s="4" t="n">
        <v>45414</v>
      </c>
      <c r="E458" s="2" t="inlineStr">
        <is>
          <t>15:00</t>
        </is>
      </c>
      <c r="F458" s="5">
        <f>C458-C457</f>
        <v/>
      </c>
      <c r="G458" s="5">
        <f>B458-B457</f>
        <v/>
      </c>
      <c r="H458" s="2">
        <f>IF(AND(F458=1,G458=1),"OK","À JUSTIFIER")</f>
        <v/>
      </c>
    </row>
    <row r="459">
      <c r="A459" s="2" t="inlineStr">
        <is>
          <t>EJ010624.TXT</t>
        </is>
      </c>
      <c r="B459" s="3" t="inlineStr">
        <is>
          <t>001658</t>
        </is>
      </c>
      <c r="C459" s="3" t="inlineStr">
        <is>
          <t>001066</t>
        </is>
      </c>
      <c r="D459" s="4" t="n">
        <v>45416</v>
      </c>
      <c r="E459" s="2" t="inlineStr">
        <is>
          <t>14:40</t>
        </is>
      </c>
      <c r="F459" s="5">
        <f>C459-C458</f>
        <v/>
      </c>
      <c r="G459" s="5">
        <f>B459-B458</f>
        <v/>
      </c>
      <c r="H459" s="2">
        <f>IF(AND(F459=1,G459=1),"OK","À JUSTIFIER")</f>
        <v/>
      </c>
    </row>
    <row r="460">
      <c r="A460" s="2" t="inlineStr">
        <is>
          <t>EJ010624.TXT</t>
        </is>
      </c>
      <c r="B460" s="3" t="inlineStr">
        <is>
          <t>001659</t>
        </is>
      </c>
      <c r="C460" s="3" t="inlineStr">
        <is>
          <t>001067</t>
        </is>
      </c>
      <c r="D460" s="4" t="n">
        <v>45416</v>
      </c>
      <c r="E460" s="2" t="inlineStr">
        <is>
          <t>14:53</t>
        </is>
      </c>
      <c r="F460" s="5">
        <f>C460-C459</f>
        <v/>
      </c>
      <c r="G460" s="5">
        <f>B460-B459</f>
        <v/>
      </c>
      <c r="H460" s="2">
        <f>IF(AND(F460=1,G460=1),"OK","À JUSTIFIER")</f>
        <v/>
      </c>
    </row>
    <row r="461">
      <c r="A461" s="2" t="inlineStr">
        <is>
          <t>EJ010624.TXT</t>
        </is>
      </c>
      <c r="B461" s="3" t="inlineStr">
        <is>
          <t>001661</t>
        </is>
      </c>
      <c r="C461" s="3" t="inlineStr">
        <is>
          <t>001068</t>
        </is>
      </c>
      <c r="D461" s="4" t="n">
        <v>45418</v>
      </c>
      <c r="E461" s="2" t="inlineStr">
        <is>
          <t>13:11</t>
        </is>
      </c>
      <c r="F461" s="5">
        <f>C461-C460</f>
        <v/>
      </c>
      <c r="G461" s="5">
        <f>B461-B460</f>
        <v/>
      </c>
      <c r="H461" s="2">
        <f>IF(AND(F461=1,G461=1),"OK","À JUSTIFIER")</f>
        <v/>
      </c>
    </row>
    <row r="462">
      <c r="A462" s="2" t="inlineStr">
        <is>
          <t>EJ010624.TXT</t>
        </is>
      </c>
      <c r="B462" s="3" t="inlineStr">
        <is>
          <t>001662</t>
        </is>
      </c>
      <c r="C462" s="3" t="inlineStr">
        <is>
          <t>001069</t>
        </is>
      </c>
      <c r="D462" s="4" t="n">
        <v>45422</v>
      </c>
      <c r="E462" s="2" t="inlineStr">
        <is>
          <t>11:21</t>
        </is>
      </c>
      <c r="F462" s="5">
        <f>C462-C461</f>
        <v/>
      </c>
      <c r="G462" s="5">
        <f>B462-B461</f>
        <v/>
      </c>
      <c r="H462" s="2">
        <f>IF(AND(F462=1,G462=1),"OK","À JUSTIFIER")</f>
        <v/>
      </c>
    </row>
    <row r="463">
      <c r="A463" s="2" t="inlineStr">
        <is>
          <t>EJ010624.TXT</t>
        </is>
      </c>
      <c r="B463" s="3" t="inlineStr">
        <is>
          <t>001663</t>
        </is>
      </c>
      <c r="C463" s="3" t="inlineStr">
        <is>
          <t>001070</t>
        </is>
      </c>
      <c r="D463" s="4" t="n">
        <v>45422</v>
      </c>
      <c r="E463" s="2" t="inlineStr">
        <is>
          <t>13:12</t>
        </is>
      </c>
      <c r="F463" s="5">
        <f>C463-C462</f>
        <v/>
      </c>
      <c r="G463" s="5">
        <f>B463-B462</f>
        <v/>
      </c>
      <c r="H463" s="2">
        <f>IF(AND(F463=1,G463=1),"OK","À JUSTIFIER")</f>
        <v/>
      </c>
    </row>
    <row r="464">
      <c r="A464" s="2" t="inlineStr">
        <is>
          <t>EJ010624.TXT</t>
        </is>
      </c>
      <c r="B464" s="3" t="inlineStr">
        <is>
          <t>001664</t>
        </is>
      </c>
      <c r="C464" s="3" t="inlineStr">
        <is>
          <t>001071</t>
        </is>
      </c>
      <c r="D464" s="4" t="n">
        <v>45423</v>
      </c>
      <c r="E464" s="2" t="inlineStr">
        <is>
          <t>16:07</t>
        </is>
      </c>
      <c r="F464" s="5">
        <f>C464-C463</f>
        <v/>
      </c>
      <c r="G464" s="5">
        <f>B464-B463</f>
        <v/>
      </c>
      <c r="H464" s="2">
        <f>IF(AND(F464=1,G464=1),"OK","À JUSTIFIER")</f>
        <v/>
      </c>
    </row>
    <row r="465">
      <c r="A465" s="2" t="inlineStr">
        <is>
          <t>EJ010624.TXT</t>
        </is>
      </c>
      <c r="B465" s="3" t="inlineStr">
        <is>
          <t>001665</t>
        </is>
      </c>
      <c r="C465" s="3" t="inlineStr">
        <is>
          <t>001072</t>
        </is>
      </c>
      <c r="D465" s="4" t="n">
        <v>45425</v>
      </c>
      <c r="E465" s="2" t="inlineStr">
        <is>
          <t>12:30</t>
        </is>
      </c>
      <c r="F465" s="5">
        <f>C465-C464</f>
        <v/>
      </c>
      <c r="G465" s="5">
        <f>B465-B464</f>
        <v/>
      </c>
      <c r="H465" s="2">
        <f>IF(AND(F465=1,G465=1),"OK","À JUSTIFIER")</f>
        <v/>
      </c>
    </row>
    <row r="466">
      <c r="A466" s="2" t="inlineStr">
        <is>
          <t>EJ010624.TXT</t>
        </is>
      </c>
      <c r="B466" s="3" t="inlineStr">
        <is>
          <t>001667</t>
        </is>
      </c>
      <c r="C466" s="3" t="inlineStr">
        <is>
          <t>001073</t>
        </is>
      </c>
      <c r="D466" s="4" t="n">
        <v>45426</v>
      </c>
      <c r="E466" s="2" t="inlineStr">
        <is>
          <t>12:48</t>
        </is>
      </c>
      <c r="F466" s="5">
        <f>C466-C465</f>
        <v/>
      </c>
      <c r="G466" s="5">
        <f>B466-B465</f>
        <v/>
      </c>
      <c r="H466" s="2">
        <f>IF(AND(F466=1,G466=1),"OK","À JUSTIFIER")</f>
        <v/>
      </c>
    </row>
    <row r="467">
      <c r="A467" s="2" t="inlineStr">
        <is>
          <t>EJ010624.TXT</t>
        </is>
      </c>
      <c r="B467" s="3" t="inlineStr">
        <is>
          <t>001668</t>
        </is>
      </c>
      <c r="C467" s="3" t="inlineStr">
        <is>
          <t>001074</t>
        </is>
      </c>
      <c r="D467" s="4" t="n">
        <v>45426</v>
      </c>
      <c r="E467" s="2" t="inlineStr">
        <is>
          <t>12:48</t>
        </is>
      </c>
      <c r="F467" s="5">
        <f>C467-C466</f>
        <v/>
      </c>
      <c r="G467" s="5">
        <f>B467-B466</f>
        <v/>
      </c>
      <c r="H467" s="2">
        <f>IF(AND(F467=1,G467=1),"OK","À JUSTIFIER")</f>
        <v/>
      </c>
    </row>
    <row r="468">
      <c r="A468" s="2" t="inlineStr">
        <is>
          <t>EJ010624.TXT</t>
        </is>
      </c>
      <c r="B468" s="3" t="inlineStr">
        <is>
          <t>001669</t>
        </is>
      </c>
      <c r="C468" s="3" t="inlineStr">
        <is>
          <t>001075</t>
        </is>
      </c>
      <c r="D468" s="4" t="n">
        <v>45427</v>
      </c>
      <c r="E468" s="2" t="inlineStr">
        <is>
          <t>12:20</t>
        </is>
      </c>
      <c r="F468" s="5">
        <f>C468-C467</f>
        <v/>
      </c>
      <c r="G468" s="5">
        <f>B468-B467</f>
        <v/>
      </c>
      <c r="H468" s="2">
        <f>IF(AND(F468=1,G468=1),"OK","À JUSTIFIER")</f>
        <v/>
      </c>
    </row>
    <row r="469">
      <c r="A469" s="2" t="inlineStr">
        <is>
          <t>EJ010624.TXT</t>
        </is>
      </c>
      <c r="B469" s="3" t="inlineStr">
        <is>
          <t>001670</t>
        </is>
      </c>
      <c r="C469" s="3" t="inlineStr">
        <is>
          <t>001076</t>
        </is>
      </c>
      <c r="D469" s="4" t="n">
        <v>45427</v>
      </c>
      <c r="E469" s="2" t="inlineStr">
        <is>
          <t>15:00</t>
        </is>
      </c>
      <c r="F469" s="5">
        <f>C469-C468</f>
        <v/>
      </c>
      <c r="G469" s="5">
        <f>B469-B468</f>
        <v/>
      </c>
      <c r="H469" s="2">
        <f>IF(AND(F469=1,G469=1),"OK","À JUSTIFIER")</f>
        <v/>
      </c>
    </row>
    <row r="470">
      <c r="A470" s="2" t="inlineStr">
        <is>
          <t>EJ010624.TXT</t>
        </is>
      </c>
      <c r="B470" s="3" t="inlineStr">
        <is>
          <t>001671</t>
        </is>
      </c>
      <c r="C470" s="3" t="inlineStr">
        <is>
          <t>001077</t>
        </is>
      </c>
      <c r="D470" s="4" t="n">
        <v>45427</v>
      </c>
      <c r="E470" s="2" t="inlineStr">
        <is>
          <t>16:06</t>
        </is>
      </c>
      <c r="F470" s="5">
        <f>C470-C469</f>
        <v/>
      </c>
      <c r="G470" s="5">
        <f>B470-B469</f>
        <v/>
      </c>
      <c r="H470" s="2">
        <f>IF(AND(F470=1,G470=1),"OK","À JUSTIFIER")</f>
        <v/>
      </c>
    </row>
    <row r="471">
      <c r="A471" s="2" t="inlineStr">
        <is>
          <t>EJ010624.TXT</t>
        </is>
      </c>
      <c r="B471" s="3" t="inlineStr">
        <is>
          <t>001673</t>
        </is>
      </c>
      <c r="C471" s="3" t="inlineStr">
        <is>
          <t>001078</t>
        </is>
      </c>
      <c r="D471" s="4" t="n">
        <v>45434</v>
      </c>
      <c r="E471" s="2" t="inlineStr">
        <is>
          <t>15:48</t>
        </is>
      </c>
      <c r="F471" s="5">
        <f>C471-C470</f>
        <v/>
      </c>
      <c r="G471" s="5">
        <f>B471-B470</f>
        <v/>
      </c>
      <c r="H471" s="2">
        <f>IF(AND(F471=1,G471=1),"OK","À JUSTIFIER")</f>
        <v/>
      </c>
    </row>
    <row r="472">
      <c r="A472" s="2" t="inlineStr">
        <is>
          <t>EJ010624.TXT</t>
        </is>
      </c>
      <c r="B472" s="3" t="inlineStr">
        <is>
          <t>001674</t>
        </is>
      </c>
      <c r="C472" s="3" t="inlineStr">
        <is>
          <t>001079</t>
        </is>
      </c>
      <c r="D472" s="4" t="n">
        <v>45435</v>
      </c>
      <c r="E472" s="2" t="inlineStr">
        <is>
          <t>12:51</t>
        </is>
      </c>
      <c r="F472" s="5">
        <f>C472-C471</f>
        <v/>
      </c>
      <c r="G472" s="5">
        <f>B472-B471</f>
        <v/>
      </c>
      <c r="H472" s="2">
        <f>IF(AND(F472=1,G472=1),"OK","À JUSTIFIER")</f>
        <v/>
      </c>
    </row>
    <row r="473">
      <c r="A473" s="2" t="inlineStr">
        <is>
          <t>EJ010624.TXT</t>
        </is>
      </c>
      <c r="B473" s="3" t="inlineStr">
        <is>
          <t>001675</t>
        </is>
      </c>
      <c r="C473" s="3" t="inlineStr">
        <is>
          <t>001080</t>
        </is>
      </c>
      <c r="D473" s="4" t="n">
        <v>45435</v>
      </c>
      <c r="E473" s="2" t="inlineStr">
        <is>
          <t>14:25</t>
        </is>
      </c>
      <c r="F473" s="5">
        <f>C473-C472</f>
        <v/>
      </c>
      <c r="G473" s="5">
        <f>B473-B472</f>
        <v/>
      </c>
      <c r="H473" s="2">
        <f>IF(AND(F473=1,G473=1),"OK","À JUSTIFIER")</f>
        <v/>
      </c>
    </row>
    <row r="474">
      <c r="A474" s="2" t="inlineStr">
        <is>
          <t>EJ010624.TXT</t>
        </is>
      </c>
      <c r="B474" s="3" t="inlineStr">
        <is>
          <t>001676</t>
        </is>
      </c>
      <c r="C474" s="3" t="inlineStr">
        <is>
          <t>001081</t>
        </is>
      </c>
      <c r="D474" s="4" t="n">
        <v>45435</v>
      </c>
      <c r="E474" s="2" t="inlineStr">
        <is>
          <t>14:37</t>
        </is>
      </c>
      <c r="F474" s="5">
        <f>C474-C473</f>
        <v/>
      </c>
      <c r="G474" s="5">
        <f>B474-B473</f>
        <v/>
      </c>
      <c r="H474" s="2">
        <f>IF(AND(F474=1,G474=1),"OK","À JUSTIFIER")</f>
        <v/>
      </c>
    </row>
    <row r="475">
      <c r="A475" s="2" t="inlineStr">
        <is>
          <t>EJ010624.TXT</t>
        </is>
      </c>
      <c r="B475" s="3" t="inlineStr">
        <is>
          <t>001677</t>
        </is>
      </c>
      <c r="C475" s="3" t="inlineStr">
        <is>
          <t>001082</t>
        </is>
      </c>
      <c r="D475" s="4" t="n">
        <v>45435</v>
      </c>
      <c r="E475" s="2" t="inlineStr">
        <is>
          <t>16:28</t>
        </is>
      </c>
      <c r="F475" s="5">
        <f>C475-C474</f>
        <v/>
      </c>
      <c r="G475" s="5">
        <f>B475-B474</f>
        <v/>
      </c>
      <c r="H475" s="2">
        <f>IF(AND(F475=1,G475=1),"OK","À JUSTIFIER")</f>
        <v/>
      </c>
    </row>
    <row r="476">
      <c r="A476" s="2" t="inlineStr">
        <is>
          <t>EJ010624.TXT</t>
        </is>
      </c>
      <c r="B476" s="3" t="inlineStr">
        <is>
          <t>001678</t>
        </is>
      </c>
      <c r="C476" s="3" t="inlineStr">
        <is>
          <t>001083</t>
        </is>
      </c>
      <c r="D476" s="4" t="n">
        <v>45437</v>
      </c>
      <c r="E476" s="2" t="inlineStr">
        <is>
          <t>14:37</t>
        </is>
      </c>
      <c r="F476" s="5">
        <f>C476-C475</f>
        <v/>
      </c>
      <c r="G476" s="5">
        <f>B476-B475</f>
        <v/>
      </c>
      <c r="H476" s="2">
        <f>IF(AND(F476=1,G476=1),"OK","À JUSTIFIER")</f>
        <v/>
      </c>
    </row>
    <row r="477">
      <c r="A477" s="2" t="inlineStr">
        <is>
          <t>EJ010624.TXT</t>
        </is>
      </c>
      <c r="B477" s="3" t="inlineStr">
        <is>
          <t>001679</t>
        </is>
      </c>
      <c r="C477" s="3" t="inlineStr">
        <is>
          <t>001084</t>
        </is>
      </c>
      <c r="D477" s="4" t="n">
        <v>45439</v>
      </c>
      <c r="E477" s="2" t="inlineStr">
        <is>
          <t>16:38</t>
        </is>
      </c>
      <c r="F477" s="5">
        <f>C477-C476</f>
        <v/>
      </c>
      <c r="G477" s="5">
        <f>B477-B476</f>
        <v/>
      </c>
      <c r="H477" s="2">
        <f>IF(AND(F477=1,G477=1),"OK","À JUSTIFIER")</f>
        <v/>
      </c>
    </row>
    <row r="478">
      <c r="A478" s="2" t="inlineStr">
        <is>
          <t>EJ010624.TXT</t>
        </is>
      </c>
      <c r="B478" s="3" t="inlineStr">
        <is>
          <t>001681</t>
        </is>
      </c>
      <c r="C478" s="3" t="inlineStr">
        <is>
          <t>001085</t>
        </is>
      </c>
      <c r="D478" s="4" t="n">
        <v>45440</v>
      </c>
      <c r="E478" s="2" t="inlineStr">
        <is>
          <t>14:43</t>
        </is>
      </c>
      <c r="F478" s="5">
        <f>C478-C477</f>
        <v/>
      </c>
      <c r="G478" s="5">
        <f>B478-B477</f>
        <v/>
      </c>
      <c r="H478" s="2">
        <f>IF(AND(F478=1,G478=1),"OK","À JUSTIFIER")</f>
        <v/>
      </c>
    </row>
    <row r="479">
      <c r="A479" s="2" t="inlineStr">
        <is>
          <t>EJ010624.TXT</t>
        </is>
      </c>
      <c r="B479" s="3" t="inlineStr">
        <is>
          <t>001683</t>
        </is>
      </c>
      <c r="C479" s="3" t="inlineStr">
        <is>
          <t>001086</t>
        </is>
      </c>
      <c r="D479" s="4" t="n">
        <v>45441</v>
      </c>
      <c r="E479" s="2" t="inlineStr">
        <is>
          <t>09:27</t>
        </is>
      </c>
      <c r="F479" s="5">
        <f>C479-C478</f>
        <v/>
      </c>
      <c r="G479" s="5">
        <f>B479-B478</f>
        <v/>
      </c>
      <c r="H479" s="2">
        <f>IF(AND(F479=1,G479=1),"OK","À JUSTIFIER")</f>
        <v/>
      </c>
    </row>
    <row r="480">
      <c r="A480" s="2" t="inlineStr">
        <is>
          <t>EJ010624.TXT</t>
        </is>
      </c>
      <c r="B480" s="3" t="inlineStr">
        <is>
          <t>001684</t>
        </is>
      </c>
      <c r="C480" s="3" t="inlineStr">
        <is>
          <t>001087</t>
        </is>
      </c>
      <c r="D480" s="4" t="n">
        <v>45441</v>
      </c>
      <c r="E480" s="2" t="inlineStr">
        <is>
          <t>13:59</t>
        </is>
      </c>
      <c r="F480" s="5">
        <f>C480-C479</f>
        <v/>
      </c>
      <c r="G480" s="5">
        <f>B480-B479</f>
        <v/>
      </c>
      <c r="H480" s="2">
        <f>IF(AND(F480=1,G480=1),"OK","À JUSTIFIER")</f>
        <v/>
      </c>
    </row>
    <row r="481">
      <c r="A481" s="2" t="inlineStr">
        <is>
          <t>EJ010624.TXT</t>
        </is>
      </c>
      <c r="B481" s="3" t="inlineStr">
        <is>
          <t>001685</t>
        </is>
      </c>
      <c r="C481" s="3" t="inlineStr">
        <is>
          <t>001088</t>
        </is>
      </c>
      <c r="D481" s="4" t="n">
        <v>45441</v>
      </c>
      <c r="E481" s="2" t="inlineStr">
        <is>
          <t>14:10</t>
        </is>
      </c>
      <c r="F481" s="5">
        <f>C481-C480</f>
        <v/>
      </c>
      <c r="G481" s="5">
        <f>B481-B480</f>
        <v/>
      </c>
      <c r="H481" s="2">
        <f>IF(AND(F481=1,G481=1),"OK","À JUSTIFIER")</f>
        <v/>
      </c>
    </row>
    <row r="482">
      <c r="A482" s="2" t="inlineStr">
        <is>
          <t>EJ010624.TXT</t>
        </is>
      </c>
      <c r="B482" s="3" t="inlineStr">
        <is>
          <t>001686</t>
        </is>
      </c>
      <c r="C482" s="3" t="inlineStr">
        <is>
          <t>001089</t>
        </is>
      </c>
      <c r="D482" s="4" t="n">
        <v>45444</v>
      </c>
      <c r="E482" s="2" t="inlineStr">
        <is>
          <t>13:35</t>
        </is>
      </c>
      <c r="F482" s="5">
        <f>C482-C481</f>
        <v/>
      </c>
      <c r="G482" s="5">
        <f>B482-B481</f>
        <v/>
      </c>
      <c r="H482" s="2">
        <f>IF(AND(F482=1,G482=1),"OK","À JUSTIFIER")</f>
        <v/>
      </c>
    </row>
    <row r="483">
      <c r="A483" s="2" t="inlineStr">
        <is>
          <t>EJ010724.TXT</t>
        </is>
      </c>
      <c r="B483" s="3" t="inlineStr">
        <is>
          <t>001690</t>
        </is>
      </c>
      <c r="C483" s="3" t="inlineStr">
        <is>
          <t>001090</t>
        </is>
      </c>
      <c r="D483" s="4" t="n">
        <v>45444</v>
      </c>
      <c r="E483" s="2" t="inlineStr">
        <is>
          <t>15:02</t>
        </is>
      </c>
      <c r="F483" s="5">
        <f>C483-C482</f>
        <v/>
      </c>
      <c r="G483" s="5">
        <f>B483-B482</f>
        <v/>
      </c>
      <c r="H483" s="2">
        <f>IF(AND(F483=1,G483=1),"OK","À JUSTIFIER")</f>
        <v/>
      </c>
    </row>
    <row r="484">
      <c r="A484" s="2" t="inlineStr">
        <is>
          <t>EJ010724.TXT</t>
        </is>
      </c>
      <c r="B484" s="3" t="inlineStr">
        <is>
          <t>001691</t>
        </is>
      </c>
      <c r="C484" s="3" t="inlineStr">
        <is>
          <t>001091</t>
        </is>
      </c>
      <c r="D484" s="4" t="n">
        <v>45444</v>
      </c>
      <c r="E484" s="2" t="inlineStr">
        <is>
          <t>16:23</t>
        </is>
      </c>
      <c r="F484" s="5">
        <f>C484-C483</f>
        <v/>
      </c>
      <c r="G484" s="5">
        <f>B484-B483</f>
        <v/>
      </c>
      <c r="H484" s="2">
        <f>IF(AND(F484=1,G484=1),"OK","À JUSTIFIER")</f>
        <v/>
      </c>
    </row>
    <row r="485">
      <c r="A485" s="2" t="inlineStr">
        <is>
          <t>EJ010724.TXT</t>
        </is>
      </c>
      <c r="B485" s="3" t="inlineStr">
        <is>
          <t>001692</t>
        </is>
      </c>
      <c r="C485" s="3" t="inlineStr">
        <is>
          <t>001092</t>
        </is>
      </c>
      <c r="D485" s="4" t="n">
        <v>45444</v>
      </c>
      <c r="E485" s="2" t="inlineStr">
        <is>
          <t>16:27</t>
        </is>
      </c>
      <c r="F485" s="5">
        <f>C485-C484</f>
        <v/>
      </c>
      <c r="G485" s="5">
        <f>B485-B484</f>
        <v/>
      </c>
      <c r="H485" s="2">
        <f>IF(AND(F485=1,G485=1),"OK","À JUSTIFIER")</f>
        <v/>
      </c>
    </row>
    <row r="486">
      <c r="A486" s="2" t="inlineStr">
        <is>
          <t>EJ010724.TXT</t>
        </is>
      </c>
      <c r="B486" s="3" t="inlineStr">
        <is>
          <t>001696</t>
        </is>
      </c>
      <c r="C486" s="3" t="inlineStr">
        <is>
          <t>001093</t>
        </is>
      </c>
      <c r="D486" s="4" t="n">
        <v>45446</v>
      </c>
      <c r="E486" s="2" t="inlineStr">
        <is>
          <t>10:10</t>
        </is>
      </c>
      <c r="F486" s="5">
        <f>C486-C485</f>
        <v/>
      </c>
      <c r="G486" s="5">
        <f>B486-B485</f>
        <v/>
      </c>
      <c r="H486" s="2">
        <f>IF(AND(F486=1,G486=1),"OK","À JUSTIFIER")</f>
        <v/>
      </c>
    </row>
    <row r="487">
      <c r="A487" s="2" t="inlineStr">
        <is>
          <t>EJ010724.TXT</t>
        </is>
      </c>
      <c r="B487" s="3" t="inlineStr">
        <is>
          <t>001701</t>
        </is>
      </c>
      <c r="C487" s="3" t="inlineStr">
        <is>
          <t>001094</t>
        </is>
      </c>
      <c r="D487" s="4" t="n">
        <v>45446</v>
      </c>
      <c r="E487" s="2" t="inlineStr">
        <is>
          <t>14:20</t>
        </is>
      </c>
      <c r="F487" s="5">
        <f>C487-C486</f>
        <v/>
      </c>
      <c r="G487" s="5">
        <f>B487-B486</f>
        <v/>
      </c>
      <c r="H487" s="2">
        <f>IF(AND(F487=1,G487=1),"OK","À JUSTIFIER")</f>
        <v/>
      </c>
    </row>
    <row r="488">
      <c r="A488" s="2" t="inlineStr">
        <is>
          <t>EJ010724.TXT</t>
        </is>
      </c>
      <c r="B488" s="3" t="inlineStr">
        <is>
          <t>001706</t>
        </is>
      </c>
      <c r="C488" s="3" t="inlineStr">
        <is>
          <t>001095</t>
        </is>
      </c>
      <c r="D488" s="4" t="n">
        <v>45449</v>
      </c>
      <c r="E488" s="2" t="inlineStr">
        <is>
          <t>14:23</t>
        </is>
      </c>
      <c r="F488" s="5">
        <f>C488-C487</f>
        <v/>
      </c>
      <c r="G488" s="5">
        <f>B488-B487</f>
        <v/>
      </c>
      <c r="H488" s="2">
        <f>IF(AND(F488=1,G488=1),"OK","À JUSTIFIER")</f>
        <v/>
      </c>
    </row>
    <row r="489">
      <c r="A489" s="2" t="inlineStr">
        <is>
          <t>EJ010724.TXT</t>
        </is>
      </c>
      <c r="B489" s="3" t="inlineStr">
        <is>
          <t>001707</t>
        </is>
      </c>
      <c r="C489" s="3" t="inlineStr">
        <is>
          <t>001096</t>
        </is>
      </c>
      <c r="D489" s="4" t="n">
        <v>45456</v>
      </c>
      <c r="E489" s="2" t="inlineStr">
        <is>
          <t>14:18</t>
        </is>
      </c>
      <c r="F489" s="5">
        <f>C489-C488</f>
        <v/>
      </c>
      <c r="G489" s="5">
        <f>B489-B488</f>
        <v/>
      </c>
      <c r="H489" s="2">
        <f>IF(AND(F489=1,G489=1),"OK","À JUSTIFIER")</f>
        <v/>
      </c>
    </row>
    <row r="490">
      <c r="A490" s="2" t="inlineStr">
        <is>
          <t>EJ010724.TXT</t>
        </is>
      </c>
      <c r="B490" s="3" t="inlineStr">
        <is>
          <t>001708</t>
        </is>
      </c>
      <c r="C490" s="3" t="inlineStr">
        <is>
          <t>001097</t>
        </is>
      </c>
      <c r="D490" s="4" t="n">
        <v>45456</v>
      </c>
      <c r="E490" s="2" t="inlineStr">
        <is>
          <t>14:19</t>
        </is>
      </c>
      <c r="F490" s="5">
        <f>C490-C489</f>
        <v/>
      </c>
      <c r="G490" s="5">
        <f>B490-B489</f>
        <v/>
      </c>
      <c r="H490" s="2">
        <f>IF(AND(F490=1,G490=1),"OK","À JUSTIFIER")</f>
        <v/>
      </c>
    </row>
    <row r="491">
      <c r="A491" s="2" t="inlineStr">
        <is>
          <t>EJ010724.TXT</t>
        </is>
      </c>
      <c r="B491" s="3" t="inlineStr">
        <is>
          <t>001709</t>
        </is>
      </c>
      <c r="C491" s="3" t="inlineStr">
        <is>
          <t>001098</t>
        </is>
      </c>
      <c r="D491" s="4" t="n">
        <v>45456</v>
      </c>
      <c r="E491" s="2" t="inlineStr">
        <is>
          <t>14:19</t>
        </is>
      </c>
      <c r="F491" s="5">
        <f>C491-C490</f>
        <v/>
      </c>
      <c r="G491" s="5">
        <f>B491-B490</f>
        <v/>
      </c>
      <c r="H491" s="2">
        <f>IF(AND(F491=1,G491=1),"OK","À JUSTIFIER")</f>
        <v/>
      </c>
    </row>
    <row r="492">
      <c r="A492" s="2" t="inlineStr">
        <is>
          <t>EJ010724.TXT</t>
        </is>
      </c>
      <c r="B492" s="3" t="inlineStr">
        <is>
          <t>001710</t>
        </is>
      </c>
      <c r="C492" s="3" t="inlineStr">
        <is>
          <t>001099</t>
        </is>
      </c>
      <c r="D492" s="4" t="n">
        <v>45456</v>
      </c>
      <c r="E492" s="2" t="inlineStr">
        <is>
          <t>14:19</t>
        </is>
      </c>
      <c r="F492" s="5">
        <f>C492-C491</f>
        <v/>
      </c>
      <c r="G492" s="5">
        <f>B492-B491</f>
        <v/>
      </c>
      <c r="H492" s="2">
        <f>IF(AND(F492=1,G492=1),"OK","À JUSTIFIER")</f>
        <v/>
      </c>
    </row>
    <row r="493">
      <c r="A493" s="2" t="inlineStr">
        <is>
          <t>EJ010724.TXT</t>
        </is>
      </c>
      <c r="B493" s="3" t="inlineStr">
        <is>
          <t>001711</t>
        </is>
      </c>
      <c r="C493" s="3" t="inlineStr">
        <is>
          <t>001100</t>
        </is>
      </c>
      <c r="D493" s="4" t="n">
        <v>45457</v>
      </c>
      <c r="E493" s="2" t="inlineStr">
        <is>
          <t>14:54</t>
        </is>
      </c>
      <c r="F493" s="5">
        <f>C493-C492</f>
        <v/>
      </c>
      <c r="G493" s="5">
        <f>B493-B492</f>
        <v/>
      </c>
      <c r="H493" s="2">
        <f>IF(AND(F493=1,G493=1),"OK","À JUSTIFIER")</f>
        <v/>
      </c>
    </row>
    <row r="494">
      <c r="A494" s="2" t="inlineStr">
        <is>
          <t>EJ010724.TXT</t>
        </is>
      </c>
      <c r="B494" s="3" t="inlineStr">
        <is>
          <t>001713</t>
        </is>
      </c>
      <c r="C494" s="3" t="inlineStr">
        <is>
          <t>001101</t>
        </is>
      </c>
      <c r="D494" s="4" t="n">
        <v>45458</v>
      </c>
      <c r="E494" s="2" t="inlineStr">
        <is>
          <t>14:45</t>
        </is>
      </c>
      <c r="F494" s="5">
        <f>C494-C493</f>
        <v/>
      </c>
      <c r="G494" s="5">
        <f>B494-B493</f>
        <v/>
      </c>
      <c r="H494" s="2">
        <f>IF(AND(F494=1,G494=1),"OK","À JUSTIFIER")</f>
        <v/>
      </c>
    </row>
    <row r="495">
      <c r="A495" s="2" t="inlineStr">
        <is>
          <t>EJ010724.TXT</t>
        </is>
      </c>
      <c r="B495" s="3" t="inlineStr">
        <is>
          <t>001714</t>
        </is>
      </c>
      <c r="C495" s="3" t="inlineStr">
        <is>
          <t>001102</t>
        </is>
      </c>
      <c r="D495" s="4" t="n">
        <v>45458</v>
      </c>
      <c r="E495" s="2" t="inlineStr">
        <is>
          <t>16:09</t>
        </is>
      </c>
      <c r="F495" s="5">
        <f>C495-C494</f>
        <v/>
      </c>
      <c r="G495" s="5">
        <f>B495-B494</f>
        <v/>
      </c>
      <c r="H495" s="2">
        <f>IF(AND(F495=1,G495=1),"OK","À JUSTIFIER")</f>
        <v/>
      </c>
    </row>
    <row r="496">
      <c r="A496" s="2" t="inlineStr">
        <is>
          <t>EJ010724.TXT</t>
        </is>
      </c>
      <c r="B496" s="3" t="inlineStr">
        <is>
          <t>001715</t>
        </is>
      </c>
      <c r="C496" s="3" t="inlineStr">
        <is>
          <t>001103</t>
        </is>
      </c>
      <c r="D496" s="4" t="n">
        <v>45461</v>
      </c>
      <c r="E496" s="2" t="inlineStr">
        <is>
          <t>08:59</t>
        </is>
      </c>
      <c r="F496" s="5">
        <f>C496-C495</f>
        <v/>
      </c>
      <c r="G496" s="5">
        <f>B496-B495</f>
        <v/>
      </c>
      <c r="H496" s="2">
        <f>IF(AND(F496=1,G496=1),"OK","À JUSTIFIER")</f>
        <v/>
      </c>
    </row>
    <row r="497">
      <c r="A497" s="2" t="inlineStr">
        <is>
          <t>EJ010724.TXT</t>
        </is>
      </c>
      <c r="B497" s="3" t="inlineStr">
        <is>
          <t>001717</t>
        </is>
      </c>
      <c r="C497" s="3" t="inlineStr">
        <is>
          <t>001104</t>
        </is>
      </c>
      <c r="D497" s="4" t="n">
        <v>45463</v>
      </c>
      <c r="E497" s="2" t="inlineStr">
        <is>
          <t>10:19</t>
        </is>
      </c>
      <c r="F497" s="5">
        <f>C497-C496</f>
        <v/>
      </c>
      <c r="G497" s="5">
        <f>B497-B496</f>
        <v/>
      </c>
      <c r="H497" s="2">
        <f>IF(AND(F497=1,G497=1),"OK","À JUSTIFIER")</f>
        <v/>
      </c>
    </row>
    <row r="498">
      <c r="A498" s="2" t="inlineStr">
        <is>
          <t>EJ010724.TXT</t>
        </is>
      </c>
      <c r="B498" s="3" t="inlineStr">
        <is>
          <t>001718</t>
        </is>
      </c>
      <c r="C498" s="3" t="inlineStr">
        <is>
          <t>001105</t>
        </is>
      </c>
      <c r="D498" s="4" t="n">
        <v>45468</v>
      </c>
      <c r="E498" s="2" t="inlineStr">
        <is>
          <t>15:12</t>
        </is>
      </c>
      <c r="F498" s="5">
        <f>C498-C497</f>
        <v/>
      </c>
      <c r="G498" s="5">
        <f>B498-B497</f>
        <v/>
      </c>
      <c r="H498" s="2">
        <f>IF(AND(F498=1,G498=1),"OK","À JUSTIFIER")</f>
        <v/>
      </c>
    </row>
    <row r="499">
      <c r="A499" s="2" t="inlineStr">
        <is>
          <t>EJ010724.TXT</t>
        </is>
      </c>
      <c r="B499" s="3" t="inlineStr">
        <is>
          <t>001719</t>
        </is>
      </c>
      <c r="C499" s="3" t="inlineStr">
        <is>
          <t>001106</t>
        </is>
      </c>
      <c r="D499" s="4" t="n">
        <v>45469</v>
      </c>
      <c r="E499" s="2" t="inlineStr">
        <is>
          <t>10:55</t>
        </is>
      </c>
      <c r="F499" s="5">
        <f>C499-C498</f>
        <v/>
      </c>
      <c r="G499" s="5">
        <f>B499-B498</f>
        <v/>
      </c>
      <c r="H499" s="2">
        <f>IF(AND(F499=1,G499=1),"OK","À JUSTIFIER")</f>
        <v/>
      </c>
    </row>
    <row r="500">
      <c r="A500" s="2" t="inlineStr">
        <is>
          <t>EJ010724.TXT</t>
        </is>
      </c>
      <c r="B500" s="3" t="inlineStr">
        <is>
          <t>001720</t>
        </is>
      </c>
      <c r="C500" s="3" t="inlineStr">
        <is>
          <t>001107</t>
        </is>
      </c>
      <c r="D500" s="4" t="n">
        <v>45469</v>
      </c>
      <c r="E500" s="2" t="inlineStr">
        <is>
          <t>12:56</t>
        </is>
      </c>
      <c r="F500" s="5">
        <f>C500-C499</f>
        <v/>
      </c>
      <c r="G500" s="5">
        <f>B500-B499</f>
        <v/>
      </c>
      <c r="H500" s="2">
        <f>IF(AND(F500=1,G500=1),"OK","À JUSTIFIER")</f>
        <v/>
      </c>
    </row>
    <row r="501">
      <c r="A501" s="2" t="inlineStr">
        <is>
          <t>EJ010724.TXT</t>
        </is>
      </c>
      <c r="B501" s="3" t="inlineStr">
        <is>
          <t>001721</t>
        </is>
      </c>
      <c r="C501" s="3" t="inlineStr">
        <is>
          <t>001108</t>
        </is>
      </c>
      <c r="D501" s="4" t="n">
        <v>45469</v>
      </c>
      <c r="E501" s="2" t="inlineStr">
        <is>
          <t>13:17</t>
        </is>
      </c>
      <c r="F501" s="5">
        <f>C501-C500</f>
        <v/>
      </c>
      <c r="G501" s="5">
        <f>B501-B500</f>
        <v/>
      </c>
      <c r="H501" s="2">
        <f>IF(AND(F501=1,G501=1),"OK","À JUSTIFIER")</f>
        <v/>
      </c>
    </row>
    <row r="502">
      <c r="A502" s="2" t="inlineStr">
        <is>
          <t>EJ010724.TXT</t>
        </is>
      </c>
      <c r="B502" s="3" t="inlineStr">
        <is>
          <t>001722</t>
        </is>
      </c>
      <c r="C502" s="3" t="inlineStr">
        <is>
          <t>001109</t>
        </is>
      </c>
      <c r="D502" s="4" t="n">
        <v>45469</v>
      </c>
      <c r="E502" s="2" t="inlineStr">
        <is>
          <t>15:56</t>
        </is>
      </c>
      <c r="F502" s="5">
        <f>C502-C501</f>
        <v/>
      </c>
      <c r="G502" s="5">
        <f>B502-B501</f>
        <v/>
      </c>
      <c r="H502" s="2">
        <f>IF(AND(F502=1,G502=1),"OK","À JUSTIFIER")</f>
        <v/>
      </c>
    </row>
    <row r="503">
      <c r="A503" s="2" t="inlineStr">
        <is>
          <t>EJ010724.TXT</t>
        </is>
      </c>
      <c r="B503" s="3" t="inlineStr">
        <is>
          <t>001724</t>
        </is>
      </c>
      <c r="C503" s="3" t="inlineStr">
        <is>
          <t>001110</t>
        </is>
      </c>
      <c r="D503" s="4" t="n">
        <v>45471</v>
      </c>
      <c r="E503" s="2" t="inlineStr">
        <is>
          <t>11:37</t>
        </is>
      </c>
      <c r="F503" s="5">
        <f>C503-C502</f>
        <v/>
      </c>
      <c r="G503" s="5">
        <f>B503-B502</f>
        <v/>
      </c>
      <c r="H503" s="2">
        <f>IF(AND(F503=1,G503=1),"OK","À JUSTIFIER")</f>
        <v/>
      </c>
    </row>
    <row r="504">
      <c r="A504" s="2" t="inlineStr">
        <is>
          <t>EJ010724.TXT</t>
        </is>
      </c>
      <c r="B504" s="3" t="inlineStr">
        <is>
          <t>001725</t>
        </is>
      </c>
      <c r="C504" s="3" t="inlineStr">
        <is>
          <t>001111</t>
        </is>
      </c>
      <c r="D504" s="4" t="n">
        <v>45472</v>
      </c>
      <c r="E504" s="2" t="inlineStr">
        <is>
          <t>13:34</t>
        </is>
      </c>
      <c r="F504" s="5">
        <f>C504-C503</f>
        <v/>
      </c>
      <c r="G504" s="5">
        <f>B504-B503</f>
        <v/>
      </c>
      <c r="H504" s="2">
        <f>IF(AND(F504=1,G504=1),"OK","À JUSTIFIER")</f>
        <v/>
      </c>
    </row>
    <row r="505">
      <c r="A505" s="2" t="inlineStr">
        <is>
          <t>EJ010724.TXT</t>
        </is>
      </c>
      <c r="B505" s="3" t="inlineStr">
        <is>
          <t>001726</t>
        </is>
      </c>
      <c r="C505" s="3" t="inlineStr">
        <is>
          <t>001112</t>
        </is>
      </c>
      <c r="D505" s="4" t="n">
        <v>45472</v>
      </c>
      <c r="E505" s="2" t="inlineStr">
        <is>
          <t>14:05</t>
        </is>
      </c>
      <c r="F505" s="5">
        <f>C505-C504</f>
        <v/>
      </c>
      <c r="G505" s="5">
        <f>B505-B504</f>
        <v/>
      </c>
      <c r="H505" s="2">
        <f>IF(AND(F505=1,G505=1),"OK","À JUSTIFIER")</f>
        <v/>
      </c>
    </row>
    <row r="506">
      <c r="A506" s="2" t="inlineStr">
        <is>
          <t>EJ010824.TXT</t>
        </is>
      </c>
      <c r="B506" s="3" t="inlineStr">
        <is>
          <t>001732</t>
        </is>
      </c>
      <c r="C506" s="3" t="inlineStr">
        <is>
          <t>001113</t>
        </is>
      </c>
      <c r="D506" s="4" t="n">
        <v>45474</v>
      </c>
      <c r="E506" s="2" t="inlineStr">
        <is>
          <t>16:08</t>
        </is>
      </c>
      <c r="F506" s="5">
        <f>C506-C505</f>
        <v/>
      </c>
      <c r="G506" s="5">
        <f>B506-B505</f>
        <v/>
      </c>
      <c r="H506" s="2">
        <f>IF(AND(F506=1,G506=1),"OK","À JUSTIFIER")</f>
        <v/>
      </c>
    </row>
    <row r="507">
      <c r="A507" s="2" t="inlineStr">
        <is>
          <t>EJ010824.TXT</t>
        </is>
      </c>
      <c r="B507" s="3" t="inlineStr">
        <is>
          <t>001733</t>
        </is>
      </c>
      <c r="C507" s="3" t="inlineStr">
        <is>
          <t>001114</t>
        </is>
      </c>
      <c r="D507" s="4" t="n">
        <v>45475</v>
      </c>
      <c r="E507" s="2" t="inlineStr">
        <is>
          <t>09:55</t>
        </is>
      </c>
      <c r="F507" s="5">
        <f>C507-C506</f>
        <v/>
      </c>
      <c r="G507" s="5">
        <f>B507-B506</f>
        <v/>
      </c>
      <c r="H507" s="2">
        <f>IF(AND(F507=1,G507=1),"OK","À JUSTIFIER")</f>
        <v/>
      </c>
    </row>
    <row r="508">
      <c r="A508" s="2" t="inlineStr">
        <is>
          <t>EJ010824.TXT</t>
        </is>
      </c>
      <c r="B508" s="3" t="inlineStr">
        <is>
          <t>001734</t>
        </is>
      </c>
      <c r="C508" s="3" t="inlineStr">
        <is>
          <t>001115</t>
        </is>
      </c>
      <c r="D508" s="4" t="n">
        <v>45475</v>
      </c>
      <c r="E508" s="2" t="inlineStr">
        <is>
          <t>12:08</t>
        </is>
      </c>
      <c r="F508" s="5">
        <f>C508-C507</f>
        <v/>
      </c>
      <c r="G508" s="5">
        <f>B508-B507</f>
        <v/>
      </c>
      <c r="H508" s="2">
        <f>IF(AND(F508=1,G508=1),"OK","À JUSTIFIER")</f>
        <v/>
      </c>
    </row>
    <row r="509">
      <c r="A509" s="2" t="inlineStr">
        <is>
          <t>EJ010824.TXT</t>
        </is>
      </c>
      <c r="B509" s="3" t="inlineStr">
        <is>
          <t>001735</t>
        </is>
      </c>
      <c r="C509" s="3" t="inlineStr">
        <is>
          <t>001116</t>
        </is>
      </c>
      <c r="D509" s="4" t="n">
        <v>45476</v>
      </c>
      <c r="E509" s="2" t="inlineStr">
        <is>
          <t>15:17</t>
        </is>
      </c>
      <c r="F509" s="5">
        <f>C509-C508</f>
        <v/>
      </c>
      <c r="G509" s="5">
        <f>B509-B508</f>
        <v/>
      </c>
      <c r="H509" s="2">
        <f>IF(AND(F509=1,G509=1),"OK","À JUSTIFIER")</f>
        <v/>
      </c>
    </row>
    <row r="510">
      <c r="A510" s="2" t="inlineStr">
        <is>
          <t>EJ010824.TXT</t>
        </is>
      </c>
      <c r="B510" s="3" t="inlineStr">
        <is>
          <t>001736</t>
        </is>
      </c>
      <c r="C510" s="3" t="inlineStr">
        <is>
          <t>001117</t>
        </is>
      </c>
      <c r="D510" s="4" t="n">
        <v>45481</v>
      </c>
      <c r="E510" s="2" t="inlineStr">
        <is>
          <t>09:03</t>
        </is>
      </c>
      <c r="F510" s="5">
        <f>C510-C509</f>
        <v/>
      </c>
      <c r="G510" s="5">
        <f>B510-B509</f>
        <v/>
      </c>
      <c r="H510" s="2">
        <f>IF(AND(F510=1,G510=1),"OK","À JUSTIFIER")</f>
        <v/>
      </c>
    </row>
    <row r="511">
      <c r="A511" s="2" t="inlineStr">
        <is>
          <t>EJ010824.TXT</t>
        </is>
      </c>
      <c r="B511" s="3" t="inlineStr">
        <is>
          <t>001737</t>
        </is>
      </c>
      <c r="C511" s="3" t="inlineStr">
        <is>
          <t>001118</t>
        </is>
      </c>
      <c r="D511" s="4" t="n">
        <v>45482</v>
      </c>
      <c r="E511" s="2" t="inlineStr">
        <is>
          <t>10:48</t>
        </is>
      </c>
      <c r="F511" s="5">
        <f>C511-C510</f>
        <v/>
      </c>
      <c r="G511" s="5">
        <f>B511-B510</f>
        <v/>
      </c>
      <c r="H511" s="2">
        <f>IF(AND(F511=1,G511=1),"OK","À JUSTIFIER")</f>
        <v/>
      </c>
    </row>
    <row r="512">
      <c r="A512" s="2" t="inlineStr">
        <is>
          <t>EJ010824.TXT</t>
        </is>
      </c>
      <c r="B512" s="3" t="inlineStr">
        <is>
          <t>001738</t>
        </is>
      </c>
      <c r="C512" s="3" t="inlineStr">
        <is>
          <t>001119</t>
        </is>
      </c>
      <c r="D512" s="4" t="n">
        <v>45483</v>
      </c>
      <c r="E512" s="2" t="inlineStr">
        <is>
          <t>10:31</t>
        </is>
      </c>
      <c r="F512" s="5">
        <f>C512-C511</f>
        <v/>
      </c>
      <c r="G512" s="5">
        <f>B512-B511</f>
        <v/>
      </c>
      <c r="H512" s="2">
        <f>IF(AND(F512=1,G512=1),"OK","À JUSTIFIER")</f>
        <v/>
      </c>
    </row>
    <row r="513">
      <c r="A513" s="2" t="inlineStr">
        <is>
          <t>EJ010824.TXT</t>
        </is>
      </c>
      <c r="B513" s="3" t="inlineStr">
        <is>
          <t>001741</t>
        </is>
      </c>
      <c r="C513" s="3" t="inlineStr">
        <is>
          <t>001120</t>
        </is>
      </c>
      <c r="D513" s="4" t="n">
        <v>45483</v>
      </c>
      <c r="E513" s="2" t="inlineStr">
        <is>
          <t>13:58</t>
        </is>
      </c>
      <c r="F513" s="5">
        <f>C513-C512</f>
        <v/>
      </c>
      <c r="G513" s="5">
        <f>B513-B512</f>
        <v/>
      </c>
      <c r="H513" s="2">
        <f>IF(AND(F513=1,G513=1),"OK","À JUSTIFIER")</f>
        <v/>
      </c>
    </row>
    <row r="514">
      <c r="A514" s="2" t="inlineStr">
        <is>
          <t>EJ010824.TXT</t>
        </is>
      </c>
      <c r="B514" s="3" t="inlineStr">
        <is>
          <t>001742</t>
        </is>
      </c>
      <c r="C514" s="3" t="inlineStr">
        <is>
          <t>001121</t>
        </is>
      </c>
      <c r="D514" s="4" t="n">
        <v>45483</v>
      </c>
      <c r="E514" s="2" t="inlineStr">
        <is>
          <t>14:05</t>
        </is>
      </c>
      <c r="F514" s="5">
        <f>C514-C513</f>
        <v/>
      </c>
      <c r="G514" s="5">
        <f>B514-B513</f>
        <v/>
      </c>
      <c r="H514" s="2">
        <f>IF(AND(F514=1,G514=1),"OK","À JUSTIFIER")</f>
        <v/>
      </c>
    </row>
    <row r="515">
      <c r="A515" s="2" t="inlineStr">
        <is>
          <t>EJ010824.TXT</t>
        </is>
      </c>
      <c r="B515" s="3" t="inlineStr">
        <is>
          <t>001746</t>
        </is>
      </c>
      <c r="C515" s="3" t="inlineStr">
        <is>
          <t>001122</t>
        </is>
      </c>
      <c r="D515" s="4" t="n">
        <v>45484</v>
      </c>
      <c r="E515" s="2" t="inlineStr">
        <is>
          <t>12:05</t>
        </is>
      </c>
      <c r="F515" s="5">
        <f>C515-C514</f>
        <v/>
      </c>
      <c r="G515" s="5">
        <f>B515-B514</f>
        <v/>
      </c>
      <c r="H515" s="2">
        <f>IF(AND(F515=1,G515=1),"OK","À JUSTIFIER")</f>
        <v/>
      </c>
    </row>
    <row r="516">
      <c r="A516" s="2" t="inlineStr">
        <is>
          <t>EJ010824.TXT</t>
        </is>
      </c>
      <c r="B516" s="3" t="inlineStr">
        <is>
          <t>001747</t>
        </is>
      </c>
      <c r="C516" s="3" t="inlineStr">
        <is>
          <t>001123</t>
        </is>
      </c>
      <c r="D516" s="4" t="n">
        <v>45490</v>
      </c>
      <c r="E516" s="2" t="inlineStr">
        <is>
          <t>15:43</t>
        </is>
      </c>
      <c r="F516" s="5">
        <f>C516-C515</f>
        <v/>
      </c>
      <c r="G516" s="5">
        <f>B516-B515</f>
        <v/>
      </c>
      <c r="H516" s="2">
        <f>IF(AND(F516=1,G516=1),"OK","À JUSTIFIER")</f>
        <v/>
      </c>
    </row>
    <row r="517">
      <c r="A517" s="2" t="inlineStr">
        <is>
          <t>EJ010824.TXT</t>
        </is>
      </c>
      <c r="B517" s="3" t="inlineStr">
        <is>
          <t>001748</t>
        </is>
      </c>
      <c r="C517" s="3" t="inlineStr">
        <is>
          <t>001124</t>
        </is>
      </c>
      <c r="D517" s="4" t="n">
        <v>45490</v>
      </c>
      <c r="E517" s="2" t="inlineStr">
        <is>
          <t>16:40</t>
        </is>
      </c>
      <c r="F517" s="5">
        <f>C517-C516</f>
        <v/>
      </c>
      <c r="G517" s="5">
        <f>B517-B516</f>
        <v/>
      </c>
      <c r="H517" s="2">
        <f>IF(AND(F517=1,G517=1),"OK","À JUSTIFIER")</f>
        <v/>
      </c>
    </row>
    <row r="518">
      <c r="A518" s="2" t="inlineStr">
        <is>
          <t>EJ010824.TXT</t>
        </is>
      </c>
      <c r="B518" s="3" t="inlineStr">
        <is>
          <t>001750</t>
        </is>
      </c>
      <c r="C518" s="3" t="inlineStr">
        <is>
          <t>001125</t>
        </is>
      </c>
      <c r="D518" s="4" t="n">
        <v>45492</v>
      </c>
      <c r="E518" s="2" t="inlineStr">
        <is>
          <t>11:02</t>
        </is>
      </c>
      <c r="F518" s="5">
        <f>C518-C517</f>
        <v/>
      </c>
      <c r="G518" s="5">
        <f>B518-B517</f>
        <v/>
      </c>
      <c r="H518" s="2">
        <f>IF(AND(F518=1,G518=1),"OK","À JUSTIFIER")</f>
        <v/>
      </c>
    </row>
    <row r="519">
      <c r="A519" s="2" t="inlineStr">
        <is>
          <t>EJ010824.TXT</t>
        </is>
      </c>
      <c r="B519" s="3" t="inlineStr">
        <is>
          <t>001751</t>
        </is>
      </c>
      <c r="C519" s="3" t="inlineStr">
        <is>
          <t>001126</t>
        </is>
      </c>
      <c r="D519" s="4" t="n">
        <v>45492</v>
      </c>
      <c r="E519" s="2" t="inlineStr">
        <is>
          <t>11:03</t>
        </is>
      </c>
      <c r="F519" s="5">
        <f>C519-C518</f>
        <v/>
      </c>
      <c r="G519" s="5">
        <f>B519-B518</f>
        <v/>
      </c>
      <c r="H519" s="2">
        <f>IF(AND(F519=1,G519=1),"OK","À JUSTIFIER")</f>
        <v/>
      </c>
    </row>
    <row r="520">
      <c r="A520" s="2" t="inlineStr">
        <is>
          <t>EJ010824.TXT</t>
        </is>
      </c>
      <c r="B520" s="3" t="inlineStr">
        <is>
          <t>001752</t>
        </is>
      </c>
      <c r="C520" s="3" t="inlineStr">
        <is>
          <t>001127</t>
        </is>
      </c>
      <c r="D520" s="4" t="n">
        <v>45492</v>
      </c>
      <c r="E520" s="2" t="inlineStr">
        <is>
          <t>11:03</t>
        </is>
      </c>
      <c r="F520" s="5">
        <f>C520-C519</f>
        <v/>
      </c>
      <c r="G520" s="5">
        <f>B520-B519</f>
        <v/>
      </c>
      <c r="H520" s="2">
        <f>IF(AND(F520=1,G520=1),"OK","À JUSTIFIER")</f>
        <v/>
      </c>
    </row>
    <row r="521">
      <c r="A521" s="2" t="inlineStr">
        <is>
          <t>EJ010824.TXT</t>
        </is>
      </c>
      <c r="B521" s="3" t="inlineStr">
        <is>
          <t>001753</t>
        </is>
      </c>
      <c r="C521" s="3" t="inlineStr">
        <is>
          <t>001128</t>
        </is>
      </c>
      <c r="D521" s="4" t="n">
        <v>45492</v>
      </c>
      <c r="E521" s="2" t="inlineStr">
        <is>
          <t>11:03</t>
        </is>
      </c>
      <c r="F521" s="5">
        <f>C521-C520</f>
        <v/>
      </c>
      <c r="G521" s="5">
        <f>B521-B520</f>
        <v/>
      </c>
      <c r="H521" s="2">
        <f>IF(AND(F521=1,G521=1),"OK","À JUSTIFIER")</f>
        <v/>
      </c>
    </row>
    <row r="522">
      <c r="A522" s="2" t="inlineStr">
        <is>
          <t>EJ010824.TXT</t>
        </is>
      </c>
      <c r="B522" s="3" t="inlineStr">
        <is>
          <t>001754</t>
        </is>
      </c>
      <c r="C522" s="3" t="inlineStr">
        <is>
          <t>001129</t>
        </is>
      </c>
      <c r="D522" s="4" t="n">
        <v>45492</v>
      </c>
      <c r="E522" s="2" t="inlineStr">
        <is>
          <t>11:05</t>
        </is>
      </c>
      <c r="F522" s="5">
        <f>C522-C521</f>
        <v/>
      </c>
      <c r="G522" s="5">
        <f>B522-B521</f>
        <v/>
      </c>
      <c r="H522" s="2">
        <f>IF(AND(F522=1,G522=1),"OK","À JUSTIFIER")</f>
        <v/>
      </c>
    </row>
    <row r="523">
      <c r="A523" s="2" t="inlineStr">
        <is>
          <t>EJ010824.TXT</t>
        </is>
      </c>
      <c r="B523" s="3" t="inlineStr">
        <is>
          <t>001755</t>
        </is>
      </c>
      <c r="C523" s="3" t="inlineStr">
        <is>
          <t>001130</t>
        </is>
      </c>
      <c r="D523" s="4" t="n">
        <v>45492</v>
      </c>
      <c r="E523" s="2" t="inlineStr">
        <is>
          <t>15:43</t>
        </is>
      </c>
      <c r="F523" s="5">
        <f>C523-C522</f>
        <v/>
      </c>
      <c r="G523" s="5">
        <f>B523-B522</f>
        <v/>
      </c>
      <c r="H523" s="2">
        <f>IF(AND(F523=1,G523=1),"OK","À JUSTIFIER")</f>
        <v/>
      </c>
    </row>
    <row r="524">
      <c r="A524" s="2" t="inlineStr">
        <is>
          <t>EJ010824.TXT</t>
        </is>
      </c>
      <c r="B524" s="3" t="inlineStr">
        <is>
          <t>001759</t>
        </is>
      </c>
      <c r="C524" s="3" t="inlineStr">
        <is>
          <t>001131</t>
        </is>
      </c>
      <c r="D524" s="4" t="n">
        <v>45495</v>
      </c>
      <c r="E524" s="2" t="inlineStr">
        <is>
          <t>15:11</t>
        </is>
      </c>
      <c r="F524" s="5">
        <f>C524-C523</f>
        <v/>
      </c>
      <c r="G524" s="5">
        <f>B524-B523</f>
        <v/>
      </c>
      <c r="H524" s="2">
        <f>IF(AND(F524=1,G524=1),"OK","À JUSTIFIER")</f>
        <v/>
      </c>
    </row>
    <row r="525">
      <c r="A525" s="2" t="inlineStr">
        <is>
          <t>EJ010824.TXT</t>
        </is>
      </c>
      <c r="B525" s="3" t="inlineStr">
        <is>
          <t>001764</t>
        </is>
      </c>
      <c r="C525" s="3" t="inlineStr">
        <is>
          <t>001132</t>
        </is>
      </c>
      <c r="D525" s="4" t="n">
        <v>45496</v>
      </c>
      <c r="E525" s="2" t="inlineStr">
        <is>
          <t>15:57</t>
        </is>
      </c>
      <c r="F525" s="5">
        <f>C525-C524</f>
        <v/>
      </c>
      <c r="G525" s="5">
        <f>B525-B524</f>
        <v/>
      </c>
      <c r="H525" s="2">
        <f>IF(AND(F525=1,G525=1),"OK","À JUSTIFIER")</f>
        <v/>
      </c>
    </row>
    <row r="526">
      <c r="A526" s="2" t="inlineStr">
        <is>
          <t>EJ010824.TXT</t>
        </is>
      </c>
      <c r="B526" s="3" t="inlineStr">
        <is>
          <t>001765</t>
        </is>
      </c>
      <c r="C526" s="3" t="inlineStr">
        <is>
          <t>001133</t>
        </is>
      </c>
      <c r="D526" s="4" t="n">
        <v>45496</v>
      </c>
      <c r="E526" s="2" t="inlineStr">
        <is>
          <t>15:58</t>
        </is>
      </c>
      <c r="F526" s="5">
        <f>C526-C525</f>
        <v/>
      </c>
      <c r="G526" s="5">
        <f>B526-B525</f>
        <v/>
      </c>
      <c r="H526" s="2">
        <f>IF(AND(F526=1,G526=1),"OK","À JUSTIFIER")</f>
        <v/>
      </c>
    </row>
    <row r="527">
      <c r="A527" s="2" t="inlineStr">
        <is>
          <t>EJ010824.TXT</t>
        </is>
      </c>
      <c r="B527" s="3" t="inlineStr">
        <is>
          <t>001766</t>
        </is>
      </c>
      <c r="C527" s="3" t="inlineStr">
        <is>
          <t>001134</t>
        </is>
      </c>
      <c r="D527" s="4" t="n">
        <v>45496</v>
      </c>
      <c r="E527" s="2" t="inlineStr">
        <is>
          <t>16:14</t>
        </is>
      </c>
      <c r="F527" s="5">
        <f>C527-C526</f>
        <v/>
      </c>
      <c r="G527" s="5">
        <f>B527-B526</f>
        <v/>
      </c>
      <c r="H527" s="2">
        <f>IF(AND(F527=1,G527=1),"OK","À JUSTIFIER")</f>
        <v/>
      </c>
    </row>
    <row r="528">
      <c r="A528" s="2" t="inlineStr">
        <is>
          <t>EJ010824.TXT</t>
        </is>
      </c>
      <c r="B528" s="3" t="inlineStr">
        <is>
          <t>001767</t>
        </is>
      </c>
      <c r="C528" s="3" t="inlineStr">
        <is>
          <t>001135</t>
        </is>
      </c>
      <c r="D528" s="4" t="n">
        <v>45496</v>
      </c>
      <c r="E528" s="2" t="inlineStr">
        <is>
          <t>16:15</t>
        </is>
      </c>
      <c r="F528" s="5">
        <f>C528-C527</f>
        <v/>
      </c>
      <c r="G528" s="5">
        <f>B528-B527</f>
        <v/>
      </c>
      <c r="H528" s="2">
        <f>IF(AND(F528=1,G528=1),"OK","À JUSTIFIER")</f>
        <v/>
      </c>
    </row>
    <row r="529">
      <c r="A529" s="2" t="inlineStr">
        <is>
          <t>EJ010824.TXT</t>
        </is>
      </c>
      <c r="B529" s="3" t="inlineStr">
        <is>
          <t>001768</t>
        </is>
      </c>
      <c r="C529" s="3" t="inlineStr">
        <is>
          <t>001136</t>
        </is>
      </c>
      <c r="D529" s="4" t="n">
        <v>45499</v>
      </c>
      <c r="E529" s="2" t="inlineStr">
        <is>
          <t>12:26</t>
        </is>
      </c>
      <c r="F529" s="5">
        <f>C529-C528</f>
        <v/>
      </c>
      <c r="G529" s="5">
        <f>B529-B528</f>
        <v/>
      </c>
      <c r="H529" s="2">
        <f>IF(AND(F529=1,G529=1),"OK","À JUSTIFIER")</f>
        <v/>
      </c>
    </row>
    <row r="530">
      <c r="A530" s="2" t="inlineStr">
        <is>
          <t>EJ010824.TXT</t>
        </is>
      </c>
      <c r="B530" s="3" t="inlineStr">
        <is>
          <t>001769</t>
        </is>
      </c>
      <c r="C530" s="3" t="inlineStr">
        <is>
          <t>001137</t>
        </is>
      </c>
      <c r="D530" s="4" t="n">
        <v>45500</v>
      </c>
      <c r="E530" s="2" t="inlineStr">
        <is>
          <t>14:34</t>
        </is>
      </c>
      <c r="F530" s="5">
        <f>C530-C529</f>
        <v/>
      </c>
      <c r="G530" s="5">
        <f>B530-B529</f>
        <v/>
      </c>
      <c r="H530" s="2">
        <f>IF(AND(F530=1,G530=1),"OK","À JUSTIFIER")</f>
        <v/>
      </c>
    </row>
    <row r="531">
      <c r="A531" s="2" t="inlineStr">
        <is>
          <t>EJ010824.TXT</t>
        </is>
      </c>
      <c r="B531" s="3" t="inlineStr">
        <is>
          <t>001770</t>
        </is>
      </c>
      <c r="C531" s="3" t="inlineStr">
        <is>
          <t>001138</t>
        </is>
      </c>
      <c r="D531" s="4" t="n">
        <v>45502</v>
      </c>
      <c r="E531" s="2" t="inlineStr">
        <is>
          <t>12:10</t>
        </is>
      </c>
      <c r="F531" s="5">
        <f>C531-C530</f>
        <v/>
      </c>
      <c r="G531" s="5">
        <f>B531-B530</f>
        <v/>
      </c>
      <c r="H531" s="2">
        <f>IF(AND(F531=1,G531=1),"OK","À JUSTIFIER")</f>
        <v/>
      </c>
    </row>
    <row r="532">
      <c r="A532" s="2" t="inlineStr">
        <is>
          <t>EJ010824.TXT</t>
        </is>
      </c>
      <c r="B532" s="3" t="inlineStr">
        <is>
          <t>001771</t>
        </is>
      </c>
      <c r="C532" s="3" t="inlineStr">
        <is>
          <t>001139</t>
        </is>
      </c>
      <c r="D532" s="4" t="n">
        <v>45502</v>
      </c>
      <c r="E532" s="2" t="inlineStr">
        <is>
          <t>15:17</t>
        </is>
      </c>
      <c r="F532" s="5">
        <f>C532-C531</f>
        <v/>
      </c>
      <c r="G532" s="5">
        <f>B532-B531</f>
        <v/>
      </c>
      <c r="H532" s="2">
        <f>IF(AND(F532=1,G532=1),"OK","À JUSTIFIER")</f>
        <v/>
      </c>
    </row>
    <row r="533">
      <c r="A533" s="2" t="inlineStr">
        <is>
          <t>EJ010824.TXT</t>
        </is>
      </c>
      <c r="B533" s="3" t="inlineStr">
        <is>
          <t>001773</t>
        </is>
      </c>
      <c r="C533" s="3" t="inlineStr">
        <is>
          <t>001140</t>
        </is>
      </c>
      <c r="D533" s="4" t="n">
        <v>45503</v>
      </c>
      <c r="E533" s="2" t="inlineStr">
        <is>
          <t>09:16</t>
        </is>
      </c>
      <c r="F533" s="5">
        <f>C533-C532</f>
        <v/>
      </c>
      <c r="G533" s="5">
        <f>B533-B532</f>
        <v/>
      </c>
      <c r="H533" s="2">
        <f>IF(AND(F533=1,G533=1),"OK","À JUSTIFIER")</f>
        <v/>
      </c>
    </row>
    <row r="534">
      <c r="A534" s="2" t="inlineStr">
        <is>
          <t>EJ010824.TXT</t>
        </is>
      </c>
      <c r="B534" s="3" t="inlineStr">
        <is>
          <t>001775</t>
        </is>
      </c>
      <c r="C534" s="3" t="inlineStr">
        <is>
          <t>001141</t>
        </is>
      </c>
      <c r="D534" s="4" t="n">
        <v>45504</v>
      </c>
      <c r="E534" s="2" t="inlineStr">
        <is>
          <t>12:57</t>
        </is>
      </c>
      <c r="F534" s="5">
        <f>C534-C533</f>
        <v/>
      </c>
      <c r="G534" s="5">
        <f>B534-B533</f>
        <v/>
      </c>
      <c r="H534" s="2">
        <f>IF(AND(F534=1,G534=1),"OK","À JUSTIFIER")</f>
        <v/>
      </c>
    </row>
    <row r="535">
      <c r="A535" s="2" t="inlineStr">
        <is>
          <t>EJ300824.TXT</t>
        </is>
      </c>
      <c r="B535" s="3" t="inlineStr">
        <is>
          <t>001783</t>
        </is>
      </c>
      <c r="C535" s="3" t="inlineStr">
        <is>
          <t>001142</t>
        </is>
      </c>
      <c r="D535" s="4" t="n">
        <v>45505</v>
      </c>
      <c r="E535" s="2" t="inlineStr">
        <is>
          <t>13:59</t>
        </is>
      </c>
      <c r="F535" s="5">
        <f>C535-C534</f>
        <v/>
      </c>
      <c r="G535" s="5">
        <f>B535-B534</f>
        <v/>
      </c>
      <c r="H535" s="2">
        <f>IF(AND(F535=1,G535=1),"OK","À JUSTIFIER")</f>
        <v/>
      </c>
    </row>
    <row r="536">
      <c r="A536" s="2" t="inlineStr">
        <is>
          <t>EJ300824.TXT</t>
        </is>
      </c>
      <c r="B536" s="3" t="inlineStr">
        <is>
          <t>001784</t>
        </is>
      </c>
      <c r="C536" s="3" t="inlineStr">
        <is>
          <t>001143</t>
        </is>
      </c>
      <c r="D536" s="4" t="n">
        <v>45506</v>
      </c>
      <c r="E536" s="2" t="inlineStr">
        <is>
          <t>09:49</t>
        </is>
      </c>
      <c r="F536" s="5">
        <f>C536-C535</f>
        <v/>
      </c>
      <c r="G536" s="5">
        <f>B536-B535</f>
        <v/>
      </c>
      <c r="H536" s="2">
        <f>IF(AND(F536=1,G536=1),"OK","À JUSTIFIER")</f>
        <v/>
      </c>
    </row>
    <row r="537">
      <c r="A537" s="2" t="inlineStr">
        <is>
          <t>EJ300824.TXT</t>
        </is>
      </c>
      <c r="B537" s="3" t="inlineStr">
        <is>
          <t>001785</t>
        </is>
      </c>
      <c r="C537" s="3" t="inlineStr">
        <is>
          <t>001144</t>
        </is>
      </c>
      <c r="D537" s="4" t="n">
        <v>45506</v>
      </c>
      <c r="E537" s="2" t="inlineStr">
        <is>
          <t>09:51</t>
        </is>
      </c>
      <c r="F537" s="5">
        <f>C537-C536</f>
        <v/>
      </c>
      <c r="G537" s="5">
        <f>B537-B536</f>
        <v/>
      </c>
      <c r="H537" s="2">
        <f>IF(AND(F537=1,G537=1),"OK","À JUSTIFIER")</f>
        <v/>
      </c>
    </row>
    <row r="538">
      <c r="A538" s="2" t="inlineStr">
        <is>
          <t>EJ300824.TXT</t>
        </is>
      </c>
      <c r="B538" s="3" t="inlineStr">
        <is>
          <t>001787</t>
        </is>
      </c>
      <c r="C538" s="3" t="inlineStr">
        <is>
          <t>001145</t>
        </is>
      </c>
      <c r="D538" s="4" t="n">
        <v>45506</v>
      </c>
      <c r="E538" s="2" t="inlineStr">
        <is>
          <t>15:08</t>
        </is>
      </c>
      <c r="F538" s="5">
        <f>C538-C537</f>
        <v/>
      </c>
      <c r="G538" s="5">
        <f>B538-B537</f>
        <v/>
      </c>
      <c r="H538" s="2">
        <f>IF(AND(F538=1,G538=1),"OK","À JUSTIFIER")</f>
        <v/>
      </c>
    </row>
    <row r="539">
      <c r="A539" s="2" t="inlineStr">
        <is>
          <t>EJ300824.TXT</t>
        </is>
      </c>
      <c r="B539" s="3" t="inlineStr">
        <is>
          <t>001788</t>
        </is>
      </c>
      <c r="C539" s="3" t="inlineStr">
        <is>
          <t>001146</t>
        </is>
      </c>
      <c r="D539" s="4" t="n">
        <v>45506</v>
      </c>
      <c r="E539" s="2" t="inlineStr">
        <is>
          <t>15:09</t>
        </is>
      </c>
      <c r="F539" s="5">
        <f>C539-C538</f>
        <v/>
      </c>
      <c r="G539" s="5">
        <f>B539-B538</f>
        <v/>
      </c>
      <c r="H539" s="2">
        <f>IF(AND(F539=1,G539=1),"OK","À JUSTIFIER")</f>
        <v/>
      </c>
    </row>
    <row r="540">
      <c r="A540" s="2" t="inlineStr">
        <is>
          <t>EJ300824.TXT</t>
        </is>
      </c>
      <c r="B540" s="3" t="inlineStr">
        <is>
          <t>001790</t>
        </is>
      </c>
      <c r="C540" s="3" t="inlineStr">
        <is>
          <t>001147</t>
        </is>
      </c>
      <c r="D540" s="4" t="n">
        <v>45507</v>
      </c>
      <c r="E540" s="2" t="inlineStr">
        <is>
          <t>14:26</t>
        </is>
      </c>
      <c r="F540" s="5">
        <f>C540-C539</f>
        <v/>
      </c>
      <c r="G540" s="5">
        <f>B540-B539</f>
        <v/>
      </c>
      <c r="H540" s="2">
        <f>IF(AND(F540=1,G540=1),"OK","À JUSTIFIER")</f>
        <v/>
      </c>
    </row>
    <row r="541">
      <c r="A541" s="2" t="inlineStr">
        <is>
          <t>EJ300824.TXT</t>
        </is>
      </c>
      <c r="B541" s="3" t="inlineStr">
        <is>
          <t>001791</t>
        </is>
      </c>
      <c r="C541" s="3" t="inlineStr">
        <is>
          <t>001148</t>
        </is>
      </c>
      <c r="D541" s="4" t="n">
        <v>45507</v>
      </c>
      <c r="E541" s="2" t="inlineStr">
        <is>
          <t>14:38</t>
        </is>
      </c>
      <c r="F541" s="5">
        <f>C541-C540</f>
        <v/>
      </c>
      <c r="G541" s="5">
        <f>B541-B540</f>
        <v/>
      </c>
      <c r="H541" s="2">
        <f>IF(AND(F541=1,G541=1),"OK","À JUSTIFIER")</f>
        <v/>
      </c>
    </row>
    <row r="542">
      <c r="A542" s="2" t="inlineStr">
        <is>
          <t>EJ300824.TXT</t>
        </is>
      </c>
      <c r="B542" s="3" t="inlineStr">
        <is>
          <t>001792</t>
        </is>
      </c>
      <c r="C542" s="3" t="inlineStr">
        <is>
          <t>001149</t>
        </is>
      </c>
      <c r="D542" s="4" t="n">
        <v>45509</v>
      </c>
      <c r="E542" s="2" t="inlineStr">
        <is>
          <t>09:32</t>
        </is>
      </c>
      <c r="F542" s="5">
        <f>C542-C541</f>
        <v/>
      </c>
      <c r="G542" s="5">
        <f>B542-B541</f>
        <v/>
      </c>
      <c r="H542" s="2">
        <f>IF(AND(F542=1,G542=1),"OK","À JUSTIFIER")</f>
        <v/>
      </c>
    </row>
    <row r="543">
      <c r="A543" s="2" t="inlineStr">
        <is>
          <t>EJ300824.TXT</t>
        </is>
      </c>
      <c r="B543" s="3" t="inlineStr">
        <is>
          <t>001793</t>
        </is>
      </c>
      <c r="C543" s="3" t="inlineStr">
        <is>
          <t>001150</t>
        </is>
      </c>
      <c r="D543" s="4" t="n">
        <v>45509</v>
      </c>
      <c r="E543" s="2" t="inlineStr">
        <is>
          <t>11:49</t>
        </is>
      </c>
      <c r="F543" s="5">
        <f>C543-C542</f>
        <v/>
      </c>
      <c r="G543" s="5">
        <f>B543-B542</f>
        <v/>
      </c>
      <c r="H543" s="2">
        <f>IF(AND(F543=1,G543=1),"OK","À JUSTIFIER")</f>
        <v/>
      </c>
    </row>
    <row r="544">
      <c r="A544" s="2" t="inlineStr">
        <is>
          <t>EJ300824.TXT</t>
        </is>
      </c>
      <c r="B544" s="3" t="inlineStr">
        <is>
          <t>001795</t>
        </is>
      </c>
      <c r="C544" s="3" t="inlineStr">
        <is>
          <t>001151</t>
        </is>
      </c>
      <c r="D544" s="4" t="n">
        <v>45510</v>
      </c>
      <c r="E544" s="2" t="inlineStr">
        <is>
          <t>08:56</t>
        </is>
      </c>
      <c r="F544" s="5">
        <f>C544-C543</f>
        <v/>
      </c>
      <c r="G544" s="5">
        <f>B544-B543</f>
        <v/>
      </c>
      <c r="H544" s="2">
        <f>IF(AND(F544=1,G544=1),"OK","À JUSTIFIER")</f>
        <v/>
      </c>
    </row>
    <row r="545">
      <c r="A545" s="2" t="inlineStr">
        <is>
          <t>EJ300824.TXT</t>
        </is>
      </c>
      <c r="B545" s="3" t="inlineStr">
        <is>
          <t>001798</t>
        </is>
      </c>
      <c r="C545" s="3" t="inlineStr">
        <is>
          <t>001152</t>
        </is>
      </c>
      <c r="D545" s="4" t="n">
        <v>45510</v>
      </c>
      <c r="E545" s="2" t="inlineStr">
        <is>
          <t>16:05</t>
        </is>
      </c>
      <c r="F545" s="5">
        <f>C545-C544</f>
        <v/>
      </c>
      <c r="G545" s="5">
        <f>B545-B544</f>
        <v/>
      </c>
      <c r="H545" s="2">
        <f>IF(AND(F545=1,G545=1),"OK","À JUSTIFIER")</f>
        <v/>
      </c>
    </row>
    <row r="546">
      <c r="A546" s="2" t="inlineStr">
        <is>
          <t>EJ300824.TXT</t>
        </is>
      </c>
      <c r="B546" s="3" t="inlineStr">
        <is>
          <t>001799</t>
        </is>
      </c>
      <c r="C546" s="3" t="inlineStr">
        <is>
          <t>001153</t>
        </is>
      </c>
      <c r="D546" s="4" t="n">
        <v>45511</v>
      </c>
      <c r="E546" s="2" t="inlineStr">
        <is>
          <t>09:41</t>
        </is>
      </c>
      <c r="F546" s="5">
        <f>C546-C545</f>
        <v/>
      </c>
      <c r="G546" s="5">
        <f>B546-B545</f>
        <v/>
      </c>
      <c r="H546" s="2">
        <f>IF(AND(F546=1,G546=1),"OK","À JUSTIFIER")</f>
        <v/>
      </c>
    </row>
    <row r="547">
      <c r="A547" s="2" t="inlineStr">
        <is>
          <t>EJ300824.TXT</t>
        </is>
      </c>
      <c r="B547" s="3" t="inlineStr">
        <is>
          <t>001801</t>
        </is>
      </c>
      <c r="C547" s="3" t="inlineStr">
        <is>
          <t>001154</t>
        </is>
      </c>
      <c r="D547" s="4" t="n">
        <v>45514</v>
      </c>
      <c r="E547" s="2" t="inlineStr">
        <is>
          <t>13:37</t>
        </is>
      </c>
      <c r="F547" s="5">
        <f>C547-C546</f>
        <v/>
      </c>
      <c r="G547" s="5">
        <f>B547-B546</f>
        <v/>
      </c>
      <c r="H547" s="2">
        <f>IF(AND(F547=1,G547=1),"OK","À JUSTIFIER")</f>
        <v/>
      </c>
    </row>
    <row r="548">
      <c r="A548" s="2" t="inlineStr">
        <is>
          <t>EJ300824.TXT</t>
        </is>
      </c>
      <c r="B548" s="3" t="inlineStr">
        <is>
          <t>001802</t>
        </is>
      </c>
      <c r="C548" s="3" t="inlineStr">
        <is>
          <t>001155</t>
        </is>
      </c>
      <c r="D548" s="4" t="n">
        <v>45520</v>
      </c>
      <c r="E548" s="2" t="inlineStr">
        <is>
          <t>14:13</t>
        </is>
      </c>
      <c r="F548" s="5">
        <f>C548-C547</f>
        <v/>
      </c>
      <c r="G548" s="5">
        <f>B548-B547</f>
        <v/>
      </c>
      <c r="H548" s="2">
        <f>IF(AND(F548=1,G548=1),"OK","À JUSTIFIER")</f>
        <v/>
      </c>
    </row>
    <row r="549">
      <c r="A549" s="2" t="inlineStr">
        <is>
          <t>EJ300824.TXT</t>
        </is>
      </c>
      <c r="B549" s="3" t="inlineStr">
        <is>
          <t>001803</t>
        </is>
      </c>
      <c r="C549" s="3" t="inlineStr">
        <is>
          <t>001156</t>
        </is>
      </c>
      <c r="D549" s="4" t="n">
        <v>45521</v>
      </c>
      <c r="E549" s="2" t="inlineStr">
        <is>
          <t>14:58</t>
        </is>
      </c>
      <c r="F549" s="5">
        <f>C549-C548</f>
        <v/>
      </c>
      <c r="G549" s="5">
        <f>B549-B548</f>
        <v/>
      </c>
      <c r="H549" s="2">
        <f>IF(AND(F549=1,G549=1),"OK","À JUSTIFIER")</f>
        <v/>
      </c>
    </row>
    <row r="550">
      <c r="A550" s="2" t="inlineStr">
        <is>
          <t>EJ300824.TXT</t>
        </is>
      </c>
      <c r="B550" s="3" t="inlineStr">
        <is>
          <t>001804</t>
        </is>
      </c>
      <c r="C550" s="3" t="inlineStr">
        <is>
          <t>001157</t>
        </is>
      </c>
      <c r="D550" s="4" t="n">
        <v>45521</v>
      </c>
      <c r="E550" s="2" t="inlineStr">
        <is>
          <t>15:20</t>
        </is>
      </c>
      <c r="F550" s="5">
        <f>C550-C549</f>
        <v/>
      </c>
      <c r="G550" s="5">
        <f>B550-B549</f>
        <v/>
      </c>
      <c r="H550" s="2">
        <f>IF(AND(F550=1,G550=1),"OK","À JUSTIFIER")</f>
        <v/>
      </c>
    </row>
    <row r="551">
      <c r="A551" s="2" t="inlineStr">
        <is>
          <t>EJ300824.TXT</t>
        </is>
      </c>
      <c r="B551" s="3" t="inlineStr">
        <is>
          <t>001806</t>
        </is>
      </c>
      <c r="C551" s="3" t="inlineStr">
        <is>
          <t>001158</t>
        </is>
      </c>
      <c r="D551" s="4" t="n">
        <v>45521</v>
      </c>
      <c r="E551" s="2" t="inlineStr">
        <is>
          <t>15:45</t>
        </is>
      </c>
      <c r="F551" s="5">
        <f>C551-C550</f>
        <v/>
      </c>
      <c r="G551" s="5">
        <f>B551-B550</f>
        <v/>
      </c>
      <c r="H551" s="2">
        <f>IF(AND(F551=1,G551=1),"OK","À JUSTIFIER")</f>
        <v/>
      </c>
    </row>
    <row r="552">
      <c r="A552" s="2" t="inlineStr">
        <is>
          <t>EJ300824.TXT</t>
        </is>
      </c>
      <c r="B552" s="3" t="inlineStr">
        <is>
          <t>001807</t>
        </is>
      </c>
      <c r="C552" s="3" t="inlineStr">
        <is>
          <t>001159</t>
        </is>
      </c>
      <c r="D552" s="4" t="n">
        <v>45523</v>
      </c>
      <c r="E552" s="2" t="inlineStr">
        <is>
          <t>15:02</t>
        </is>
      </c>
      <c r="F552" s="5">
        <f>C552-C551</f>
        <v/>
      </c>
      <c r="G552" s="5">
        <f>B552-B551</f>
        <v/>
      </c>
      <c r="H552" s="2">
        <f>IF(AND(F552=1,G552=1),"OK","À JUSTIFIER")</f>
        <v/>
      </c>
    </row>
    <row r="553">
      <c r="A553" s="2" t="inlineStr">
        <is>
          <t>EJ300824.TXT</t>
        </is>
      </c>
      <c r="B553" s="3" t="inlineStr">
        <is>
          <t>001808</t>
        </is>
      </c>
      <c r="C553" s="3" t="inlineStr">
        <is>
          <t>001160</t>
        </is>
      </c>
      <c r="D553" s="4" t="n">
        <v>45524</v>
      </c>
      <c r="E553" s="2" t="inlineStr">
        <is>
          <t>11:43</t>
        </is>
      </c>
      <c r="F553" s="5">
        <f>C553-C552</f>
        <v/>
      </c>
      <c r="G553" s="5">
        <f>B553-B552</f>
        <v/>
      </c>
      <c r="H553" s="2">
        <f>IF(AND(F553=1,G553=1),"OK","À JUSTIFIER")</f>
        <v/>
      </c>
    </row>
    <row r="554">
      <c r="A554" s="2" t="inlineStr">
        <is>
          <t>EJ300824.TXT</t>
        </is>
      </c>
      <c r="B554" s="3" t="inlineStr">
        <is>
          <t>001809</t>
        </is>
      </c>
      <c r="C554" s="3" t="inlineStr">
        <is>
          <t>001161</t>
        </is>
      </c>
      <c r="D554" s="4" t="n">
        <v>45525</v>
      </c>
      <c r="E554" s="2" t="inlineStr">
        <is>
          <t>12:54</t>
        </is>
      </c>
      <c r="F554" s="5">
        <f>C554-C553</f>
        <v/>
      </c>
      <c r="G554" s="5">
        <f>B554-B553</f>
        <v/>
      </c>
      <c r="H554" s="2">
        <f>IF(AND(F554=1,G554=1),"OK","À JUSTIFIER")</f>
        <v/>
      </c>
    </row>
    <row r="555">
      <c r="A555" s="2" t="inlineStr">
        <is>
          <t>EJ300824.TXT</t>
        </is>
      </c>
      <c r="B555" s="3" t="inlineStr">
        <is>
          <t>001810</t>
        </is>
      </c>
      <c r="C555" s="3" t="inlineStr">
        <is>
          <t>001162</t>
        </is>
      </c>
      <c r="D555" s="4" t="n">
        <v>45526</v>
      </c>
      <c r="E555" s="2" t="inlineStr">
        <is>
          <t>10:38</t>
        </is>
      </c>
      <c r="F555" s="5">
        <f>C555-C554</f>
        <v/>
      </c>
      <c r="G555" s="5">
        <f>B555-B554</f>
        <v/>
      </c>
      <c r="H555" s="2">
        <f>IF(AND(F555=1,G555=1),"OK","À JUSTIFIER")</f>
        <v/>
      </c>
    </row>
    <row r="556">
      <c r="A556" s="2" t="inlineStr">
        <is>
          <t>EJ300824.TXT</t>
        </is>
      </c>
      <c r="B556" s="3" t="inlineStr">
        <is>
          <t>001811</t>
        </is>
      </c>
      <c r="C556" s="3" t="inlineStr">
        <is>
          <t>001163</t>
        </is>
      </c>
      <c r="D556" s="4" t="n">
        <v>45527</v>
      </c>
      <c r="E556" s="2" t="inlineStr">
        <is>
          <t>15:17</t>
        </is>
      </c>
      <c r="F556" s="5">
        <f>C556-C555</f>
        <v/>
      </c>
      <c r="G556" s="5">
        <f>B556-B555</f>
        <v/>
      </c>
      <c r="H556" s="2">
        <f>IF(AND(F556=1,G556=1),"OK","À JUSTIFIER")</f>
        <v/>
      </c>
    </row>
    <row r="557">
      <c r="A557" s="2" t="inlineStr">
        <is>
          <t>EJ300824.TXT</t>
        </is>
      </c>
      <c r="B557" s="3" t="inlineStr">
        <is>
          <t>001812</t>
        </is>
      </c>
      <c r="C557" s="3" t="inlineStr">
        <is>
          <t>001164</t>
        </is>
      </c>
      <c r="D557" s="4" t="n">
        <v>45530</v>
      </c>
      <c r="E557" s="2" t="inlineStr">
        <is>
          <t>09:32</t>
        </is>
      </c>
      <c r="F557" s="5">
        <f>C557-C556</f>
        <v/>
      </c>
      <c r="G557" s="5">
        <f>B557-B556</f>
        <v/>
      </c>
      <c r="H557" s="2">
        <f>IF(AND(F557=1,G557=1),"OK","À JUSTIFIER")</f>
        <v/>
      </c>
    </row>
    <row r="558">
      <c r="A558" s="2" t="inlineStr">
        <is>
          <t>EJ300824.TXT</t>
        </is>
      </c>
      <c r="B558" s="3" t="inlineStr">
        <is>
          <t>001814</t>
        </is>
      </c>
      <c r="C558" s="3" t="inlineStr">
        <is>
          <t>001165</t>
        </is>
      </c>
      <c r="D558" s="4" t="n">
        <v>45533</v>
      </c>
      <c r="E558" s="2" t="inlineStr">
        <is>
          <t>11:10</t>
        </is>
      </c>
      <c r="F558" s="5">
        <f>C558-C557</f>
        <v/>
      </c>
      <c r="G558" s="5">
        <f>B558-B557</f>
        <v/>
      </c>
      <c r="H558" s="2">
        <f>IF(AND(F558=1,G558=1),"OK","À JUSTIFIER")</f>
        <v/>
      </c>
    </row>
    <row r="559">
      <c r="A559" s="2" t="inlineStr">
        <is>
          <t>EJ300924.TXT</t>
        </is>
      </c>
      <c r="B559" s="3" t="inlineStr">
        <is>
          <t>001822</t>
        </is>
      </c>
      <c r="C559" s="3" t="inlineStr">
        <is>
          <t>001166</t>
        </is>
      </c>
      <c r="D559" s="4" t="n">
        <v>45537</v>
      </c>
      <c r="E559" s="2" t="inlineStr">
        <is>
          <t>14:49</t>
        </is>
      </c>
      <c r="F559" s="5">
        <f>C559-C558</f>
        <v/>
      </c>
      <c r="G559" s="5">
        <f>B559-B558</f>
        <v/>
      </c>
      <c r="H559" s="2">
        <f>IF(AND(F559=1,G559=1),"OK","À JUSTIFIER")</f>
        <v/>
      </c>
    </row>
    <row r="560">
      <c r="A560" s="2" t="inlineStr">
        <is>
          <t>EJ300924.TXT</t>
        </is>
      </c>
      <c r="B560" s="3" t="inlineStr">
        <is>
          <t>001825</t>
        </is>
      </c>
      <c r="C560" s="3" t="inlineStr">
        <is>
          <t>001167</t>
        </is>
      </c>
      <c r="D560" s="4" t="n">
        <v>45538</v>
      </c>
      <c r="E560" s="2" t="inlineStr">
        <is>
          <t>09:38</t>
        </is>
      </c>
      <c r="F560" s="5">
        <f>C560-C559</f>
        <v/>
      </c>
      <c r="G560" s="5">
        <f>B560-B559</f>
        <v/>
      </c>
      <c r="H560" s="2">
        <f>IF(AND(F560=1,G560=1),"OK","À JUSTIFIER")</f>
        <v/>
      </c>
    </row>
    <row r="561">
      <c r="A561" s="2" t="inlineStr">
        <is>
          <t>EJ300924.TXT</t>
        </is>
      </c>
      <c r="B561" s="3" t="inlineStr">
        <is>
          <t>001826</t>
        </is>
      </c>
      <c r="C561" s="3" t="inlineStr">
        <is>
          <t>001168</t>
        </is>
      </c>
      <c r="D561" s="4" t="n">
        <v>45538</v>
      </c>
      <c r="E561" s="2" t="inlineStr">
        <is>
          <t>15:10</t>
        </is>
      </c>
      <c r="F561" s="5">
        <f>C561-C560</f>
        <v/>
      </c>
      <c r="G561" s="5">
        <f>B561-B560</f>
        <v/>
      </c>
      <c r="H561" s="2">
        <f>IF(AND(F561=1,G561=1),"OK","À JUSTIFIER")</f>
        <v/>
      </c>
    </row>
    <row r="562">
      <c r="A562" s="2" t="inlineStr">
        <is>
          <t>EJ300924.TXT</t>
        </is>
      </c>
      <c r="B562" s="3" t="inlineStr">
        <is>
          <t>001829</t>
        </is>
      </c>
      <c r="C562" s="3" t="inlineStr">
        <is>
          <t>001169</t>
        </is>
      </c>
      <c r="D562" s="4" t="n">
        <v>45541</v>
      </c>
      <c r="E562" s="2" t="inlineStr">
        <is>
          <t>12:13</t>
        </is>
      </c>
      <c r="F562" s="5">
        <f>C562-C561</f>
        <v/>
      </c>
      <c r="G562" s="5">
        <f>B562-B561</f>
        <v/>
      </c>
      <c r="H562" s="2">
        <f>IF(AND(F562=1,G562=1),"OK","À JUSTIFIER")</f>
        <v/>
      </c>
    </row>
    <row r="563">
      <c r="A563" s="2" t="inlineStr">
        <is>
          <t>EJ300924.TXT</t>
        </is>
      </c>
      <c r="B563" s="3" t="inlineStr">
        <is>
          <t>001830</t>
        </is>
      </c>
      <c r="C563" s="3" t="inlineStr">
        <is>
          <t>001170</t>
        </is>
      </c>
      <c r="D563" s="4" t="n">
        <v>45541</v>
      </c>
      <c r="E563" s="2" t="inlineStr">
        <is>
          <t>12:18</t>
        </is>
      </c>
      <c r="F563" s="5">
        <f>C563-C562</f>
        <v/>
      </c>
      <c r="G563" s="5">
        <f>B563-B562</f>
        <v/>
      </c>
      <c r="H563" s="2">
        <f>IF(AND(F563=1,G563=1),"OK","À JUSTIFIER")</f>
        <v/>
      </c>
    </row>
    <row r="564">
      <c r="A564" s="2" t="inlineStr">
        <is>
          <t>EJ300924.TXT</t>
        </is>
      </c>
      <c r="B564" s="3" t="inlineStr">
        <is>
          <t>001831</t>
        </is>
      </c>
      <c r="C564" s="3" t="inlineStr">
        <is>
          <t>001171</t>
        </is>
      </c>
      <c r="D564" s="4" t="n">
        <v>45541</v>
      </c>
      <c r="E564" s="2" t="inlineStr">
        <is>
          <t>16:36</t>
        </is>
      </c>
      <c r="F564" s="5">
        <f>C564-C563</f>
        <v/>
      </c>
      <c r="G564" s="5">
        <f>B564-B563</f>
        <v/>
      </c>
      <c r="H564" s="2">
        <f>IF(AND(F564=1,G564=1),"OK","À JUSTIFIER")</f>
        <v/>
      </c>
    </row>
    <row r="565">
      <c r="A565" s="2" t="inlineStr">
        <is>
          <t>EJ300924.TXT</t>
        </is>
      </c>
      <c r="B565" s="3" t="inlineStr">
        <is>
          <t>001832</t>
        </is>
      </c>
      <c r="C565" s="3" t="inlineStr">
        <is>
          <t>001172</t>
        </is>
      </c>
      <c r="D565" s="4" t="n">
        <v>45541</v>
      </c>
      <c r="E565" s="2" t="inlineStr">
        <is>
          <t>16:37</t>
        </is>
      </c>
      <c r="F565" s="5">
        <f>C565-C564</f>
        <v/>
      </c>
      <c r="G565" s="5">
        <f>B565-B564</f>
        <v/>
      </c>
      <c r="H565" s="2">
        <f>IF(AND(F565=1,G565=1),"OK","À JUSTIFIER")</f>
        <v/>
      </c>
    </row>
    <row r="566">
      <c r="A566" s="2" t="inlineStr">
        <is>
          <t>EJ300924.TXT</t>
        </is>
      </c>
      <c r="B566" s="3" t="inlineStr">
        <is>
          <t>001833</t>
        </is>
      </c>
      <c r="C566" s="3" t="inlineStr">
        <is>
          <t>001173</t>
        </is>
      </c>
      <c r="D566" s="4" t="n">
        <v>45541</v>
      </c>
      <c r="E566" s="2" t="inlineStr">
        <is>
          <t>16:49</t>
        </is>
      </c>
      <c r="F566" s="5">
        <f>C566-C565</f>
        <v/>
      </c>
      <c r="G566" s="5">
        <f>B566-B565</f>
        <v/>
      </c>
      <c r="H566" s="2">
        <f>IF(AND(F566=1,G566=1),"OK","À JUSTIFIER")</f>
        <v/>
      </c>
    </row>
    <row r="567">
      <c r="A567" s="2" t="inlineStr">
        <is>
          <t>EJ300924.TXT</t>
        </is>
      </c>
      <c r="B567" s="3" t="inlineStr">
        <is>
          <t>001834</t>
        </is>
      </c>
      <c r="C567" s="3" t="inlineStr">
        <is>
          <t>001174</t>
        </is>
      </c>
      <c r="D567" s="4" t="n">
        <v>45544</v>
      </c>
      <c r="E567" s="2" t="inlineStr">
        <is>
          <t>12:33</t>
        </is>
      </c>
      <c r="F567" s="5">
        <f>C567-C566</f>
        <v/>
      </c>
      <c r="G567" s="5">
        <f>B567-B566</f>
        <v/>
      </c>
      <c r="H567" s="2">
        <f>IF(AND(F567=1,G567=1),"OK","À JUSTIFIER")</f>
        <v/>
      </c>
    </row>
    <row r="568">
      <c r="A568" s="2" t="inlineStr">
        <is>
          <t>EJ300924.TXT</t>
        </is>
      </c>
      <c r="B568" s="3" t="inlineStr">
        <is>
          <t>001835</t>
        </is>
      </c>
      <c r="C568" s="3" t="inlineStr">
        <is>
          <t>001175</t>
        </is>
      </c>
      <c r="D568" s="4" t="n">
        <v>45545</v>
      </c>
      <c r="E568" s="2" t="inlineStr">
        <is>
          <t>14:31</t>
        </is>
      </c>
      <c r="F568" s="5">
        <f>C568-C567</f>
        <v/>
      </c>
      <c r="G568" s="5">
        <f>B568-B567</f>
        <v/>
      </c>
      <c r="H568" s="2">
        <f>IF(AND(F568=1,G568=1),"OK","À JUSTIFIER")</f>
        <v/>
      </c>
    </row>
    <row r="569">
      <c r="A569" s="2" t="inlineStr">
        <is>
          <t>EJ300924.TXT</t>
        </is>
      </c>
      <c r="B569" s="3" t="inlineStr">
        <is>
          <t>001837</t>
        </is>
      </c>
      <c r="C569" s="3" t="inlineStr">
        <is>
          <t>001176</t>
        </is>
      </c>
      <c r="D569" s="4" t="n">
        <v>45548</v>
      </c>
      <c r="E569" s="2" t="inlineStr">
        <is>
          <t>12:15</t>
        </is>
      </c>
      <c r="F569" s="5">
        <f>C569-C568</f>
        <v/>
      </c>
      <c r="G569" s="5">
        <f>B569-B568</f>
        <v/>
      </c>
      <c r="H569" s="2">
        <f>IF(AND(F569=1,G569=1),"OK","À JUSTIFIER")</f>
        <v/>
      </c>
    </row>
    <row r="570">
      <c r="A570" s="2" t="inlineStr">
        <is>
          <t>EJ300924.TXT</t>
        </is>
      </c>
      <c r="B570" s="3" t="inlineStr">
        <is>
          <t>001838</t>
        </is>
      </c>
      <c r="C570" s="3" t="inlineStr">
        <is>
          <t>001177</t>
        </is>
      </c>
      <c r="D570" s="4" t="n">
        <v>45552</v>
      </c>
      <c r="E570" s="2" t="inlineStr">
        <is>
          <t>11:36</t>
        </is>
      </c>
      <c r="F570" s="5">
        <f>C570-C569</f>
        <v/>
      </c>
      <c r="G570" s="5">
        <f>B570-B569</f>
        <v/>
      </c>
      <c r="H570" s="2">
        <f>IF(AND(F570=1,G570=1),"OK","À JUSTIFIER")</f>
        <v/>
      </c>
    </row>
    <row r="571">
      <c r="A571" s="2" t="inlineStr">
        <is>
          <t>EJ300924.TXT</t>
        </is>
      </c>
      <c r="B571" s="3" t="inlineStr">
        <is>
          <t>001839</t>
        </is>
      </c>
      <c r="C571" s="3" t="inlineStr">
        <is>
          <t>001178</t>
        </is>
      </c>
      <c r="D571" s="4" t="n">
        <v>45553</v>
      </c>
      <c r="E571" s="2" t="inlineStr">
        <is>
          <t>09:38</t>
        </is>
      </c>
      <c r="F571" s="5">
        <f>C571-C570</f>
        <v/>
      </c>
      <c r="G571" s="5">
        <f>B571-B570</f>
        <v/>
      </c>
      <c r="H571" s="2">
        <f>IF(AND(F571=1,G571=1),"OK","À JUSTIFIER")</f>
        <v/>
      </c>
    </row>
    <row r="572">
      <c r="A572" s="2" t="inlineStr">
        <is>
          <t>EJ300924.TXT</t>
        </is>
      </c>
      <c r="B572" s="3" t="inlineStr">
        <is>
          <t>001840</t>
        </is>
      </c>
      <c r="C572" s="3" t="inlineStr">
        <is>
          <t>001179</t>
        </is>
      </c>
      <c r="D572" s="4" t="n">
        <v>45553</v>
      </c>
      <c r="E572" s="2" t="inlineStr">
        <is>
          <t>10:12</t>
        </is>
      </c>
      <c r="F572" s="5">
        <f>C572-C571</f>
        <v/>
      </c>
      <c r="G572" s="5">
        <f>B572-B571</f>
        <v/>
      </c>
      <c r="H572" s="2">
        <f>IF(AND(F572=1,G572=1),"OK","À JUSTIFIER")</f>
        <v/>
      </c>
    </row>
    <row r="573">
      <c r="A573" s="2" t="inlineStr">
        <is>
          <t>EJ300924.TXT</t>
        </is>
      </c>
      <c r="B573" s="3" t="inlineStr">
        <is>
          <t>001841</t>
        </is>
      </c>
      <c r="C573" s="3" t="inlineStr">
        <is>
          <t>001180</t>
        </is>
      </c>
      <c r="D573" s="4" t="n">
        <v>45553</v>
      </c>
      <c r="E573" s="2" t="inlineStr">
        <is>
          <t>15:18</t>
        </is>
      </c>
      <c r="F573" s="5">
        <f>C573-C572</f>
        <v/>
      </c>
      <c r="G573" s="5">
        <f>B573-B572</f>
        <v/>
      </c>
      <c r="H573" s="2">
        <f>IF(AND(F573=1,G573=1),"OK","À JUSTIFIER")</f>
        <v/>
      </c>
    </row>
    <row r="574">
      <c r="A574" s="2" t="inlineStr">
        <is>
          <t>EJ300924.TXT</t>
        </is>
      </c>
      <c r="B574" s="3" t="inlineStr">
        <is>
          <t>001843</t>
        </is>
      </c>
      <c r="C574" s="3" t="inlineStr">
        <is>
          <t>001181</t>
        </is>
      </c>
      <c r="D574" s="4" t="n">
        <v>45556</v>
      </c>
      <c r="E574" s="2" t="inlineStr">
        <is>
          <t>13:24</t>
        </is>
      </c>
      <c r="F574" s="5">
        <f>C574-C573</f>
        <v/>
      </c>
      <c r="G574" s="5">
        <f>B574-B573</f>
        <v/>
      </c>
      <c r="H574" s="2">
        <f>IF(AND(F574=1,G574=1),"OK","À JUSTIFIER")</f>
        <v/>
      </c>
    </row>
    <row r="575">
      <c r="A575" s="2" t="inlineStr">
        <is>
          <t>EJ300924.TXT</t>
        </is>
      </c>
      <c r="B575" s="3" t="inlineStr">
        <is>
          <t>001844</t>
        </is>
      </c>
      <c r="C575" s="3" t="inlineStr">
        <is>
          <t>001182</t>
        </is>
      </c>
      <c r="D575" s="4" t="n">
        <v>45556</v>
      </c>
      <c r="E575" s="2" t="inlineStr">
        <is>
          <t>13:48</t>
        </is>
      </c>
      <c r="F575" s="5">
        <f>C575-C574</f>
        <v/>
      </c>
      <c r="G575" s="5">
        <f>B575-B574</f>
        <v/>
      </c>
      <c r="H575" s="2">
        <f>IF(AND(F575=1,G575=1),"OK","À JUSTIFIER")</f>
        <v/>
      </c>
    </row>
    <row r="576">
      <c r="A576" s="2" t="inlineStr">
        <is>
          <t>EJ300924.TXT</t>
        </is>
      </c>
      <c r="B576" s="3" t="inlineStr">
        <is>
          <t>001845</t>
        </is>
      </c>
      <c r="C576" s="3" t="inlineStr">
        <is>
          <t>001183</t>
        </is>
      </c>
      <c r="D576" s="4" t="n">
        <v>45556</v>
      </c>
      <c r="E576" s="2" t="inlineStr">
        <is>
          <t>16:17</t>
        </is>
      </c>
      <c r="F576" s="5">
        <f>C576-C575</f>
        <v/>
      </c>
      <c r="G576" s="5">
        <f>B576-B575</f>
        <v/>
      </c>
      <c r="H576" s="2">
        <f>IF(AND(F576=1,G576=1),"OK","À JUSTIFIER")</f>
        <v/>
      </c>
    </row>
    <row r="577">
      <c r="A577" s="2" t="inlineStr">
        <is>
          <t>EJ300924.TXT</t>
        </is>
      </c>
      <c r="B577" s="3" t="inlineStr">
        <is>
          <t>001846</t>
        </is>
      </c>
      <c r="C577" s="3" t="inlineStr">
        <is>
          <t>001184</t>
        </is>
      </c>
      <c r="D577" s="4" t="n">
        <v>45559</v>
      </c>
      <c r="E577" s="2" t="inlineStr">
        <is>
          <t>10:07</t>
        </is>
      </c>
      <c r="F577" s="5">
        <f>C577-C576</f>
        <v/>
      </c>
      <c r="G577" s="5">
        <f>B577-B576</f>
        <v/>
      </c>
      <c r="H577" s="2">
        <f>IF(AND(F577=1,G577=1),"OK","À JUSTIFIER")</f>
        <v/>
      </c>
    </row>
    <row r="578">
      <c r="A578" s="2" t="inlineStr">
        <is>
          <t>EJ300924.TXT</t>
        </is>
      </c>
      <c r="B578" s="3" t="inlineStr">
        <is>
          <t>001847</t>
        </is>
      </c>
      <c r="C578" s="3" t="inlineStr">
        <is>
          <t>001185</t>
        </is>
      </c>
      <c r="D578" s="4" t="n">
        <v>45560</v>
      </c>
      <c r="E578" s="2" t="inlineStr">
        <is>
          <t>10:06</t>
        </is>
      </c>
      <c r="F578" s="5">
        <f>C578-C577</f>
        <v/>
      </c>
      <c r="G578" s="5">
        <f>B578-B577</f>
        <v/>
      </c>
      <c r="H578" s="2">
        <f>IF(AND(F578=1,G578=1),"OK","À JUSTIFIER")</f>
        <v/>
      </c>
    </row>
    <row r="579">
      <c r="A579" s="2" t="inlineStr">
        <is>
          <t>EJ300924.TXT</t>
        </is>
      </c>
      <c r="B579" s="3" t="inlineStr">
        <is>
          <t>001849</t>
        </is>
      </c>
      <c r="C579" s="3" t="inlineStr">
        <is>
          <t>001186</t>
        </is>
      </c>
      <c r="D579" s="4" t="n">
        <v>45561</v>
      </c>
      <c r="E579" s="2" t="inlineStr">
        <is>
          <t>09:53</t>
        </is>
      </c>
      <c r="F579" s="5">
        <f>C579-C578</f>
        <v/>
      </c>
      <c r="G579" s="5">
        <f>B579-B578</f>
        <v/>
      </c>
      <c r="H579" s="2">
        <f>IF(AND(F579=1,G579=1),"OK","À JUSTIFIER")</f>
        <v/>
      </c>
    </row>
    <row r="580">
      <c r="A580" s="2" t="inlineStr">
        <is>
          <t>EJ300924.TXT</t>
        </is>
      </c>
      <c r="B580" s="3" t="inlineStr">
        <is>
          <t>001850</t>
        </is>
      </c>
      <c r="C580" s="3" t="inlineStr">
        <is>
          <t>001187</t>
        </is>
      </c>
      <c r="D580" s="4" t="n">
        <v>45563</v>
      </c>
      <c r="E580" s="2" t="inlineStr">
        <is>
          <t>13:07</t>
        </is>
      </c>
      <c r="F580" s="5">
        <f>C580-C579</f>
        <v/>
      </c>
      <c r="G580" s="5">
        <f>B580-B579</f>
        <v/>
      </c>
      <c r="H580" s="2">
        <f>IF(AND(F580=1,G580=1),"OK","À JUSTIFIER")</f>
        <v/>
      </c>
    </row>
    <row r="581">
      <c r="A581" s="2" t="inlineStr">
        <is>
          <t>EJ021124.TXT</t>
        </is>
      </c>
      <c r="B581" s="3" t="inlineStr">
        <is>
          <t>001856</t>
        </is>
      </c>
      <c r="C581" s="3" t="inlineStr">
        <is>
          <t>001188</t>
        </is>
      </c>
      <c r="D581" s="4" t="n">
        <v>45566</v>
      </c>
      <c r="E581" s="2" t="inlineStr">
        <is>
          <t>11:37</t>
        </is>
      </c>
      <c r="F581" s="5">
        <f>C581-C580</f>
        <v/>
      </c>
      <c r="G581" s="5">
        <f>B581-B580</f>
        <v/>
      </c>
      <c r="H581" s="2">
        <f>IF(AND(F581=1,G581=1),"OK","À JUSTIFIER")</f>
        <v/>
      </c>
    </row>
    <row r="582">
      <c r="A582" s="2" t="inlineStr">
        <is>
          <t>EJ021124.TXT</t>
        </is>
      </c>
      <c r="B582" s="3" t="inlineStr">
        <is>
          <t>001857</t>
        </is>
      </c>
      <c r="C582" s="3" t="inlineStr">
        <is>
          <t>001189</t>
        </is>
      </c>
      <c r="D582" s="4" t="n">
        <v>45567</v>
      </c>
      <c r="E582" s="2" t="inlineStr">
        <is>
          <t>13:48</t>
        </is>
      </c>
      <c r="F582" s="5">
        <f>C582-C581</f>
        <v/>
      </c>
      <c r="G582" s="5">
        <f>B582-B581</f>
        <v/>
      </c>
      <c r="H582" s="2">
        <f>IF(AND(F582=1,G582=1),"OK","À JUSTIFIER")</f>
        <v/>
      </c>
    </row>
    <row r="583">
      <c r="A583" s="2" t="inlineStr">
        <is>
          <t>EJ021124.TXT</t>
        </is>
      </c>
      <c r="B583" s="3" t="inlineStr">
        <is>
          <t>001860</t>
        </is>
      </c>
      <c r="C583" s="3" t="inlineStr">
        <is>
          <t>001190</t>
        </is>
      </c>
      <c r="D583" s="4" t="n">
        <v>45569</v>
      </c>
      <c r="E583" s="2" t="inlineStr">
        <is>
          <t>16:03</t>
        </is>
      </c>
      <c r="F583" s="5">
        <f>C583-C582</f>
        <v/>
      </c>
      <c r="G583" s="5">
        <f>B583-B582</f>
        <v/>
      </c>
      <c r="H583" s="2">
        <f>IF(AND(F583=1,G583=1),"OK","À JUSTIFIER")</f>
        <v/>
      </c>
    </row>
    <row r="584">
      <c r="A584" s="2" t="inlineStr">
        <is>
          <t>EJ021124.TXT</t>
        </is>
      </c>
      <c r="B584" s="3" t="inlineStr">
        <is>
          <t>001861</t>
        </is>
      </c>
      <c r="C584" s="3" t="inlineStr">
        <is>
          <t>001191</t>
        </is>
      </c>
      <c r="D584" s="4" t="n">
        <v>45572</v>
      </c>
      <c r="E584" s="2" t="inlineStr">
        <is>
          <t>10:14</t>
        </is>
      </c>
      <c r="F584" s="5">
        <f>C584-C583</f>
        <v/>
      </c>
      <c r="G584" s="5">
        <f>B584-B583</f>
        <v/>
      </c>
      <c r="H584" s="2">
        <f>IF(AND(F584=1,G584=1),"OK","À JUSTIFIER")</f>
        <v/>
      </c>
    </row>
    <row r="585">
      <c r="A585" s="2" t="inlineStr">
        <is>
          <t>EJ021124.TXT</t>
        </is>
      </c>
      <c r="B585" s="3" t="inlineStr">
        <is>
          <t>001862</t>
        </is>
      </c>
      <c r="C585" s="3" t="inlineStr">
        <is>
          <t>001192</t>
        </is>
      </c>
      <c r="D585" s="4" t="n">
        <v>45574</v>
      </c>
      <c r="E585" s="2" t="inlineStr">
        <is>
          <t>15:23</t>
        </is>
      </c>
      <c r="F585" s="5">
        <f>C585-C584</f>
        <v/>
      </c>
      <c r="G585" s="5">
        <f>B585-B584</f>
        <v/>
      </c>
      <c r="H585" s="2">
        <f>IF(AND(F585=1,G585=1),"OK","À JUSTIFIER")</f>
        <v/>
      </c>
    </row>
    <row r="586">
      <c r="A586" s="2" t="inlineStr">
        <is>
          <t>EJ021124.TXT</t>
        </is>
      </c>
      <c r="B586" s="3" t="inlineStr">
        <is>
          <t>001863</t>
        </is>
      </c>
      <c r="C586" s="3" t="inlineStr">
        <is>
          <t>001193</t>
        </is>
      </c>
      <c r="D586" s="4" t="n">
        <v>45575</v>
      </c>
      <c r="E586" s="2" t="inlineStr">
        <is>
          <t>13:18</t>
        </is>
      </c>
      <c r="F586" s="5">
        <f>C586-C585</f>
        <v/>
      </c>
      <c r="G586" s="5">
        <f>B586-B585</f>
        <v/>
      </c>
      <c r="H586" s="2">
        <f>IF(AND(F586=1,G586=1),"OK","À JUSTIFIER")</f>
        <v/>
      </c>
    </row>
    <row r="587">
      <c r="A587" s="2" t="inlineStr">
        <is>
          <t>EJ021124.TXT</t>
        </is>
      </c>
      <c r="B587" s="3" t="inlineStr">
        <is>
          <t>001867</t>
        </is>
      </c>
      <c r="C587" s="3" t="inlineStr">
        <is>
          <t>001194</t>
        </is>
      </c>
      <c r="D587" s="4" t="n">
        <v>45581</v>
      </c>
      <c r="E587" s="2" t="inlineStr">
        <is>
          <t>14:16</t>
        </is>
      </c>
      <c r="F587" s="5">
        <f>C587-C586</f>
        <v/>
      </c>
      <c r="G587" s="5">
        <f>B587-B586</f>
        <v/>
      </c>
      <c r="H587" s="2">
        <f>IF(AND(F587=1,G587=1),"OK","À JUSTIFIER")</f>
        <v/>
      </c>
    </row>
    <row r="588">
      <c r="A588" s="2" t="inlineStr">
        <is>
          <t>EJ021124.TXT</t>
        </is>
      </c>
      <c r="B588" s="3" t="inlineStr">
        <is>
          <t>001868</t>
        </is>
      </c>
      <c r="C588" s="3" t="inlineStr">
        <is>
          <t>001195</t>
        </is>
      </c>
      <c r="D588" s="4" t="n">
        <v>45583</v>
      </c>
      <c r="E588" s="2" t="inlineStr">
        <is>
          <t>15:57</t>
        </is>
      </c>
      <c r="F588" s="5">
        <f>C588-C587</f>
        <v/>
      </c>
      <c r="G588" s="5">
        <f>B588-B587</f>
        <v/>
      </c>
      <c r="H588" s="2">
        <f>IF(AND(F588=1,G588=1),"OK","À JUSTIFIER")</f>
        <v/>
      </c>
    </row>
    <row r="589">
      <c r="A589" s="2" t="inlineStr">
        <is>
          <t>EJ021124.TXT</t>
        </is>
      </c>
      <c r="B589" s="3" t="inlineStr">
        <is>
          <t>001869</t>
        </is>
      </c>
      <c r="C589" s="3" t="inlineStr">
        <is>
          <t>001196</t>
        </is>
      </c>
      <c r="D589" s="4" t="n">
        <v>45587</v>
      </c>
      <c r="E589" s="2" t="inlineStr">
        <is>
          <t>13:53</t>
        </is>
      </c>
      <c r="F589" s="5">
        <f>C589-C588</f>
        <v/>
      </c>
      <c r="G589" s="5">
        <f>B589-B588</f>
        <v/>
      </c>
      <c r="H589" s="2">
        <f>IF(AND(F589=1,G589=1),"OK","À JUSTIFIER")</f>
        <v/>
      </c>
    </row>
    <row r="590">
      <c r="A590" s="2" t="inlineStr">
        <is>
          <t>EJ021124.TXT</t>
        </is>
      </c>
      <c r="B590" s="3" t="inlineStr">
        <is>
          <t>001870</t>
        </is>
      </c>
      <c r="C590" s="3" t="inlineStr">
        <is>
          <t>001197</t>
        </is>
      </c>
      <c r="D590" s="4" t="n">
        <v>45587</v>
      </c>
      <c r="E590" s="2" t="inlineStr">
        <is>
          <t>14:42</t>
        </is>
      </c>
      <c r="F590" s="5">
        <f>C590-C589</f>
        <v/>
      </c>
      <c r="G590" s="5">
        <f>B590-B589</f>
        <v/>
      </c>
      <c r="H590" s="2">
        <f>IF(AND(F590=1,G590=1),"OK","À JUSTIFIER")</f>
        <v/>
      </c>
    </row>
    <row r="591">
      <c r="A591" s="2" t="inlineStr">
        <is>
          <t>EJ021124.TXT</t>
        </is>
      </c>
      <c r="B591" s="3" t="inlineStr">
        <is>
          <t>001871</t>
        </is>
      </c>
      <c r="C591" s="3" t="inlineStr">
        <is>
          <t>001198</t>
        </is>
      </c>
      <c r="D591" s="4" t="n">
        <v>45593</v>
      </c>
      <c r="E591" s="2" t="inlineStr">
        <is>
          <t>11:38</t>
        </is>
      </c>
      <c r="F591" s="5">
        <f>C591-C590</f>
        <v/>
      </c>
      <c r="G591" s="5">
        <f>B591-B590</f>
        <v/>
      </c>
      <c r="H591" s="2">
        <f>IF(AND(F591=1,G591=1),"OK","À JUSTIFIER")</f>
        <v/>
      </c>
    </row>
    <row r="592">
      <c r="A592" s="2" t="inlineStr">
        <is>
          <t>EJ021124.TXT</t>
        </is>
      </c>
      <c r="B592" s="3" t="inlineStr">
        <is>
          <t>001872</t>
        </is>
      </c>
      <c r="C592" s="3" t="inlineStr">
        <is>
          <t>001199</t>
        </is>
      </c>
      <c r="D592" s="4" t="n">
        <v>45594</v>
      </c>
      <c r="E592" s="2" t="inlineStr">
        <is>
          <t>16:48</t>
        </is>
      </c>
      <c r="F592" s="5">
        <f>C592-C591</f>
        <v/>
      </c>
      <c r="G592" s="5">
        <f>B592-B591</f>
        <v/>
      </c>
      <c r="H592" s="2">
        <f>IF(AND(F592=1,G592=1),"OK","À JUSTIFIER")</f>
        <v/>
      </c>
    </row>
    <row r="593">
      <c r="A593" s="2" t="inlineStr">
        <is>
          <t>EJ021124.TXT</t>
        </is>
      </c>
      <c r="B593" s="3" t="inlineStr">
        <is>
          <t>001873</t>
        </is>
      </c>
      <c r="C593" s="3" t="inlineStr">
        <is>
          <t>001200</t>
        </is>
      </c>
      <c r="D593" s="4" t="n">
        <v>45596</v>
      </c>
      <c r="E593" s="2" t="inlineStr">
        <is>
          <t>12:57</t>
        </is>
      </c>
      <c r="F593" s="5">
        <f>C593-C592</f>
        <v/>
      </c>
      <c r="G593" s="5">
        <f>B593-B592</f>
        <v/>
      </c>
      <c r="H593" s="2">
        <f>IF(AND(F593=1,G593=1),"OK","À JUSTIFIER")</f>
        <v/>
      </c>
    </row>
    <row r="594">
      <c r="A594" s="2" t="inlineStr">
        <is>
          <t>EJ021124.TXT</t>
        </is>
      </c>
      <c r="B594" s="3" t="inlineStr">
        <is>
          <t>001874</t>
        </is>
      </c>
      <c r="C594" s="3" t="inlineStr">
        <is>
          <t>001201</t>
        </is>
      </c>
      <c r="D594" s="4" t="n">
        <v>45598</v>
      </c>
      <c r="E594" s="2" t="inlineStr">
        <is>
          <t>14:11</t>
        </is>
      </c>
      <c r="F594" s="5">
        <f>C594-C593</f>
        <v/>
      </c>
      <c r="G594" s="5">
        <f>B594-B593</f>
        <v/>
      </c>
      <c r="H594" s="2">
        <f>IF(AND(F594=1,G594=1),"OK","À JUSTIFIER")</f>
        <v/>
      </c>
    </row>
    <row r="595">
      <c r="A595" s="2" t="inlineStr">
        <is>
          <t>EJ021224.TXT</t>
        </is>
      </c>
      <c r="B595" s="3" t="inlineStr">
        <is>
          <t>001881</t>
        </is>
      </c>
      <c r="C595" s="3" t="inlineStr">
        <is>
          <t>001202</t>
        </is>
      </c>
      <c r="D595" s="4" t="n">
        <v>45609</v>
      </c>
      <c r="E595" s="2" t="inlineStr">
        <is>
          <t>12:46</t>
        </is>
      </c>
      <c r="F595" s="5">
        <f>C595-C594</f>
        <v/>
      </c>
      <c r="G595" s="5">
        <f>B595-B594</f>
        <v/>
      </c>
      <c r="H595" s="2">
        <f>IF(AND(F595=1,G595=1),"OK","À JUSTIFIER")</f>
        <v/>
      </c>
    </row>
    <row r="596">
      <c r="A596" s="2" t="inlineStr">
        <is>
          <t>EJ021224.TXT</t>
        </is>
      </c>
      <c r="B596" s="3" t="inlineStr">
        <is>
          <t>001885</t>
        </is>
      </c>
      <c r="C596" s="3" t="inlineStr">
        <is>
          <t>001203</t>
        </is>
      </c>
      <c r="D596" s="4" t="n">
        <v>45617</v>
      </c>
      <c r="E596" s="2" t="inlineStr">
        <is>
          <t>13:23</t>
        </is>
      </c>
      <c r="F596" s="5">
        <f>C596-C595</f>
        <v/>
      </c>
      <c r="G596" s="5">
        <f>B596-B595</f>
        <v/>
      </c>
      <c r="H596" s="2">
        <f>IF(AND(F596=1,G596=1),"OK","À JUSTIFIER")</f>
        <v/>
      </c>
    </row>
    <row r="597">
      <c r="A597" s="2" t="inlineStr">
        <is>
          <t>EJ021224.TXT</t>
        </is>
      </c>
      <c r="B597" s="3" t="inlineStr">
        <is>
          <t>001886</t>
        </is>
      </c>
      <c r="C597" s="3" t="inlineStr">
        <is>
          <t>001204</t>
        </is>
      </c>
      <c r="D597" s="4" t="n">
        <v>45617</v>
      </c>
      <c r="E597" s="2" t="inlineStr">
        <is>
          <t>13:33</t>
        </is>
      </c>
      <c r="F597" s="5">
        <f>C597-C596</f>
        <v/>
      </c>
      <c r="G597" s="5">
        <f>B597-B596</f>
        <v/>
      </c>
      <c r="H597" s="2">
        <f>IF(AND(F597=1,G597=1),"OK","À JUSTIFIER")</f>
        <v/>
      </c>
    </row>
    <row r="598">
      <c r="A598" s="2" t="inlineStr">
        <is>
          <t>EJ021224.TXT</t>
        </is>
      </c>
      <c r="B598" s="3" t="inlineStr">
        <is>
          <t>001887</t>
        </is>
      </c>
      <c r="C598" s="3" t="inlineStr">
        <is>
          <t>001205</t>
        </is>
      </c>
      <c r="D598" s="4" t="n">
        <v>45618</v>
      </c>
      <c r="E598" s="2" t="inlineStr">
        <is>
          <t>13:01</t>
        </is>
      </c>
      <c r="F598" s="5">
        <f>C598-C597</f>
        <v/>
      </c>
      <c r="G598" s="5">
        <f>B598-B597</f>
        <v/>
      </c>
      <c r="H598" s="2">
        <f>IF(AND(F598=1,G598=1),"OK","À JUSTIFIER")</f>
        <v/>
      </c>
    </row>
    <row r="599">
      <c r="A599" s="2" t="inlineStr">
        <is>
          <t>EJ021224.TXT</t>
        </is>
      </c>
      <c r="B599" s="3" t="inlineStr">
        <is>
          <t>001888</t>
        </is>
      </c>
      <c r="C599" s="3" t="inlineStr">
        <is>
          <t>001206</t>
        </is>
      </c>
      <c r="D599" s="4" t="n">
        <v>45618</v>
      </c>
      <c r="E599" s="2" t="inlineStr">
        <is>
          <t>15:52</t>
        </is>
      </c>
      <c r="F599" s="5">
        <f>C599-C598</f>
        <v/>
      </c>
      <c r="G599" s="5">
        <f>B599-B598</f>
        <v/>
      </c>
      <c r="H599" s="2">
        <f>IF(AND(F599=1,G599=1),"OK","À JUSTIFIER")</f>
        <v/>
      </c>
    </row>
    <row r="600">
      <c r="A600" s="2" t="inlineStr">
        <is>
          <t>EJ021224.TXT</t>
        </is>
      </c>
      <c r="B600" s="3" t="inlineStr">
        <is>
          <t>001889</t>
        </is>
      </c>
      <c r="C600" s="3" t="inlineStr">
        <is>
          <t>001207</t>
        </is>
      </c>
      <c r="D600" s="4" t="n">
        <v>45622</v>
      </c>
      <c r="E600" s="2" t="inlineStr">
        <is>
          <t>10:35</t>
        </is>
      </c>
      <c r="F600" s="5">
        <f>C600-C599</f>
        <v/>
      </c>
      <c r="G600" s="5">
        <f>B600-B599</f>
        <v/>
      </c>
      <c r="H600" s="2">
        <f>IF(AND(F600=1,G600=1),"OK","À JUSTIFIER")</f>
        <v/>
      </c>
    </row>
    <row r="601">
      <c r="A601" s="2" t="inlineStr">
        <is>
          <t>EJ021224.TXT</t>
        </is>
      </c>
      <c r="B601" s="3" t="inlineStr">
        <is>
          <t>001891</t>
        </is>
      </c>
      <c r="C601" s="3" t="inlineStr">
        <is>
          <t>001208</t>
        </is>
      </c>
      <c r="D601" s="4" t="n">
        <v>45624</v>
      </c>
      <c r="E601" s="2" t="inlineStr">
        <is>
          <t>14:31</t>
        </is>
      </c>
      <c r="F601" s="5">
        <f>C601-C600</f>
        <v/>
      </c>
      <c r="G601" s="5">
        <f>B601-B600</f>
        <v/>
      </c>
      <c r="H601" s="2">
        <f>IF(AND(F601=1,G601=1),"OK","À JUSTIFIER")</f>
        <v/>
      </c>
    </row>
    <row r="602">
      <c r="A602" s="2" t="inlineStr">
        <is>
          <t>EJ311224.TXT</t>
        </is>
      </c>
      <c r="B602" s="3" t="inlineStr">
        <is>
          <t>001900</t>
        </is>
      </c>
      <c r="C602" s="3" t="inlineStr">
        <is>
          <t>001209</t>
        </is>
      </c>
      <c r="D602" s="4" t="n">
        <v>45629</v>
      </c>
      <c r="E602" s="2" t="inlineStr">
        <is>
          <t>14:03</t>
        </is>
      </c>
      <c r="F602" s="5">
        <f>C602-C601</f>
        <v/>
      </c>
      <c r="G602" s="5">
        <f>B602-B601</f>
        <v/>
      </c>
      <c r="H602" s="2">
        <f>IF(AND(F602=1,G602=1),"OK","À JUSTIFIER")</f>
        <v/>
      </c>
    </row>
    <row r="603">
      <c r="A603" s="2" t="inlineStr">
        <is>
          <t>EJ311224.TXT</t>
        </is>
      </c>
      <c r="B603" s="3" t="inlineStr">
        <is>
          <t>001901</t>
        </is>
      </c>
      <c r="C603" s="3" t="inlineStr">
        <is>
          <t>001210</t>
        </is>
      </c>
      <c r="D603" s="4" t="n">
        <v>45631</v>
      </c>
      <c r="E603" s="2" t="inlineStr">
        <is>
          <t>10:42</t>
        </is>
      </c>
      <c r="F603" s="5">
        <f>C603-C602</f>
        <v/>
      </c>
      <c r="G603" s="5">
        <f>B603-B602</f>
        <v/>
      </c>
      <c r="H603" s="2">
        <f>IF(AND(F603=1,G603=1),"OK","À JUSTIFIER")</f>
        <v/>
      </c>
    </row>
    <row r="604">
      <c r="A604" s="2" t="inlineStr">
        <is>
          <t>EJ311224.TXT</t>
        </is>
      </c>
      <c r="B604" s="3" t="inlineStr">
        <is>
          <t>001902</t>
        </is>
      </c>
      <c r="C604" s="3" t="inlineStr">
        <is>
          <t>001211</t>
        </is>
      </c>
      <c r="D604" s="4" t="n">
        <v>45631</v>
      </c>
      <c r="E604" s="2" t="inlineStr">
        <is>
          <t>13:27</t>
        </is>
      </c>
      <c r="F604" s="5">
        <f>C604-C603</f>
        <v/>
      </c>
      <c r="G604" s="5">
        <f>B604-B603</f>
        <v/>
      </c>
      <c r="H604" s="2">
        <f>IF(AND(F604=1,G604=1),"OK","À JUSTIFIER")</f>
        <v/>
      </c>
    </row>
    <row r="605">
      <c r="A605" s="2" t="inlineStr">
        <is>
          <t>EJ311224.TXT</t>
        </is>
      </c>
      <c r="B605" s="3" t="inlineStr">
        <is>
          <t>001903</t>
        </is>
      </c>
      <c r="C605" s="3" t="inlineStr">
        <is>
          <t>001212</t>
        </is>
      </c>
      <c r="D605" s="4" t="n">
        <v>45632</v>
      </c>
      <c r="E605" s="2" t="inlineStr">
        <is>
          <t>14:23</t>
        </is>
      </c>
      <c r="F605" s="5">
        <f>C605-C604</f>
        <v/>
      </c>
      <c r="G605" s="5">
        <f>B605-B604</f>
        <v/>
      </c>
      <c r="H605" s="2">
        <f>IF(AND(F605=1,G605=1),"OK","À JUSTIFIER")</f>
        <v/>
      </c>
    </row>
    <row r="606">
      <c r="A606" s="2" t="inlineStr">
        <is>
          <t>EJ311224.TXT</t>
        </is>
      </c>
      <c r="B606" s="3" t="inlineStr">
        <is>
          <t>001904</t>
        </is>
      </c>
      <c r="C606" s="3" t="inlineStr">
        <is>
          <t>001213</t>
        </is>
      </c>
      <c r="D606" s="4" t="n">
        <v>45632</v>
      </c>
      <c r="E606" s="2" t="inlineStr">
        <is>
          <t>15:51</t>
        </is>
      </c>
      <c r="F606" s="5">
        <f>C606-C605</f>
        <v/>
      </c>
      <c r="G606" s="5">
        <f>B606-B605</f>
        <v/>
      </c>
      <c r="H606" s="2">
        <f>IF(AND(F606=1,G606=1),"OK","À JUSTIFIER")</f>
        <v/>
      </c>
    </row>
    <row r="607">
      <c r="A607" s="2" t="inlineStr">
        <is>
          <t>EJ311224.TXT</t>
        </is>
      </c>
      <c r="B607" s="3" t="inlineStr">
        <is>
          <t>001905</t>
        </is>
      </c>
      <c r="C607" s="3" t="inlineStr">
        <is>
          <t>001214</t>
        </is>
      </c>
      <c r="D607" s="4" t="n">
        <v>45632</v>
      </c>
      <c r="E607" s="2" t="inlineStr">
        <is>
          <t>17:09</t>
        </is>
      </c>
      <c r="F607" s="5">
        <f>C607-C606</f>
        <v/>
      </c>
      <c r="G607" s="5">
        <f>B607-B606</f>
        <v/>
      </c>
      <c r="H607" s="2">
        <f>IF(AND(F607=1,G607=1),"OK","À JUSTIFIER")</f>
        <v/>
      </c>
    </row>
    <row r="608">
      <c r="A608" s="2" t="inlineStr">
        <is>
          <t>EJ311224.TXT</t>
        </is>
      </c>
      <c r="B608" s="3" t="inlineStr">
        <is>
          <t>001906</t>
        </is>
      </c>
      <c r="C608" s="3" t="inlineStr">
        <is>
          <t>001215</t>
        </is>
      </c>
      <c r="D608" s="4" t="n">
        <v>45643</v>
      </c>
      <c r="E608" s="2" t="inlineStr">
        <is>
          <t>10:06</t>
        </is>
      </c>
      <c r="F608" s="5">
        <f>C608-C607</f>
        <v/>
      </c>
      <c r="G608" s="5">
        <f>B608-B607</f>
        <v/>
      </c>
      <c r="H608" s="2">
        <f>IF(AND(F608=1,G608=1),"OK","À JUSTIFIER")</f>
        <v/>
      </c>
    </row>
    <row r="609">
      <c r="A609" s="2" t="inlineStr">
        <is>
          <t>EJ311224.TXT</t>
        </is>
      </c>
      <c r="B609" s="3" t="inlineStr">
        <is>
          <t>001907</t>
        </is>
      </c>
      <c r="C609" s="3" t="inlineStr">
        <is>
          <t>001216</t>
        </is>
      </c>
      <c r="D609" s="4" t="n">
        <v>45643</v>
      </c>
      <c r="E609" s="2" t="inlineStr">
        <is>
          <t>10:06</t>
        </is>
      </c>
      <c r="F609" s="5">
        <f>C609-C608</f>
        <v/>
      </c>
      <c r="G609" s="5">
        <f>B609-B608</f>
        <v/>
      </c>
      <c r="H609" s="2">
        <f>IF(AND(F609=1,G609=1),"OK","À JUSTIFIER")</f>
        <v/>
      </c>
    </row>
    <row r="610">
      <c r="A610" s="2" t="inlineStr">
        <is>
          <t>EJ311224.TXT</t>
        </is>
      </c>
      <c r="B610" s="3" t="inlineStr">
        <is>
          <t>001908</t>
        </is>
      </c>
      <c r="C610" s="3" t="inlineStr">
        <is>
          <t>001217</t>
        </is>
      </c>
      <c r="D610" s="4" t="n">
        <v>45643</v>
      </c>
      <c r="E610" s="2" t="inlineStr">
        <is>
          <t>12:32</t>
        </is>
      </c>
      <c r="F610" s="5">
        <f>C610-C609</f>
        <v/>
      </c>
      <c r="G610" s="5">
        <f>B610-B609</f>
        <v/>
      </c>
      <c r="H610" s="2">
        <f>IF(AND(F610=1,G610=1),"OK","À JUSTIFIER")</f>
        <v/>
      </c>
    </row>
    <row r="611">
      <c r="A611" s="2" t="inlineStr">
        <is>
          <t>EJ311224.TXT</t>
        </is>
      </c>
      <c r="B611" s="3" t="inlineStr">
        <is>
          <t>001909</t>
        </is>
      </c>
      <c r="C611" s="3" t="inlineStr">
        <is>
          <t>001218</t>
        </is>
      </c>
      <c r="D611" s="4" t="n">
        <v>45645</v>
      </c>
      <c r="E611" s="2" t="inlineStr">
        <is>
          <t>13:54</t>
        </is>
      </c>
      <c r="F611" s="5">
        <f>C611-C610</f>
        <v/>
      </c>
      <c r="G611" s="5">
        <f>B611-B610</f>
        <v/>
      </c>
      <c r="H611" s="2">
        <f>IF(AND(F611=1,G611=1),"OK","À JUSTIFIER")</f>
        <v/>
      </c>
    </row>
    <row r="612">
      <c r="A612" s="2" t="inlineStr">
        <is>
          <t>EJ311224.TXT</t>
        </is>
      </c>
      <c r="B612" s="3" t="inlineStr">
        <is>
          <t>001910</t>
        </is>
      </c>
      <c r="C612" s="3" t="inlineStr">
        <is>
          <t>001219</t>
        </is>
      </c>
      <c r="D612" s="4" t="n">
        <v>45646</v>
      </c>
      <c r="E612" s="2" t="inlineStr">
        <is>
          <t>15:26</t>
        </is>
      </c>
      <c r="F612" s="5">
        <f>C612-C611</f>
        <v/>
      </c>
      <c r="G612" s="5">
        <f>B612-B611</f>
        <v/>
      </c>
      <c r="H612" s="2">
        <f>IF(AND(F612=1,G612=1),"OK","À JUSTIFIER")</f>
        <v/>
      </c>
    </row>
    <row r="613">
      <c r="A613" s="2" t="inlineStr">
        <is>
          <t>EJ311224.TXT</t>
        </is>
      </c>
      <c r="B613" s="3" t="inlineStr">
        <is>
          <t>001911</t>
        </is>
      </c>
      <c r="C613" s="3" t="inlineStr">
        <is>
          <t>001220</t>
        </is>
      </c>
      <c r="D613" s="4" t="n">
        <v>45649</v>
      </c>
      <c r="E613" s="2" t="inlineStr">
        <is>
          <t>16:49</t>
        </is>
      </c>
      <c r="F613" s="5">
        <f>C613-C612</f>
        <v/>
      </c>
      <c r="G613" s="5">
        <f>B613-B612</f>
        <v/>
      </c>
      <c r="H613" s="2">
        <f>IF(AND(F613=1,G613=1),"OK","À JUSTIFIER")</f>
        <v/>
      </c>
    </row>
    <row r="614">
      <c r="A614" s="2" t="inlineStr">
        <is>
          <t>EJ311224.TXT</t>
        </is>
      </c>
      <c r="B614" s="3" t="inlineStr">
        <is>
          <t>001912</t>
        </is>
      </c>
      <c r="C614" s="3" t="inlineStr">
        <is>
          <t>001221</t>
        </is>
      </c>
      <c r="D614" s="4" t="n">
        <v>45649</v>
      </c>
      <c r="E614" s="2" t="inlineStr">
        <is>
          <t>17:18</t>
        </is>
      </c>
      <c r="F614" s="5">
        <f>C614-C613</f>
        <v/>
      </c>
      <c r="G614" s="5">
        <f>B614-B613</f>
        <v/>
      </c>
      <c r="H614" s="2">
        <f>IF(AND(F614=1,G614=1),"OK","À JUSTIFIER")</f>
        <v/>
      </c>
    </row>
    <row r="615">
      <c r="A615" s="2" t="inlineStr">
        <is>
          <t>EJ311224.TXT</t>
        </is>
      </c>
      <c r="B615" s="3" t="inlineStr">
        <is>
          <t>001913</t>
        </is>
      </c>
      <c r="C615" s="3" t="inlineStr">
        <is>
          <t>001222</t>
        </is>
      </c>
      <c r="D615" s="4" t="n">
        <v>45654</v>
      </c>
      <c r="E615" s="2" t="inlineStr">
        <is>
          <t>14:18</t>
        </is>
      </c>
      <c r="F615" s="5">
        <f>C615-C614</f>
        <v/>
      </c>
      <c r="G615" s="5">
        <f>B615-B614</f>
        <v/>
      </c>
      <c r="H615" s="2">
        <f>IF(AND(F615=1,G615=1),"OK","À JUSTIFIER")</f>
        <v/>
      </c>
    </row>
    <row r="616">
      <c r="A616" s="2" t="inlineStr">
        <is>
          <t>EJ311224.TXT</t>
        </is>
      </c>
      <c r="B616" s="3" t="inlineStr">
        <is>
          <t>001914</t>
        </is>
      </c>
      <c r="C616" s="3" t="inlineStr">
        <is>
          <t>001223</t>
        </is>
      </c>
      <c r="D616" s="4" t="n">
        <v>45654</v>
      </c>
      <c r="E616" s="2" t="inlineStr">
        <is>
          <t>15:24</t>
        </is>
      </c>
      <c r="F616" s="5">
        <f>C616-C615</f>
        <v/>
      </c>
      <c r="G616" s="5">
        <f>B616-B615</f>
        <v/>
      </c>
      <c r="H616" s="2">
        <f>IF(AND(F616=1,G616=1),"OK","À JUSTIFIER")</f>
        <v/>
      </c>
    </row>
    <row r="617">
      <c r="A617" s="2" t="inlineStr">
        <is>
          <t>EJ311224.TXT</t>
        </is>
      </c>
      <c r="B617" s="3" t="inlineStr">
        <is>
          <t>001915</t>
        </is>
      </c>
      <c r="C617" s="3" t="inlineStr">
        <is>
          <t>001224</t>
        </is>
      </c>
      <c r="D617" s="4" t="n">
        <v>45656</v>
      </c>
      <c r="E617" s="2" t="inlineStr">
        <is>
          <t>15:06</t>
        </is>
      </c>
      <c r="F617" s="5">
        <f>C617-C616</f>
        <v/>
      </c>
      <c r="G617" s="5">
        <f>B617-B616</f>
        <v/>
      </c>
      <c r="H617" s="2">
        <f>IF(AND(F617=1,G617=1),"OK","À JUSTIFIER")</f>
        <v/>
      </c>
    </row>
    <row r="618">
      <c r="A618" s="2" t="inlineStr">
        <is>
          <t>EJ311224.TXT</t>
        </is>
      </c>
      <c r="B618" s="3" t="inlineStr">
        <is>
          <t>001917</t>
        </is>
      </c>
      <c r="C618" s="3" t="inlineStr">
        <is>
          <t>001225</t>
        </is>
      </c>
      <c r="D618" s="4" t="n">
        <v>45657</v>
      </c>
      <c r="E618" s="2" t="inlineStr">
        <is>
          <t>10:55</t>
        </is>
      </c>
      <c r="F618" s="5">
        <f>C618-C617</f>
        <v/>
      </c>
      <c r="G618" s="5">
        <f>B618-B617</f>
        <v/>
      </c>
      <c r="H618" s="2">
        <f>IF(AND(F618=1,G618=1),"OK","À JUSTIFIER")</f>
        <v/>
      </c>
    </row>
    <row r="619">
      <c r="A619" s="2" t="inlineStr">
        <is>
          <t>EJ010225.TXT</t>
        </is>
      </c>
      <c r="B619" s="3" t="inlineStr">
        <is>
          <t>001925</t>
        </is>
      </c>
      <c r="C619" s="3" t="inlineStr">
        <is>
          <t>001226</t>
        </is>
      </c>
      <c r="D619" s="4" t="n">
        <v>45661</v>
      </c>
      <c r="E619" s="2" t="inlineStr">
        <is>
          <t>14:58</t>
        </is>
      </c>
      <c r="F619" s="5">
        <f>C619-C618</f>
        <v/>
      </c>
      <c r="G619" s="5">
        <f>B619-B618</f>
        <v/>
      </c>
      <c r="H619" s="2">
        <f>IF(AND(F619=1,G619=1),"OK","À JUSTIFIER")</f>
        <v/>
      </c>
    </row>
    <row r="620">
      <c r="A620" s="2" t="inlineStr">
        <is>
          <t>EJ010225.TXT</t>
        </is>
      </c>
      <c r="B620" s="3" t="inlineStr">
        <is>
          <t>001926</t>
        </is>
      </c>
      <c r="C620" s="3" t="inlineStr">
        <is>
          <t>001227</t>
        </is>
      </c>
      <c r="D620" s="4" t="n">
        <v>45663</v>
      </c>
      <c r="E620" s="2" t="inlineStr">
        <is>
          <t>10:57</t>
        </is>
      </c>
      <c r="F620" s="5">
        <f>C620-C619</f>
        <v/>
      </c>
      <c r="G620" s="5">
        <f>B620-B619</f>
        <v/>
      </c>
      <c r="H620" s="2">
        <f>IF(AND(F620=1,G620=1),"OK","À JUSTIFIER")</f>
        <v/>
      </c>
    </row>
    <row r="621">
      <c r="A621" s="2" t="inlineStr">
        <is>
          <t>EJ010225.TXT</t>
        </is>
      </c>
      <c r="B621" s="3" t="inlineStr">
        <is>
          <t>001927</t>
        </is>
      </c>
      <c r="C621" s="3" t="inlineStr">
        <is>
          <t>001228</t>
        </is>
      </c>
      <c r="D621" s="4" t="n">
        <v>45664</v>
      </c>
      <c r="E621" s="2" t="inlineStr">
        <is>
          <t>17:38</t>
        </is>
      </c>
      <c r="F621" s="5">
        <f>C621-C620</f>
        <v/>
      </c>
      <c r="G621" s="5">
        <f>B621-B620</f>
        <v/>
      </c>
      <c r="H621" s="2">
        <f>IF(AND(F621=1,G621=1),"OK","À JUSTIFIER")</f>
        <v/>
      </c>
    </row>
    <row r="622">
      <c r="A622" s="2" t="inlineStr">
        <is>
          <t>EJ010225.TXT</t>
        </is>
      </c>
      <c r="B622" s="3" t="inlineStr">
        <is>
          <t>001928</t>
        </is>
      </c>
      <c r="C622" s="3" t="inlineStr">
        <is>
          <t>001229</t>
        </is>
      </c>
      <c r="D622" s="4" t="n">
        <v>45667</v>
      </c>
      <c r="E622" s="2" t="inlineStr">
        <is>
          <t>17:10</t>
        </is>
      </c>
      <c r="F622" s="5">
        <f>C622-C621</f>
        <v/>
      </c>
      <c r="G622" s="5">
        <f>B622-B621</f>
        <v/>
      </c>
      <c r="H622" s="2">
        <f>IF(AND(F622=1,G622=1),"OK","À JUSTIFIER")</f>
        <v/>
      </c>
    </row>
    <row r="623">
      <c r="A623" s="2" t="inlineStr">
        <is>
          <t>EJ010225.TXT</t>
        </is>
      </c>
      <c r="B623" s="3" t="inlineStr">
        <is>
          <t>001929</t>
        </is>
      </c>
      <c r="C623" s="3" t="inlineStr">
        <is>
          <t>001230</t>
        </is>
      </c>
      <c r="D623" s="4" t="n">
        <v>45672</v>
      </c>
      <c r="E623" s="2" t="inlineStr">
        <is>
          <t>16:06</t>
        </is>
      </c>
      <c r="F623" s="5">
        <f>C623-C622</f>
        <v/>
      </c>
      <c r="G623" s="5">
        <f>B623-B622</f>
        <v/>
      </c>
      <c r="H623" s="2">
        <f>IF(AND(F623=1,G623=1),"OK","À JUSTIFIER")</f>
        <v/>
      </c>
    </row>
    <row r="624">
      <c r="A624" s="2" t="inlineStr">
        <is>
          <t>EJ010225.TXT</t>
        </is>
      </c>
      <c r="B624" s="3" t="inlineStr">
        <is>
          <t>001931</t>
        </is>
      </c>
      <c r="C624" s="3" t="inlineStr">
        <is>
          <t>001231</t>
        </is>
      </c>
      <c r="D624" s="4" t="n">
        <v>45678</v>
      </c>
      <c r="E624" s="2" t="inlineStr">
        <is>
          <t>14:24</t>
        </is>
      </c>
      <c r="F624" s="5">
        <f>C624-C623</f>
        <v/>
      </c>
      <c r="G624" s="5">
        <f>B624-B623</f>
        <v/>
      </c>
      <c r="H624" s="2">
        <f>IF(AND(F624=1,G624=1),"OK","À JUSTIFIER")</f>
        <v/>
      </c>
    </row>
    <row r="625">
      <c r="A625" s="2" t="inlineStr">
        <is>
          <t>EJ010225.TXT</t>
        </is>
      </c>
      <c r="B625" s="3" t="inlineStr">
        <is>
          <t>001932</t>
        </is>
      </c>
      <c r="C625" s="3" t="inlineStr">
        <is>
          <t>001232</t>
        </is>
      </c>
      <c r="D625" s="4" t="n">
        <v>45678</v>
      </c>
      <c r="E625" s="2" t="inlineStr">
        <is>
          <t>14:27</t>
        </is>
      </c>
      <c r="F625" s="5">
        <f>C625-C624</f>
        <v/>
      </c>
      <c r="G625" s="5">
        <f>B625-B624</f>
        <v/>
      </c>
      <c r="H625" s="2">
        <f>IF(AND(F625=1,G625=1),"OK","À JUSTIFIER")</f>
        <v/>
      </c>
    </row>
    <row r="626">
      <c r="A626" s="2" t="inlineStr">
        <is>
          <t>EJ010225.TXT</t>
        </is>
      </c>
      <c r="B626" s="3" t="inlineStr">
        <is>
          <t>001933</t>
        </is>
      </c>
      <c r="C626" s="3" t="inlineStr">
        <is>
          <t>001233</t>
        </is>
      </c>
      <c r="D626" s="4" t="n">
        <v>45678</v>
      </c>
      <c r="E626" s="2" t="inlineStr">
        <is>
          <t>17:18</t>
        </is>
      </c>
      <c r="F626" s="5">
        <f>C626-C625</f>
        <v/>
      </c>
      <c r="G626" s="5">
        <f>B626-B625</f>
        <v/>
      </c>
      <c r="H626" s="2">
        <f>IF(AND(F626=1,G626=1),"OK","À JUSTIFIER")</f>
        <v/>
      </c>
    </row>
    <row r="627">
      <c r="A627" s="2" t="inlineStr">
        <is>
          <t>EJ010225.TXT</t>
        </is>
      </c>
      <c r="B627" s="3" t="inlineStr">
        <is>
          <t>001935</t>
        </is>
      </c>
      <c r="C627" s="3" t="inlineStr">
        <is>
          <t>001234</t>
        </is>
      </c>
      <c r="D627" s="4" t="n">
        <v>45679</v>
      </c>
      <c r="E627" s="2" t="inlineStr">
        <is>
          <t>15:13</t>
        </is>
      </c>
      <c r="F627" s="5">
        <f>C627-C626</f>
        <v/>
      </c>
      <c r="G627" s="5">
        <f>B627-B626</f>
        <v/>
      </c>
      <c r="H627" s="2">
        <f>IF(AND(F627=1,G627=1),"OK","À JUSTIFIER")</f>
        <v/>
      </c>
    </row>
    <row r="628">
      <c r="A628" s="2" t="inlineStr">
        <is>
          <t>EJ010225.TXT</t>
        </is>
      </c>
      <c r="B628" s="3" t="inlineStr">
        <is>
          <t>001937</t>
        </is>
      </c>
      <c r="C628" s="3" t="inlineStr">
        <is>
          <t>001235</t>
        </is>
      </c>
      <c r="D628" s="4" t="n">
        <v>45680</v>
      </c>
      <c r="E628" s="2" t="inlineStr">
        <is>
          <t>10:20</t>
        </is>
      </c>
      <c r="F628" s="5">
        <f>C628-C627</f>
        <v/>
      </c>
      <c r="G628" s="5">
        <f>B628-B627</f>
        <v/>
      </c>
      <c r="H628" s="2">
        <f>IF(AND(F628=1,G628=1),"OK","À JUSTIFIER")</f>
        <v/>
      </c>
    </row>
    <row r="629">
      <c r="A629" s="2" t="inlineStr">
        <is>
          <t>EJ010225.TXT</t>
        </is>
      </c>
      <c r="B629" s="3" t="inlineStr">
        <is>
          <t>001938</t>
        </is>
      </c>
      <c r="C629" s="3" t="inlineStr">
        <is>
          <t>001236</t>
        </is>
      </c>
      <c r="D629" s="4" t="n">
        <v>45681</v>
      </c>
      <c r="E629" s="2" t="inlineStr">
        <is>
          <t>15:36</t>
        </is>
      </c>
      <c r="F629" s="5">
        <f>C629-C628</f>
        <v/>
      </c>
      <c r="G629" s="5">
        <f>B629-B628</f>
        <v/>
      </c>
      <c r="H629" s="2">
        <f>IF(AND(F629=1,G629=1),"OK","À JUSTIFIER")</f>
        <v/>
      </c>
    </row>
    <row r="630">
      <c r="A630" s="2" t="inlineStr">
        <is>
          <t>EJ010225.TXT</t>
        </is>
      </c>
      <c r="B630" s="3" t="inlineStr">
        <is>
          <t>001939</t>
        </is>
      </c>
      <c r="C630" s="3" t="inlineStr">
        <is>
          <t>001237</t>
        </is>
      </c>
      <c r="D630" s="4" t="n">
        <v>45682</v>
      </c>
      <c r="E630" s="2" t="inlineStr">
        <is>
          <t>16:41</t>
        </is>
      </c>
      <c r="F630" s="5">
        <f>C630-C629</f>
        <v/>
      </c>
      <c r="G630" s="5">
        <f>B630-B629</f>
        <v/>
      </c>
      <c r="H630" s="2">
        <f>IF(AND(F630=1,G630=1),"OK","À JUSTIFIER")</f>
        <v/>
      </c>
    </row>
    <row r="631">
      <c r="A631" s="2" t="inlineStr">
        <is>
          <t>EJ010225.TXT</t>
        </is>
      </c>
      <c r="B631" s="3" t="inlineStr">
        <is>
          <t>001940</t>
        </is>
      </c>
      <c r="C631" s="3" t="inlineStr">
        <is>
          <t>001238</t>
        </is>
      </c>
      <c r="D631" s="4" t="n">
        <v>45682</v>
      </c>
      <c r="E631" s="2" t="inlineStr">
        <is>
          <t>16:59</t>
        </is>
      </c>
      <c r="F631" s="5">
        <f>C631-C630</f>
        <v/>
      </c>
      <c r="G631" s="5">
        <f>B631-B630</f>
        <v/>
      </c>
      <c r="H631" s="2">
        <f>IF(AND(F631=1,G631=1),"OK","À JUSTIFIER")</f>
        <v/>
      </c>
    </row>
    <row r="632">
      <c r="A632" s="2" t="inlineStr">
        <is>
          <t>EJ010225.TXT</t>
        </is>
      </c>
      <c r="B632" s="3" t="inlineStr">
        <is>
          <t>001941</t>
        </is>
      </c>
      <c r="C632" s="3" t="inlineStr">
        <is>
          <t>001239</t>
        </is>
      </c>
      <c r="D632" s="4" t="n">
        <v>45682</v>
      </c>
      <c r="E632" s="2" t="inlineStr">
        <is>
          <t>17:48</t>
        </is>
      </c>
      <c r="F632" s="5">
        <f>C632-C631</f>
        <v/>
      </c>
      <c r="G632" s="5">
        <f>B632-B631</f>
        <v/>
      </c>
      <c r="H632" s="2">
        <f>IF(AND(F632=1,G632=1),"OK","À JUSTIFIER")</f>
        <v/>
      </c>
    </row>
    <row r="633">
      <c r="A633" s="2" t="inlineStr">
        <is>
          <t>EJ010225.TXT</t>
        </is>
      </c>
      <c r="B633" s="3" t="inlineStr">
        <is>
          <t>001942</t>
        </is>
      </c>
      <c r="C633" s="3" t="inlineStr">
        <is>
          <t>001240</t>
        </is>
      </c>
      <c r="D633" s="4" t="n">
        <v>45684</v>
      </c>
      <c r="E633" s="2" t="inlineStr">
        <is>
          <t>12:13</t>
        </is>
      </c>
      <c r="F633" s="5">
        <f>C633-C632</f>
        <v/>
      </c>
      <c r="G633" s="5">
        <f>B633-B632</f>
        <v/>
      </c>
      <c r="H633" s="2">
        <f>IF(AND(F633=1,G633=1),"OK","À JUSTIFIER")</f>
        <v/>
      </c>
    </row>
    <row r="634">
      <c r="A634" s="2" t="inlineStr">
        <is>
          <t>EJ010225.TXT</t>
        </is>
      </c>
      <c r="B634" s="3" t="inlineStr">
        <is>
          <t>001945</t>
        </is>
      </c>
      <c r="C634" s="3" t="inlineStr">
        <is>
          <t>001241</t>
        </is>
      </c>
      <c r="D634" s="4" t="n">
        <v>45685</v>
      </c>
      <c r="E634" s="2" t="inlineStr">
        <is>
          <t>11:34</t>
        </is>
      </c>
      <c r="F634" s="5">
        <f>C634-C633</f>
        <v/>
      </c>
      <c r="G634" s="5">
        <f>B634-B633</f>
        <v/>
      </c>
      <c r="H634" s="2">
        <f>IF(AND(F634=1,G634=1),"OK","À JUSTIFIER")</f>
        <v/>
      </c>
    </row>
    <row r="635">
      <c r="A635" s="2" t="inlineStr">
        <is>
          <t>EJ010225.TXT</t>
        </is>
      </c>
      <c r="B635" s="3" t="inlineStr">
        <is>
          <t>001946</t>
        </is>
      </c>
      <c r="C635" s="3" t="inlineStr">
        <is>
          <t>001242</t>
        </is>
      </c>
      <c r="D635" s="4" t="n">
        <v>45685</v>
      </c>
      <c r="E635" s="2" t="inlineStr">
        <is>
          <t>15:48</t>
        </is>
      </c>
      <c r="F635" s="5">
        <f>C635-C634</f>
        <v/>
      </c>
      <c r="G635" s="5">
        <f>B635-B634</f>
        <v/>
      </c>
      <c r="H635" s="2">
        <f>IF(AND(F635=1,G635=1),"OK","À JUSTIFIER")</f>
        <v/>
      </c>
    </row>
    <row r="636">
      <c r="A636" s="2" t="inlineStr">
        <is>
          <t>EJ010225.TXT</t>
        </is>
      </c>
      <c r="B636" s="3" t="inlineStr">
        <is>
          <t>001950</t>
        </is>
      </c>
      <c r="C636" s="3" t="inlineStr">
        <is>
          <t>001243</t>
        </is>
      </c>
      <c r="D636" s="4" t="n">
        <v>45686</v>
      </c>
      <c r="E636" s="2" t="inlineStr">
        <is>
          <t>16:28</t>
        </is>
      </c>
      <c r="F636" s="5">
        <f>C636-C635</f>
        <v/>
      </c>
      <c r="G636" s="5">
        <f>B636-B635</f>
        <v/>
      </c>
      <c r="H636" s="2">
        <f>IF(AND(F636=1,G636=1),"OK","À JUSTIFIER")</f>
        <v/>
      </c>
    </row>
    <row r="637">
      <c r="A637" s="2" t="inlineStr">
        <is>
          <t>EJ010225.TXT</t>
        </is>
      </c>
      <c r="B637" s="3" t="inlineStr">
        <is>
          <t>001951</t>
        </is>
      </c>
      <c r="C637" s="3" t="inlineStr">
        <is>
          <t>001244</t>
        </is>
      </c>
      <c r="D637" s="4" t="n">
        <v>45689</v>
      </c>
      <c r="E637" s="2" t="inlineStr">
        <is>
          <t>15:51</t>
        </is>
      </c>
      <c r="F637" s="5">
        <f>C637-C636</f>
        <v/>
      </c>
      <c r="G637" s="5">
        <f>B637-B636</f>
        <v/>
      </c>
      <c r="H637" s="2">
        <f>IF(AND(F637=1,G637=1),"OK","À JUSTIFIER")</f>
        <v/>
      </c>
    </row>
    <row r="638">
      <c r="A638" s="2" t="inlineStr">
        <is>
          <t>EJ010325.TXT</t>
        </is>
      </c>
      <c r="B638" s="3" t="inlineStr">
        <is>
          <t>001960</t>
        </is>
      </c>
      <c r="C638" s="3" t="inlineStr">
        <is>
          <t>001245</t>
        </is>
      </c>
      <c r="D638" s="4" t="n">
        <v>45695</v>
      </c>
      <c r="E638" s="2" t="inlineStr">
        <is>
          <t>15:24</t>
        </is>
      </c>
      <c r="F638" s="5">
        <f>C638-C637</f>
        <v/>
      </c>
      <c r="G638" s="5">
        <f>B638-B637</f>
        <v/>
      </c>
      <c r="H638" s="2">
        <f>IF(AND(F638=1,G638=1),"OK","À JUSTIFIER")</f>
        <v/>
      </c>
    </row>
    <row r="639">
      <c r="A639" s="2" t="inlineStr">
        <is>
          <t>EJ010325.TXT</t>
        </is>
      </c>
      <c r="B639" s="3" t="inlineStr">
        <is>
          <t>001962</t>
        </is>
      </c>
      <c r="C639" s="3" t="inlineStr">
        <is>
          <t>001246</t>
        </is>
      </c>
      <c r="D639" s="4" t="n">
        <v>45696</v>
      </c>
      <c r="E639" s="2" t="inlineStr">
        <is>
          <t>16:55</t>
        </is>
      </c>
      <c r="F639" s="5">
        <f>C639-C638</f>
        <v/>
      </c>
      <c r="G639" s="5">
        <f>B639-B638</f>
        <v/>
      </c>
      <c r="H639" s="2">
        <f>IF(AND(F639=1,G639=1),"OK","À JUSTIFIER")</f>
        <v/>
      </c>
    </row>
    <row r="640">
      <c r="A640" s="2" t="inlineStr">
        <is>
          <t>EJ010325.TXT</t>
        </is>
      </c>
      <c r="B640" s="3" t="inlineStr">
        <is>
          <t>001963</t>
        </is>
      </c>
      <c r="C640" s="3" t="inlineStr">
        <is>
          <t>001247</t>
        </is>
      </c>
      <c r="D640" s="4" t="n">
        <v>45698</v>
      </c>
      <c r="E640" s="2" t="inlineStr">
        <is>
          <t>11:23</t>
        </is>
      </c>
      <c r="F640" s="5">
        <f>C640-C639</f>
        <v/>
      </c>
      <c r="G640" s="5">
        <f>B640-B639</f>
        <v/>
      </c>
      <c r="H640" s="2">
        <f>IF(AND(F640=1,G640=1),"OK","À JUSTIFIER")</f>
        <v/>
      </c>
    </row>
    <row r="641">
      <c r="A641" s="2" t="inlineStr">
        <is>
          <t>EJ010325.TXT</t>
        </is>
      </c>
      <c r="B641" s="3" t="inlineStr">
        <is>
          <t>001964</t>
        </is>
      </c>
      <c r="C641" s="3" t="inlineStr">
        <is>
          <t>001248</t>
        </is>
      </c>
      <c r="D641" s="4" t="n">
        <v>45698</v>
      </c>
      <c r="E641" s="2" t="inlineStr">
        <is>
          <t>13:35</t>
        </is>
      </c>
      <c r="F641" s="5">
        <f>C641-C640</f>
        <v/>
      </c>
      <c r="G641" s="5">
        <f>B641-B640</f>
        <v/>
      </c>
      <c r="H641" s="2">
        <f>IF(AND(F641=1,G641=1),"OK","À JUSTIFIER")</f>
        <v/>
      </c>
    </row>
    <row r="642">
      <c r="A642" s="2" t="inlineStr">
        <is>
          <t>EJ010325.TXT</t>
        </is>
      </c>
      <c r="B642" s="3" t="inlineStr">
        <is>
          <t>001965</t>
        </is>
      </c>
      <c r="C642" s="3" t="inlineStr">
        <is>
          <t>001249</t>
        </is>
      </c>
      <c r="D642" s="4" t="n">
        <v>45699</v>
      </c>
      <c r="E642" s="2" t="inlineStr">
        <is>
          <t>16:48</t>
        </is>
      </c>
      <c r="F642" s="5">
        <f>C642-C641</f>
        <v/>
      </c>
      <c r="G642" s="5">
        <f>B642-B641</f>
        <v/>
      </c>
      <c r="H642" s="2">
        <f>IF(AND(F642=1,G642=1),"OK","À JUSTIFIER")</f>
        <v/>
      </c>
    </row>
    <row r="643">
      <c r="A643" s="2" t="inlineStr">
        <is>
          <t>EJ010325.TXT</t>
        </is>
      </c>
      <c r="B643" s="3" t="inlineStr">
        <is>
          <t>001968</t>
        </is>
      </c>
      <c r="C643" s="3" t="inlineStr">
        <is>
          <t>001250</t>
        </is>
      </c>
      <c r="D643" s="4" t="n">
        <v>45701</v>
      </c>
      <c r="E643" s="2" t="inlineStr">
        <is>
          <t>11:18</t>
        </is>
      </c>
      <c r="F643" s="5">
        <f>C643-C642</f>
        <v/>
      </c>
      <c r="G643" s="5">
        <f>B643-B642</f>
        <v/>
      </c>
      <c r="H643" s="2">
        <f>IF(AND(F643=1,G643=1),"OK","À JUSTIFIER")</f>
        <v/>
      </c>
    </row>
    <row r="644">
      <c r="A644" s="2" t="inlineStr">
        <is>
          <t>EJ010325.TXT</t>
        </is>
      </c>
      <c r="B644" s="3" t="inlineStr">
        <is>
          <t>001969</t>
        </is>
      </c>
      <c r="C644" s="3" t="inlineStr">
        <is>
          <t>001251</t>
        </is>
      </c>
      <c r="D644" s="4" t="n">
        <v>45703</v>
      </c>
      <c r="E644" s="2" t="inlineStr">
        <is>
          <t>14:16</t>
        </is>
      </c>
      <c r="F644" s="5">
        <f>C644-C643</f>
        <v/>
      </c>
      <c r="G644" s="5">
        <f>B644-B643</f>
        <v/>
      </c>
      <c r="H644" s="2">
        <f>IF(AND(F644=1,G644=1),"OK","À JUSTIFIER")</f>
        <v/>
      </c>
    </row>
    <row r="645">
      <c r="A645" s="2" t="inlineStr">
        <is>
          <t>EJ010325.TXT</t>
        </is>
      </c>
      <c r="B645" s="3" t="inlineStr">
        <is>
          <t>001971</t>
        </is>
      </c>
      <c r="C645" s="3" t="inlineStr">
        <is>
          <t>001252</t>
        </is>
      </c>
      <c r="D645" s="4" t="n">
        <v>45703</v>
      </c>
      <c r="E645" s="2" t="inlineStr">
        <is>
          <t>17:35</t>
        </is>
      </c>
      <c r="F645" s="5">
        <f>C645-C644</f>
        <v/>
      </c>
      <c r="G645" s="5">
        <f>B645-B644</f>
        <v/>
      </c>
      <c r="H645" s="2">
        <f>IF(AND(F645=1,G645=1),"OK","À JUSTIFIER")</f>
        <v/>
      </c>
    </row>
    <row r="646">
      <c r="A646" s="2" t="inlineStr">
        <is>
          <t>EJ010325.TXT</t>
        </is>
      </c>
      <c r="B646" s="3" t="inlineStr">
        <is>
          <t>001973</t>
        </is>
      </c>
      <c r="C646" s="3" t="inlineStr">
        <is>
          <t>001253</t>
        </is>
      </c>
      <c r="D646" s="4" t="n">
        <v>45705</v>
      </c>
      <c r="E646" s="2" t="inlineStr">
        <is>
          <t>13:42</t>
        </is>
      </c>
      <c r="F646" s="5">
        <f>C646-C645</f>
        <v/>
      </c>
      <c r="G646" s="5">
        <f>B646-B645</f>
        <v/>
      </c>
      <c r="H646" s="2">
        <f>IF(AND(F646=1,G646=1),"OK","À JUSTIFIER")</f>
        <v/>
      </c>
    </row>
    <row r="647">
      <c r="A647" s="2" t="inlineStr">
        <is>
          <t>EJ010325.TXT</t>
        </is>
      </c>
      <c r="B647" s="3" t="inlineStr">
        <is>
          <t>001974</t>
        </is>
      </c>
      <c r="C647" s="3" t="inlineStr">
        <is>
          <t>001254</t>
        </is>
      </c>
      <c r="D647" s="4" t="n">
        <v>45707</v>
      </c>
      <c r="E647" s="2" t="inlineStr">
        <is>
          <t>13:56</t>
        </is>
      </c>
      <c r="F647" s="5">
        <f>C647-C646</f>
        <v/>
      </c>
      <c r="G647" s="5">
        <f>B647-B646</f>
        <v/>
      </c>
      <c r="H647" s="2">
        <f>IF(AND(F647=1,G647=1),"OK","À JUSTIFIER")</f>
        <v/>
      </c>
    </row>
    <row r="648">
      <c r="A648" s="2" t="inlineStr">
        <is>
          <t>EJ010325.TXT</t>
        </is>
      </c>
      <c r="B648" s="3" t="inlineStr">
        <is>
          <t>001975</t>
        </is>
      </c>
      <c r="C648" s="3" t="inlineStr">
        <is>
          <t>001255</t>
        </is>
      </c>
      <c r="D648" s="4" t="n">
        <v>45710</v>
      </c>
      <c r="E648" s="2" t="inlineStr">
        <is>
          <t>17:57</t>
        </is>
      </c>
      <c r="F648" s="5">
        <f>C648-C647</f>
        <v/>
      </c>
      <c r="G648" s="5">
        <f>B648-B647</f>
        <v/>
      </c>
      <c r="H648" s="2">
        <f>IF(AND(F648=1,G648=1),"OK","À JUSTIFIER")</f>
        <v/>
      </c>
    </row>
    <row r="649">
      <c r="A649" s="2" t="inlineStr">
        <is>
          <t>EJ010325.TXT</t>
        </is>
      </c>
      <c r="B649" s="3" t="inlineStr">
        <is>
          <t>001976</t>
        </is>
      </c>
      <c r="C649" s="3" t="inlineStr">
        <is>
          <t>001256</t>
        </is>
      </c>
      <c r="D649" s="4" t="n">
        <v>45714</v>
      </c>
      <c r="E649" s="2" t="inlineStr">
        <is>
          <t>16:49</t>
        </is>
      </c>
      <c r="F649" s="5">
        <f>C649-C648</f>
        <v/>
      </c>
      <c r="G649" s="5">
        <f>B649-B648</f>
        <v/>
      </c>
      <c r="H649" s="2">
        <f>IF(AND(F649=1,G649=1),"OK","À JUSTIFIER")</f>
        <v/>
      </c>
    </row>
    <row r="650">
      <c r="A650" s="2" t="inlineStr">
        <is>
          <t>EJ010325.TXT</t>
        </is>
      </c>
      <c r="B650" s="3" t="inlineStr">
        <is>
          <t>001979</t>
        </is>
      </c>
      <c r="C650" s="3" t="inlineStr">
        <is>
          <t>001257</t>
        </is>
      </c>
      <c r="D650" s="4" t="n">
        <v>45716</v>
      </c>
      <c r="E650" s="2" t="inlineStr">
        <is>
          <t>14:59</t>
        </is>
      </c>
      <c r="F650" s="5">
        <f>C650-C649</f>
        <v/>
      </c>
      <c r="G650" s="5">
        <f>B650-B649</f>
        <v/>
      </c>
      <c r="H650" s="2">
        <f>IF(AND(F650=1,G650=1),"OK","À JUSTIFIER")</f>
        <v/>
      </c>
    </row>
    <row r="651">
      <c r="A651" s="2" t="inlineStr">
        <is>
          <t>EJ010425.TXT</t>
        </is>
      </c>
      <c r="B651" s="3" t="inlineStr">
        <is>
          <t>001991</t>
        </is>
      </c>
      <c r="C651" s="3" t="inlineStr">
        <is>
          <t>001258</t>
        </is>
      </c>
      <c r="D651" s="4" t="n">
        <v>45723</v>
      </c>
      <c r="E651" s="2" t="inlineStr">
        <is>
          <t>15:21</t>
        </is>
      </c>
      <c r="F651" s="5">
        <f>C651-C650</f>
        <v/>
      </c>
      <c r="G651" s="5">
        <f>B651-B650</f>
        <v/>
      </c>
      <c r="H651" s="2">
        <f>IF(AND(F651=1,G651=1),"OK","À JUSTIFIER")</f>
        <v/>
      </c>
    </row>
    <row r="652">
      <c r="A652" s="2" t="inlineStr">
        <is>
          <t>EJ010425.TXT</t>
        </is>
      </c>
      <c r="B652" s="3" t="inlineStr">
        <is>
          <t>001992</t>
        </is>
      </c>
      <c r="C652" s="3" t="inlineStr">
        <is>
          <t>001259</t>
        </is>
      </c>
      <c r="D652" s="4" t="n">
        <v>45728</v>
      </c>
      <c r="E652" s="2" t="inlineStr">
        <is>
          <t>15:03</t>
        </is>
      </c>
      <c r="F652" s="5">
        <f>C652-C651</f>
        <v/>
      </c>
      <c r="G652" s="5">
        <f>B652-B651</f>
        <v/>
      </c>
      <c r="H652" s="2">
        <f>IF(AND(F652=1,G652=1),"OK","À JUSTIFIER")</f>
        <v/>
      </c>
    </row>
    <row r="653">
      <c r="A653" s="2" t="inlineStr">
        <is>
          <t>EJ010425.TXT</t>
        </is>
      </c>
      <c r="B653" s="3" t="inlineStr">
        <is>
          <t>001993</t>
        </is>
      </c>
      <c r="C653" s="3" t="inlineStr">
        <is>
          <t>001260</t>
        </is>
      </c>
      <c r="D653" s="4" t="n">
        <v>45729</v>
      </c>
      <c r="E653" s="2" t="inlineStr">
        <is>
          <t>12:01</t>
        </is>
      </c>
      <c r="F653" s="5">
        <f>C653-C652</f>
        <v/>
      </c>
      <c r="G653" s="5">
        <f>B653-B652</f>
        <v/>
      </c>
      <c r="H653" s="2">
        <f>IF(AND(F653=1,G653=1),"OK","À JUSTIFIER")</f>
        <v/>
      </c>
    </row>
    <row r="654">
      <c r="A654" s="2" t="inlineStr">
        <is>
          <t>EJ010425.TXT</t>
        </is>
      </c>
      <c r="B654" s="3" t="inlineStr">
        <is>
          <t>001994</t>
        </is>
      </c>
      <c r="C654" s="3" t="inlineStr">
        <is>
          <t>001261</t>
        </is>
      </c>
      <c r="D654" s="4" t="n">
        <v>45729</v>
      </c>
      <c r="E654" s="2" t="inlineStr">
        <is>
          <t>14:51</t>
        </is>
      </c>
      <c r="F654" s="5">
        <f>C654-C653</f>
        <v/>
      </c>
      <c r="G654" s="5">
        <f>B654-B653</f>
        <v/>
      </c>
      <c r="H654" s="2">
        <f>IF(AND(F654=1,G654=1),"OK","À JUSTIFIER")</f>
        <v/>
      </c>
    </row>
    <row r="655">
      <c r="A655" s="2" t="inlineStr">
        <is>
          <t>EJ010425.TXT</t>
        </is>
      </c>
      <c r="B655" s="3" t="inlineStr">
        <is>
          <t>001995</t>
        </is>
      </c>
      <c r="C655" s="3" t="inlineStr">
        <is>
          <t>001262</t>
        </is>
      </c>
      <c r="D655" s="4" t="n">
        <v>45730</v>
      </c>
      <c r="E655" s="2" t="inlineStr">
        <is>
          <t>16:44</t>
        </is>
      </c>
      <c r="F655" s="5">
        <f>C655-C654</f>
        <v/>
      </c>
      <c r="G655" s="5">
        <f>B655-B654</f>
        <v/>
      </c>
      <c r="H655" s="2">
        <f>IF(AND(F655=1,G655=1),"OK","À JUSTIFIER")</f>
        <v/>
      </c>
    </row>
    <row r="656">
      <c r="A656" s="2" t="inlineStr">
        <is>
          <t>EJ010425.TXT</t>
        </is>
      </c>
      <c r="B656" s="3" t="inlineStr">
        <is>
          <t>001997</t>
        </is>
      </c>
      <c r="C656" s="3" t="inlineStr">
        <is>
          <t>001263</t>
        </is>
      </c>
      <c r="D656" s="4" t="n">
        <v>45731</v>
      </c>
      <c r="E656" s="2" t="inlineStr">
        <is>
          <t>17:33</t>
        </is>
      </c>
      <c r="F656" s="5">
        <f>C656-C655</f>
        <v/>
      </c>
      <c r="G656" s="5">
        <f>B656-B655</f>
        <v/>
      </c>
      <c r="H656" s="2">
        <f>IF(AND(F656=1,G656=1),"OK","À JUSTIFIER")</f>
        <v/>
      </c>
    </row>
    <row r="657">
      <c r="A657" s="2" t="inlineStr">
        <is>
          <t>EJ010425.TXT</t>
        </is>
      </c>
      <c r="B657" s="3" t="inlineStr">
        <is>
          <t>001998</t>
        </is>
      </c>
      <c r="C657" s="3" t="inlineStr">
        <is>
          <t>001264</t>
        </is>
      </c>
      <c r="D657" s="4" t="n">
        <v>45731</v>
      </c>
      <c r="E657" s="2" t="inlineStr">
        <is>
          <t>17:39</t>
        </is>
      </c>
      <c r="F657" s="5">
        <f>C657-C656</f>
        <v/>
      </c>
      <c r="G657" s="5">
        <f>B657-B656</f>
        <v/>
      </c>
      <c r="H657" s="2">
        <f>IF(AND(F657=1,G657=1),"OK","À JUSTIFIER")</f>
        <v/>
      </c>
    </row>
    <row r="658">
      <c r="A658" s="2" t="inlineStr">
        <is>
          <t>EJ010425.TXT</t>
        </is>
      </c>
      <c r="B658" s="3" t="inlineStr">
        <is>
          <t>001999</t>
        </is>
      </c>
      <c r="C658" s="3" t="inlineStr">
        <is>
          <t>001265</t>
        </is>
      </c>
      <c r="D658" s="4" t="n">
        <v>45731</v>
      </c>
      <c r="E658" s="2" t="inlineStr">
        <is>
          <t>17:58</t>
        </is>
      </c>
      <c r="F658" s="5">
        <f>C658-C657</f>
        <v/>
      </c>
      <c r="G658" s="5">
        <f>B658-B657</f>
        <v/>
      </c>
      <c r="H658" s="2">
        <f>IF(AND(F658=1,G658=1),"OK","À JUSTIFIER")</f>
        <v/>
      </c>
    </row>
    <row r="659">
      <c r="A659" s="2" t="inlineStr">
        <is>
          <t>EJ010425.TXT</t>
        </is>
      </c>
      <c r="B659" s="3" t="inlineStr">
        <is>
          <t>002000</t>
        </is>
      </c>
      <c r="C659" s="3" t="inlineStr">
        <is>
          <t>001266</t>
        </is>
      </c>
      <c r="D659" s="4" t="n">
        <v>45736</v>
      </c>
      <c r="E659" s="2" t="inlineStr">
        <is>
          <t>16:21</t>
        </is>
      </c>
      <c r="F659" s="5">
        <f>C659-C658</f>
        <v/>
      </c>
      <c r="G659" s="5">
        <f>B659-B658</f>
        <v/>
      </c>
      <c r="H659" s="2">
        <f>IF(AND(F659=1,G659=1),"OK","À JUSTIFIER")</f>
        <v/>
      </c>
    </row>
    <row r="660">
      <c r="A660" s="2" t="inlineStr">
        <is>
          <t>EJ010425.TXT</t>
        </is>
      </c>
      <c r="B660" s="3" t="inlineStr">
        <is>
          <t>002001</t>
        </is>
      </c>
      <c r="C660" s="3" t="inlineStr">
        <is>
          <t>001267</t>
        </is>
      </c>
      <c r="D660" s="4" t="n">
        <v>45737</v>
      </c>
      <c r="E660" s="2" t="inlineStr">
        <is>
          <t>11:01</t>
        </is>
      </c>
      <c r="F660" s="5">
        <f>C660-C659</f>
        <v/>
      </c>
      <c r="G660" s="5">
        <f>B660-B659</f>
        <v/>
      </c>
      <c r="H660" s="2">
        <f>IF(AND(F660=1,G660=1),"OK","À JUSTIFIER")</f>
        <v/>
      </c>
    </row>
    <row r="661">
      <c r="A661" s="2" t="inlineStr">
        <is>
          <t>EJ010425.TXT</t>
        </is>
      </c>
      <c r="B661" s="3" t="inlineStr">
        <is>
          <t>002002</t>
        </is>
      </c>
      <c r="C661" s="3" t="inlineStr">
        <is>
          <t>001268</t>
        </is>
      </c>
      <c r="D661" s="4" t="n">
        <v>45738</v>
      </c>
      <c r="E661" s="2" t="inlineStr">
        <is>
          <t>13:59</t>
        </is>
      </c>
      <c r="F661" s="5">
        <f>C661-C660</f>
        <v/>
      </c>
      <c r="G661" s="5">
        <f>B661-B660</f>
        <v/>
      </c>
      <c r="H661" s="2">
        <f>IF(AND(F661=1,G661=1),"OK","À JUSTIFIER")</f>
        <v/>
      </c>
    </row>
    <row r="662">
      <c r="A662" s="2" t="inlineStr">
        <is>
          <t>EJ010425.TXT</t>
        </is>
      </c>
      <c r="B662" s="3" t="inlineStr">
        <is>
          <t>002003</t>
        </is>
      </c>
      <c r="C662" s="3" t="inlineStr">
        <is>
          <t>001269</t>
        </is>
      </c>
      <c r="D662" s="4" t="n">
        <v>45743</v>
      </c>
      <c r="E662" s="2" t="inlineStr">
        <is>
          <t>12:55</t>
        </is>
      </c>
      <c r="F662" s="5">
        <f>C662-C661</f>
        <v/>
      </c>
      <c r="G662" s="5">
        <f>B662-B661</f>
        <v/>
      </c>
      <c r="H662" s="2">
        <f>IF(AND(F662=1,G662=1),"OK","À JUSTIFIER")</f>
        <v/>
      </c>
    </row>
    <row r="663">
      <c r="A663" s="2" t="inlineStr">
        <is>
          <t>EJ020525.TXT</t>
        </is>
      </c>
      <c r="B663" s="3" t="inlineStr">
        <is>
          <t>002007</t>
        </is>
      </c>
      <c r="C663" s="3" t="inlineStr">
        <is>
          <t>001270</t>
        </is>
      </c>
      <c r="D663" s="4" t="n">
        <v>45748</v>
      </c>
      <c r="E663" s="2" t="inlineStr">
        <is>
          <t>17:04</t>
        </is>
      </c>
      <c r="F663" s="5">
        <f>C663-C662</f>
        <v/>
      </c>
      <c r="G663" s="5">
        <f>B663-B662</f>
        <v/>
      </c>
      <c r="H663" s="2">
        <f>IF(AND(F663=1,G663=1),"OK","À JUSTIFIER")</f>
        <v/>
      </c>
    </row>
    <row r="664">
      <c r="A664" s="2" t="inlineStr">
        <is>
          <t>EJ020525.TXT</t>
        </is>
      </c>
      <c r="B664" s="3" t="inlineStr">
        <is>
          <t>002012</t>
        </is>
      </c>
      <c r="C664" s="3" t="inlineStr">
        <is>
          <t>001271</t>
        </is>
      </c>
      <c r="D664" s="4" t="n">
        <v>45749</v>
      </c>
      <c r="E664" s="2" t="inlineStr">
        <is>
          <t>14:28</t>
        </is>
      </c>
      <c r="F664" s="5">
        <f>C664-C663</f>
        <v/>
      </c>
      <c r="G664" s="5">
        <f>B664-B663</f>
        <v/>
      </c>
      <c r="H664" s="2">
        <f>IF(AND(F664=1,G664=1),"OK","À JUSTIFIER")</f>
        <v/>
      </c>
    </row>
    <row r="665">
      <c r="A665" s="2" t="inlineStr">
        <is>
          <t>EJ020525.TXT</t>
        </is>
      </c>
      <c r="B665" s="3" t="inlineStr">
        <is>
          <t>002014</t>
        </is>
      </c>
      <c r="C665" s="3" t="inlineStr">
        <is>
          <t>001272</t>
        </is>
      </c>
      <c r="D665" s="4" t="n">
        <v>45751</v>
      </c>
      <c r="E665" s="2" t="inlineStr">
        <is>
          <t>10:29</t>
        </is>
      </c>
      <c r="F665" s="5">
        <f>C665-C664</f>
        <v/>
      </c>
      <c r="G665" s="5">
        <f>B665-B664</f>
        <v/>
      </c>
      <c r="H665" s="2">
        <f>IF(AND(F665=1,G665=1),"OK","À JUSTIFIER")</f>
        <v/>
      </c>
    </row>
    <row r="666">
      <c r="A666" s="2" t="inlineStr">
        <is>
          <t>EJ020525.TXT</t>
        </is>
      </c>
      <c r="B666" s="3" t="inlineStr">
        <is>
          <t>002017</t>
        </is>
      </c>
      <c r="C666" s="3" t="inlineStr">
        <is>
          <t>001273</t>
        </is>
      </c>
      <c r="D666" s="4" t="n">
        <v>45755</v>
      </c>
      <c r="E666" s="2" t="inlineStr">
        <is>
          <t>13:37</t>
        </is>
      </c>
      <c r="F666" s="5">
        <f>C666-C665</f>
        <v/>
      </c>
      <c r="G666" s="5">
        <f>B666-B665</f>
        <v/>
      </c>
      <c r="H666" s="2">
        <f>IF(AND(F666=1,G666=1),"OK","À JUSTIFIER")</f>
        <v/>
      </c>
    </row>
    <row r="667">
      <c r="A667" s="2" t="inlineStr">
        <is>
          <t>EJ020525.TXT</t>
        </is>
      </c>
      <c r="B667" s="3" t="inlineStr">
        <is>
          <t>002018</t>
        </is>
      </c>
      <c r="C667" s="3" t="inlineStr">
        <is>
          <t>001274</t>
        </is>
      </c>
      <c r="D667" s="4" t="n">
        <v>45756</v>
      </c>
      <c r="E667" s="2" t="inlineStr">
        <is>
          <t>12:38</t>
        </is>
      </c>
      <c r="F667" s="5">
        <f>C667-C666</f>
        <v/>
      </c>
      <c r="G667" s="5">
        <f>B667-B666</f>
        <v/>
      </c>
      <c r="H667" s="2">
        <f>IF(AND(F667=1,G667=1),"OK","À JUSTIFIER")</f>
        <v/>
      </c>
    </row>
    <row r="668">
      <c r="A668" s="2" t="inlineStr">
        <is>
          <t>EJ020525.TXT</t>
        </is>
      </c>
      <c r="B668" s="3" t="inlineStr">
        <is>
          <t>002019</t>
        </is>
      </c>
      <c r="C668" s="3" t="inlineStr">
        <is>
          <t>001275</t>
        </is>
      </c>
      <c r="D668" s="4" t="n">
        <v>45757</v>
      </c>
      <c r="E668" s="2" t="inlineStr">
        <is>
          <t>12:01</t>
        </is>
      </c>
      <c r="F668" s="5">
        <f>C668-C667</f>
        <v/>
      </c>
      <c r="G668" s="5">
        <f>B668-B667</f>
        <v/>
      </c>
      <c r="H668" s="2">
        <f>IF(AND(F668=1,G668=1),"OK","À JUSTIFIER")</f>
        <v/>
      </c>
    </row>
    <row r="669">
      <c r="A669" s="2" t="inlineStr">
        <is>
          <t>EJ020525.TXT</t>
        </is>
      </c>
      <c r="B669" s="3" t="inlineStr">
        <is>
          <t>002021</t>
        </is>
      </c>
      <c r="C669" s="3" t="inlineStr">
        <is>
          <t>001276</t>
        </is>
      </c>
      <c r="D669" s="4" t="n">
        <v>45757</v>
      </c>
      <c r="E669" s="2" t="inlineStr">
        <is>
          <t>15:43</t>
        </is>
      </c>
      <c r="F669" s="5">
        <f>C669-C668</f>
        <v/>
      </c>
      <c r="G669" s="5">
        <f>B669-B668</f>
        <v/>
      </c>
      <c r="H669" s="2">
        <f>IF(AND(F669=1,G669=1),"OK","À JUSTIFIER")</f>
        <v/>
      </c>
    </row>
    <row r="670">
      <c r="A670" s="2" t="inlineStr">
        <is>
          <t>EJ020525.TXT</t>
        </is>
      </c>
      <c r="B670" s="3" t="inlineStr">
        <is>
          <t>002022</t>
        </is>
      </c>
      <c r="C670" s="3" t="inlineStr">
        <is>
          <t>001277</t>
        </is>
      </c>
      <c r="D670" s="4" t="n">
        <v>45758</v>
      </c>
      <c r="E670" s="2" t="inlineStr">
        <is>
          <t>13:52</t>
        </is>
      </c>
      <c r="F670" s="5">
        <f>C670-C669</f>
        <v/>
      </c>
      <c r="G670" s="5">
        <f>B670-B669</f>
        <v/>
      </c>
      <c r="H670" s="2">
        <f>IF(AND(F670=1,G670=1),"OK","À JUSTIFIER")</f>
        <v/>
      </c>
    </row>
    <row r="671">
      <c r="A671" s="2" t="inlineStr">
        <is>
          <t>EJ020525.TXT</t>
        </is>
      </c>
      <c r="B671" s="3" t="inlineStr">
        <is>
          <t>002023</t>
        </is>
      </c>
      <c r="C671" s="3" t="inlineStr">
        <is>
          <t>001278</t>
        </is>
      </c>
      <c r="D671" s="4" t="n">
        <v>45761</v>
      </c>
      <c r="E671" s="2" t="inlineStr">
        <is>
          <t>09:40</t>
        </is>
      </c>
      <c r="F671" s="5">
        <f>C671-C670</f>
        <v/>
      </c>
      <c r="G671" s="5">
        <f>B671-B670</f>
        <v/>
      </c>
      <c r="H671" s="2">
        <f>IF(AND(F671=1,G671=1),"OK","À JUSTIFIER")</f>
        <v/>
      </c>
    </row>
    <row r="672">
      <c r="A672" s="2" t="inlineStr">
        <is>
          <t>EJ020525.TXT</t>
        </is>
      </c>
      <c r="B672" s="3" t="inlineStr">
        <is>
          <t>002024</t>
        </is>
      </c>
      <c r="C672" s="3" t="inlineStr">
        <is>
          <t>001279</t>
        </is>
      </c>
      <c r="D672" s="4" t="n">
        <v>45761</v>
      </c>
      <c r="E672" s="2" t="inlineStr">
        <is>
          <t>16:51</t>
        </is>
      </c>
      <c r="F672" s="5">
        <f>C672-C671</f>
        <v/>
      </c>
      <c r="G672" s="5">
        <f>B672-B671</f>
        <v/>
      </c>
      <c r="H672" s="2">
        <f>IF(AND(F672=1,G672=1),"OK","À JUSTIFIER")</f>
        <v/>
      </c>
    </row>
    <row r="673">
      <c r="A673" s="2" t="inlineStr">
        <is>
          <t>EJ020525.TXT</t>
        </is>
      </c>
      <c r="B673" s="3" t="inlineStr">
        <is>
          <t>002025</t>
        </is>
      </c>
      <c r="C673" s="3" t="inlineStr">
        <is>
          <t>001280</t>
        </is>
      </c>
      <c r="D673" s="4" t="n">
        <v>45762</v>
      </c>
      <c r="E673" s="2" t="inlineStr">
        <is>
          <t>11:52</t>
        </is>
      </c>
      <c r="F673" s="5">
        <f>C673-C672</f>
        <v/>
      </c>
      <c r="G673" s="5">
        <f>B673-B672</f>
        <v/>
      </c>
      <c r="H673" s="2">
        <f>IF(AND(F673=1,G673=1),"OK","À JUSTIFIER")</f>
        <v/>
      </c>
    </row>
    <row r="674">
      <c r="A674" s="2" t="inlineStr">
        <is>
          <t>EJ020525.TXT</t>
        </is>
      </c>
      <c r="B674" s="3" t="inlineStr">
        <is>
          <t>002028</t>
        </is>
      </c>
      <c r="C674" s="3" t="inlineStr">
        <is>
          <t>001281</t>
        </is>
      </c>
      <c r="D674" s="4" t="n">
        <v>45763</v>
      </c>
      <c r="E674" s="2" t="inlineStr">
        <is>
          <t>09:19</t>
        </is>
      </c>
      <c r="F674" s="5">
        <f>C674-C673</f>
        <v/>
      </c>
      <c r="G674" s="5">
        <f>B674-B673</f>
        <v/>
      </c>
      <c r="H674" s="2">
        <f>IF(AND(F674=1,G674=1),"OK","À JUSTIFIER")</f>
        <v/>
      </c>
    </row>
    <row r="675">
      <c r="A675" s="2" t="inlineStr">
        <is>
          <t>EJ020525.TXT</t>
        </is>
      </c>
      <c r="B675" s="3" t="inlineStr">
        <is>
          <t>002029</t>
        </is>
      </c>
      <c r="C675" s="3" t="inlineStr">
        <is>
          <t>001282</t>
        </is>
      </c>
      <c r="D675" s="4" t="n">
        <v>45764</v>
      </c>
      <c r="E675" s="2" t="inlineStr">
        <is>
          <t>11:57</t>
        </is>
      </c>
      <c r="F675" s="5">
        <f>C675-C674</f>
        <v/>
      </c>
      <c r="G675" s="5">
        <f>B675-B674</f>
        <v/>
      </c>
      <c r="H675" s="2">
        <f>IF(AND(F675=1,G675=1),"OK","À JUSTIFIER")</f>
        <v/>
      </c>
    </row>
    <row r="676">
      <c r="A676" s="2" t="inlineStr">
        <is>
          <t>EJ020525.TXT</t>
        </is>
      </c>
      <c r="B676" s="3" t="inlineStr">
        <is>
          <t>002031</t>
        </is>
      </c>
      <c r="C676" s="3" t="inlineStr">
        <is>
          <t>001283</t>
        </is>
      </c>
      <c r="D676" s="4" t="n">
        <v>45766</v>
      </c>
      <c r="E676" s="2" t="inlineStr">
        <is>
          <t>13:51</t>
        </is>
      </c>
      <c r="F676" s="5">
        <f>C676-C675</f>
        <v/>
      </c>
      <c r="G676" s="5">
        <f>B676-B675</f>
        <v/>
      </c>
      <c r="H676" s="2">
        <f>IF(AND(F676=1,G676=1),"OK","À JUSTIFIER")</f>
        <v/>
      </c>
    </row>
    <row r="677">
      <c r="A677" s="2" t="inlineStr">
        <is>
          <t>EJ020525.TXT</t>
        </is>
      </c>
      <c r="B677" s="3" t="inlineStr">
        <is>
          <t>002032</t>
        </is>
      </c>
      <c r="C677" s="3" t="inlineStr">
        <is>
          <t>001284</t>
        </is>
      </c>
      <c r="D677" s="4" t="n">
        <v>45769</v>
      </c>
      <c r="E677" s="2" t="inlineStr">
        <is>
          <t>09:22</t>
        </is>
      </c>
      <c r="F677" s="5">
        <f>C677-C676</f>
        <v/>
      </c>
      <c r="G677" s="5">
        <f>B677-B676</f>
        <v/>
      </c>
      <c r="H677" s="2">
        <f>IF(AND(F677=1,G677=1),"OK","À JUSTIFIER")</f>
        <v/>
      </c>
    </row>
    <row r="678">
      <c r="A678" s="2" t="inlineStr">
        <is>
          <t>EJ020525.TXT</t>
        </is>
      </c>
      <c r="B678" s="3" t="inlineStr">
        <is>
          <t>002036</t>
        </is>
      </c>
      <c r="C678" s="3" t="inlineStr">
        <is>
          <t>001285</t>
        </is>
      </c>
      <c r="D678" s="4" t="n">
        <v>45772</v>
      </c>
      <c r="E678" s="2" t="inlineStr">
        <is>
          <t>16:45</t>
        </is>
      </c>
      <c r="F678" s="5">
        <f>C678-C677</f>
        <v/>
      </c>
      <c r="G678" s="5">
        <f>B678-B677</f>
        <v/>
      </c>
      <c r="H678" s="2">
        <f>IF(AND(F678=1,G678=1),"OK","À JUSTIFIER")</f>
        <v/>
      </c>
    </row>
    <row r="679">
      <c r="A679" s="2" t="inlineStr">
        <is>
          <t>EJ020525.TXT</t>
        </is>
      </c>
      <c r="B679" s="3" t="inlineStr">
        <is>
          <t>002037</t>
        </is>
      </c>
      <c r="C679" s="3" t="inlineStr">
        <is>
          <t>001286</t>
        </is>
      </c>
      <c r="D679" s="4" t="n">
        <v>45773</v>
      </c>
      <c r="E679" s="2" t="inlineStr">
        <is>
          <t>13:11</t>
        </is>
      </c>
      <c r="F679" s="5">
        <f>C679-C678</f>
        <v/>
      </c>
      <c r="G679" s="5">
        <f>B679-B678</f>
        <v/>
      </c>
      <c r="H679" s="2">
        <f>IF(AND(F679=1,G679=1),"OK","À JUSTIFIER")</f>
        <v/>
      </c>
    </row>
    <row r="680">
      <c r="A680" s="2" t="inlineStr">
        <is>
          <t>EJ020525.TXT</t>
        </is>
      </c>
      <c r="B680" s="3" t="inlineStr">
        <is>
          <t>002038</t>
        </is>
      </c>
      <c r="C680" s="3" t="inlineStr">
        <is>
          <t>001287</t>
        </is>
      </c>
      <c r="D680" s="4" t="n">
        <v>45775</v>
      </c>
      <c r="E680" s="2" t="inlineStr">
        <is>
          <t>10:28</t>
        </is>
      </c>
      <c r="F680" s="5">
        <f>C680-C679</f>
        <v/>
      </c>
      <c r="G680" s="5">
        <f>B680-B679</f>
        <v/>
      </c>
      <c r="H680" s="2">
        <f>IF(AND(F680=1,G680=1),"OK","À JUSTIFIER")</f>
        <v/>
      </c>
    </row>
    <row r="681">
      <c r="A681" s="2" t="inlineStr">
        <is>
          <t>EJ020525.TXT</t>
        </is>
      </c>
      <c r="B681" s="3" t="inlineStr">
        <is>
          <t>002039</t>
        </is>
      </c>
      <c r="C681" s="3" t="inlineStr">
        <is>
          <t>001288</t>
        </is>
      </c>
      <c r="D681" s="4" t="n">
        <v>45776</v>
      </c>
      <c r="E681" s="2" t="inlineStr">
        <is>
          <t>16:20</t>
        </is>
      </c>
      <c r="F681" s="5">
        <f>C681-C680</f>
        <v/>
      </c>
      <c r="G681" s="5">
        <f>B681-B680</f>
        <v/>
      </c>
      <c r="H681" s="2">
        <f>IF(AND(F681=1,G681=1),"OK","À JUSTIFIER")</f>
        <v/>
      </c>
    </row>
    <row r="682">
      <c r="A682" s="2" t="inlineStr">
        <is>
          <t>EJ020525.TXT</t>
        </is>
      </c>
      <c r="B682" s="3" t="inlineStr">
        <is>
          <t>002040</t>
        </is>
      </c>
      <c r="C682" s="3" t="inlineStr">
        <is>
          <t>001289</t>
        </is>
      </c>
      <c r="D682" s="4" t="n">
        <v>45777</v>
      </c>
      <c r="E682" s="2" t="inlineStr">
        <is>
          <t>08:48</t>
        </is>
      </c>
      <c r="F682" s="5">
        <f>C682-C681</f>
        <v/>
      </c>
      <c r="G682" s="5">
        <f>B682-B681</f>
        <v/>
      </c>
      <c r="H682" s="2">
        <f>IF(AND(F682=1,G682=1),"OK","À JUSTIFIER")</f>
        <v/>
      </c>
    </row>
    <row r="683">
      <c r="A683" s="2" t="inlineStr">
        <is>
          <t>EJ020625.TXT</t>
        </is>
      </c>
      <c r="B683" s="3" t="inlineStr">
        <is>
          <t>002045</t>
        </is>
      </c>
      <c r="C683" s="3" t="inlineStr">
        <is>
          <t>001290</t>
        </is>
      </c>
      <c r="D683" s="4" t="n">
        <v>45779</v>
      </c>
      <c r="E683" s="2" t="inlineStr">
        <is>
          <t>09:50</t>
        </is>
      </c>
      <c r="F683" s="5">
        <f>C683-C682</f>
        <v/>
      </c>
      <c r="G683" s="5">
        <f>B683-B682</f>
        <v/>
      </c>
      <c r="H683" s="2">
        <f>IF(AND(F683=1,G683=1),"OK","À JUSTIFIER")</f>
        <v/>
      </c>
    </row>
    <row r="684">
      <c r="A684" s="2" t="inlineStr">
        <is>
          <t>EJ020625.TXT</t>
        </is>
      </c>
      <c r="B684" s="3" t="inlineStr">
        <is>
          <t>002047</t>
        </is>
      </c>
      <c r="C684" s="3" t="inlineStr">
        <is>
          <t>001291</t>
        </is>
      </c>
      <c r="D684" s="4" t="n">
        <v>45779</v>
      </c>
      <c r="E684" s="2" t="inlineStr">
        <is>
          <t>16:26</t>
        </is>
      </c>
      <c r="F684" s="5">
        <f>C684-C683</f>
        <v/>
      </c>
      <c r="G684" s="5">
        <f>B684-B683</f>
        <v/>
      </c>
      <c r="H684" s="2">
        <f>IF(AND(F684=1,G684=1),"OK","À JUSTIFIER")</f>
        <v/>
      </c>
    </row>
    <row r="685">
      <c r="A685" s="2" t="inlineStr">
        <is>
          <t>EJ020625.TXT</t>
        </is>
      </c>
      <c r="B685" s="3" t="inlineStr">
        <is>
          <t>002048</t>
        </is>
      </c>
      <c r="C685" s="3" t="inlineStr">
        <is>
          <t>001292</t>
        </is>
      </c>
      <c r="D685" s="4" t="n">
        <v>45782</v>
      </c>
      <c r="E685" s="2" t="inlineStr">
        <is>
          <t>13:29</t>
        </is>
      </c>
      <c r="F685" s="5">
        <f>C685-C684</f>
        <v/>
      </c>
      <c r="G685" s="5">
        <f>B685-B684</f>
        <v/>
      </c>
      <c r="H685" s="2">
        <f>IF(AND(F685=1,G685=1),"OK","À JUSTIFIER")</f>
        <v/>
      </c>
    </row>
    <row r="686">
      <c r="A686" s="2" t="inlineStr">
        <is>
          <t>EJ020625.TXT</t>
        </is>
      </c>
      <c r="B686" s="3" t="inlineStr">
        <is>
          <t>002049</t>
        </is>
      </c>
      <c r="C686" s="3" t="inlineStr">
        <is>
          <t>001293</t>
        </is>
      </c>
      <c r="D686" s="4" t="n">
        <v>45786</v>
      </c>
      <c r="E686" s="2" t="inlineStr">
        <is>
          <t>12:49</t>
        </is>
      </c>
      <c r="F686" s="5">
        <f>C686-C685</f>
        <v/>
      </c>
      <c r="G686" s="5">
        <f>B686-B685</f>
        <v/>
      </c>
      <c r="H686" s="2">
        <f>IF(AND(F686=1,G686=1),"OK","À JUSTIFIER")</f>
        <v/>
      </c>
    </row>
    <row r="687">
      <c r="A687" s="2" t="inlineStr">
        <is>
          <t>EJ020625.TXT</t>
        </is>
      </c>
      <c r="B687" s="3" t="inlineStr">
        <is>
          <t>002057</t>
        </is>
      </c>
      <c r="C687" s="3" t="inlineStr">
        <is>
          <t>001294</t>
        </is>
      </c>
      <c r="D687" s="4" t="n">
        <v>45792</v>
      </c>
      <c r="E687" s="2" t="inlineStr">
        <is>
          <t>16:08</t>
        </is>
      </c>
      <c r="F687" s="5">
        <f>C687-C686</f>
        <v/>
      </c>
      <c r="G687" s="5">
        <f>B687-B686</f>
        <v/>
      </c>
      <c r="H687" s="2">
        <f>IF(AND(F687=1,G687=1),"OK","À JUSTIFIER")</f>
        <v/>
      </c>
    </row>
    <row r="688">
      <c r="A688" s="2" t="inlineStr">
        <is>
          <t>EJ020625.TXT</t>
        </is>
      </c>
      <c r="B688" s="3" t="inlineStr">
        <is>
          <t>002058</t>
        </is>
      </c>
      <c r="C688" s="3" t="inlineStr">
        <is>
          <t>001295</t>
        </is>
      </c>
      <c r="D688" s="4" t="n">
        <v>45792</v>
      </c>
      <c r="E688" s="2" t="inlineStr">
        <is>
          <t>16:08</t>
        </is>
      </c>
      <c r="F688" s="5">
        <f>C688-C687</f>
        <v/>
      </c>
      <c r="G688" s="5">
        <f>B688-B687</f>
        <v/>
      </c>
      <c r="H688" s="2">
        <f>IF(AND(F688=1,G688=1),"OK","À JUSTIFIER")</f>
        <v/>
      </c>
    </row>
    <row r="689">
      <c r="A689" s="2" t="inlineStr">
        <is>
          <t>EJ020625.TXT</t>
        </is>
      </c>
      <c r="B689" s="3" t="inlineStr">
        <is>
          <t>002059</t>
        </is>
      </c>
      <c r="C689" s="3" t="inlineStr">
        <is>
          <t>001296</t>
        </is>
      </c>
      <c r="D689" s="4" t="n">
        <v>45793</v>
      </c>
      <c r="E689" s="2" t="inlineStr">
        <is>
          <t>09:50</t>
        </is>
      </c>
      <c r="F689" s="5">
        <f>C689-C688</f>
        <v/>
      </c>
      <c r="G689" s="5">
        <f>B689-B688</f>
        <v/>
      </c>
      <c r="H689" s="2">
        <f>IF(AND(F689=1,G689=1),"OK","À JUSTIFIER")</f>
        <v/>
      </c>
    </row>
    <row r="690">
      <c r="A690" s="2" t="inlineStr">
        <is>
          <t>EJ020625.TXT</t>
        </is>
      </c>
      <c r="B690" s="3" t="inlineStr">
        <is>
          <t>002060</t>
        </is>
      </c>
      <c r="C690" s="3" t="inlineStr">
        <is>
          <t>001297</t>
        </is>
      </c>
      <c r="D690" s="4" t="n">
        <v>45793</v>
      </c>
      <c r="E690" s="2" t="inlineStr">
        <is>
          <t>14:48</t>
        </is>
      </c>
      <c r="F690" s="5">
        <f>C690-C689</f>
        <v/>
      </c>
      <c r="G690" s="5">
        <f>B690-B689</f>
        <v/>
      </c>
      <c r="H690" s="2">
        <f>IF(AND(F690=1,G690=1),"OK","À JUSTIFIER")</f>
        <v/>
      </c>
    </row>
    <row r="691">
      <c r="A691" s="2" t="inlineStr">
        <is>
          <t>EJ020625.TXT</t>
        </is>
      </c>
      <c r="B691" s="3" t="inlineStr">
        <is>
          <t>002062</t>
        </is>
      </c>
      <c r="C691" s="3" t="inlineStr">
        <is>
          <t>001298</t>
        </is>
      </c>
      <c r="D691" s="4" t="n">
        <v>45794</v>
      </c>
      <c r="E691" s="2" t="inlineStr">
        <is>
          <t>14:04</t>
        </is>
      </c>
      <c r="F691" s="5">
        <f>C691-C690</f>
        <v/>
      </c>
      <c r="G691" s="5">
        <f>B691-B690</f>
        <v/>
      </c>
      <c r="H691" s="2">
        <f>IF(AND(F691=1,G691=1),"OK","À JUSTIFIER")</f>
        <v/>
      </c>
    </row>
    <row r="692">
      <c r="A692" s="2" t="inlineStr">
        <is>
          <t>EJ020625.TXT</t>
        </is>
      </c>
      <c r="B692" s="3" t="inlineStr">
        <is>
          <t>002063</t>
        </is>
      </c>
      <c r="C692" s="3" t="inlineStr">
        <is>
          <t>001299</t>
        </is>
      </c>
      <c r="D692" s="4" t="n">
        <v>45796</v>
      </c>
      <c r="E692" s="2" t="inlineStr">
        <is>
          <t>16:20</t>
        </is>
      </c>
      <c r="F692" s="5">
        <f>C692-C691</f>
        <v/>
      </c>
      <c r="G692" s="5">
        <f>B692-B691</f>
        <v/>
      </c>
      <c r="H692" s="2">
        <f>IF(AND(F692=1,G692=1),"OK","À JUSTIFIER")</f>
        <v/>
      </c>
    </row>
    <row r="693">
      <c r="A693" s="2" t="inlineStr">
        <is>
          <t>EJ020625.TXT</t>
        </is>
      </c>
      <c r="B693" s="3" t="inlineStr">
        <is>
          <t>002064</t>
        </is>
      </c>
      <c r="C693" s="3" t="inlineStr">
        <is>
          <t>001300</t>
        </is>
      </c>
      <c r="D693" s="4" t="n">
        <v>45797</v>
      </c>
      <c r="E693" s="2" t="inlineStr">
        <is>
          <t>14:19</t>
        </is>
      </c>
      <c r="F693" s="5">
        <f>C693-C692</f>
        <v/>
      </c>
      <c r="G693" s="5">
        <f>B693-B692</f>
        <v/>
      </c>
      <c r="H693" s="2">
        <f>IF(AND(F693=1,G693=1),"OK","À JUSTIFIER")</f>
        <v/>
      </c>
    </row>
    <row r="694">
      <c r="A694" s="2" t="inlineStr">
        <is>
          <t>EJ020625.TXT</t>
        </is>
      </c>
      <c r="B694" s="3" t="inlineStr">
        <is>
          <t>002067</t>
        </is>
      </c>
      <c r="C694" s="3" t="inlineStr">
        <is>
          <t>001301</t>
        </is>
      </c>
      <c r="D694" s="4" t="n">
        <v>45803</v>
      </c>
      <c r="E694" s="2" t="inlineStr">
        <is>
          <t>08:55</t>
        </is>
      </c>
      <c r="F694" s="5">
        <f>C694-C693</f>
        <v/>
      </c>
      <c r="G694" s="5">
        <f>B694-B693</f>
        <v/>
      </c>
      <c r="H694" s="2">
        <f>IF(AND(F694=1,G694=1),"OK","À JUSTIFIER")</f>
        <v/>
      </c>
    </row>
    <row r="695">
      <c r="A695" s="2" t="inlineStr">
        <is>
          <t>EJ020625.TXT</t>
        </is>
      </c>
      <c r="B695" s="3" t="inlineStr">
        <is>
          <t>002068</t>
        </is>
      </c>
      <c r="C695" s="3" t="inlineStr">
        <is>
          <t>001302</t>
        </is>
      </c>
      <c r="D695" s="4" t="n">
        <v>45805</v>
      </c>
      <c r="E695" s="2" t="inlineStr">
        <is>
          <t>16:08</t>
        </is>
      </c>
      <c r="F695" s="5">
        <f>C695-C694</f>
        <v/>
      </c>
      <c r="G695" s="5">
        <f>B695-B694</f>
        <v/>
      </c>
      <c r="H695" s="2">
        <f>IF(AND(F695=1,G695=1),"OK","À JUSTIFIER")</f>
        <v/>
      </c>
    </row>
    <row r="696">
      <c r="A696" s="2" t="inlineStr">
        <is>
          <t>EJ020625.TXT</t>
        </is>
      </c>
      <c r="B696" s="3" t="inlineStr">
        <is>
          <t>002069</t>
        </is>
      </c>
      <c r="C696" s="3" t="inlineStr">
        <is>
          <t>001303</t>
        </is>
      </c>
      <c r="D696" s="4" t="n">
        <v>45807</v>
      </c>
      <c r="E696" s="2" t="inlineStr">
        <is>
          <t>16:12</t>
        </is>
      </c>
      <c r="F696" s="5">
        <f>C696-C695</f>
        <v/>
      </c>
      <c r="G696" s="5">
        <f>B696-B695</f>
        <v/>
      </c>
      <c r="H696" s="2">
        <f>IF(AND(F696=1,G696=1),"OK","À JUSTIFIER")</f>
        <v/>
      </c>
    </row>
    <row r="697">
      <c r="A697" s="2" t="inlineStr">
        <is>
          <t>EJ010825.TXT</t>
        </is>
      </c>
      <c r="B697" s="3" t="inlineStr">
        <is>
          <t>002078</t>
        </is>
      </c>
      <c r="C697" s="3" t="inlineStr">
        <is>
          <t>001304</t>
        </is>
      </c>
      <c r="D697" s="4" t="n">
        <v>45811</v>
      </c>
      <c r="E697" s="2" t="inlineStr">
        <is>
          <t>11:05</t>
        </is>
      </c>
      <c r="F697" s="5">
        <f>C697-C696</f>
        <v/>
      </c>
      <c r="G697" s="5">
        <f>B697-B696</f>
        <v/>
      </c>
      <c r="H697" s="2">
        <f>IF(AND(F697=1,G697=1),"OK","À JUSTIFIER")</f>
        <v/>
      </c>
    </row>
    <row r="698">
      <c r="A698" s="2" t="inlineStr">
        <is>
          <t>EJ010825.TXT</t>
        </is>
      </c>
      <c r="B698" s="3" t="inlineStr">
        <is>
          <t>002079</t>
        </is>
      </c>
      <c r="C698" s="3" t="inlineStr">
        <is>
          <t>001305</t>
        </is>
      </c>
      <c r="D698" s="4" t="n">
        <v>45811</v>
      </c>
      <c r="E698" s="2" t="inlineStr">
        <is>
          <t>11:37</t>
        </is>
      </c>
      <c r="F698" s="5">
        <f>C698-C697</f>
        <v/>
      </c>
      <c r="G698" s="5">
        <f>B698-B697</f>
        <v/>
      </c>
      <c r="H698" s="2">
        <f>IF(AND(F698=1,G698=1),"OK","À JUSTIFIER")</f>
        <v/>
      </c>
    </row>
    <row r="699">
      <c r="A699" s="2" t="inlineStr">
        <is>
          <t>EJ010825.TXT</t>
        </is>
      </c>
      <c r="B699" s="3" t="inlineStr">
        <is>
          <t>002080</t>
        </is>
      </c>
      <c r="C699" s="3" t="inlineStr">
        <is>
          <t>001306</t>
        </is>
      </c>
      <c r="D699" s="4" t="n">
        <v>45820</v>
      </c>
      <c r="E699" s="2" t="inlineStr">
        <is>
          <t>14:27</t>
        </is>
      </c>
      <c r="F699" s="5">
        <f>C699-C698</f>
        <v/>
      </c>
      <c r="G699" s="5">
        <f>B699-B698</f>
        <v/>
      </c>
      <c r="H699" s="2">
        <f>IF(AND(F699=1,G699=1),"OK","À JUSTIFIER")</f>
        <v/>
      </c>
    </row>
    <row r="700">
      <c r="A700" s="2" t="inlineStr">
        <is>
          <t>EJ010825.TXT</t>
        </is>
      </c>
      <c r="B700" s="3" t="inlineStr">
        <is>
          <t>002081</t>
        </is>
      </c>
      <c r="C700" s="3" t="inlineStr">
        <is>
          <t>001307</t>
        </is>
      </c>
      <c r="D700" s="4" t="n">
        <v>45820</v>
      </c>
      <c r="E700" s="2" t="inlineStr">
        <is>
          <t>16:25</t>
        </is>
      </c>
      <c r="F700" s="5">
        <f>C700-C699</f>
        <v/>
      </c>
      <c r="G700" s="5">
        <f>B700-B699</f>
        <v/>
      </c>
      <c r="H700" s="2">
        <f>IF(AND(F700=1,G700=1),"OK","À JUSTIFIER")</f>
        <v/>
      </c>
    </row>
    <row r="701">
      <c r="A701" s="2" t="inlineStr">
        <is>
          <t>EJ010825.TXT</t>
        </is>
      </c>
      <c r="B701" s="3" t="inlineStr">
        <is>
          <t>002082</t>
        </is>
      </c>
      <c r="C701" s="3" t="inlineStr">
        <is>
          <t>001308</t>
        </is>
      </c>
      <c r="D701" s="4" t="n">
        <v>45824</v>
      </c>
      <c r="E701" s="2" t="inlineStr">
        <is>
          <t>13:03</t>
        </is>
      </c>
      <c r="F701" s="5">
        <f>C701-C700</f>
        <v/>
      </c>
      <c r="G701" s="5">
        <f>B701-B700</f>
        <v/>
      </c>
      <c r="H701" s="2">
        <f>IF(AND(F701=1,G701=1),"OK","À JUSTIFIER")</f>
        <v/>
      </c>
    </row>
    <row r="702">
      <c r="A702" s="2" t="inlineStr">
        <is>
          <t>EJ010825.TXT</t>
        </is>
      </c>
      <c r="B702" s="3" t="inlineStr">
        <is>
          <t>002083</t>
        </is>
      </c>
      <c r="C702" s="3" t="inlineStr">
        <is>
          <t>001309</t>
        </is>
      </c>
      <c r="D702" s="4" t="n">
        <v>45825</v>
      </c>
      <c r="E702" s="2" t="inlineStr">
        <is>
          <t>15:58</t>
        </is>
      </c>
      <c r="F702" s="5">
        <f>C702-C701</f>
        <v/>
      </c>
      <c r="G702" s="5">
        <f>B702-B701</f>
        <v/>
      </c>
      <c r="H702" s="2">
        <f>IF(AND(F702=1,G702=1),"OK","À JUSTIFIER")</f>
        <v/>
      </c>
    </row>
    <row r="703">
      <c r="A703" s="2" t="inlineStr">
        <is>
          <t>EJ010825.TXT</t>
        </is>
      </c>
      <c r="B703" s="3" t="inlineStr">
        <is>
          <t>002084</t>
        </is>
      </c>
      <c r="C703" s="3" t="inlineStr">
        <is>
          <t>001310</t>
        </is>
      </c>
      <c r="D703" s="4" t="n">
        <v>45828</v>
      </c>
      <c r="E703" s="2" t="inlineStr">
        <is>
          <t>14:36</t>
        </is>
      </c>
      <c r="F703" s="5">
        <f>C703-C702</f>
        <v/>
      </c>
      <c r="G703" s="5">
        <f>B703-B702</f>
        <v/>
      </c>
      <c r="H703" s="2">
        <f>IF(AND(F703=1,G703=1),"OK","À JUSTIFIER")</f>
        <v/>
      </c>
    </row>
    <row r="704">
      <c r="A704" s="2" t="inlineStr">
        <is>
          <t>EJ010825.TXT</t>
        </is>
      </c>
      <c r="B704" s="3" t="inlineStr">
        <is>
          <t>002085</t>
        </is>
      </c>
      <c r="C704" s="3" t="inlineStr">
        <is>
          <t>001311</t>
        </is>
      </c>
      <c r="D704" s="4" t="n">
        <v>45835</v>
      </c>
      <c r="E704" s="2" t="inlineStr">
        <is>
          <t>09:08</t>
        </is>
      </c>
      <c r="F704" s="5">
        <f>C704-C703</f>
        <v/>
      </c>
      <c r="G704" s="5">
        <f>B704-B703</f>
        <v/>
      </c>
      <c r="H704" s="2">
        <f>IF(AND(F704=1,G704=1),"OK","À JUSTIFIER")</f>
        <v/>
      </c>
    </row>
    <row r="705">
      <c r="A705" s="2" t="inlineStr">
        <is>
          <t>EJ010825.TXT</t>
        </is>
      </c>
      <c r="B705" s="3" t="inlineStr">
        <is>
          <t>002086</t>
        </is>
      </c>
      <c r="C705" s="3" t="inlineStr">
        <is>
          <t>001312</t>
        </is>
      </c>
      <c r="D705" s="4" t="n">
        <v>45839</v>
      </c>
      <c r="E705" s="2" t="inlineStr">
        <is>
          <t>10:01</t>
        </is>
      </c>
      <c r="F705" s="5">
        <f>C705-C704</f>
        <v/>
      </c>
      <c r="G705" s="5">
        <f>B705-B704</f>
        <v/>
      </c>
      <c r="H705" s="2">
        <f>IF(AND(F705=1,G705=1),"OK","À JUSTIFIER")</f>
        <v/>
      </c>
    </row>
    <row r="706">
      <c r="A706" s="2" t="inlineStr">
        <is>
          <t>EJ010825.TXT</t>
        </is>
      </c>
      <c r="B706" s="3" t="inlineStr">
        <is>
          <t>002088</t>
        </is>
      </c>
      <c r="C706" s="3" t="inlineStr">
        <is>
          <t>001313</t>
        </is>
      </c>
      <c r="D706" s="4" t="n">
        <v>45841</v>
      </c>
      <c r="E706" s="2" t="inlineStr">
        <is>
          <t>14:15</t>
        </is>
      </c>
      <c r="F706" s="5">
        <f>C706-C705</f>
        <v/>
      </c>
      <c r="G706" s="5">
        <f>B706-B705</f>
        <v/>
      </c>
      <c r="H706" s="2">
        <f>IF(AND(F706=1,G706=1),"OK","À JUSTIFIER")</f>
        <v/>
      </c>
    </row>
    <row r="707">
      <c r="A707" s="2" t="inlineStr">
        <is>
          <t>EJ010825.TXT</t>
        </is>
      </c>
      <c r="B707" s="3" t="inlineStr">
        <is>
          <t>002089</t>
        </is>
      </c>
      <c r="C707" s="3" t="inlineStr">
        <is>
          <t>001314</t>
        </is>
      </c>
      <c r="D707" s="4" t="n">
        <v>45848</v>
      </c>
      <c r="E707" s="2" t="inlineStr">
        <is>
          <t>14:53</t>
        </is>
      </c>
      <c r="F707" s="5">
        <f>C707-C706</f>
        <v/>
      </c>
      <c r="G707" s="5">
        <f>B707-B706</f>
        <v/>
      </c>
      <c r="H707" s="2">
        <f>IF(AND(F707=1,G707=1),"OK","À JUSTIFIER")</f>
        <v/>
      </c>
    </row>
    <row r="708">
      <c r="A708" s="2" t="inlineStr">
        <is>
          <t>EJ010825.TXT</t>
        </is>
      </c>
      <c r="B708" s="3" t="inlineStr">
        <is>
          <t>002090</t>
        </is>
      </c>
      <c r="C708" s="3" t="inlineStr">
        <is>
          <t>001315</t>
        </is>
      </c>
      <c r="D708" s="4" t="n">
        <v>45849</v>
      </c>
      <c r="E708" s="2" t="inlineStr">
        <is>
          <t>15:57</t>
        </is>
      </c>
      <c r="F708" s="5">
        <f>C708-C707</f>
        <v/>
      </c>
      <c r="G708" s="5">
        <f>B708-B707</f>
        <v/>
      </c>
      <c r="H708" s="2">
        <f>IF(AND(F708=1,G708=1),"OK","À JUSTIFIER")</f>
        <v/>
      </c>
    </row>
    <row r="709">
      <c r="A709" s="2" t="inlineStr">
        <is>
          <t>EJ010825.TXT</t>
        </is>
      </c>
      <c r="B709" s="3" t="inlineStr">
        <is>
          <t>002092</t>
        </is>
      </c>
      <c r="C709" s="3" t="inlineStr">
        <is>
          <t>001316</t>
        </is>
      </c>
      <c r="D709" s="4" t="n">
        <v>45854</v>
      </c>
      <c r="E709" s="2" t="inlineStr">
        <is>
          <t>12:41</t>
        </is>
      </c>
      <c r="F709" s="5">
        <f>C709-C708</f>
        <v/>
      </c>
      <c r="G709" s="5">
        <f>B709-B708</f>
        <v/>
      </c>
      <c r="H709" s="2">
        <f>IF(AND(F709=1,G709=1),"OK","À JUSTIFIER")</f>
        <v/>
      </c>
    </row>
    <row r="710">
      <c r="A710" s="2" t="inlineStr">
        <is>
          <t>EJ010825.TXT</t>
        </is>
      </c>
      <c r="B710" s="3" t="inlineStr">
        <is>
          <t>002093</t>
        </is>
      </c>
      <c r="C710" s="3" t="inlineStr">
        <is>
          <t>001317</t>
        </is>
      </c>
      <c r="D710" s="4" t="n">
        <v>45854</v>
      </c>
      <c r="E710" s="2" t="inlineStr">
        <is>
          <t>12:44</t>
        </is>
      </c>
      <c r="F710" s="5">
        <f>C710-C709</f>
        <v/>
      </c>
      <c r="G710" s="5">
        <f>B710-B709</f>
        <v/>
      </c>
      <c r="H710" s="2">
        <f>IF(AND(F710=1,G710=1),"OK","À JUSTIFIER")</f>
        <v/>
      </c>
    </row>
    <row r="711">
      <c r="A711" s="2" t="inlineStr">
        <is>
          <t>EJ010825.TXT</t>
        </is>
      </c>
      <c r="B711" s="3" t="inlineStr">
        <is>
          <t>002094</t>
        </is>
      </c>
      <c r="C711" s="3" t="inlineStr">
        <is>
          <t>001318</t>
        </is>
      </c>
      <c r="D711" s="4" t="n">
        <v>45854</v>
      </c>
      <c r="E711" s="2" t="inlineStr">
        <is>
          <t>12:44</t>
        </is>
      </c>
      <c r="F711" s="5">
        <f>C711-C710</f>
        <v/>
      </c>
      <c r="G711" s="5">
        <f>B711-B710</f>
        <v/>
      </c>
      <c r="H711" s="2">
        <f>IF(AND(F711=1,G711=1),"OK","À JUSTIFIER")</f>
        <v/>
      </c>
    </row>
    <row r="712">
      <c r="A712" s="2" t="inlineStr">
        <is>
          <t>EJ010825.TXT</t>
        </is>
      </c>
      <c r="B712" s="3" t="inlineStr">
        <is>
          <t>002095</t>
        </is>
      </c>
      <c r="C712" s="3" t="inlineStr">
        <is>
          <t>001319</t>
        </is>
      </c>
      <c r="D712" s="4" t="n">
        <v>45854</v>
      </c>
      <c r="E712" s="2" t="inlineStr">
        <is>
          <t>12:44</t>
        </is>
      </c>
      <c r="F712" s="5">
        <f>C712-C711</f>
        <v/>
      </c>
      <c r="G712" s="5">
        <f>B712-B711</f>
        <v/>
      </c>
      <c r="H712" s="2">
        <f>IF(AND(F712=1,G712=1),"OK","À JUSTIFIER")</f>
        <v/>
      </c>
    </row>
    <row r="713">
      <c r="A713" s="2" t="inlineStr">
        <is>
          <t>EJ010825.TXT</t>
        </is>
      </c>
      <c r="B713" s="3" t="inlineStr">
        <is>
          <t>002096</t>
        </is>
      </c>
      <c r="C713" s="3" t="inlineStr">
        <is>
          <t>001320</t>
        </is>
      </c>
      <c r="D713" s="4" t="n">
        <v>45854</v>
      </c>
      <c r="E713" s="2" t="inlineStr">
        <is>
          <t>12:44</t>
        </is>
      </c>
      <c r="F713" s="5">
        <f>C713-C712</f>
        <v/>
      </c>
      <c r="G713" s="5">
        <f>B713-B712</f>
        <v/>
      </c>
      <c r="H713" s="2">
        <f>IF(AND(F713=1,G713=1),"OK","À JUSTIFIER")</f>
        <v/>
      </c>
    </row>
    <row r="714">
      <c r="A714" s="2" t="inlineStr">
        <is>
          <t>EJ010825.TXT</t>
        </is>
      </c>
      <c r="B714" s="3" t="inlineStr">
        <is>
          <t>002097</t>
        </is>
      </c>
      <c r="C714" s="3" t="inlineStr">
        <is>
          <t>001321</t>
        </is>
      </c>
      <c r="D714" s="4" t="n">
        <v>45866</v>
      </c>
      <c r="E714" s="2" t="inlineStr">
        <is>
          <t>14:18</t>
        </is>
      </c>
      <c r="F714" s="5">
        <f>C714-C713</f>
        <v/>
      </c>
      <c r="G714" s="5">
        <f>B714-B713</f>
        <v/>
      </c>
      <c r="H714" s="2">
        <f>IF(AND(F714=1,G714=1),"OK","À JUSTIFIER")</f>
        <v/>
      </c>
    </row>
    <row r="715">
      <c r="A715" s="2" t="inlineStr">
        <is>
          <t>EJ010825.TXT</t>
        </is>
      </c>
      <c r="B715" s="3" t="inlineStr">
        <is>
          <t>002098</t>
        </is>
      </c>
      <c r="C715" s="3" t="inlineStr">
        <is>
          <t>001322</t>
        </is>
      </c>
      <c r="D715" s="4" t="n">
        <v>45867</v>
      </c>
      <c r="E715" s="2" t="inlineStr">
        <is>
          <t>10:07</t>
        </is>
      </c>
      <c r="F715" s="5">
        <f>C715-C714</f>
        <v/>
      </c>
      <c r="G715" s="5">
        <f>B715-B714</f>
        <v/>
      </c>
      <c r="H715" s="2">
        <f>IF(AND(F715=1,G715=1),"OK","À JUSTIFIER")</f>
        <v/>
      </c>
    </row>
    <row r="716">
      <c r="A716" s="2" t="inlineStr">
        <is>
          <t>EJ010825.TXT</t>
        </is>
      </c>
      <c r="B716" s="3" t="inlineStr">
        <is>
          <t>002100</t>
        </is>
      </c>
      <c r="C716" s="3" t="inlineStr">
        <is>
          <t>001323</t>
        </is>
      </c>
      <c r="D716" s="4" t="n">
        <v>45868</v>
      </c>
      <c r="E716" s="2" t="inlineStr">
        <is>
          <t>12:18</t>
        </is>
      </c>
      <c r="F716" s="5">
        <f>C716-C715</f>
        <v/>
      </c>
      <c r="G716" s="5">
        <f>B716-B715</f>
        <v/>
      </c>
      <c r="H716" s="2">
        <f>IF(AND(F716=1,G716=1),"OK","À JUSTIFIER")</f>
        <v/>
      </c>
    </row>
    <row r="717">
      <c r="A717" s="2" t="inlineStr">
        <is>
          <t>EJ010825.TXT</t>
        </is>
      </c>
      <c r="B717" s="3" t="inlineStr">
        <is>
          <t>002102</t>
        </is>
      </c>
      <c r="C717" s="3" t="inlineStr">
        <is>
          <t>001324</t>
        </is>
      </c>
      <c r="D717" s="4" t="n">
        <v>45870</v>
      </c>
      <c r="E717" s="2" t="inlineStr">
        <is>
          <t>09:37</t>
        </is>
      </c>
      <c r="F717" s="5">
        <f>C717-C716</f>
        <v/>
      </c>
      <c r="G717" s="5">
        <f>B717-B716</f>
        <v/>
      </c>
      <c r="H717" s="2">
        <f>IF(AND(F717=1,G717=1),"OK","À JUSTIFIER")</f>
        <v/>
      </c>
    </row>
    <row r="718">
      <c r="A718" s="2" t="inlineStr">
        <is>
          <t>EJ010925.TXT</t>
        </is>
      </c>
      <c r="B718" s="3" t="inlineStr">
        <is>
          <t>002106</t>
        </is>
      </c>
      <c r="C718" s="3" t="inlineStr">
        <is>
          <t>001325</t>
        </is>
      </c>
      <c r="D718" s="4" t="n">
        <v>45875</v>
      </c>
      <c r="E718" s="2" t="inlineStr">
        <is>
          <t>16:08</t>
        </is>
      </c>
      <c r="F718" s="5">
        <f>C718-C717</f>
        <v/>
      </c>
      <c r="G718" s="5">
        <f>B718-B717</f>
        <v/>
      </c>
      <c r="H718" s="2">
        <f>IF(AND(F718=1,G718=1),"OK","À JUSTIFIER")</f>
        <v/>
      </c>
    </row>
    <row r="719">
      <c r="A719" s="2" t="inlineStr">
        <is>
          <t>EJ010925.TXT</t>
        </is>
      </c>
      <c r="B719" s="3" t="inlineStr">
        <is>
          <t>002107</t>
        </is>
      </c>
      <c r="C719" s="3" t="inlineStr">
        <is>
          <t>001326</t>
        </is>
      </c>
      <c r="D719" s="4" t="n">
        <v>45877</v>
      </c>
      <c r="E719" s="2" t="inlineStr">
        <is>
          <t>12:03</t>
        </is>
      </c>
      <c r="F719" s="5">
        <f>C719-C718</f>
        <v/>
      </c>
      <c r="G719" s="5">
        <f>B719-B718</f>
        <v/>
      </c>
      <c r="H719" s="2">
        <f>IF(AND(F719=1,G719=1),"OK","À JUSTIFIER")</f>
        <v/>
      </c>
    </row>
    <row r="720">
      <c r="A720" s="2" t="inlineStr">
        <is>
          <t>EJ010925.TXT</t>
        </is>
      </c>
      <c r="B720" s="3" t="inlineStr">
        <is>
          <t>002108</t>
        </is>
      </c>
      <c r="C720" s="3" t="inlineStr">
        <is>
          <t>001327</t>
        </is>
      </c>
      <c r="D720" s="4" t="n">
        <v>45891</v>
      </c>
      <c r="E720" s="2" t="inlineStr">
        <is>
          <t>16:41</t>
        </is>
      </c>
      <c r="F720" s="5">
        <f>C720-C719</f>
        <v/>
      </c>
      <c r="G720" s="5">
        <f>B720-B719</f>
        <v/>
      </c>
      <c r="H720" s="2">
        <f>IF(AND(F720=1,G720=1),"OK","À JUSTIFIER")</f>
        <v/>
      </c>
    </row>
    <row r="721">
      <c r="A721" s="2" t="inlineStr">
        <is>
          <t>EJ010925.TXT</t>
        </is>
      </c>
      <c r="B721" s="3" t="inlineStr">
        <is>
          <t>002109</t>
        </is>
      </c>
      <c r="C721" s="3" t="inlineStr">
        <is>
          <t>001328</t>
        </is>
      </c>
      <c r="D721" s="4" t="n">
        <v>45891</v>
      </c>
      <c r="E721" s="2" t="inlineStr">
        <is>
          <t>16:52</t>
        </is>
      </c>
      <c r="F721" s="5">
        <f>C721-C720</f>
        <v/>
      </c>
      <c r="G721" s="5">
        <f>B721-B720</f>
        <v/>
      </c>
      <c r="H721" s="2">
        <f>IF(AND(F721=1,G721=1),"OK","À JUSTIFIER")</f>
        <v/>
      </c>
    </row>
    <row r="722">
      <c r="A722" s="2" t="inlineStr">
        <is>
          <t>EJ010925.TXT</t>
        </is>
      </c>
      <c r="B722" s="3" t="inlineStr">
        <is>
          <t>002110</t>
        </is>
      </c>
      <c r="C722" s="3" t="inlineStr">
        <is>
          <t>001329</t>
        </is>
      </c>
      <c r="D722" s="4" t="n">
        <v>45892</v>
      </c>
      <c r="E722" s="2" t="inlineStr">
        <is>
          <t>14:18</t>
        </is>
      </c>
      <c r="F722" s="5">
        <f>C722-C721</f>
        <v/>
      </c>
      <c r="G722" s="5">
        <f>B722-B721</f>
        <v/>
      </c>
      <c r="H722" s="2">
        <f>IF(AND(F722=1,G722=1),"OK","À JUSTIFIER")</f>
        <v/>
      </c>
    </row>
    <row r="723">
      <c r="A723" s="2" t="inlineStr">
        <is>
          <t>EJ010925.TXT</t>
        </is>
      </c>
      <c r="B723" s="3" t="inlineStr">
        <is>
          <t>002113</t>
        </is>
      </c>
      <c r="C723" s="3" t="inlineStr">
        <is>
          <t>001330</t>
        </is>
      </c>
      <c r="D723" s="4" t="n">
        <v>45898</v>
      </c>
      <c r="E723" s="2" t="inlineStr">
        <is>
          <t>15:06</t>
        </is>
      </c>
      <c r="F723" s="5">
        <f>C723-C722</f>
        <v/>
      </c>
      <c r="G723" s="5">
        <f>B723-B722</f>
        <v/>
      </c>
      <c r="H723" s="2">
        <f>IF(AND(F723=1,G723=1),"OK","À JUSTIFIER")</f>
        <v/>
      </c>
    </row>
  </sheetData>
  <autoFilter ref="A1:H723"/>
  <conditionalFormatting sqref="H2:H723">
    <cfRule type="expression" priority="1" dxfId="1">
      <formula>ISNUMBER(SEARCH("JUSTIFIER",H2))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 ht="34" customHeight="1">
      <c r="A1" s="1" t="inlineStr">
        <is>
          <t>E_NUM_INTERNE</t>
        </is>
      </c>
      <c r="B1" s="1" t="inlineStr">
        <is>
          <t>COMPTER_E_NUM_INTERNE</t>
        </is>
      </c>
    </row>
    <row r="2">
      <c r="A2" s="3" t="inlineStr">
        <is>
          <t>000977</t>
        </is>
      </c>
      <c r="B2" s="6">
        <f>COUNTIF('Entetes_TriNumInterne'!$B$2:$B$723,A2)</f>
        <v/>
      </c>
    </row>
    <row r="3">
      <c r="A3" s="3" t="inlineStr">
        <is>
          <t>000978</t>
        </is>
      </c>
      <c r="B3" s="6">
        <f>COUNTIF('Entetes_TriNumInterne'!$B$2:$B$723,A3)</f>
        <v/>
      </c>
    </row>
    <row r="4">
      <c r="A4" s="3" t="inlineStr">
        <is>
          <t>000979</t>
        </is>
      </c>
      <c r="B4" s="6">
        <f>COUNTIF('Entetes_TriNumInterne'!$B$2:$B$723,A4)</f>
        <v/>
      </c>
    </row>
    <row r="5">
      <c r="A5" s="3" t="inlineStr">
        <is>
          <t>000980</t>
        </is>
      </c>
      <c r="B5" s="6">
        <f>COUNTIF('Entetes_TriNumInterne'!$B$2:$B$723,A5)</f>
        <v/>
      </c>
    </row>
    <row r="6">
      <c r="A6" s="3" t="inlineStr">
        <is>
          <t>000981</t>
        </is>
      </c>
      <c r="B6" s="6">
        <f>COUNTIF('Entetes_TriNumInterne'!$B$2:$B$723,A6)</f>
        <v/>
      </c>
    </row>
    <row r="7">
      <c r="A7" s="3" t="inlineStr">
        <is>
          <t>000982</t>
        </is>
      </c>
      <c r="B7" s="6">
        <f>COUNTIF('Entetes_TriNumInterne'!$B$2:$B$723,A7)</f>
        <v/>
      </c>
    </row>
    <row r="8">
      <c r="A8" s="3" t="inlineStr">
        <is>
          <t>000983</t>
        </is>
      </c>
      <c r="B8" s="6">
        <f>COUNTIF('Entetes_TriNumInterne'!$B$2:$B$723,A8)</f>
        <v/>
      </c>
    </row>
    <row r="9">
      <c r="A9" s="3" t="inlineStr">
        <is>
          <t>000984</t>
        </is>
      </c>
      <c r="B9" s="6">
        <f>COUNTIF('Entetes_TriNumInterne'!$B$2:$B$723,A9)</f>
        <v/>
      </c>
    </row>
    <row r="10">
      <c r="A10" s="3" t="inlineStr">
        <is>
          <t>000985</t>
        </is>
      </c>
      <c r="B10" s="6">
        <f>COUNTIF('Entetes_TriNumInterne'!$B$2:$B$723,A10)</f>
        <v/>
      </c>
    </row>
    <row r="11">
      <c r="A11" s="3" t="inlineStr">
        <is>
          <t>000986</t>
        </is>
      </c>
      <c r="B11" s="6">
        <f>COUNTIF('Entetes_TriNumInterne'!$B$2:$B$723,A11)</f>
        <v/>
      </c>
    </row>
    <row r="12">
      <c r="A12" s="3" t="inlineStr">
        <is>
          <t>000987</t>
        </is>
      </c>
      <c r="B12" s="6">
        <f>COUNTIF('Entetes_TriNumInterne'!$B$2:$B$723,A12)</f>
        <v/>
      </c>
    </row>
    <row r="13">
      <c r="A13" s="3" t="inlineStr">
        <is>
          <t>000988</t>
        </is>
      </c>
      <c r="B13" s="6">
        <f>COUNTIF('Entetes_TriNumInterne'!$B$2:$B$723,A13)</f>
        <v/>
      </c>
    </row>
    <row r="14">
      <c r="A14" s="3" t="inlineStr">
        <is>
          <t>000989</t>
        </is>
      </c>
      <c r="B14" s="6">
        <f>COUNTIF('Entetes_TriNumInterne'!$B$2:$B$723,A14)</f>
        <v/>
      </c>
    </row>
    <row r="15">
      <c r="A15" s="3" t="inlineStr">
        <is>
          <t>000990</t>
        </is>
      </c>
      <c r="B15" s="6">
        <f>COUNTIF('Entetes_TriNumInterne'!$B$2:$B$723,A15)</f>
        <v/>
      </c>
    </row>
    <row r="16">
      <c r="A16" s="3" t="inlineStr">
        <is>
          <t>000991</t>
        </is>
      </c>
      <c r="B16" s="6">
        <f>COUNTIF('Entetes_TriNumInterne'!$B$2:$B$723,A16)</f>
        <v/>
      </c>
    </row>
    <row r="17">
      <c r="A17" s="3" t="inlineStr">
        <is>
          <t>000992</t>
        </is>
      </c>
      <c r="B17" s="6">
        <f>COUNTIF('Entetes_TriNumInterne'!$B$2:$B$723,A17)</f>
        <v/>
      </c>
    </row>
    <row r="18">
      <c r="A18" s="3" t="inlineStr">
        <is>
          <t>000993</t>
        </is>
      </c>
      <c r="B18" s="6">
        <f>COUNTIF('Entetes_TriNumInterne'!$B$2:$B$723,A18)</f>
        <v/>
      </c>
    </row>
    <row r="19">
      <c r="A19" s="3" t="inlineStr">
        <is>
          <t>000994</t>
        </is>
      </c>
      <c r="B19" s="6">
        <f>COUNTIF('Entetes_TriNumInterne'!$B$2:$B$723,A19)</f>
        <v/>
      </c>
    </row>
    <row r="20">
      <c r="A20" s="3" t="inlineStr">
        <is>
          <t>000995</t>
        </is>
      </c>
      <c r="B20" s="6">
        <f>COUNTIF('Entetes_TriNumInterne'!$B$2:$B$723,A20)</f>
        <v/>
      </c>
    </row>
    <row r="21">
      <c r="A21" s="3" t="inlineStr">
        <is>
          <t>000996</t>
        </is>
      </c>
      <c r="B21" s="6">
        <f>COUNTIF('Entetes_TriNumInterne'!$B$2:$B$723,A21)</f>
        <v/>
      </c>
    </row>
    <row r="22">
      <c r="A22" s="3" t="inlineStr">
        <is>
          <t>000997</t>
        </is>
      </c>
      <c r="B22" s="6">
        <f>COUNTIF('Entetes_TriNumInterne'!$B$2:$B$723,A22)</f>
        <v/>
      </c>
    </row>
    <row r="23">
      <c r="A23" s="3" t="inlineStr">
        <is>
          <t>000998</t>
        </is>
      </c>
      <c r="B23" s="6">
        <f>COUNTIF('Entetes_TriNumInterne'!$B$2:$B$723,A23)</f>
        <v/>
      </c>
    </row>
    <row r="24">
      <c r="A24" s="3" t="inlineStr">
        <is>
          <t>000999</t>
        </is>
      </c>
      <c r="B24" s="6">
        <f>COUNTIF('Entetes_TriNumInterne'!$B$2:$B$723,A24)</f>
        <v/>
      </c>
    </row>
    <row r="25">
      <c r="A25" s="3" t="inlineStr">
        <is>
          <t>001000</t>
        </is>
      </c>
      <c r="B25" s="6">
        <f>COUNTIF('Entetes_TriNumInterne'!$B$2:$B$723,A25)</f>
        <v/>
      </c>
    </row>
    <row r="26">
      <c r="A26" s="3" t="inlineStr">
        <is>
          <t>001001</t>
        </is>
      </c>
      <c r="B26" s="6">
        <f>COUNTIF('Entetes_TriNumInterne'!$B$2:$B$723,A26)</f>
        <v/>
      </c>
    </row>
    <row r="27">
      <c r="A27" s="3" t="inlineStr">
        <is>
          <t>001002</t>
        </is>
      </c>
      <c r="B27" s="6">
        <f>COUNTIF('Entetes_TriNumInterne'!$B$2:$B$723,A27)</f>
        <v/>
      </c>
    </row>
    <row r="28">
      <c r="A28" s="3" t="inlineStr">
        <is>
          <t>001003</t>
        </is>
      </c>
      <c r="B28" s="6">
        <f>COUNTIF('Entetes_TriNumInterne'!$B$2:$B$723,A28)</f>
        <v/>
      </c>
    </row>
    <row r="29">
      <c r="A29" s="3" t="inlineStr">
        <is>
          <t>001004</t>
        </is>
      </c>
      <c r="B29" s="6">
        <f>COUNTIF('Entetes_TriNumInterne'!$B$2:$B$723,A29)</f>
        <v/>
      </c>
    </row>
    <row r="30">
      <c r="A30" s="3" t="inlineStr">
        <is>
          <t>001005</t>
        </is>
      </c>
      <c r="B30" s="6">
        <f>COUNTIF('Entetes_TriNumInterne'!$B$2:$B$723,A30)</f>
        <v/>
      </c>
    </row>
    <row r="31">
      <c r="A31" s="3" t="inlineStr">
        <is>
          <t>001006</t>
        </is>
      </c>
      <c r="B31" s="6">
        <f>COUNTIF('Entetes_TriNumInterne'!$B$2:$B$723,A31)</f>
        <v/>
      </c>
    </row>
    <row r="32">
      <c r="A32" s="3" t="inlineStr">
        <is>
          <t>001007</t>
        </is>
      </c>
      <c r="B32" s="6">
        <f>COUNTIF('Entetes_TriNumInterne'!$B$2:$B$723,A32)</f>
        <v/>
      </c>
    </row>
    <row r="33">
      <c r="A33" s="3" t="inlineStr">
        <is>
          <t>001008</t>
        </is>
      </c>
      <c r="B33" s="6">
        <f>COUNTIF('Entetes_TriNumInterne'!$B$2:$B$723,A33)</f>
        <v/>
      </c>
    </row>
    <row r="34">
      <c r="A34" s="3" t="inlineStr">
        <is>
          <t>001015</t>
        </is>
      </c>
      <c r="B34" s="6">
        <f>COUNTIF('Entetes_TriNumInterne'!$B$2:$B$723,A34)</f>
        <v/>
      </c>
    </row>
    <row r="35">
      <c r="A35" s="3" t="inlineStr">
        <is>
          <t>001017</t>
        </is>
      </c>
      <c r="B35" s="6">
        <f>COUNTIF('Entetes_TriNumInterne'!$B$2:$B$723,A35)</f>
        <v/>
      </c>
    </row>
    <row r="36">
      <c r="A36" s="3" t="inlineStr">
        <is>
          <t>001020</t>
        </is>
      </c>
      <c r="B36" s="6">
        <f>COUNTIF('Entetes_TriNumInterne'!$B$2:$B$723,A36)</f>
        <v/>
      </c>
    </row>
    <row r="37">
      <c r="A37" s="3" t="inlineStr">
        <is>
          <t>001021</t>
        </is>
      </c>
      <c r="B37" s="6">
        <f>COUNTIF('Entetes_TriNumInterne'!$B$2:$B$723,A37)</f>
        <v/>
      </c>
    </row>
    <row r="38">
      <c r="A38" s="3" t="inlineStr">
        <is>
          <t>001022</t>
        </is>
      </c>
      <c r="B38" s="6">
        <f>COUNTIF('Entetes_TriNumInterne'!$B$2:$B$723,A38)</f>
        <v/>
      </c>
    </row>
    <row r="39">
      <c r="A39" s="3" t="inlineStr">
        <is>
          <t>001023</t>
        </is>
      </c>
      <c r="B39" s="6">
        <f>COUNTIF('Entetes_TriNumInterne'!$B$2:$B$723,A39)</f>
        <v/>
      </c>
    </row>
    <row r="40">
      <c r="A40" s="3" t="inlineStr">
        <is>
          <t>001024</t>
        </is>
      </c>
      <c r="B40" s="6">
        <f>COUNTIF('Entetes_TriNumInterne'!$B$2:$B$723,A40)</f>
        <v/>
      </c>
    </row>
    <row r="41">
      <c r="A41" s="3" t="inlineStr">
        <is>
          <t>001025</t>
        </is>
      </c>
      <c r="B41" s="6">
        <f>COUNTIF('Entetes_TriNumInterne'!$B$2:$B$723,A41)</f>
        <v/>
      </c>
    </row>
    <row r="42">
      <c r="A42" s="3" t="inlineStr">
        <is>
          <t>001026</t>
        </is>
      </c>
      <c r="B42" s="6">
        <f>COUNTIF('Entetes_TriNumInterne'!$B$2:$B$723,A42)</f>
        <v/>
      </c>
    </row>
    <row r="43">
      <c r="A43" s="3" t="inlineStr">
        <is>
          <t>001027</t>
        </is>
      </c>
      <c r="B43" s="6">
        <f>COUNTIF('Entetes_TriNumInterne'!$B$2:$B$723,A43)</f>
        <v/>
      </c>
    </row>
    <row r="44">
      <c r="A44" s="3" t="inlineStr">
        <is>
          <t>001029</t>
        </is>
      </c>
      <c r="B44" s="6">
        <f>COUNTIF('Entetes_TriNumInterne'!$B$2:$B$723,A44)</f>
        <v/>
      </c>
    </row>
    <row r="45">
      <c r="A45" s="3" t="inlineStr">
        <is>
          <t>001030</t>
        </is>
      </c>
      <c r="B45" s="6">
        <f>COUNTIF('Entetes_TriNumInterne'!$B$2:$B$723,A45)</f>
        <v/>
      </c>
    </row>
    <row r="46">
      <c r="A46" s="3" t="inlineStr">
        <is>
          <t>001031</t>
        </is>
      </c>
      <c r="B46" s="6">
        <f>COUNTIF('Entetes_TriNumInterne'!$B$2:$B$723,A46)</f>
        <v/>
      </c>
    </row>
    <row r="47">
      <c r="A47" s="3" t="inlineStr">
        <is>
          <t>001033</t>
        </is>
      </c>
      <c r="B47" s="6">
        <f>COUNTIF('Entetes_TriNumInterne'!$B$2:$B$723,A47)</f>
        <v/>
      </c>
    </row>
    <row r="48">
      <c r="A48" s="3" t="inlineStr">
        <is>
          <t>001034</t>
        </is>
      </c>
      <c r="B48" s="6">
        <f>COUNTIF('Entetes_TriNumInterne'!$B$2:$B$723,A48)</f>
        <v/>
      </c>
    </row>
    <row r="49">
      <c r="A49" s="3" t="inlineStr">
        <is>
          <t>001035</t>
        </is>
      </c>
      <c r="B49" s="6">
        <f>COUNTIF('Entetes_TriNumInterne'!$B$2:$B$723,A49)</f>
        <v/>
      </c>
    </row>
    <row r="50">
      <c r="A50" s="3" t="inlineStr">
        <is>
          <t>001038</t>
        </is>
      </c>
      <c r="B50" s="6">
        <f>COUNTIF('Entetes_TriNumInterne'!$B$2:$B$723,A50)</f>
        <v/>
      </c>
    </row>
    <row r="51">
      <c r="A51" s="3" t="inlineStr">
        <is>
          <t>001039</t>
        </is>
      </c>
      <c r="B51" s="6">
        <f>COUNTIF('Entetes_TriNumInterne'!$B$2:$B$723,A51)</f>
        <v/>
      </c>
    </row>
    <row r="52">
      <c r="A52" s="3" t="inlineStr">
        <is>
          <t>001040</t>
        </is>
      </c>
      <c r="B52" s="6">
        <f>COUNTIF('Entetes_TriNumInterne'!$B$2:$B$723,A52)</f>
        <v/>
      </c>
    </row>
    <row r="53">
      <c r="A53" s="3" t="inlineStr">
        <is>
          <t>001041</t>
        </is>
      </c>
      <c r="B53" s="6">
        <f>COUNTIF('Entetes_TriNumInterne'!$B$2:$B$723,A53)</f>
        <v/>
      </c>
    </row>
    <row r="54">
      <c r="A54" s="3" t="inlineStr">
        <is>
          <t>001042</t>
        </is>
      </c>
      <c r="B54" s="6">
        <f>COUNTIF('Entetes_TriNumInterne'!$B$2:$B$723,A54)</f>
        <v/>
      </c>
    </row>
    <row r="55">
      <c r="A55" s="3" t="inlineStr">
        <is>
          <t>001043</t>
        </is>
      </c>
      <c r="B55" s="6">
        <f>COUNTIF('Entetes_TriNumInterne'!$B$2:$B$723,A55)</f>
        <v/>
      </c>
    </row>
    <row r="56">
      <c r="A56" s="3" t="inlineStr">
        <is>
          <t>001044</t>
        </is>
      </c>
      <c r="B56" s="6">
        <f>COUNTIF('Entetes_TriNumInterne'!$B$2:$B$723,A56)</f>
        <v/>
      </c>
    </row>
    <row r="57">
      <c r="A57" s="3" t="inlineStr">
        <is>
          <t>001045</t>
        </is>
      </c>
      <c r="B57" s="6">
        <f>COUNTIF('Entetes_TriNumInterne'!$B$2:$B$723,A57)</f>
        <v/>
      </c>
    </row>
    <row r="58">
      <c r="A58" s="3" t="inlineStr">
        <is>
          <t>001046</t>
        </is>
      </c>
      <c r="B58" s="6">
        <f>COUNTIF('Entetes_TriNumInterne'!$B$2:$B$723,A58)</f>
        <v/>
      </c>
    </row>
    <row r="59">
      <c r="A59" s="3" t="inlineStr">
        <is>
          <t>001055</t>
        </is>
      </c>
      <c r="B59" s="6">
        <f>COUNTIF('Entetes_TriNumInterne'!$B$2:$B$723,A59)</f>
        <v/>
      </c>
    </row>
    <row r="60">
      <c r="A60" s="3" t="inlineStr">
        <is>
          <t>001056</t>
        </is>
      </c>
      <c r="B60" s="6">
        <f>COUNTIF('Entetes_TriNumInterne'!$B$2:$B$723,A60)</f>
        <v/>
      </c>
    </row>
    <row r="61">
      <c r="A61" s="3" t="inlineStr">
        <is>
          <t>001057</t>
        </is>
      </c>
      <c r="B61" s="6">
        <f>COUNTIF('Entetes_TriNumInterne'!$B$2:$B$723,A61)</f>
        <v/>
      </c>
    </row>
    <row r="62">
      <c r="A62" s="3" t="inlineStr">
        <is>
          <t>001058</t>
        </is>
      </c>
      <c r="B62" s="6">
        <f>COUNTIF('Entetes_TriNumInterne'!$B$2:$B$723,A62)</f>
        <v/>
      </c>
    </row>
    <row r="63">
      <c r="A63" s="3" t="inlineStr">
        <is>
          <t>001059</t>
        </is>
      </c>
      <c r="B63" s="6">
        <f>COUNTIF('Entetes_TriNumInterne'!$B$2:$B$723,A63)</f>
        <v/>
      </c>
    </row>
    <row r="64">
      <c r="A64" s="3" t="inlineStr">
        <is>
          <t>001060</t>
        </is>
      </c>
      <c r="B64" s="6">
        <f>COUNTIF('Entetes_TriNumInterne'!$B$2:$B$723,A64)</f>
        <v/>
      </c>
    </row>
    <row r="65">
      <c r="A65" s="3" t="inlineStr">
        <is>
          <t>001062</t>
        </is>
      </c>
      <c r="B65" s="6">
        <f>COUNTIF('Entetes_TriNumInterne'!$B$2:$B$723,A65)</f>
        <v/>
      </c>
    </row>
    <row r="66">
      <c r="A66" s="3" t="inlineStr">
        <is>
          <t>001063</t>
        </is>
      </c>
      <c r="B66" s="6">
        <f>COUNTIF('Entetes_TriNumInterne'!$B$2:$B$723,A66)</f>
        <v/>
      </c>
    </row>
    <row r="67">
      <c r="A67" s="3" t="inlineStr">
        <is>
          <t>001064</t>
        </is>
      </c>
      <c r="B67" s="6">
        <f>COUNTIF('Entetes_TriNumInterne'!$B$2:$B$723,A67)</f>
        <v/>
      </c>
    </row>
    <row r="68">
      <c r="A68" s="3" t="inlineStr">
        <is>
          <t>001066</t>
        </is>
      </c>
      <c r="B68" s="6">
        <f>COUNTIF('Entetes_TriNumInterne'!$B$2:$B$723,A68)</f>
        <v/>
      </c>
    </row>
    <row r="69">
      <c r="A69" s="3" t="inlineStr">
        <is>
          <t>001067</t>
        </is>
      </c>
      <c r="B69" s="6">
        <f>COUNTIF('Entetes_TriNumInterne'!$B$2:$B$723,A69)</f>
        <v/>
      </c>
    </row>
    <row r="70">
      <c r="A70" s="3" t="inlineStr">
        <is>
          <t>001070</t>
        </is>
      </c>
      <c r="B70" s="6">
        <f>COUNTIF('Entetes_TriNumInterne'!$B$2:$B$723,A70)</f>
        <v/>
      </c>
    </row>
    <row r="71">
      <c r="A71" s="3" t="inlineStr">
        <is>
          <t>001071</t>
        </is>
      </c>
      <c r="B71" s="6">
        <f>COUNTIF('Entetes_TriNumInterne'!$B$2:$B$723,A71)</f>
        <v/>
      </c>
    </row>
    <row r="72">
      <c r="A72" s="3" t="inlineStr">
        <is>
          <t>001072</t>
        </is>
      </c>
      <c r="B72" s="6">
        <f>COUNTIF('Entetes_TriNumInterne'!$B$2:$B$723,A72)</f>
        <v/>
      </c>
    </row>
    <row r="73">
      <c r="A73" s="3" t="inlineStr">
        <is>
          <t>001074</t>
        </is>
      </c>
      <c r="B73" s="6">
        <f>COUNTIF('Entetes_TriNumInterne'!$B$2:$B$723,A73)</f>
        <v/>
      </c>
    </row>
    <row r="74">
      <c r="A74" s="3" t="inlineStr">
        <is>
          <t>001075</t>
        </is>
      </c>
      <c r="B74" s="6">
        <f>COUNTIF('Entetes_TriNumInterne'!$B$2:$B$723,A74)</f>
        <v/>
      </c>
    </row>
    <row r="75">
      <c r="A75" s="3" t="inlineStr">
        <is>
          <t>001076</t>
        </is>
      </c>
      <c r="B75" s="6">
        <f>COUNTIF('Entetes_TriNumInterne'!$B$2:$B$723,A75)</f>
        <v/>
      </c>
    </row>
    <row r="76">
      <c r="A76" s="3" t="inlineStr">
        <is>
          <t>001077</t>
        </is>
      </c>
      <c r="B76" s="6">
        <f>COUNTIF('Entetes_TriNumInterne'!$B$2:$B$723,A76)</f>
        <v/>
      </c>
    </row>
    <row r="77">
      <c r="A77" s="3" t="inlineStr">
        <is>
          <t>001078</t>
        </is>
      </c>
      <c r="B77" s="6">
        <f>COUNTIF('Entetes_TriNumInterne'!$B$2:$B$723,A77)</f>
        <v/>
      </c>
    </row>
    <row r="78">
      <c r="A78" s="3" t="inlineStr">
        <is>
          <t>001079</t>
        </is>
      </c>
      <c r="B78" s="6">
        <f>COUNTIF('Entetes_TriNumInterne'!$B$2:$B$723,A78)</f>
        <v/>
      </c>
    </row>
    <row r="79">
      <c r="A79" s="3" t="inlineStr">
        <is>
          <t>001080</t>
        </is>
      </c>
      <c r="B79" s="6">
        <f>COUNTIF('Entetes_TriNumInterne'!$B$2:$B$723,A79)</f>
        <v/>
      </c>
    </row>
    <row r="80">
      <c r="A80" s="3" t="inlineStr">
        <is>
          <t>001081</t>
        </is>
      </c>
      <c r="B80" s="6">
        <f>COUNTIF('Entetes_TriNumInterne'!$B$2:$B$723,A80)</f>
        <v/>
      </c>
    </row>
    <row r="81">
      <c r="A81" s="3" t="inlineStr">
        <is>
          <t>001082</t>
        </is>
      </c>
      <c r="B81" s="6">
        <f>COUNTIF('Entetes_TriNumInterne'!$B$2:$B$723,A81)</f>
        <v/>
      </c>
    </row>
    <row r="82">
      <c r="A82" s="3" t="inlineStr">
        <is>
          <t>001083</t>
        </is>
      </c>
      <c r="B82" s="6">
        <f>COUNTIF('Entetes_TriNumInterne'!$B$2:$B$723,A82)</f>
        <v/>
      </c>
    </row>
    <row r="83">
      <c r="A83" s="3" t="inlineStr">
        <is>
          <t>001084</t>
        </is>
      </c>
      <c r="B83" s="6">
        <f>COUNTIF('Entetes_TriNumInterne'!$B$2:$B$723,A83)</f>
        <v/>
      </c>
    </row>
    <row r="84">
      <c r="A84" s="3" t="inlineStr">
        <is>
          <t>001092</t>
        </is>
      </c>
      <c r="B84" s="6">
        <f>COUNTIF('Entetes_TriNumInterne'!$B$2:$B$723,A84)</f>
        <v/>
      </c>
    </row>
    <row r="85">
      <c r="A85" s="3" t="inlineStr">
        <is>
          <t>001098</t>
        </is>
      </c>
      <c r="B85" s="6">
        <f>COUNTIF('Entetes_TriNumInterne'!$B$2:$B$723,A85)</f>
        <v/>
      </c>
    </row>
    <row r="86">
      <c r="A86" s="3" t="inlineStr">
        <is>
          <t>001099</t>
        </is>
      </c>
      <c r="B86" s="6">
        <f>COUNTIF('Entetes_TriNumInterne'!$B$2:$B$723,A86)</f>
        <v/>
      </c>
    </row>
    <row r="87">
      <c r="A87" s="3" t="inlineStr">
        <is>
          <t>001100</t>
        </is>
      </c>
      <c r="B87" s="6">
        <f>COUNTIF('Entetes_TriNumInterne'!$B$2:$B$723,A87)</f>
        <v/>
      </c>
    </row>
    <row r="88">
      <c r="A88" s="3" t="inlineStr">
        <is>
          <t>001107</t>
        </is>
      </c>
      <c r="B88" s="6">
        <f>COUNTIF('Entetes_TriNumInterne'!$B$2:$B$723,A88)</f>
        <v/>
      </c>
    </row>
    <row r="89">
      <c r="A89" s="3" t="inlineStr">
        <is>
          <t>001109</t>
        </is>
      </c>
      <c r="B89" s="6">
        <f>COUNTIF('Entetes_TriNumInterne'!$B$2:$B$723,A89)</f>
        <v/>
      </c>
    </row>
    <row r="90">
      <c r="A90" s="3" t="inlineStr">
        <is>
          <t>001110</t>
        </is>
      </c>
      <c r="B90" s="6">
        <f>COUNTIF('Entetes_TriNumInterne'!$B$2:$B$723,A90)</f>
        <v/>
      </c>
    </row>
    <row r="91">
      <c r="A91" s="3" t="inlineStr">
        <is>
          <t>001111</t>
        </is>
      </c>
      <c r="B91" s="6">
        <f>COUNTIF('Entetes_TriNumInterne'!$B$2:$B$723,A91)</f>
        <v/>
      </c>
    </row>
    <row r="92">
      <c r="A92" s="3" t="inlineStr">
        <is>
          <t>001112</t>
        </is>
      </c>
      <c r="B92" s="6">
        <f>COUNTIF('Entetes_TriNumInterne'!$B$2:$B$723,A92)</f>
        <v/>
      </c>
    </row>
    <row r="93">
      <c r="A93" s="3" t="inlineStr">
        <is>
          <t>001114</t>
        </is>
      </c>
      <c r="B93" s="6">
        <f>COUNTIF('Entetes_TriNumInterne'!$B$2:$B$723,A93)</f>
        <v/>
      </c>
    </row>
    <row r="94">
      <c r="A94" s="3" t="inlineStr">
        <is>
          <t>001115</t>
        </is>
      </c>
      <c r="B94" s="6">
        <f>COUNTIF('Entetes_TriNumInterne'!$B$2:$B$723,A94)</f>
        <v/>
      </c>
    </row>
    <row r="95">
      <c r="A95" s="3" t="inlineStr">
        <is>
          <t>001119</t>
        </is>
      </c>
      <c r="B95" s="6">
        <f>COUNTIF('Entetes_TriNumInterne'!$B$2:$B$723,A95)</f>
        <v/>
      </c>
    </row>
    <row r="96">
      <c r="A96" s="3" t="inlineStr">
        <is>
          <t>001120</t>
        </is>
      </c>
      <c r="B96" s="6">
        <f>COUNTIF('Entetes_TriNumInterne'!$B$2:$B$723,A96)</f>
        <v/>
      </c>
    </row>
    <row r="97">
      <c r="A97" s="3" t="inlineStr">
        <is>
          <t>001122</t>
        </is>
      </c>
      <c r="B97" s="6">
        <f>COUNTIF('Entetes_TriNumInterne'!$B$2:$B$723,A97)</f>
        <v/>
      </c>
    </row>
    <row r="98">
      <c r="A98" s="3" t="inlineStr">
        <is>
          <t>001123</t>
        </is>
      </c>
      <c r="B98" s="6">
        <f>COUNTIF('Entetes_TriNumInterne'!$B$2:$B$723,A98)</f>
        <v/>
      </c>
    </row>
    <row r="99">
      <c r="A99" s="3" t="inlineStr">
        <is>
          <t>001130</t>
        </is>
      </c>
      <c r="B99" s="6">
        <f>COUNTIF('Entetes_TriNumInterne'!$B$2:$B$723,A99)</f>
        <v/>
      </c>
    </row>
    <row r="100">
      <c r="A100" s="3" t="inlineStr">
        <is>
          <t>001131</t>
        </is>
      </c>
      <c r="B100" s="6">
        <f>COUNTIF('Entetes_TriNumInterne'!$B$2:$B$723,A100)</f>
        <v/>
      </c>
    </row>
    <row r="101">
      <c r="A101" s="3" t="inlineStr">
        <is>
          <t>001132</t>
        </is>
      </c>
      <c r="B101" s="6">
        <f>COUNTIF('Entetes_TriNumInterne'!$B$2:$B$723,A101)</f>
        <v/>
      </c>
    </row>
    <row r="102">
      <c r="A102" s="3" t="inlineStr">
        <is>
          <t>001134</t>
        </is>
      </c>
      <c r="B102" s="6">
        <f>COUNTIF('Entetes_TriNumInterne'!$B$2:$B$723,A102)</f>
        <v/>
      </c>
    </row>
    <row r="103">
      <c r="A103" s="3" t="inlineStr">
        <is>
          <t>001136</t>
        </is>
      </c>
      <c r="B103" s="6">
        <f>COUNTIF('Entetes_TriNumInterne'!$B$2:$B$723,A103)</f>
        <v/>
      </c>
    </row>
    <row r="104">
      <c r="A104" s="3" t="inlineStr">
        <is>
          <t>001137</t>
        </is>
      </c>
      <c r="B104" s="6">
        <f>COUNTIF('Entetes_TriNumInterne'!$B$2:$B$723,A104)</f>
        <v/>
      </c>
    </row>
    <row r="105">
      <c r="A105" s="3" t="inlineStr">
        <is>
          <t>001138</t>
        </is>
      </c>
      <c r="B105" s="6">
        <f>COUNTIF('Entetes_TriNumInterne'!$B$2:$B$723,A105)</f>
        <v/>
      </c>
    </row>
    <row r="106">
      <c r="A106" s="3" t="inlineStr">
        <is>
          <t>001139</t>
        </is>
      </c>
      <c r="B106" s="6">
        <f>COUNTIF('Entetes_TriNumInterne'!$B$2:$B$723,A106)</f>
        <v/>
      </c>
    </row>
    <row r="107">
      <c r="A107" s="3" t="inlineStr">
        <is>
          <t>001140</t>
        </is>
      </c>
      <c r="B107" s="6">
        <f>COUNTIF('Entetes_TriNumInterne'!$B$2:$B$723,A107)</f>
        <v/>
      </c>
    </row>
    <row r="108">
      <c r="A108" s="3" t="inlineStr">
        <is>
          <t>001141</t>
        </is>
      </c>
      <c r="B108" s="6">
        <f>COUNTIF('Entetes_TriNumInterne'!$B$2:$B$723,A108)</f>
        <v/>
      </c>
    </row>
    <row r="109">
      <c r="A109" s="3" t="inlineStr">
        <is>
          <t>001142</t>
        </is>
      </c>
      <c r="B109" s="6">
        <f>COUNTIF('Entetes_TriNumInterne'!$B$2:$B$723,A109)</f>
        <v/>
      </c>
    </row>
    <row r="110">
      <c r="A110" s="3" t="inlineStr">
        <is>
          <t>001144</t>
        </is>
      </c>
      <c r="B110" s="6">
        <f>COUNTIF('Entetes_TriNumInterne'!$B$2:$B$723,A110)</f>
        <v/>
      </c>
    </row>
    <row r="111">
      <c r="A111" s="3" t="inlineStr">
        <is>
          <t>001145</t>
        </is>
      </c>
      <c r="B111" s="6">
        <f>COUNTIF('Entetes_TriNumInterne'!$B$2:$B$723,A111)</f>
        <v/>
      </c>
    </row>
    <row r="112">
      <c r="A112" s="3" t="inlineStr">
        <is>
          <t>001146</t>
        </is>
      </c>
      <c r="B112" s="6">
        <f>COUNTIF('Entetes_TriNumInterne'!$B$2:$B$723,A112)</f>
        <v/>
      </c>
    </row>
    <row r="113">
      <c r="A113" s="3" t="inlineStr">
        <is>
          <t>001147</t>
        </is>
      </c>
      <c r="B113" s="6">
        <f>COUNTIF('Entetes_TriNumInterne'!$B$2:$B$723,A113)</f>
        <v/>
      </c>
    </row>
    <row r="114">
      <c r="A114" s="3" t="inlineStr">
        <is>
          <t>001148</t>
        </is>
      </c>
      <c r="B114" s="6">
        <f>COUNTIF('Entetes_TriNumInterne'!$B$2:$B$723,A114)</f>
        <v/>
      </c>
    </row>
    <row r="115">
      <c r="A115" s="3" t="inlineStr">
        <is>
          <t>001149</t>
        </is>
      </c>
      <c r="B115" s="6">
        <f>COUNTIF('Entetes_TriNumInterne'!$B$2:$B$723,A115)</f>
        <v/>
      </c>
    </row>
    <row r="116">
      <c r="A116" s="3" t="inlineStr">
        <is>
          <t>001150</t>
        </is>
      </c>
      <c r="B116" s="6">
        <f>COUNTIF('Entetes_TriNumInterne'!$B$2:$B$723,A116)</f>
        <v/>
      </c>
    </row>
    <row r="117">
      <c r="A117" s="3" t="inlineStr">
        <is>
          <t>001152</t>
        </is>
      </c>
      <c r="B117" s="6">
        <f>COUNTIF('Entetes_TriNumInterne'!$B$2:$B$723,A117)</f>
        <v/>
      </c>
    </row>
    <row r="118">
      <c r="A118" s="3" t="inlineStr">
        <is>
          <t>001153</t>
        </is>
      </c>
      <c r="B118" s="6">
        <f>COUNTIF('Entetes_TriNumInterne'!$B$2:$B$723,A118)</f>
        <v/>
      </c>
    </row>
    <row r="119">
      <c r="A119" s="3" t="inlineStr">
        <is>
          <t>001154</t>
        </is>
      </c>
      <c r="B119" s="6">
        <f>COUNTIF('Entetes_TriNumInterne'!$B$2:$B$723,A119)</f>
        <v/>
      </c>
    </row>
    <row r="120">
      <c r="A120" s="3" t="inlineStr">
        <is>
          <t>001155</t>
        </is>
      </c>
      <c r="B120" s="6">
        <f>COUNTIF('Entetes_TriNumInterne'!$B$2:$B$723,A120)</f>
        <v/>
      </c>
    </row>
    <row r="121">
      <c r="A121" s="3" t="inlineStr">
        <is>
          <t>001156</t>
        </is>
      </c>
      <c r="B121" s="6">
        <f>COUNTIF('Entetes_TriNumInterne'!$B$2:$B$723,A121)</f>
        <v/>
      </c>
    </row>
    <row r="122">
      <c r="A122" s="3" t="inlineStr">
        <is>
          <t>001157</t>
        </is>
      </c>
      <c r="B122" s="6">
        <f>COUNTIF('Entetes_TriNumInterne'!$B$2:$B$723,A122)</f>
        <v/>
      </c>
    </row>
    <row r="123">
      <c r="A123" s="3" t="inlineStr">
        <is>
          <t>001162</t>
        </is>
      </c>
      <c r="B123" s="6">
        <f>COUNTIF('Entetes_TriNumInterne'!$B$2:$B$723,A123)</f>
        <v/>
      </c>
    </row>
    <row r="124">
      <c r="A124" s="3" t="inlineStr">
        <is>
          <t>001164</t>
        </is>
      </c>
      <c r="B124" s="6">
        <f>COUNTIF('Entetes_TriNumInterne'!$B$2:$B$723,A124)</f>
        <v/>
      </c>
    </row>
    <row r="125">
      <c r="A125" s="3" t="inlineStr">
        <is>
          <t>001165</t>
        </is>
      </c>
      <c r="B125" s="6">
        <f>COUNTIF('Entetes_TriNumInterne'!$B$2:$B$723,A125)</f>
        <v/>
      </c>
    </row>
    <row r="126">
      <c r="A126" s="3" t="inlineStr">
        <is>
          <t>001166</t>
        </is>
      </c>
      <c r="B126" s="6">
        <f>COUNTIF('Entetes_TriNumInterne'!$B$2:$B$723,A126)</f>
        <v/>
      </c>
    </row>
    <row r="127">
      <c r="A127" s="3" t="inlineStr">
        <is>
          <t>001167</t>
        </is>
      </c>
      <c r="B127" s="6">
        <f>COUNTIF('Entetes_TriNumInterne'!$B$2:$B$723,A127)</f>
        <v/>
      </c>
    </row>
    <row r="128">
      <c r="A128" s="3" t="inlineStr">
        <is>
          <t>001168</t>
        </is>
      </c>
      <c r="B128" s="6">
        <f>COUNTIF('Entetes_TriNumInterne'!$B$2:$B$723,A128)</f>
        <v/>
      </c>
    </row>
    <row r="129">
      <c r="A129" s="3" t="inlineStr">
        <is>
          <t>001169</t>
        </is>
      </c>
      <c r="B129" s="6">
        <f>COUNTIF('Entetes_TriNumInterne'!$B$2:$B$723,A129)</f>
        <v/>
      </c>
    </row>
    <row r="130">
      <c r="A130" s="3" t="inlineStr">
        <is>
          <t>001170</t>
        </is>
      </c>
      <c r="B130" s="6">
        <f>COUNTIF('Entetes_TriNumInterne'!$B$2:$B$723,A130)</f>
        <v/>
      </c>
    </row>
    <row r="131">
      <c r="A131" s="3" t="inlineStr">
        <is>
          <t>001171</t>
        </is>
      </c>
      <c r="B131" s="6">
        <f>COUNTIF('Entetes_TriNumInterne'!$B$2:$B$723,A131)</f>
        <v/>
      </c>
    </row>
    <row r="132">
      <c r="A132" s="3" t="inlineStr">
        <is>
          <t>001172</t>
        </is>
      </c>
      <c r="B132" s="6">
        <f>COUNTIF('Entetes_TriNumInterne'!$B$2:$B$723,A132)</f>
        <v/>
      </c>
    </row>
    <row r="133">
      <c r="A133" s="3" t="inlineStr">
        <is>
          <t>001174</t>
        </is>
      </c>
      <c r="B133" s="6">
        <f>COUNTIF('Entetes_TriNumInterne'!$B$2:$B$723,A133)</f>
        <v/>
      </c>
    </row>
    <row r="134">
      <c r="A134" s="3" t="inlineStr">
        <is>
          <t>001175</t>
        </is>
      </c>
      <c r="B134" s="6">
        <f>COUNTIF('Entetes_TriNumInterne'!$B$2:$B$723,A134)</f>
        <v/>
      </c>
    </row>
    <row r="135">
      <c r="A135" s="3" t="inlineStr">
        <is>
          <t>001176</t>
        </is>
      </c>
      <c r="B135" s="6">
        <f>COUNTIF('Entetes_TriNumInterne'!$B$2:$B$723,A135)</f>
        <v/>
      </c>
    </row>
    <row r="136">
      <c r="A136" s="3" t="inlineStr">
        <is>
          <t>001177</t>
        </is>
      </c>
      <c r="B136" s="6">
        <f>COUNTIF('Entetes_TriNumInterne'!$B$2:$B$723,A136)</f>
        <v/>
      </c>
    </row>
    <row r="137">
      <c r="A137" s="3" t="inlineStr">
        <is>
          <t>001178</t>
        </is>
      </c>
      <c r="B137" s="6">
        <f>COUNTIF('Entetes_TriNumInterne'!$B$2:$B$723,A137)</f>
        <v/>
      </c>
    </row>
    <row r="138">
      <c r="A138" s="3" t="inlineStr">
        <is>
          <t>001179</t>
        </is>
      </c>
      <c r="B138" s="6">
        <f>COUNTIF('Entetes_TriNumInterne'!$B$2:$B$723,A138)</f>
        <v/>
      </c>
    </row>
    <row r="139">
      <c r="A139" s="3" t="inlineStr">
        <is>
          <t>001180</t>
        </is>
      </c>
      <c r="B139" s="6">
        <f>COUNTIF('Entetes_TriNumInterne'!$B$2:$B$723,A139)</f>
        <v/>
      </c>
    </row>
    <row r="140">
      <c r="A140" s="3" t="inlineStr">
        <is>
          <t>001181</t>
        </is>
      </c>
      <c r="B140" s="6">
        <f>COUNTIF('Entetes_TriNumInterne'!$B$2:$B$723,A140)</f>
        <v/>
      </c>
    </row>
    <row r="141">
      <c r="A141" s="3" t="inlineStr">
        <is>
          <t>001182</t>
        </is>
      </c>
      <c r="B141" s="6">
        <f>COUNTIF('Entetes_TriNumInterne'!$B$2:$B$723,A141)</f>
        <v/>
      </c>
    </row>
    <row r="142">
      <c r="A142" s="3" t="inlineStr">
        <is>
          <t>001184</t>
        </is>
      </c>
      <c r="B142" s="6">
        <f>COUNTIF('Entetes_TriNumInterne'!$B$2:$B$723,A142)</f>
        <v/>
      </c>
    </row>
    <row r="143">
      <c r="A143" s="3" t="inlineStr">
        <is>
          <t>001186</t>
        </is>
      </c>
      <c r="B143" s="6">
        <f>COUNTIF('Entetes_TriNumInterne'!$B$2:$B$723,A143)</f>
        <v/>
      </c>
    </row>
    <row r="144">
      <c r="A144" s="3" t="inlineStr">
        <is>
          <t>001187</t>
        </is>
      </c>
      <c r="B144" s="6">
        <f>COUNTIF('Entetes_TriNumInterne'!$B$2:$B$723,A144)</f>
        <v/>
      </c>
    </row>
    <row r="145">
      <c r="A145" s="3" t="inlineStr">
        <is>
          <t>001188</t>
        </is>
      </c>
      <c r="B145" s="6">
        <f>COUNTIF('Entetes_TriNumInterne'!$B$2:$B$723,A145)</f>
        <v/>
      </c>
    </row>
    <row r="146">
      <c r="A146" s="3" t="inlineStr">
        <is>
          <t>001189</t>
        </is>
      </c>
      <c r="B146" s="6">
        <f>COUNTIF('Entetes_TriNumInterne'!$B$2:$B$723,A146)</f>
        <v/>
      </c>
    </row>
    <row r="147">
      <c r="A147" s="3" t="inlineStr">
        <is>
          <t>001190</t>
        </is>
      </c>
      <c r="B147" s="6">
        <f>COUNTIF('Entetes_TriNumInterne'!$B$2:$B$723,A147)</f>
        <v/>
      </c>
    </row>
    <row r="148">
      <c r="A148" s="3" t="inlineStr">
        <is>
          <t>001194</t>
        </is>
      </c>
      <c r="B148" s="6">
        <f>COUNTIF('Entetes_TriNumInterne'!$B$2:$B$723,A148)</f>
        <v/>
      </c>
    </row>
    <row r="149">
      <c r="A149" s="3" t="inlineStr">
        <is>
          <t>001195</t>
        </is>
      </c>
      <c r="B149" s="6">
        <f>COUNTIF('Entetes_TriNumInterne'!$B$2:$B$723,A149)</f>
        <v/>
      </c>
    </row>
    <row r="150">
      <c r="A150" s="3" t="inlineStr">
        <is>
          <t>001196</t>
        </is>
      </c>
      <c r="B150" s="6">
        <f>COUNTIF('Entetes_TriNumInterne'!$B$2:$B$723,A150)</f>
        <v/>
      </c>
    </row>
    <row r="151">
      <c r="A151" s="3" t="inlineStr">
        <is>
          <t>001197</t>
        </is>
      </c>
      <c r="B151" s="6">
        <f>COUNTIF('Entetes_TriNumInterne'!$B$2:$B$723,A151)</f>
        <v/>
      </c>
    </row>
    <row r="152">
      <c r="A152" s="3" t="inlineStr">
        <is>
          <t>001198</t>
        </is>
      </c>
      <c r="B152" s="6">
        <f>COUNTIF('Entetes_TriNumInterne'!$B$2:$B$723,A152)</f>
        <v/>
      </c>
    </row>
    <row r="153">
      <c r="A153" s="3" t="inlineStr">
        <is>
          <t>001202</t>
        </is>
      </c>
      <c r="B153" s="6">
        <f>COUNTIF('Entetes_TriNumInterne'!$B$2:$B$723,A153)</f>
        <v/>
      </c>
    </row>
    <row r="154">
      <c r="A154" s="3" t="inlineStr">
        <is>
          <t>001203</t>
        </is>
      </c>
      <c r="B154" s="6">
        <f>COUNTIF('Entetes_TriNumInterne'!$B$2:$B$723,A154)</f>
        <v/>
      </c>
    </row>
    <row r="155">
      <c r="A155" s="3" t="inlineStr">
        <is>
          <t>001204</t>
        </is>
      </c>
      <c r="B155" s="6">
        <f>COUNTIF('Entetes_TriNumInterne'!$B$2:$B$723,A155)</f>
        <v/>
      </c>
    </row>
    <row r="156">
      <c r="A156" s="3" t="inlineStr">
        <is>
          <t>001205</t>
        </is>
      </c>
      <c r="B156" s="6">
        <f>COUNTIF('Entetes_TriNumInterne'!$B$2:$B$723,A156)</f>
        <v/>
      </c>
    </row>
    <row r="157">
      <c r="A157" s="3" t="inlineStr">
        <is>
          <t>001206</t>
        </is>
      </c>
      <c r="B157" s="6">
        <f>COUNTIF('Entetes_TriNumInterne'!$B$2:$B$723,A157)</f>
        <v/>
      </c>
    </row>
    <row r="158">
      <c r="A158" s="3" t="inlineStr">
        <is>
          <t>001207</t>
        </is>
      </c>
      <c r="B158" s="6">
        <f>COUNTIF('Entetes_TriNumInterne'!$B$2:$B$723,A158)</f>
        <v/>
      </c>
    </row>
    <row r="159">
      <c r="A159" s="3" t="inlineStr">
        <is>
          <t>001208</t>
        </is>
      </c>
      <c r="B159" s="6">
        <f>COUNTIF('Entetes_TriNumInterne'!$B$2:$B$723,A159)</f>
        <v/>
      </c>
    </row>
    <row r="160">
      <c r="A160" s="3" t="inlineStr">
        <is>
          <t>001209</t>
        </is>
      </c>
      <c r="B160" s="6">
        <f>COUNTIF('Entetes_TriNumInterne'!$B$2:$B$723,A160)</f>
        <v/>
      </c>
    </row>
    <row r="161">
      <c r="A161" s="3" t="inlineStr">
        <is>
          <t>001210</t>
        </is>
      </c>
      <c r="B161" s="6">
        <f>COUNTIF('Entetes_TriNumInterne'!$B$2:$B$723,A161)</f>
        <v/>
      </c>
    </row>
    <row r="162">
      <c r="A162" s="3" t="inlineStr">
        <is>
          <t>001211</t>
        </is>
      </c>
      <c r="B162" s="6">
        <f>COUNTIF('Entetes_TriNumInterne'!$B$2:$B$723,A162)</f>
        <v/>
      </c>
    </row>
    <row r="163">
      <c r="A163" s="3" t="inlineStr">
        <is>
          <t>001212</t>
        </is>
      </c>
      <c r="B163" s="6">
        <f>COUNTIF('Entetes_TriNumInterne'!$B$2:$B$723,A163)</f>
        <v/>
      </c>
    </row>
    <row r="164">
      <c r="A164" s="3" t="inlineStr">
        <is>
          <t>001213</t>
        </is>
      </c>
      <c r="B164" s="6">
        <f>COUNTIF('Entetes_TriNumInterne'!$B$2:$B$723,A164)</f>
        <v/>
      </c>
    </row>
    <row r="165">
      <c r="A165" s="3" t="inlineStr">
        <is>
          <t>001214</t>
        </is>
      </c>
      <c r="B165" s="6">
        <f>COUNTIF('Entetes_TriNumInterne'!$B$2:$B$723,A165)</f>
        <v/>
      </c>
    </row>
    <row r="166">
      <c r="A166" s="3" t="inlineStr">
        <is>
          <t>001215</t>
        </is>
      </c>
      <c r="B166" s="6">
        <f>COUNTIF('Entetes_TriNumInterne'!$B$2:$B$723,A166)</f>
        <v/>
      </c>
    </row>
    <row r="167">
      <c r="A167" s="3" t="inlineStr">
        <is>
          <t>001216</t>
        </is>
      </c>
      <c r="B167" s="6">
        <f>COUNTIF('Entetes_TriNumInterne'!$B$2:$B$723,A167)</f>
        <v/>
      </c>
    </row>
    <row r="168">
      <c r="A168" s="3" t="inlineStr">
        <is>
          <t>001217</t>
        </is>
      </c>
      <c r="B168" s="6">
        <f>COUNTIF('Entetes_TriNumInterne'!$B$2:$B$723,A168)</f>
        <v/>
      </c>
    </row>
    <row r="169">
      <c r="A169" s="3" t="inlineStr">
        <is>
          <t>001218</t>
        </is>
      </c>
      <c r="B169" s="6">
        <f>COUNTIF('Entetes_TriNumInterne'!$B$2:$B$723,A169)</f>
        <v/>
      </c>
    </row>
    <row r="170">
      <c r="A170" s="3" t="inlineStr">
        <is>
          <t>001219</t>
        </is>
      </c>
      <c r="B170" s="6">
        <f>COUNTIF('Entetes_TriNumInterne'!$B$2:$B$723,A170)</f>
        <v/>
      </c>
    </row>
    <row r="171">
      <c r="A171" s="3" t="inlineStr">
        <is>
          <t>001220</t>
        </is>
      </c>
      <c r="B171" s="6">
        <f>COUNTIF('Entetes_TriNumInterne'!$B$2:$B$723,A171)</f>
        <v/>
      </c>
    </row>
    <row r="172">
      <c r="A172" s="3" t="inlineStr">
        <is>
          <t>001222</t>
        </is>
      </c>
      <c r="B172" s="6">
        <f>COUNTIF('Entetes_TriNumInterne'!$B$2:$B$723,A172)</f>
        <v/>
      </c>
    </row>
    <row r="173">
      <c r="A173" s="3" t="inlineStr">
        <is>
          <t>001223</t>
        </is>
      </c>
      <c r="B173" s="6">
        <f>COUNTIF('Entetes_TriNumInterne'!$B$2:$B$723,A173)</f>
        <v/>
      </c>
    </row>
    <row r="174">
      <c r="A174" s="3" t="inlineStr">
        <is>
          <t>001224</t>
        </is>
      </c>
      <c r="B174" s="6">
        <f>COUNTIF('Entetes_TriNumInterne'!$B$2:$B$723,A174)</f>
        <v/>
      </c>
    </row>
    <row r="175">
      <c r="A175" s="3" t="inlineStr">
        <is>
          <t>001225</t>
        </is>
      </c>
      <c r="B175" s="6">
        <f>COUNTIF('Entetes_TriNumInterne'!$B$2:$B$723,A175)</f>
        <v/>
      </c>
    </row>
    <row r="176">
      <c r="A176" s="3" t="inlineStr">
        <is>
          <t>001226</t>
        </is>
      </c>
      <c r="B176" s="6">
        <f>COUNTIF('Entetes_TriNumInterne'!$B$2:$B$723,A176)</f>
        <v/>
      </c>
    </row>
    <row r="177">
      <c r="A177" s="3" t="inlineStr">
        <is>
          <t>001228</t>
        </is>
      </c>
      <c r="B177" s="6">
        <f>COUNTIF('Entetes_TriNumInterne'!$B$2:$B$723,A177)</f>
        <v/>
      </c>
    </row>
    <row r="178">
      <c r="A178" s="3" t="inlineStr">
        <is>
          <t>001229</t>
        </is>
      </c>
      <c r="B178" s="6">
        <f>COUNTIF('Entetes_TriNumInterne'!$B$2:$B$723,A178)</f>
        <v/>
      </c>
    </row>
    <row r="179">
      <c r="A179" s="3" t="inlineStr">
        <is>
          <t>001230</t>
        </is>
      </c>
      <c r="B179" s="6">
        <f>COUNTIF('Entetes_TriNumInterne'!$B$2:$B$723,A179)</f>
        <v/>
      </c>
    </row>
    <row r="180">
      <c r="A180" s="3" t="inlineStr">
        <is>
          <t>001234</t>
        </is>
      </c>
      <c r="B180" s="6">
        <f>COUNTIF('Entetes_TriNumInterne'!$B$2:$B$723,A180)</f>
        <v/>
      </c>
    </row>
    <row r="181">
      <c r="A181" s="3" t="inlineStr">
        <is>
          <t>001235</t>
        </is>
      </c>
      <c r="B181" s="6">
        <f>COUNTIF('Entetes_TriNumInterne'!$B$2:$B$723,A181)</f>
        <v/>
      </c>
    </row>
    <row r="182">
      <c r="A182" s="3" t="inlineStr">
        <is>
          <t>001236</t>
        </is>
      </c>
      <c r="B182" s="6">
        <f>COUNTIF('Entetes_TriNumInterne'!$B$2:$B$723,A182)</f>
        <v/>
      </c>
    </row>
    <row r="183">
      <c r="A183" s="3" t="inlineStr">
        <is>
          <t>001237</t>
        </is>
      </c>
      <c r="B183" s="6">
        <f>COUNTIF('Entetes_TriNumInterne'!$B$2:$B$723,A183)</f>
        <v/>
      </c>
    </row>
    <row r="184">
      <c r="A184" s="3" t="inlineStr">
        <is>
          <t>001238</t>
        </is>
      </c>
      <c r="B184" s="6">
        <f>COUNTIF('Entetes_TriNumInterne'!$B$2:$B$723,A184)</f>
        <v/>
      </c>
    </row>
    <row r="185">
      <c r="A185" s="3" t="inlineStr">
        <is>
          <t>001239</t>
        </is>
      </c>
      <c r="B185" s="6">
        <f>COUNTIF('Entetes_TriNumInterne'!$B$2:$B$723,A185)</f>
        <v/>
      </c>
    </row>
    <row r="186">
      <c r="A186" s="3" t="inlineStr">
        <is>
          <t>001240</t>
        </is>
      </c>
      <c r="B186" s="6">
        <f>COUNTIF('Entetes_TriNumInterne'!$B$2:$B$723,A186)</f>
        <v/>
      </c>
    </row>
    <row r="187">
      <c r="A187" s="3" t="inlineStr">
        <is>
          <t>001246</t>
        </is>
      </c>
      <c r="B187" s="6">
        <f>COUNTIF('Entetes_TriNumInterne'!$B$2:$B$723,A187)</f>
        <v/>
      </c>
    </row>
    <row r="188">
      <c r="A188" s="3" t="inlineStr">
        <is>
          <t>001249</t>
        </is>
      </c>
      <c r="B188" s="6">
        <f>COUNTIF('Entetes_TriNumInterne'!$B$2:$B$723,A188)</f>
        <v/>
      </c>
    </row>
    <row r="189">
      <c r="A189" s="3" t="inlineStr">
        <is>
          <t>001260</t>
        </is>
      </c>
      <c r="B189" s="6">
        <f>COUNTIF('Entetes_TriNumInterne'!$B$2:$B$723,A189)</f>
        <v/>
      </c>
    </row>
    <row r="190">
      <c r="A190" s="3" t="inlineStr">
        <is>
          <t>001261</t>
        </is>
      </c>
      <c r="B190" s="6">
        <f>COUNTIF('Entetes_TriNumInterne'!$B$2:$B$723,A190)</f>
        <v/>
      </c>
    </row>
    <row r="191">
      <c r="A191" s="3" t="inlineStr">
        <is>
          <t>001262</t>
        </is>
      </c>
      <c r="B191" s="6">
        <f>COUNTIF('Entetes_TriNumInterne'!$B$2:$B$723,A191)</f>
        <v/>
      </c>
    </row>
    <row r="192">
      <c r="A192" s="3" t="inlineStr">
        <is>
          <t>001263</t>
        </is>
      </c>
      <c r="B192" s="6">
        <f>COUNTIF('Entetes_TriNumInterne'!$B$2:$B$723,A192)</f>
        <v/>
      </c>
    </row>
    <row r="193">
      <c r="A193" s="3" t="inlineStr">
        <is>
          <t>001264</t>
        </is>
      </c>
      <c r="B193" s="6">
        <f>COUNTIF('Entetes_TriNumInterne'!$B$2:$B$723,A193)</f>
        <v/>
      </c>
    </row>
    <row r="194">
      <c r="A194" s="3" t="inlineStr">
        <is>
          <t>001265</t>
        </is>
      </c>
      <c r="B194" s="6">
        <f>COUNTIF('Entetes_TriNumInterne'!$B$2:$B$723,A194)</f>
        <v/>
      </c>
    </row>
    <row r="195">
      <c r="A195" s="3" t="inlineStr">
        <is>
          <t>001266</t>
        </is>
      </c>
      <c r="B195" s="6">
        <f>COUNTIF('Entetes_TriNumInterne'!$B$2:$B$723,A195)</f>
        <v/>
      </c>
    </row>
    <row r="196">
      <c r="A196" s="3" t="inlineStr">
        <is>
          <t>001269</t>
        </is>
      </c>
      <c r="B196" s="6">
        <f>COUNTIF('Entetes_TriNumInterne'!$B$2:$B$723,A196)</f>
        <v/>
      </c>
    </row>
    <row r="197">
      <c r="A197" s="3" t="inlineStr">
        <is>
          <t>001270</t>
        </is>
      </c>
      <c r="B197" s="6">
        <f>COUNTIF('Entetes_TriNumInterne'!$B$2:$B$723,A197)</f>
        <v/>
      </c>
    </row>
    <row r="198">
      <c r="A198" s="3" t="inlineStr">
        <is>
          <t>001271</t>
        </is>
      </c>
      <c r="B198" s="6">
        <f>COUNTIF('Entetes_TriNumInterne'!$B$2:$B$723,A198)</f>
        <v/>
      </c>
    </row>
    <row r="199">
      <c r="A199" s="3" t="inlineStr">
        <is>
          <t>001272</t>
        </is>
      </c>
      <c r="B199" s="6">
        <f>COUNTIF('Entetes_TriNumInterne'!$B$2:$B$723,A199)</f>
        <v/>
      </c>
    </row>
    <row r="200">
      <c r="A200" s="3" t="inlineStr">
        <is>
          <t>001273</t>
        </is>
      </c>
      <c r="B200" s="6">
        <f>COUNTIF('Entetes_TriNumInterne'!$B$2:$B$723,A200)</f>
        <v/>
      </c>
    </row>
    <row r="201">
      <c r="A201" s="3" t="inlineStr">
        <is>
          <t>001274</t>
        </is>
      </c>
      <c r="B201" s="6">
        <f>COUNTIF('Entetes_TriNumInterne'!$B$2:$B$723,A201)</f>
        <v/>
      </c>
    </row>
    <row r="202">
      <c r="A202" s="3" t="inlineStr">
        <is>
          <t>001275</t>
        </is>
      </c>
      <c r="B202" s="6">
        <f>COUNTIF('Entetes_TriNumInterne'!$B$2:$B$723,A202)</f>
        <v/>
      </c>
    </row>
    <row r="203">
      <c r="A203" s="3" t="inlineStr">
        <is>
          <t>001276</t>
        </is>
      </c>
      <c r="B203" s="6">
        <f>COUNTIF('Entetes_TriNumInterne'!$B$2:$B$723,A203)</f>
        <v/>
      </c>
    </row>
    <row r="204">
      <c r="A204" s="3" t="inlineStr">
        <is>
          <t>001277</t>
        </is>
      </c>
      <c r="B204" s="6">
        <f>COUNTIF('Entetes_TriNumInterne'!$B$2:$B$723,A204)</f>
        <v/>
      </c>
    </row>
    <row r="205">
      <c r="A205" s="3" t="inlineStr">
        <is>
          <t>001278</t>
        </is>
      </c>
      <c r="B205" s="6">
        <f>COUNTIF('Entetes_TriNumInterne'!$B$2:$B$723,A205)</f>
        <v/>
      </c>
    </row>
    <row r="206">
      <c r="A206" s="3" t="inlineStr">
        <is>
          <t>001283</t>
        </is>
      </c>
      <c r="B206" s="6">
        <f>COUNTIF('Entetes_TriNumInterne'!$B$2:$B$723,A206)</f>
        <v/>
      </c>
    </row>
    <row r="207">
      <c r="A207" s="3" t="inlineStr">
        <is>
          <t>001284</t>
        </is>
      </c>
      <c r="B207" s="6">
        <f>COUNTIF('Entetes_TriNumInterne'!$B$2:$B$723,A207)</f>
        <v/>
      </c>
    </row>
    <row r="208">
      <c r="A208" s="3" t="inlineStr">
        <is>
          <t>001285</t>
        </is>
      </c>
      <c r="B208" s="6">
        <f>COUNTIF('Entetes_TriNumInterne'!$B$2:$B$723,A208)</f>
        <v/>
      </c>
    </row>
    <row r="209">
      <c r="A209" s="3" t="inlineStr">
        <is>
          <t>001287</t>
        </is>
      </c>
      <c r="B209" s="6">
        <f>COUNTIF('Entetes_TriNumInterne'!$B$2:$B$723,A209)</f>
        <v/>
      </c>
    </row>
    <row r="210">
      <c r="A210" s="3" t="inlineStr">
        <is>
          <t>001288</t>
        </is>
      </c>
      <c r="B210" s="6">
        <f>COUNTIF('Entetes_TriNumInterne'!$B$2:$B$723,A210)</f>
        <v/>
      </c>
    </row>
    <row r="211">
      <c r="A211" s="3" t="inlineStr">
        <is>
          <t>001289</t>
        </is>
      </c>
      <c r="B211" s="6">
        <f>COUNTIF('Entetes_TriNumInterne'!$B$2:$B$723,A211)</f>
        <v/>
      </c>
    </row>
    <row r="212">
      <c r="A212" s="3" t="inlineStr">
        <is>
          <t>001293</t>
        </is>
      </c>
      <c r="B212" s="6">
        <f>COUNTIF('Entetes_TriNumInterne'!$B$2:$B$723,A212)</f>
        <v/>
      </c>
    </row>
    <row r="213">
      <c r="A213" s="3" t="inlineStr">
        <is>
          <t>001296</t>
        </is>
      </c>
      <c r="B213" s="6">
        <f>COUNTIF('Entetes_TriNumInterne'!$B$2:$B$723,A213)</f>
        <v/>
      </c>
    </row>
    <row r="214">
      <c r="A214" s="3" t="inlineStr">
        <is>
          <t>001297</t>
        </is>
      </c>
      <c r="B214" s="6">
        <f>COUNTIF('Entetes_TriNumInterne'!$B$2:$B$723,A214)</f>
        <v/>
      </c>
    </row>
    <row r="215">
      <c r="A215" s="3" t="inlineStr">
        <is>
          <t>001300</t>
        </is>
      </c>
      <c r="B215" s="6">
        <f>COUNTIF('Entetes_TriNumInterne'!$B$2:$B$723,A215)</f>
        <v/>
      </c>
    </row>
    <row r="216">
      <c r="A216" s="3" t="inlineStr">
        <is>
          <t>001301</t>
        </is>
      </c>
      <c r="B216" s="6">
        <f>COUNTIF('Entetes_TriNumInterne'!$B$2:$B$723,A216)</f>
        <v/>
      </c>
    </row>
    <row r="217">
      <c r="A217" s="3" t="inlineStr">
        <is>
          <t>001302</t>
        </is>
      </c>
      <c r="B217" s="6">
        <f>COUNTIF('Entetes_TriNumInterne'!$B$2:$B$723,A217)</f>
        <v/>
      </c>
    </row>
    <row r="218">
      <c r="A218" s="3" t="inlineStr">
        <is>
          <t>001304</t>
        </is>
      </c>
      <c r="B218" s="6">
        <f>COUNTIF('Entetes_TriNumInterne'!$B$2:$B$723,A218)</f>
        <v/>
      </c>
    </row>
    <row r="219">
      <c r="A219" s="3" t="inlineStr">
        <is>
          <t>001306</t>
        </is>
      </c>
      <c r="B219" s="6">
        <f>COUNTIF('Entetes_TriNumInterne'!$B$2:$B$723,A219)</f>
        <v/>
      </c>
    </row>
    <row r="220">
      <c r="A220" s="3" t="inlineStr">
        <is>
          <t>001307</t>
        </is>
      </c>
      <c r="B220" s="6">
        <f>COUNTIF('Entetes_TriNumInterne'!$B$2:$B$723,A220)</f>
        <v/>
      </c>
    </row>
    <row r="221">
      <c r="A221" s="3" t="inlineStr">
        <is>
          <t>001308</t>
        </is>
      </c>
      <c r="B221" s="6">
        <f>COUNTIF('Entetes_TriNumInterne'!$B$2:$B$723,A221)</f>
        <v/>
      </c>
    </row>
    <row r="222">
      <c r="A222" s="3" t="inlineStr">
        <is>
          <t>001310</t>
        </is>
      </c>
      <c r="B222" s="6">
        <f>COUNTIF('Entetes_TriNumInterne'!$B$2:$B$723,A222)</f>
        <v/>
      </c>
    </row>
    <row r="223">
      <c r="A223" s="3" t="inlineStr">
        <is>
          <t>001311</t>
        </is>
      </c>
      <c r="B223" s="6">
        <f>COUNTIF('Entetes_TriNumInterne'!$B$2:$B$723,A223)</f>
        <v/>
      </c>
    </row>
    <row r="224">
      <c r="A224" s="3" t="inlineStr">
        <is>
          <t>001312</t>
        </is>
      </c>
      <c r="B224" s="6">
        <f>COUNTIF('Entetes_TriNumInterne'!$B$2:$B$723,A224)</f>
        <v/>
      </c>
    </row>
    <row r="225">
      <c r="A225" s="3" t="inlineStr">
        <is>
          <t>001316</t>
        </is>
      </c>
      <c r="B225" s="6">
        <f>COUNTIF('Entetes_TriNumInterne'!$B$2:$B$723,A225)</f>
        <v/>
      </c>
    </row>
    <row r="226">
      <c r="A226" s="3" t="inlineStr">
        <is>
          <t>001319</t>
        </is>
      </c>
      <c r="B226" s="6">
        <f>COUNTIF('Entetes_TriNumInterne'!$B$2:$B$723,A226)</f>
        <v/>
      </c>
    </row>
    <row r="227">
      <c r="A227" s="3" t="inlineStr">
        <is>
          <t>001320</t>
        </is>
      </c>
      <c r="B227" s="6">
        <f>COUNTIF('Entetes_TriNumInterne'!$B$2:$B$723,A227)</f>
        <v/>
      </c>
    </row>
    <row r="228">
      <c r="A228" s="3" t="inlineStr">
        <is>
          <t>001322</t>
        </is>
      </c>
      <c r="B228" s="6">
        <f>COUNTIF('Entetes_TriNumInterne'!$B$2:$B$723,A228)</f>
        <v/>
      </c>
    </row>
    <row r="229">
      <c r="A229" s="3" t="inlineStr">
        <is>
          <t>001323</t>
        </is>
      </c>
      <c r="B229" s="6">
        <f>COUNTIF('Entetes_TriNumInterne'!$B$2:$B$723,A229)</f>
        <v/>
      </c>
    </row>
    <row r="230">
      <c r="A230" s="3" t="inlineStr">
        <is>
          <t>001324</t>
        </is>
      </c>
      <c r="B230" s="6">
        <f>COUNTIF('Entetes_TriNumInterne'!$B$2:$B$723,A230)</f>
        <v/>
      </c>
    </row>
    <row r="231">
      <c r="A231" s="3" t="inlineStr">
        <is>
          <t>001326</t>
        </is>
      </c>
      <c r="B231" s="6">
        <f>COUNTIF('Entetes_TriNumInterne'!$B$2:$B$723,A231)</f>
        <v/>
      </c>
    </row>
    <row r="232">
      <c r="A232" s="3" t="inlineStr">
        <is>
          <t>001327</t>
        </is>
      </c>
      <c r="B232" s="6">
        <f>COUNTIF('Entetes_TriNumInterne'!$B$2:$B$723,A232)</f>
        <v/>
      </c>
    </row>
    <row r="233">
      <c r="A233" s="3" t="inlineStr">
        <is>
          <t>001328</t>
        </is>
      </c>
      <c r="B233" s="6">
        <f>COUNTIF('Entetes_TriNumInterne'!$B$2:$B$723,A233)</f>
        <v/>
      </c>
    </row>
    <row r="234">
      <c r="A234" s="3" t="inlineStr">
        <is>
          <t>001329</t>
        </is>
      </c>
      <c r="B234" s="6">
        <f>COUNTIF('Entetes_TriNumInterne'!$B$2:$B$723,A234)</f>
        <v/>
      </c>
    </row>
    <row r="235">
      <c r="A235" s="3" t="inlineStr">
        <is>
          <t>001330</t>
        </is>
      </c>
      <c r="B235" s="6">
        <f>COUNTIF('Entetes_TriNumInterne'!$B$2:$B$723,A235)</f>
        <v/>
      </c>
    </row>
    <row r="236">
      <c r="A236" s="3" t="inlineStr">
        <is>
          <t>001331</t>
        </is>
      </c>
      <c r="B236" s="6">
        <f>COUNTIF('Entetes_TriNumInterne'!$B$2:$B$723,A236)</f>
        <v/>
      </c>
    </row>
    <row r="237">
      <c r="A237" s="3" t="inlineStr">
        <is>
          <t>001340</t>
        </is>
      </c>
      <c r="B237" s="6">
        <f>COUNTIF('Entetes_TriNumInterne'!$B$2:$B$723,A237)</f>
        <v/>
      </c>
    </row>
    <row r="238">
      <c r="A238" s="3" t="inlineStr">
        <is>
          <t>001342</t>
        </is>
      </c>
      <c r="B238" s="6">
        <f>COUNTIF('Entetes_TriNumInterne'!$B$2:$B$723,A238)</f>
        <v/>
      </c>
    </row>
    <row r="239">
      <c r="A239" s="3" t="inlineStr">
        <is>
          <t>001343</t>
        </is>
      </c>
      <c r="B239" s="6">
        <f>COUNTIF('Entetes_TriNumInterne'!$B$2:$B$723,A239)</f>
        <v/>
      </c>
    </row>
    <row r="240">
      <c r="A240" s="3" t="inlineStr">
        <is>
          <t>001344</t>
        </is>
      </c>
      <c r="B240" s="6">
        <f>COUNTIF('Entetes_TriNumInterne'!$B$2:$B$723,A240)</f>
        <v/>
      </c>
    </row>
    <row r="241">
      <c r="A241" s="3" t="inlineStr">
        <is>
          <t>001345</t>
        </is>
      </c>
      <c r="B241" s="6">
        <f>COUNTIF('Entetes_TriNumInterne'!$B$2:$B$723,A241)</f>
        <v/>
      </c>
    </row>
    <row r="242">
      <c r="A242" s="3" t="inlineStr">
        <is>
          <t>001346</t>
        </is>
      </c>
      <c r="B242" s="6">
        <f>COUNTIF('Entetes_TriNumInterne'!$B$2:$B$723,A242)</f>
        <v/>
      </c>
    </row>
    <row r="243">
      <c r="A243" s="3" t="inlineStr">
        <is>
          <t>001347</t>
        </is>
      </c>
      <c r="B243" s="6">
        <f>COUNTIF('Entetes_TriNumInterne'!$B$2:$B$723,A243)</f>
        <v/>
      </c>
    </row>
    <row r="244">
      <c r="A244" s="3" t="inlineStr">
        <is>
          <t>001348</t>
        </is>
      </c>
      <c r="B244" s="6">
        <f>COUNTIF('Entetes_TriNumInterne'!$B$2:$B$723,A244)</f>
        <v/>
      </c>
    </row>
    <row r="245">
      <c r="A245" s="3" t="inlineStr">
        <is>
          <t>001349</t>
        </is>
      </c>
      <c r="B245" s="6">
        <f>COUNTIF('Entetes_TriNumInterne'!$B$2:$B$723,A245)</f>
        <v/>
      </c>
    </row>
    <row r="246">
      <c r="A246" s="3" t="inlineStr">
        <is>
          <t>001350</t>
        </is>
      </c>
      <c r="B246" s="6">
        <f>COUNTIF('Entetes_TriNumInterne'!$B$2:$B$723,A246)</f>
        <v/>
      </c>
    </row>
    <row r="247">
      <c r="A247" s="3" t="inlineStr">
        <is>
          <t>001351</t>
        </is>
      </c>
      <c r="B247" s="6">
        <f>COUNTIF('Entetes_TriNumInterne'!$B$2:$B$723,A247)</f>
        <v/>
      </c>
    </row>
    <row r="248">
      <c r="A248" s="3" t="inlineStr">
        <is>
          <t>001352</t>
        </is>
      </c>
      <c r="B248" s="6">
        <f>COUNTIF('Entetes_TriNumInterne'!$B$2:$B$723,A248)</f>
        <v/>
      </c>
    </row>
    <row r="249">
      <c r="A249" s="3" t="inlineStr">
        <is>
          <t>001355</t>
        </is>
      </c>
      <c r="B249" s="6">
        <f>COUNTIF('Entetes_TriNumInterne'!$B$2:$B$723,A249)</f>
        <v/>
      </c>
    </row>
    <row r="250">
      <c r="A250" s="3" t="inlineStr">
        <is>
          <t>001356</t>
        </is>
      </c>
      <c r="B250" s="6">
        <f>COUNTIF('Entetes_TriNumInterne'!$B$2:$B$723,A250)</f>
        <v/>
      </c>
    </row>
    <row r="251">
      <c r="A251" s="3" t="inlineStr">
        <is>
          <t>001357</t>
        </is>
      </c>
      <c r="B251" s="6">
        <f>COUNTIF('Entetes_TriNumInterne'!$B$2:$B$723,A251)</f>
        <v/>
      </c>
    </row>
    <row r="252">
      <c r="A252" s="3" t="inlineStr">
        <is>
          <t>001358</t>
        </is>
      </c>
      <c r="B252" s="6">
        <f>COUNTIF('Entetes_TriNumInterne'!$B$2:$B$723,A252)</f>
        <v/>
      </c>
    </row>
    <row r="253">
      <c r="A253" s="3" t="inlineStr">
        <is>
          <t>001359</t>
        </is>
      </c>
      <c r="B253" s="6">
        <f>COUNTIF('Entetes_TriNumInterne'!$B$2:$B$723,A253)</f>
        <v/>
      </c>
    </row>
    <row r="254">
      <c r="A254" s="3" t="inlineStr">
        <is>
          <t>001360</t>
        </is>
      </c>
      <c r="B254" s="6">
        <f>COUNTIF('Entetes_TriNumInterne'!$B$2:$B$723,A254)</f>
        <v/>
      </c>
    </row>
    <row r="255">
      <c r="A255" s="3" t="inlineStr">
        <is>
          <t>001361</t>
        </is>
      </c>
      <c r="B255" s="6">
        <f>COUNTIF('Entetes_TriNumInterne'!$B$2:$B$723,A255)</f>
        <v/>
      </c>
    </row>
    <row r="256">
      <c r="A256" s="3" t="inlineStr">
        <is>
          <t>001362</t>
        </is>
      </c>
      <c r="B256" s="6">
        <f>COUNTIF('Entetes_TriNumInterne'!$B$2:$B$723,A256)</f>
        <v/>
      </c>
    </row>
    <row r="257">
      <c r="A257" s="3" t="inlineStr">
        <is>
          <t>001363</t>
        </is>
      </c>
      <c r="B257" s="6">
        <f>COUNTIF('Entetes_TriNumInterne'!$B$2:$B$723,A257)</f>
        <v/>
      </c>
    </row>
    <row r="258">
      <c r="A258" s="3" t="inlineStr">
        <is>
          <t>001366</t>
        </is>
      </c>
      <c r="B258" s="6">
        <f>COUNTIF('Entetes_TriNumInterne'!$B$2:$B$723,A258)</f>
        <v/>
      </c>
    </row>
    <row r="259">
      <c r="A259" s="3" t="inlineStr">
        <is>
          <t>001369</t>
        </is>
      </c>
      <c r="B259" s="6">
        <f>COUNTIF('Entetes_TriNumInterne'!$B$2:$B$723,A259)</f>
        <v/>
      </c>
    </row>
    <row r="260">
      <c r="A260" s="3" t="inlineStr">
        <is>
          <t>001370</t>
        </is>
      </c>
      <c r="B260" s="6">
        <f>COUNTIF('Entetes_TriNumInterne'!$B$2:$B$723,A260)</f>
        <v/>
      </c>
    </row>
    <row r="261">
      <c r="A261" s="3" t="inlineStr">
        <is>
          <t>001371</t>
        </is>
      </c>
      <c r="B261" s="6">
        <f>COUNTIF('Entetes_TriNumInterne'!$B$2:$B$723,A261)</f>
        <v/>
      </c>
    </row>
    <row r="262">
      <c r="A262" s="3" t="inlineStr">
        <is>
          <t>001375</t>
        </is>
      </c>
      <c r="B262" s="6">
        <f>COUNTIF('Entetes_TriNumInterne'!$B$2:$B$723,A262)</f>
        <v/>
      </c>
    </row>
    <row r="263">
      <c r="A263" s="3" t="inlineStr">
        <is>
          <t>001376</t>
        </is>
      </c>
      <c r="B263" s="6">
        <f>COUNTIF('Entetes_TriNumInterne'!$B$2:$B$723,A263)</f>
        <v/>
      </c>
    </row>
    <row r="264">
      <c r="A264" s="3" t="inlineStr">
        <is>
          <t>001377</t>
        </is>
      </c>
      <c r="B264" s="6">
        <f>COUNTIF('Entetes_TriNumInterne'!$B$2:$B$723,A264)</f>
        <v/>
      </c>
    </row>
    <row r="265">
      <c r="A265" s="3" t="inlineStr">
        <is>
          <t>001383</t>
        </is>
      </c>
      <c r="B265" s="6">
        <f>COUNTIF('Entetes_TriNumInterne'!$B$2:$B$723,A265)</f>
        <v/>
      </c>
    </row>
    <row r="266">
      <c r="A266" s="3" t="inlineStr">
        <is>
          <t>001384</t>
        </is>
      </c>
      <c r="B266" s="6">
        <f>COUNTIF('Entetes_TriNumInterne'!$B$2:$B$723,A266)</f>
        <v/>
      </c>
    </row>
    <row r="267">
      <c r="A267" s="3" t="inlineStr">
        <is>
          <t>001385</t>
        </is>
      </c>
      <c r="B267" s="6">
        <f>COUNTIF('Entetes_TriNumInterne'!$B$2:$B$723,A267)</f>
        <v/>
      </c>
    </row>
    <row r="268">
      <c r="A268" s="3" t="inlineStr">
        <is>
          <t>001386</t>
        </is>
      </c>
      <c r="B268" s="6">
        <f>COUNTIF('Entetes_TriNumInterne'!$B$2:$B$723,A268)</f>
        <v/>
      </c>
    </row>
    <row r="269">
      <c r="A269" s="3" t="inlineStr">
        <is>
          <t>001387</t>
        </is>
      </c>
      <c r="B269" s="6">
        <f>COUNTIF('Entetes_TriNumInterne'!$B$2:$B$723,A269)</f>
        <v/>
      </c>
    </row>
    <row r="270">
      <c r="A270" s="3" t="inlineStr">
        <is>
          <t>001393</t>
        </is>
      </c>
      <c r="B270" s="6">
        <f>COUNTIF('Entetes_TriNumInterne'!$B$2:$B$723,A270)</f>
        <v/>
      </c>
    </row>
    <row r="271">
      <c r="A271" s="3" t="inlineStr">
        <is>
          <t>001394</t>
        </is>
      </c>
      <c r="B271" s="6">
        <f>COUNTIF('Entetes_TriNumInterne'!$B$2:$B$723,A271)</f>
        <v/>
      </c>
    </row>
    <row r="272">
      <c r="A272" s="3" t="inlineStr">
        <is>
          <t>001395</t>
        </is>
      </c>
      <c r="B272" s="6">
        <f>COUNTIF('Entetes_TriNumInterne'!$B$2:$B$723,A272)</f>
        <v/>
      </c>
    </row>
    <row r="273">
      <c r="A273" s="3" t="inlineStr">
        <is>
          <t>001396</t>
        </is>
      </c>
      <c r="B273" s="6">
        <f>COUNTIF('Entetes_TriNumInterne'!$B$2:$B$723,A273)</f>
        <v/>
      </c>
    </row>
    <row r="274">
      <c r="A274" s="3" t="inlineStr">
        <is>
          <t>001397</t>
        </is>
      </c>
      <c r="B274" s="6">
        <f>COUNTIF('Entetes_TriNumInterne'!$B$2:$B$723,A274)</f>
        <v/>
      </c>
    </row>
    <row r="275">
      <c r="A275" s="3" t="inlineStr">
        <is>
          <t>001398</t>
        </is>
      </c>
      <c r="B275" s="6">
        <f>COUNTIF('Entetes_TriNumInterne'!$B$2:$B$723,A275)</f>
        <v/>
      </c>
    </row>
    <row r="276">
      <c r="A276" s="3" t="inlineStr">
        <is>
          <t>001399</t>
        </is>
      </c>
      <c r="B276" s="6">
        <f>COUNTIF('Entetes_TriNumInterne'!$B$2:$B$723,A276)</f>
        <v/>
      </c>
    </row>
    <row r="277">
      <c r="A277" s="3" t="inlineStr">
        <is>
          <t>001400</t>
        </is>
      </c>
      <c r="B277" s="6">
        <f>COUNTIF('Entetes_TriNumInterne'!$B$2:$B$723,A277)</f>
        <v/>
      </c>
    </row>
    <row r="278">
      <c r="A278" s="3" t="inlineStr">
        <is>
          <t>001402</t>
        </is>
      </c>
      <c r="B278" s="6">
        <f>COUNTIF('Entetes_TriNumInterne'!$B$2:$B$723,A278)</f>
        <v/>
      </c>
    </row>
    <row r="279">
      <c r="A279" s="3" t="inlineStr">
        <is>
          <t>001403</t>
        </is>
      </c>
      <c r="B279" s="6">
        <f>COUNTIF('Entetes_TriNumInterne'!$B$2:$B$723,A279)</f>
        <v/>
      </c>
    </row>
    <row r="280">
      <c r="A280" s="3" t="inlineStr">
        <is>
          <t>001404</t>
        </is>
      </c>
      <c r="B280" s="6">
        <f>COUNTIF('Entetes_TriNumInterne'!$B$2:$B$723,A280)</f>
        <v/>
      </c>
    </row>
    <row r="281">
      <c r="A281" s="3" t="inlineStr">
        <is>
          <t>001405</t>
        </is>
      </c>
      <c r="B281" s="6">
        <f>COUNTIF('Entetes_TriNumInterne'!$B$2:$B$723,A281)</f>
        <v/>
      </c>
    </row>
    <row r="282">
      <c r="A282" s="3" t="inlineStr">
        <is>
          <t>001406</t>
        </is>
      </c>
      <c r="B282" s="6">
        <f>COUNTIF('Entetes_TriNumInterne'!$B$2:$B$723,A282)</f>
        <v/>
      </c>
    </row>
    <row r="283">
      <c r="A283" s="3" t="inlineStr">
        <is>
          <t>001407</t>
        </is>
      </c>
      <c r="B283" s="6">
        <f>COUNTIF('Entetes_TriNumInterne'!$B$2:$B$723,A283)</f>
        <v/>
      </c>
    </row>
    <row r="284">
      <c r="A284" s="3" t="inlineStr">
        <is>
          <t>001408</t>
        </is>
      </c>
      <c r="B284" s="6">
        <f>COUNTIF('Entetes_TriNumInterne'!$B$2:$B$723,A284)</f>
        <v/>
      </c>
    </row>
    <row r="285">
      <c r="A285" s="3" t="inlineStr">
        <is>
          <t>001409</t>
        </is>
      </c>
      <c r="B285" s="6">
        <f>COUNTIF('Entetes_TriNumInterne'!$B$2:$B$723,A285)</f>
        <v/>
      </c>
    </row>
    <row r="286">
      <c r="A286" s="3" t="inlineStr">
        <is>
          <t>001410</t>
        </is>
      </c>
      <c r="B286" s="6">
        <f>COUNTIF('Entetes_TriNumInterne'!$B$2:$B$723,A286)</f>
        <v/>
      </c>
    </row>
    <row r="287">
      <c r="A287" s="3" t="inlineStr">
        <is>
          <t>001411</t>
        </is>
      </c>
      <c r="B287" s="6">
        <f>COUNTIF('Entetes_TriNumInterne'!$B$2:$B$723,A287)</f>
        <v/>
      </c>
    </row>
    <row r="288">
      <c r="A288" s="3" t="inlineStr">
        <is>
          <t>001412</t>
        </is>
      </c>
      <c r="B288" s="6">
        <f>COUNTIF('Entetes_TriNumInterne'!$B$2:$B$723,A288)</f>
        <v/>
      </c>
    </row>
    <row r="289">
      <c r="A289" s="3" t="inlineStr">
        <is>
          <t>001413</t>
        </is>
      </c>
      <c r="B289" s="6">
        <f>COUNTIF('Entetes_TriNumInterne'!$B$2:$B$723,A289)</f>
        <v/>
      </c>
    </row>
    <row r="290">
      <c r="A290" s="3" t="inlineStr">
        <is>
          <t>001414</t>
        </is>
      </c>
      <c r="B290" s="6">
        <f>COUNTIF('Entetes_TriNumInterne'!$B$2:$B$723,A290)</f>
        <v/>
      </c>
    </row>
    <row r="291">
      <c r="A291" s="3" t="inlineStr">
        <is>
          <t>001415</t>
        </is>
      </c>
      <c r="B291" s="6">
        <f>COUNTIF('Entetes_TriNumInterne'!$B$2:$B$723,A291)</f>
        <v/>
      </c>
    </row>
    <row r="292">
      <c r="A292" s="3" t="inlineStr">
        <is>
          <t>001416</t>
        </is>
      </c>
      <c r="B292" s="6">
        <f>COUNTIF('Entetes_TriNumInterne'!$B$2:$B$723,A292)</f>
        <v/>
      </c>
    </row>
    <row r="293">
      <c r="A293" s="3" t="inlineStr">
        <is>
          <t>001417</t>
        </is>
      </c>
      <c r="B293" s="6">
        <f>COUNTIF('Entetes_TriNumInterne'!$B$2:$B$723,A293)</f>
        <v/>
      </c>
    </row>
    <row r="294">
      <c r="A294" s="3" t="inlineStr">
        <is>
          <t>001418</t>
        </is>
      </c>
      <c r="B294" s="6">
        <f>COUNTIF('Entetes_TriNumInterne'!$B$2:$B$723,A294)</f>
        <v/>
      </c>
    </row>
    <row r="295">
      <c r="A295" s="3" t="inlineStr">
        <is>
          <t>001419</t>
        </is>
      </c>
      <c r="B295" s="6">
        <f>COUNTIF('Entetes_TriNumInterne'!$B$2:$B$723,A295)</f>
        <v/>
      </c>
    </row>
    <row r="296">
      <c r="A296" s="3" t="inlineStr">
        <is>
          <t>001420</t>
        </is>
      </c>
      <c r="B296" s="6">
        <f>COUNTIF('Entetes_TriNumInterne'!$B$2:$B$723,A296)</f>
        <v/>
      </c>
    </row>
    <row r="297">
      <c r="A297" s="3" t="inlineStr">
        <is>
          <t>001428</t>
        </is>
      </c>
      <c r="B297" s="6">
        <f>COUNTIF('Entetes_TriNumInterne'!$B$2:$B$723,A297)</f>
        <v/>
      </c>
    </row>
    <row r="298">
      <c r="A298" s="3" t="inlineStr">
        <is>
          <t>001429</t>
        </is>
      </c>
      <c r="B298" s="6">
        <f>COUNTIF('Entetes_TriNumInterne'!$B$2:$B$723,A298)</f>
        <v/>
      </c>
    </row>
    <row r="299">
      <c r="A299" s="3" t="inlineStr">
        <is>
          <t>001430</t>
        </is>
      </c>
      <c r="B299" s="6">
        <f>COUNTIF('Entetes_TriNumInterne'!$B$2:$B$723,A299)</f>
        <v/>
      </c>
    </row>
    <row r="300">
      <c r="A300" s="3" t="inlineStr">
        <is>
          <t>001431</t>
        </is>
      </c>
      <c r="B300" s="6">
        <f>COUNTIF('Entetes_TriNumInterne'!$B$2:$B$723,A300)</f>
        <v/>
      </c>
    </row>
    <row r="301">
      <c r="A301" s="3" t="inlineStr">
        <is>
          <t>001432</t>
        </is>
      </c>
      <c r="B301" s="6">
        <f>COUNTIF('Entetes_TriNumInterne'!$B$2:$B$723,A301)</f>
        <v/>
      </c>
    </row>
    <row r="302">
      <c r="A302" s="3" t="inlineStr">
        <is>
          <t>001433</t>
        </is>
      </c>
      <c r="B302" s="6">
        <f>COUNTIF('Entetes_TriNumInterne'!$B$2:$B$723,A302)</f>
        <v/>
      </c>
    </row>
    <row r="303">
      <c r="A303" s="3" t="inlineStr">
        <is>
          <t>001434</t>
        </is>
      </c>
      <c r="B303" s="6">
        <f>COUNTIF('Entetes_TriNumInterne'!$B$2:$B$723,A303)</f>
        <v/>
      </c>
    </row>
    <row r="304">
      <c r="A304" s="3" t="inlineStr">
        <is>
          <t>001435</t>
        </is>
      </c>
      <c r="B304" s="6">
        <f>COUNTIF('Entetes_TriNumInterne'!$B$2:$B$723,A304)</f>
        <v/>
      </c>
    </row>
    <row r="305">
      <c r="A305" s="3" t="inlineStr">
        <is>
          <t>001436</t>
        </is>
      </c>
      <c r="B305" s="6">
        <f>COUNTIF('Entetes_TriNumInterne'!$B$2:$B$723,A305)</f>
        <v/>
      </c>
    </row>
    <row r="306">
      <c r="A306" s="3" t="inlineStr">
        <is>
          <t>001437</t>
        </is>
      </c>
      <c r="B306" s="6">
        <f>COUNTIF('Entetes_TriNumInterne'!$B$2:$B$723,A306)</f>
        <v/>
      </c>
    </row>
    <row r="307">
      <c r="A307" s="3" t="inlineStr">
        <is>
          <t>001438</t>
        </is>
      </c>
      <c r="B307" s="6">
        <f>COUNTIF('Entetes_TriNumInterne'!$B$2:$B$723,A307)</f>
        <v/>
      </c>
    </row>
    <row r="308">
      <c r="A308" s="3" t="inlineStr">
        <is>
          <t>001439</t>
        </is>
      </c>
      <c r="B308" s="6">
        <f>COUNTIF('Entetes_TriNumInterne'!$B$2:$B$723,A308)</f>
        <v/>
      </c>
    </row>
    <row r="309">
      <c r="A309" s="3" t="inlineStr">
        <is>
          <t>001440</t>
        </is>
      </c>
      <c r="B309" s="6">
        <f>COUNTIF('Entetes_TriNumInterne'!$B$2:$B$723,A309)</f>
        <v/>
      </c>
    </row>
    <row r="310">
      <c r="A310" s="3" t="inlineStr">
        <is>
          <t>001441</t>
        </is>
      </c>
      <c r="B310" s="6">
        <f>COUNTIF('Entetes_TriNumInterne'!$B$2:$B$723,A310)</f>
        <v/>
      </c>
    </row>
    <row r="311">
      <c r="A311" s="3" t="inlineStr">
        <is>
          <t>001442</t>
        </is>
      </c>
      <c r="B311" s="6">
        <f>COUNTIF('Entetes_TriNumInterne'!$B$2:$B$723,A311)</f>
        <v/>
      </c>
    </row>
    <row r="312">
      <c r="A312" s="3" t="inlineStr">
        <is>
          <t>001443</t>
        </is>
      </c>
      <c r="B312" s="6">
        <f>COUNTIF('Entetes_TriNumInterne'!$B$2:$B$723,A312)</f>
        <v/>
      </c>
    </row>
    <row r="313">
      <c r="A313" s="3" t="inlineStr">
        <is>
          <t>001444</t>
        </is>
      </c>
      <c r="B313" s="6">
        <f>COUNTIF('Entetes_TriNumInterne'!$B$2:$B$723,A313)</f>
        <v/>
      </c>
    </row>
    <row r="314">
      <c r="A314" s="3" t="inlineStr">
        <is>
          <t>001445</t>
        </is>
      </c>
      <c r="B314" s="6">
        <f>COUNTIF('Entetes_TriNumInterne'!$B$2:$B$723,A314)</f>
        <v/>
      </c>
    </row>
    <row r="315">
      <c r="A315" s="3" t="inlineStr">
        <is>
          <t>001446</t>
        </is>
      </c>
      <c r="B315" s="6">
        <f>COUNTIF('Entetes_TriNumInterne'!$B$2:$B$723,A315)</f>
        <v/>
      </c>
    </row>
    <row r="316">
      <c r="A316" s="3" t="inlineStr">
        <is>
          <t>001447</t>
        </is>
      </c>
      <c r="B316" s="6">
        <f>COUNTIF('Entetes_TriNumInterne'!$B$2:$B$723,A316)</f>
        <v/>
      </c>
    </row>
    <row r="317">
      <c r="A317" s="3" t="inlineStr">
        <is>
          <t>001448</t>
        </is>
      </c>
      <c r="B317" s="6">
        <f>COUNTIF('Entetes_TriNumInterne'!$B$2:$B$723,A317)</f>
        <v/>
      </c>
    </row>
    <row r="318">
      <c r="A318" s="3" t="inlineStr">
        <is>
          <t>001449</t>
        </is>
      </c>
      <c r="B318" s="6">
        <f>COUNTIF('Entetes_TriNumInterne'!$B$2:$B$723,A318)</f>
        <v/>
      </c>
    </row>
    <row r="319">
      <c r="A319" s="3" t="inlineStr">
        <is>
          <t>001450</t>
        </is>
      </c>
      <c r="B319" s="6">
        <f>COUNTIF('Entetes_TriNumInterne'!$B$2:$B$723,A319)</f>
        <v/>
      </c>
    </row>
    <row r="320">
      <c r="A320" s="3" t="inlineStr">
        <is>
          <t>001451</t>
        </is>
      </c>
      <c r="B320" s="6">
        <f>COUNTIF('Entetes_TriNumInterne'!$B$2:$B$723,A320)</f>
        <v/>
      </c>
    </row>
    <row r="321">
      <c r="A321" s="3" t="inlineStr">
        <is>
          <t>001452</t>
        </is>
      </c>
      <c r="B321" s="6">
        <f>COUNTIF('Entetes_TriNumInterne'!$B$2:$B$723,A321)</f>
        <v/>
      </c>
    </row>
    <row r="322">
      <c r="A322" s="3" t="inlineStr">
        <is>
          <t>001453</t>
        </is>
      </c>
      <c r="B322" s="6">
        <f>COUNTIF('Entetes_TriNumInterne'!$B$2:$B$723,A322)</f>
        <v/>
      </c>
    </row>
    <row r="323">
      <c r="A323" s="3" t="inlineStr">
        <is>
          <t>001454</t>
        </is>
      </c>
      <c r="B323" s="6">
        <f>COUNTIF('Entetes_TriNumInterne'!$B$2:$B$723,A323)</f>
        <v/>
      </c>
    </row>
    <row r="324">
      <c r="A324" s="3" t="inlineStr">
        <is>
          <t>001456</t>
        </is>
      </c>
      <c r="B324" s="6">
        <f>COUNTIF('Entetes_TriNumInterne'!$B$2:$B$723,A324)</f>
        <v/>
      </c>
    </row>
    <row r="325">
      <c r="A325" s="3" t="inlineStr">
        <is>
          <t>001457</t>
        </is>
      </c>
      <c r="B325" s="6">
        <f>COUNTIF('Entetes_TriNumInterne'!$B$2:$B$723,A325)</f>
        <v/>
      </c>
    </row>
    <row r="326">
      <c r="A326" s="3" t="inlineStr">
        <is>
          <t>001458</t>
        </is>
      </c>
      <c r="B326" s="6">
        <f>COUNTIF('Entetes_TriNumInterne'!$B$2:$B$723,A326)</f>
        <v/>
      </c>
    </row>
    <row r="327">
      <c r="A327" s="3" t="inlineStr">
        <is>
          <t>001459</t>
        </is>
      </c>
      <c r="B327" s="6">
        <f>COUNTIF('Entetes_TriNumInterne'!$B$2:$B$723,A327)</f>
        <v/>
      </c>
    </row>
    <row r="328">
      <c r="A328" s="3" t="inlineStr">
        <is>
          <t>001460</t>
        </is>
      </c>
      <c r="B328" s="6">
        <f>COUNTIF('Entetes_TriNumInterne'!$B$2:$B$723,A328)</f>
        <v/>
      </c>
    </row>
    <row r="329">
      <c r="A329" s="3" t="inlineStr">
        <is>
          <t>001461</t>
        </is>
      </c>
      <c r="B329" s="6">
        <f>COUNTIF('Entetes_TriNumInterne'!$B$2:$B$723,A329)</f>
        <v/>
      </c>
    </row>
    <row r="330">
      <c r="A330" s="3" t="inlineStr">
        <is>
          <t>001462</t>
        </is>
      </c>
      <c r="B330" s="6">
        <f>COUNTIF('Entetes_TriNumInterne'!$B$2:$B$723,A330)</f>
        <v/>
      </c>
    </row>
    <row r="331">
      <c r="A331" s="3" t="inlineStr">
        <is>
          <t>001465</t>
        </is>
      </c>
      <c r="B331" s="6">
        <f>COUNTIF('Entetes_TriNumInterne'!$B$2:$B$723,A331)</f>
        <v/>
      </c>
    </row>
    <row r="332">
      <c r="A332" s="3" t="inlineStr">
        <is>
          <t>001473</t>
        </is>
      </c>
      <c r="B332" s="6">
        <f>COUNTIF('Entetes_TriNumInterne'!$B$2:$B$723,A332)</f>
        <v/>
      </c>
    </row>
    <row r="333">
      <c r="A333" s="3" t="inlineStr">
        <is>
          <t>001475</t>
        </is>
      </c>
      <c r="B333" s="6">
        <f>COUNTIF('Entetes_TriNumInterne'!$B$2:$B$723,A333)</f>
        <v/>
      </c>
    </row>
    <row r="334">
      <c r="A334" s="3" t="inlineStr">
        <is>
          <t>001476</t>
        </is>
      </c>
      <c r="B334" s="6">
        <f>COUNTIF('Entetes_TriNumInterne'!$B$2:$B$723,A334)</f>
        <v/>
      </c>
    </row>
    <row r="335">
      <c r="A335" s="3" t="inlineStr">
        <is>
          <t>001477</t>
        </is>
      </c>
      <c r="B335" s="6">
        <f>COUNTIF('Entetes_TriNumInterne'!$B$2:$B$723,A335)</f>
        <v/>
      </c>
    </row>
    <row r="336">
      <c r="A336" s="3" t="inlineStr">
        <is>
          <t>001478</t>
        </is>
      </c>
      <c r="B336" s="6">
        <f>COUNTIF('Entetes_TriNumInterne'!$B$2:$B$723,A336)</f>
        <v/>
      </c>
    </row>
    <row r="337">
      <c r="A337" s="3" t="inlineStr">
        <is>
          <t>001479</t>
        </is>
      </c>
      <c r="B337" s="6">
        <f>COUNTIF('Entetes_TriNumInterne'!$B$2:$B$723,A337)</f>
        <v/>
      </c>
    </row>
    <row r="338">
      <c r="A338" s="3" t="inlineStr">
        <is>
          <t>001480</t>
        </is>
      </c>
      <c r="B338" s="6">
        <f>COUNTIF('Entetes_TriNumInterne'!$B$2:$B$723,A338)</f>
        <v/>
      </c>
    </row>
    <row r="339">
      <c r="A339" s="3" t="inlineStr">
        <is>
          <t>001481</t>
        </is>
      </c>
      <c r="B339" s="6">
        <f>COUNTIF('Entetes_TriNumInterne'!$B$2:$B$723,A339)</f>
        <v/>
      </c>
    </row>
    <row r="340">
      <c r="A340" s="3" t="inlineStr">
        <is>
          <t>001482</t>
        </is>
      </c>
      <c r="B340" s="6">
        <f>COUNTIF('Entetes_TriNumInterne'!$B$2:$B$723,A340)</f>
        <v/>
      </c>
    </row>
    <row r="341">
      <c r="A341" s="3" t="inlineStr">
        <is>
          <t>001484</t>
        </is>
      </c>
      <c r="B341" s="6">
        <f>COUNTIF('Entetes_TriNumInterne'!$B$2:$B$723,A341)</f>
        <v/>
      </c>
    </row>
    <row r="342">
      <c r="A342" s="3" t="inlineStr">
        <is>
          <t>001485</t>
        </is>
      </c>
      <c r="B342" s="6">
        <f>COUNTIF('Entetes_TriNumInterne'!$B$2:$B$723,A342)</f>
        <v/>
      </c>
    </row>
    <row r="343">
      <c r="A343" s="3" t="inlineStr">
        <is>
          <t>001486</t>
        </is>
      </c>
      <c r="B343" s="6">
        <f>COUNTIF('Entetes_TriNumInterne'!$B$2:$B$723,A343)</f>
        <v/>
      </c>
    </row>
    <row r="344">
      <c r="A344" s="3" t="inlineStr">
        <is>
          <t>001487</t>
        </is>
      </c>
      <c r="B344" s="6">
        <f>COUNTIF('Entetes_TriNumInterne'!$B$2:$B$723,A344)</f>
        <v/>
      </c>
    </row>
    <row r="345">
      <c r="A345" s="3" t="inlineStr">
        <is>
          <t>001488</t>
        </is>
      </c>
      <c r="B345" s="6">
        <f>COUNTIF('Entetes_TriNumInterne'!$B$2:$B$723,A345)</f>
        <v/>
      </c>
    </row>
    <row r="346">
      <c r="A346" s="3" t="inlineStr">
        <is>
          <t>001489</t>
        </is>
      </c>
      <c r="B346" s="6">
        <f>COUNTIF('Entetes_TriNumInterne'!$B$2:$B$723,A346)</f>
        <v/>
      </c>
    </row>
    <row r="347">
      <c r="A347" s="3" t="inlineStr">
        <is>
          <t>001490</t>
        </is>
      </c>
      <c r="B347" s="6">
        <f>COUNTIF('Entetes_TriNumInterne'!$B$2:$B$723,A347)</f>
        <v/>
      </c>
    </row>
    <row r="348">
      <c r="A348" s="3" t="inlineStr">
        <is>
          <t>001491</t>
        </is>
      </c>
      <c r="B348" s="6">
        <f>COUNTIF('Entetes_TriNumInterne'!$B$2:$B$723,A348)</f>
        <v/>
      </c>
    </row>
    <row r="349">
      <c r="A349" s="3" t="inlineStr">
        <is>
          <t>001492</t>
        </is>
      </c>
      <c r="B349" s="6">
        <f>COUNTIF('Entetes_TriNumInterne'!$B$2:$B$723,A349)</f>
        <v/>
      </c>
    </row>
    <row r="350">
      <c r="A350" s="3" t="inlineStr">
        <is>
          <t>001493</t>
        </is>
      </c>
      <c r="B350" s="6">
        <f>COUNTIF('Entetes_TriNumInterne'!$B$2:$B$723,A350)</f>
        <v/>
      </c>
    </row>
    <row r="351">
      <c r="A351" s="3" t="inlineStr">
        <is>
          <t>001494</t>
        </is>
      </c>
      <c r="B351" s="6">
        <f>COUNTIF('Entetes_TriNumInterne'!$B$2:$B$723,A351)</f>
        <v/>
      </c>
    </row>
    <row r="352">
      <c r="A352" s="3" t="inlineStr">
        <is>
          <t>001495</t>
        </is>
      </c>
      <c r="B352" s="6">
        <f>COUNTIF('Entetes_TriNumInterne'!$B$2:$B$723,A352)</f>
        <v/>
      </c>
    </row>
    <row r="353">
      <c r="A353" s="3" t="inlineStr">
        <is>
          <t>001496</t>
        </is>
      </c>
      <c r="B353" s="6">
        <f>COUNTIF('Entetes_TriNumInterne'!$B$2:$B$723,A353)</f>
        <v/>
      </c>
    </row>
    <row r="354">
      <c r="A354" s="3" t="inlineStr">
        <is>
          <t>001497</t>
        </is>
      </c>
      <c r="B354" s="6">
        <f>COUNTIF('Entetes_TriNumInterne'!$B$2:$B$723,A354)</f>
        <v/>
      </c>
    </row>
    <row r="355">
      <c r="A355" s="3" t="inlineStr">
        <is>
          <t>001498</t>
        </is>
      </c>
      <c r="B355" s="6">
        <f>COUNTIF('Entetes_TriNumInterne'!$B$2:$B$723,A355)</f>
        <v/>
      </c>
    </row>
    <row r="356">
      <c r="A356" s="3" t="inlineStr">
        <is>
          <t>001499</t>
        </is>
      </c>
      <c r="B356" s="6">
        <f>COUNTIF('Entetes_TriNumInterne'!$B$2:$B$723,A356)</f>
        <v/>
      </c>
    </row>
    <row r="357">
      <c r="A357" s="3" t="inlineStr">
        <is>
          <t>001500</t>
        </is>
      </c>
      <c r="B357" s="6">
        <f>COUNTIF('Entetes_TriNumInterne'!$B$2:$B$723,A357)</f>
        <v/>
      </c>
    </row>
    <row r="358">
      <c r="A358" s="3" t="inlineStr">
        <is>
          <t>001503</t>
        </is>
      </c>
      <c r="B358" s="6">
        <f>COUNTIF('Entetes_TriNumInterne'!$B$2:$B$723,A358)</f>
        <v/>
      </c>
    </row>
    <row r="359">
      <c r="A359" s="3" t="inlineStr">
        <is>
          <t>001509</t>
        </is>
      </c>
      <c r="B359" s="6">
        <f>COUNTIF('Entetes_TriNumInterne'!$B$2:$B$723,A359)</f>
        <v/>
      </c>
    </row>
    <row r="360">
      <c r="A360" s="3" t="inlineStr">
        <is>
          <t>001510</t>
        </is>
      </c>
      <c r="B360" s="6">
        <f>COUNTIF('Entetes_TriNumInterne'!$B$2:$B$723,A360)</f>
        <v/>
      </c>
    </row>
    <row r="361">
      <c r="A361" s="3" t="inlineStr">
        <is>
          <t>001511</t>
        </is>
      </c>
      <c r="B361" s="6">
        <f>COUNTIF('Entetes_TriNumInterne'!$B$2:$B$723,A361)</f>
        <v/>
      </c>
    </row>
    <row r="362">
      <c r="A362" s="3" t="inlineStr">
        <is>
          <t>001515</t>
        </is>
      </c>
      <c r="B362" s="6">
        <f>COUNTIF('Entetes_TriNumInterne'!$B$2:$B$723,A362)</f>
        <v/>
      </c>
    </row>
    <row r="363">
      <c r="A363" s="3" t="inlineStr">
        <is>
          <t>001516</t>
        </is>
      </c>
      <c r="B363" s="6">
        <f>COUNTIF('Entetes_TriNumInterne'!$B$2:$B$723,A363)</f>
        <v/>
      </c>
    </row>
    <row r="364">
      <c r="A364" s="3" t="inlineStr">
        <is>
          <t>001517</t>
        </is>
      </c>
      <c r="B364" s="6">
        <f>COUNTIF('Entetes_TriNumInterne'!$B$2:$B$723,A364)</f>
        <v/>
      </c>
    </row>
    <row r="365">
      <c r="A365" s="3" t="inlineStr">
        <is>
          <t>001518</t>
        </is>
      </c>
      <c r="B365" s="6">
        <f>COUNTIF('Entetes_TriNumInterne'!$B$2:$B$723,A365)</f>
        <v/>
      </c>
    </row>
    <row r="366">
      <c r="A366" s="3" t="inlineStr">
        <is>
          <t>001520</t>
        </is>
      </c>
      <c r="B366" s="6">
        <f>COUNTIF('Entetes_TriNumInterne'!$B$2:$B$723,A366)</f>
        <v/>
      </c>
    </row>
    <row r="367">
      <c r="A367" s="3" t="inlineStr">
        <is>
          <t>001523</t>
        </is>
      </c>
      <c r="B367" s="6">
        <f>COUNTIF('Entetes_TriNumInterne'!$B$2:$B$723,A367)</f>
        <v/>
      </c>
    </row>
    <row r="368">
      <c r="A368" s="3" t="inlineStr">
        <is>
          <t>001524</t>
        </is>
      </c>
      <c r="B368" s="6">
        <f>COUNTIF('Entetes_TriNumInterne'!$B$2:$B$723,A368)</f>
        <v/>
      </c>
    </row>
    <row r="369">
      <c r="A369" s="3" t="inlineStr">
        <is>
          <t>001525</t>
        </is>
      </c>
      <c r="B369" s="6">
        <f>COUNTIF('Entetes_TriNumInterne'!$B$2:$B$723,A369)</f>
        <v/>
      </c>
    </row>
    <row r="370">
      <c r="A370" s="3" t="inlineStr">
        <is>
          <t>001526</t>
        </is>
      </c>
      <c r="B370" s="6">
        <f>COUNTIF('Entetes_TriNumInterne'!$B$2:$B$723,A370)</f>
        <v/>
      </c>
    </row>
    <row r="371">
      <c r="A371" s="3" t="inlineStr">
        <is>
          <t>001527</t>
        </is>
      </c>
      <c r="B371" s="6">
        <f>COUNTIF('Entetes_TriNumInterne'!$B$2:$B$723,A371)</f>
        <v/>
      </c>
    </row>
    <row r="372">
      <c r="A372" s="3" t="inlineStr">
        <is>
          <t>001528</t>
        </is>
      </c>
      <c r="B372" s="6">
        <f>COUNTIF('Entetes_TriNumInterne'!$B$2:$B$723,A372)</f>
        <v/>
      </c>
    </row>
    <row r="373">
      <c r="A373" s="3" t="inlineStr">
        <is>
          <t>001529</t>
        </is>
      </c>
      <c r="B373" s="6">
        <f>COUNTIF('Entetes_TriNumInterne'!$B$2:$B$723,A373)</f>
        <v/>
      </c>
    </row>
    <row r="374">
      <c r="A374" s="3" t="inlineStr">
        <is>
          <t>001530</t>
        </is>
      </c>
      <c r="B374" s="6">
        <f>COUNTIF('Entetes_TriNumInterne'!$B$2:$B$723,A374)</f>
        <v/>
      </c>
    </row>
    <row r="375">
      <c r="A375" s="3" t="inlineStr">
        <is>
          <t>001532</t>
        </is>
      </c>
      <c r="B375" s="6">
        <f>COUNTIF('Entetes_TriNumInterne'!$B$2:$B$723,A375)</f>
        <v/>
      </c>
    </row>
    <row r="376">
      <c r="A376" s="3" t="inlineStr">
        <is>
          <t>001533</t>
        </is>
      </c>
      <c r="B376" s="6">
        <f>COUNTIF('Entetes_TriNumInterne'!$B$2:$B$723,A376)</f>
        <v/>
      </c>
    </row>
    <row r="377">
      <c r="A377" s="3" t="inlineStr">
        <is>
          <t>001534</t>
        </is>
      </c>
      <c r="B377" s="6">
        <f>COUNTIF('Entetes_TriNumInterne'!$B$2:$B$723,A377)</f>
        <v/>
      </c>
    </row>
    <row r="378">
      <c r="A378" s="3" t="inlineStr">
        <is>
          <t>001536</t>
        </is>
      </c>
      <c r="B378" s="6">
        <f>COUNTIF('Entetes_TriNumInterne'!$B$2:$B$723,A378)</f>
        <v/>
      </c>
    </row>
    <row r="379">
      <c r="A379" s="3" t="inlineStr">
        <is>
          <t>001538</t>
        </is>
      </c>
      <c r="B379" s="6">
        <f>COUNTIF('Entetes_TriNumInterne'!$B$2:$B$723,A379)</f>
        <v/>
      </c>
    </row>
    <row r="380">
      <c r="A380" s="3" t="inlineStr">
        <is>
          <t>001539</t>
        </is>
      </c>
      <c r="B380" s="6">
        <f>COUNTIF('Entetes_TriNumInterne'!$B$2:$B$723,A380)</f>
        <v/>
      </c>
    </row>
    <row r="381">
      <c r="A381" s="3" t="inlineStr">
        <is>
          <t>001540</t>
        </is>
      </c>
      <c r="B381" s="6">
        <f>COUNTIF('Entetes_TriNumInterne'!$B$2:$B$723,A381)</f>
        <v/>
      </c>
    </row>
    <row r="382">
      <c r="A382" s="3" t="inlineStr">
        <is>
          <t>001541</t>
        </is>
      </c>
      <c r="B382" s="6">
        <f>COUNTIF('Entetes_TriNumInterne'!$B$2:$B$723,A382)</f>
        <v/>
      </c>
    </row>
    <row r="383">
      <c r="A383" s="3" t="inlineStr">
        <is>
          <t>001542</t>
        </is>
      </c>
      <c r="B383" s="6">
        <f>COUNTIF('Entetes_TriNumInterne'!$B$2:$B$723,A383)</f>
        <v/>
      </c>
    </row>
    <row r="384">
      <c r="A384" s="3" t="inlineStr">
        <is>
          <t>001543</t>
        </is>
      </c>
      <c r="B384" s="6">
        <f>COUNTIF('Entetes_TriNumInterne'!$B$2:$B$723,A384)</f>
        <v/>
      </c>
    </row>
    <row r="385">
      <c r="A385" s="3" t="inlineStr">
        <is>
          <t>001544</t>
        </is>
      </c>
      <c r="B385" s="6">
        <f>COUNTIF('Entetes_TriNumInterne'!$B$2:$B$723,A385)</f>
        <v/>
      </c>
    </row>
    <row r="386">
      <c r="A386" s="3" t="inlineStr">
        <is>
          <t>001545</t>
        </is>
      </c>
      <c r="B386" s="6">
        <f>COUNTIF('Entetes_TriNumInterne'!$B$2:$B$723,A386)</f>
        <v/>
      </c>
    </row>
    <row r="387">
      <c r="A387" s="3" t="inlineStr">
        <is>
          <t>001546</t>
        </is>
      </c>
      <c r="B387" s="6">
        <f>COUNTIF('Entetes_TriNumInterne'!$B$2:$B$723,A387)</f>
        <v/>
      </c>
    </row>
    <row r="388">
      <c r="A388" s="3" t="inlineStr">
        <is>
          <t>001548</t>
        </is>
      </c>
      <c r="B388" s="6">
        <f>COUNTIF('Entetes_TriNumInterne'!$B$2:$B$723,A388)</f>
        <v/>
      </c>
    </row>
    <row r="389">
      <c r="A389" s="3" t="inlineStr">
        <is>
          <t>001549</t>
        </is>
      </c>
      <c r="B389" s="6">
        <f>COUNTIF('Entetes_TriNumInterne'!$B$2:$B$723,A389)</f>
        <v/>
      </c>
    </row>
    <row r="390">
      <c r="A390" s="3" t="inlineStr">
        <is>
          <t>001550</t>
        </is>
      </c>
      <c r="B390" s="6">
        <f>COUNTIF('Entetes_TriNumInterne'!$B$2:$B$723,A390)</f>
        <v/>
      </c>
    </row>
    <row r="391">
      <c r="A391" s="3" t="inlineStr">
        <is>
          <t>001551</t>
        </is>
      </c>
      <c r="B391" s="6">
        <f>COUNTIF('Entetes_TriNumInterne'!$B$2:$B$723,A391)</f>
        <v/>
      </c>
    </row>
    <row r="392">
      <c r="A392" s="3" t="inlineStr">
        <is>
          <t>001552</t>
        </is>
      </c>
      <c r="B392" s="6">
        <f>COUNTIF('Entetes_TriNumInterne'!$B$2:$B$723,A392)</f>
        <v/>
      </c>
    </row>
    <row r="393">
      <c r="A393" s="3" t="inlineStr">
        <is>
          <t>001553</t>
        </is>
      </c>
      <c r="B393" s="6">
        <f>COUNTIF('Entetes_TriNumInterne'!$B$2:$B$723,A393)</f>
        <v/>
      </c>
    </row>
    <row r="394">
      <c r="A394" s="3" t="inlineStr">
        <is>
          <t>001555</t>
        </is>
      </c>
      <c r="B394" s="6">
        <f>COUNTIF('Entetes_TriNumInterne'!$B$2:$B$723,A394)</f>
        <v/>
      </c>
    </row>
    <row r="395">
      <c r="A395" s="3" t="inlineStr">
        <is>
          <t>001556</t>
        </is>
      </c>
      <c r="B395" s="6">
        <f>COUNTIF('Entetes_TriNumInterne'!$B$2:$B$723,A395)</f>
        <v/>
      </c>
    </row>
    <row r="396">
      <c r="A396" s="3" t="inlineStr">
        <is>
          <t>001560</t>
        </is>
      </c>
      <c r="B396" s="6">
        <f>COUNTIF('Entetes_TriNumInterne'!$B$2:$B$723,A396)</f>
        <v/>
      </c>
    </row>
    <row r="397">
      <c r="A397" s="3" t="inlineStr">
        <is>
          <t>001561</t>
        </is>
      </c>
      <c r="B397" s="6">
        <f>COUNTIF('Entetes_TriNumInterne'!$B$2:$B$723,A397)</f>
        <v/>
      </c>
    </row>
    <row r="398">
      <c r="A398" s="3" t="inlineStr">
        <is>
          <t>001562</t>
        </is>
      </c>
      <c r="B398" s="6">
        <f>COUNTIF('Entetes_TriNumInterne'!$B$2:$B$723,A398)</f>
        <v/>
      </c>
    </row>
    <row r="399">
      <c r="A399" s="3" t="inlineStr">
        <is>
          <t>001568</t>
        </is>
      </c>
      <c r="B399" s="6">
        <f>COUNTIF('Entetes_TriNumInterne'!$B$2:$B$723,A399)</f>
        <v/>
      </c>
    </row>
    <row r="400">
      <c r="A400" s="3" t="inlineStr">
        <is>
          <t>001569</t>
        </is>
      </c>
      <c r="B400" s="6">
        <f>COUNTIF('Entetes_TriNumInterne'!$B$2:$B$723,A400)</f>
        <v/>
      </c>
    </row>
    <row r="401">
      <c r="A401" s="3" t="inlineStr">
        <is>
          <t>001572</t>
        </is>
      </c>
      <c r="B401" s="6">
        <f>COUNTIF('Entetes_TriNumInterne'!$B$2:$B$723,A401)</f>
        <v/>
      </c>
    </row>
    <row r="402">
      <c r="A402" s="3" t="inlineStr">
        <is>
          <t>001573</t>
        </is>
      </c>
      <c r="B402" s="6">
        <f>COUNTIF('Entetes_TriNumInterne'!$B$2:$B$723,A402)</f>
        <v/>
      </c>
    </row>
    <row r="403">
      <c r="A403" s="3" t="inlineStr">
        <is>
          <t>001575</t>
        </is>
      </c>
      <c r="B403" s="6">
        <f>COUNTIF('Entetes_TriNumInterne'!$B$2:$B$723,A403)</f>
        <v/>
      </c>
    </row>
    <row r="404">
      <c r="A404" s="3" t="inlineStr">
        <is>
          <t>001576</t>
        </is>
      </c>
      <c r="B404" s="6">
        <f>COUNTIF('Entetes_TriNumInterne'!$B$2:$B$723,A404)</f>
        <v/>
      </c>
    </row>
    <row r="405">
      <c r="A405" s="3" t="inlineStr">
        <is>
          <t>001577</t>
        </is>
      </c>
      <c r="B405" s="6">
        <f>COUNTIF('Entetes_TriNumInterne'!$B$2:$B$723,A405)</f>
        <v/>
      </c>
    </row>
    <row r="406">
      <c r="A406" s="3" t="inlineStr">
        <is>
          <t>001578</t>
        </is>
      </c>
      <c r="B406" s="6">
        <f>COUNTIF('Entetes_TriNumInterne'!$B$2:$B$723,A406)</f>
        <v/>
      </c>
    </row>
    <row r="407">
      <c r="A407" s="3" t="inlineStr">
        <is>
          <t>001579</t>
        </is>
      </c>
      <c r="B407" s="6">
        <f>COUNTIF('Entetes_TriNumInterne'!$B$2:$B$723,A407)</f>
        <v/>
      </c>
    </row>
    <row r="408">
      <c r="A408" s="3" t="inlineStr">
        <is>
          <t>001580</t>
        </is>
      </c>
      <c r="B408" s="6">
        <f>COUNTIF('Entetes_TriNumInterne'!$B$2:$B$723,A408)</f>
        <v/>
      </c>
    </row>
    <row r="409">
      <c r="A409" s="3" t="inlineStr">
        <is>
          <t>001581</t>
        </is>
      </c>
      <c r="B409" s="6">
        <f>COUNTIF('Entetes_TriNumInterne'!$B$2:$B$723,A409)</f>
        <v/>
      </c>
    </row>
    <row r="410">
      <c r="A410" s="3" t="inlineStr">
        <is>
          <t>001582</t>
        </is>
      </c>
      <c r="B410" s="6">
        <f>COUNTIF('Entetes_TriNumInterne'!$B$2:$B$723,A410)</f>
        <v/>
      </c>
    </row>
    <row r="411">
      <c r="A411" s="3" t="inlineStr">
        <is>
          <t>001583</t>
        </is>
      </c>
      <c r="B411" s="6">
        <f>COUNTIF('Entetes_TriNumInterne'!$B$2:$B$723,A411)</f>
        <v/>
      </c>
    </row>
    <row r="412">
      <c r="A412" s="3" t="inlineStr">
        <is>
          <t>001584</t>
        </is>
      </c>
      <c r="B412" s="6">
        <f>COUNTIF('Entetes_TriNumInterne'!$B$2:$B$723,A412)</f>
        <v/>
      </c>
    </row>
    <row r="413">
      <c r="A413" s="3" t="inlineStr">
        <is>
          <t>001585</t>
        </is>
      </c>
      <c r="B413" s="6">
        <f>COUNTIF('Entetes_TriNumInterne'!$B$2:$B$723,A413)</f>
        <v/>
      </c>
    </row>
    <row r="414">
      <c r="A414" s="3" t="inlineStr">
        <is>
          <t>001586</t>
        </is>
      </c>
      <c r="B414" s="6">
        <f>COUNTIF('Entetes_TriNumInterne'!$B$2:$B$723,A414)</f>
        <v/>
      </c>
    </row>
    <row r="415">
      <c r="A415" s="3" t="inlineStr">
        <is>
          <t>001587</t>
        </is>
      </c>
      <c r="B415" s="6">
        <f>COUNTIF('Entetes_TriNumInterne'!$B$2:$B$723,A415)</f>
        <v/>
      </c>
    </row>
    <row r="416">
      <c r="A416" s="3" t="inlineStr">
        <is>
          <t>001588</t>
        </is>
      </c>
      <c r="B416" s="6">
        <f>COUNTIF('Entetes_TriNumInterne'!$B$2:$B$723,A416)</f>
        <v/>
      </c>
    </row>
    <row r="417">
      <c r="A417" s="3" t="inlineStr">
        <is>
          <t>001589</t>
        </is>
      </c>
      <c r="B417" s="6">
        <f>COUNTIF('Entetes_TriNumInterne'!$B$2:$B$723,A417)</f>
        <v/>
      </c>
    </row>
    <row r="418">
      <c r="A418" s="3" t="inlineStr">
        <is>
          <t>001590</t>
        </is>
      </c>
      <c r="B418" s="6">
        <f>COUNTIF('Entetes_TriNumInterne'!$B$2:$B$723,A418)</f>
        <v/>
      </c>
    </row>
    <row r="419">
      <c r="A419" s="3" t="inlineStr">
        <is>
          <t>001591</t>
        </is>
      </c>
      <c r="B419" s="6">
        <f>COUNTIF('Entetes_TriNumInterne'!$B$2:$B$723,A419)</f>
        <v/>
      </c>
    </row>
    <row r="420">
      <c r="A420" s="3" t="inlineStr">
        <is>
          <t>001592</t>
        </is>
      </c>
      <c r="B420" s="6">
        <f>COUNTIF('Entetes_TriNumInterne'!$B$2:$B$723,A420)</f>
        <v/>
      </c>
    </row>
    <row r="421">
      <c r="A421" s="3" t="inlineStr">
        <is>
          <t>001593</t>
        </is>
      </c>
      <c r="B421" s="6">
        <f>COUNTIF('Entetes_TriNumInterne'!$B$2:$B$723,A421)</f>
        <v/>
      </c>
    </row>
    <row r="422">
      <c r="A422" s="3" t="inlineStr">
        <is>
          <t>001594</t>
        </is>
      </c>
      <c r="B422" s="6">
        <f>COUNTIF('Entetes_TriNumInterne'!$B$2:$B$723,A422)</f>
        <v/>
      </c>
    </row>
    <row r="423">
      <c r="A423" s="3" t="inlineStr">
        <is>
          <t>001595</t>
        </is>
      </c>
      <c r="B423" s="6">
        <f>COUNTIF('Entetes_TriNumInterne'!$B$2:$B$723,A423)</f>
        <v/>
      </c>
    </row>
    <row r="424">
      <c r="A424" s="3" t="inlineStr">
        <is>
          <t>001596</t>
        </is>
      </c>
      <c r="B424" s="6">
        <f>COUNTIF('Entetes_TriNumInterne'!$B$2:$B$723,A424)</f>
        <v/>
      </c>
    </row>
    <row r="425">
      <c r="A425" s="3" t="inlineStr">
        <is>
          <t>001597</t>
        </is>
      </c>
      <c r="B425" s="6">
        <f>COUNTIF('Entetes_TriNumInterne'!$B$2:$B$723,A425)</f>
        <v/>
      </c>
    </row>
    <row r="426">
      <c r="A426" s="3" t="inlineStr">
        <is>
          <t>001598</t>
        </is>
      </c>
      <c r="B426" s="6">
        <f>COUNTIF('Entetes_TriNumInterne'!$B$2:$B$723,A426)</f>
        <v/>
      </c>
    </row>
    <row r="427">
      <c r="A427" s="3" t="inlineStr">
        <is>
          <t>001599</t>
        </is>
      </c>
      <c r="B427" s="6">
        <f>COUNTIF('Entetes_TriNumInterne'!$B$2:$B$723,A427)</f>
        <v/>
      </c>
    </row>
    <row r="428">
      <c r="A428" s="3" t="inlineStr">
        <is>
          <t>001600</t>
        </is>
      </c>
      <c r="B428" s="6">
        <f>COUNTIF('Entetes_TriNumInterne'!$B$2:$B$723,A428)</f>
        <v/>
      </c>
    </row>
    <row r="429">
      <c r="A429" s="3" t="inlineStr">
        <is>
          <t>001605</t>
        </is>
      </c>
      <c r="B429" s="6">
        <f>COUNTIF('Entetes_TriNumInterne'!$B$2:$B$723,A429)</f>
        <v/>
      </c>
    </row>
    <row r="430">
      <c r="A430" s="3" t="inlineStr">
        <is>
          <t>001606</t>
        </is>
      </c>
      <c r="B430" s="6">
        <f>COUNTIF('Entetes_TriNumInterne'!$B$2:$B$723,A430)</f>
        <v/>
      </c>
    </row>
    <row r="431">
      <c r="A431" s="3" t="inlineStr">
        <is>
          <t>001612</t>
        </is>
      </c>
      <c r="B431" s="6">
        <f>COUNTIF('Entetes_TriNumInterne'!$B$2:$B$723,A431)</f>
        <v/>
      </c>
    </row>
    <row r="432">
      <c r="A432" s="3" t="inlineStr">
        <is>
          <t>001613</t>
        </is>
      </c>
      <c r="B432" s="6">
        <f>COUNTIF('Entetes_TriNumInterne'!$B$2:$B$723,A432)</f>
        <v/>
      </c>
    </row>
    <row r="433">
      <c r="A433" s="3" t="inlineStr">
        <is>
          <t>001614</t>
        </is>
      </c>
      <c r="B433" s="6">
        <f>COUNTIF('Entetes_TriNumInterne'!$B$2:$B$723,A433)</f>
        <v/>
      </c>
    </row>
    <row r="434">
      <c r="A434" s="3" t="inlineStr">
        <is>
          <t>001617</t>
        </is>
      </c>
      <c r="B434" s="6">
        <f>COUNTIF('Entetes_TriNumInterne'!$B$2:$B$723,A434)</f>
        <v/>
      </c>
    </row>
    <row r="435">
      <c r="A435" s="3" t="inlineStr">
        <is>
          <t>001618</t>
        </is>
      </c>
      <c r="B435" s="6">
        <f>COUNTIF('Entetes_TriNumInterne'!$B$2:$B$723,A435)</f>
        <v/>
      </c>
    </row>
    <row r="436">
      <c r="A436" s="3" t="inlineStr">
        <is>
          <t>001619</t>
        </is>
      </c>
      <c r="B436" s="6">
        <f>COUNTIF('Entetes_TriNumInterne'!$B$2:$B$723,A436)</f>
        <v/>
      </c>
    </row>
    <row r="437">
      <c r="A437" s="3" t="inlineStr">
        <is>
          <t>001620</t>
        </is>
      </c>
      <c r="B437" s="6">
        <f>COUNTIF('Entetes_TriNumInterne'!$B$2:$B$723,A437)</f>
        <v/>
      </c>
    </row>
    <row r="438">
      <c r="A438" s="3" t="inlineStr">
        <is>
          <t>001621</t>
        </is>
      </c>
      <c r="B438" s="6">
        <f>COUNTIF('Entetes_TriNumInterne'!$B$2:$B$723,A438)</f>
        <v/>
      </c>
    </row>
    <row r="439">
      <c r="A439" s="3" t="inlineStr">
        <is>
          <t>001622</t>
        </is>
      </c>
      <c r="B439" s="6">
        <f>COUNTIF('Entetes_TriNumInterne'!$B$2:$B$723,A439)</f>
        <v/>
      </c>
    </row>
    <row r="440">
      <c r="A440" s="3" t="inlineStr">
        <is>
          <t>001623</t>
        </is>
      </c>
      <c r="B440" s="6">
        <f>COUNTIF('Entetes_TriNumInterne'!$B$2:$B$723,A440)</f>
        <v/>
      </c>
    </row>
    <row r="441">
      <c r="A441" s="3" t="inlineStr">
        <is>
          <t>001625</t>
        </is>
      </c>
      <c r="B441" s="6">
        <f>COUNTIF('Entetes_TriNumInterne'!$B$2:$B$723,A441)</f>
        <v/>
      </c>
    </row>
    <row r="442">
      <c r="A442" s="3" t="inlineStr">
        <is>
          <t>001627</t>
        </is>
      </c>
      <c r="B442" s="6">
        <f>COUNTIF('Entetes_TriNumInterne'!$B$2:$B$723,A442)</f>
        <v/>
      </c>
    </row>
    <row r="443">
      <c r="A443" s="3" t="inlineStr">
        <is>
          <t>001628</t>
        </is>
      </c>
      <c r="B443" s="6">
        <f>COUNTIF('Entetes_TriNumInterne'!$B$2:$B$723,A443)</f>
        <v/>
      </c>
    </row>
    <row r="444">
      <c r="A444" s="3" t="inlineStr">
        <is>
          <t>001629</t>
        </is>
      </c>
      <c r="B444" s="6">
        <f>COUNTIF('Entetes_TriNumInterne'!$B$2:$B$723,A444)</f>
        <v/>
      </c>
    </row>
    <row r="445">
      <c r="A445" s="3" t="inlineStr">
        <is>
          <t>001630</t>
        </is>
      </c>
      <c r="B445" s="6">
        <f>COUNTIF('Entetes_TriNumInterne'!$B$2:$B$723,A445)</f>
        <v/>
      </c>
    </row>
    <row r="446">
      <c r="A446" s="3" t="inlineStr">
        <is>
          <t>001632</t>
        </is>
      </c>
      <c r="B446" s="6">
        <f>COUNTIF('Entetes_TriNumInterne'!$B$2:$B$723,A446)</f>
        <v/>
      </c>
    </row>
    <row r="447">
      <c r="A447" s="3" t="inlineStr">
        <is>
          <t>001633</t>
        </is>
      </c>
      <c r="B447" s="6">
        <f>COUNTIF('Entetes_TriNumInterne'!$B$2:$B$723,A447)</f>
        <v/>
      </c>
    </row>
    <row r="448">
      <c r="A448" s="3" t="inlineStr">
        <is>
          <t>001634</t>
        </is>
      </c>
      <c r="B448" s="6">
        <f>COUNTIF('Entetes_TriNumInterne'!$B$2:$B$723,A448)</f>
        <v/>
      </c>
    </row>
    <row r="449">
      <c r="A449" s="3" t="inlineStr">
        <is>
          <t>001635</t>
        </is>
      </c>
      <c r="B449" s="6">
        <f>COUNTIF('Entetes_TriNumInterne'!$B$2:$B$723,A449)</f>
        <v/>
      </c>
    </row>
    <row r="450">
      <c r="A450" s="3" t="inlineStr">
        <is>
          <t>001637</t>
        </is>
      </c>
      <c r="B450" s="6">
        <f>COUNTIF('Entetes_TriNumInterne'!$B$2:$B$723,A450)</f>
        <v/>
      </c>
    </row>
    <row r="451">
      <c r="A451" s="3" t="inlineStr">
        <is>
          <t>001638</t>
        </is>
      </c>
      <c r="B451" s="6">
        <f>COUNTIF('Entetes_TriNumInterne'!$B$2:$B$723,A451)</f>
        <v/>
      </c>
    </row>
    <row r="452">
      <c r="A452" s="3" t="inlineStr">
        <is>
          <t>001639</t>
        </is>
      </c>
      <c r="B452" s="6">
        <f>COUNTIF('Entetes_TriNumInterne'!$B$2:$B$723,A452)</f>
        <v/>
      </c>
    </row>
    <row r="453">
      <c r="A453" s="3" t="inlineStr">
        <is>
          <t>001644</t>
        </is>
      </c>
      <c r="B453" s="6">
        <f>COUNTIF('Entetes_TriNumInterne'!$B$2:$B$723,A453)</f>
        <v/>
      </c>
    </row>
    <row r="454">
      <c r="A454" s="3" t="inlineStr">
        <is>
          <t>001645</t>
        </is>
      </c>
      <c r="B454" s="6">
        <f>COUNTIF('Entetes_TriNumInterne'!$B$2:$B$723,A454)</f>
        <v/>
      </c>
    </row>
    <row r="455">
      <c r="A455" s="3" t="inlineStr">
        <is>
          <t>001646</t>
        </is>
      </c>
      <c r="B455" s="6">
        <f>COUNTIF('Entetes_TriNumInterne'!$B$2:$B$723,A455)</f>
        <v/>
      </c>
    </row>
    <row r="456">
      <c r="A456" s="3" t="inlineStr">
        <is>
          <t>001647</t>
        </is>
      </c>
      <c r="B456" s="6">
        <f>COUNTIF('Entetes_TriNumInterne'!$B$2:$B$723,A456)</f>
        <v/>
      </c>
    </row>
    <row r="457">
      <c r="A457" s="3" t="inlineStr">
        <is>
          <t>001648</t>
        </is>
      </c>
      <c r="B457" s="6">
        <f>COUNTIF('Entetes_TriNumInterne'!$B$2:$B$723,A457)</f>
        <v/>
      </c>
    </row>
    <row r="458">
      <c r="A458" s="3" t="inlineStr">
        <is>
          <t>001655</t>
        </is>
      </c>
      <c r="B458" s="6">
        <f>COUNTIF('Entetes_TriNumInterne'!$B$2:$B$723,A458)</f>
        <v/>
      </c>
    </row>
    <row r="459">
      <c r="A459" s="3" t="inlineStr">
        <is>
          <t>001658</t>
        </is>
      </c>
      <c r="B459" s="6">
        <f>COUNTIF('Entetes_TriNumInterne'!$B$2:$B$723,A459)</f>
        <v/>
      </c>
    </row>
    <row r="460">
      <c r="A460" s="3" t="inlineStr">
        <is>
          <t>001659</t>
        </is>
      </c>
      <c r="B460" s="6">
        <f>COUNTIF('Entetes_TriNumInterne'!$B$2:$B$723,A460)</f>
        <v/>
      </c>
    </row>
    <row r="461">
      <c r="A461" s="3" t="inlineStr">
        <is>
          <t>001661</t>
        </is>
      </c>
      <c r="B461" s="6">
        <f>COUNTIF('Entetes_TriNumInterne'!$B$2:$B$723,A461)</f>
        <v/>
      </c>
    </row>
    <row r="462">
      <c r="A462" s="3" t="inlineStr">
        <is>
          <t>001662</t>
        </is>
      </c>
      <c r="B462" s="6">
        <f>COUNTIF('Entetes_TriNumInterne'!$B$2:$B$723,A462)</f>
        <v/>
      </c>
    </row>
    <row r="463">
      <c r="A463" s="3" t="inlineStr">
        <is>
          <t>001663</t>
        </is>
      </c>
      <c r="B463" s="6">
        <f>COUNTIF('Entetes_TriNumInterne'!$B$2:$B$723,A463)</f>
        <v/>
      </c>
    </row>
    <row r="464">
      <c r="A464" s="3" t="inlineStr">
        <is>
          <t>001664</t>
        </is>
      </c>
      <c r="B464" s="6">
        <f>COUNTIF('Entetes_TriNumInterne'!$B$2:$B$723,A464)</f>
        <v/>
      </c>
    </row>
    <row r="465">
      <c r="A465" s="3" t="inlineStr">
        <is>
          <t>001665</t>
        </is>
      </c>
      <c r="B465" s="6">
        <f>COUNTIF('Entetes_TriNumInterne'!$B$2:$B$723,A465)</f>
        <v/>
      </c>
    </row>
    <row r="466">
      <c r="A466" s="3" t="inlineStr">
        <is>
          <t>001667</t>
        </is>
      </c>
      <c r="B466" s="6">
        <f>COUNTIF('Entetes_TriNumInterne'!$B$2:$B$723,A466)</f>
        <v/>
      </c>
    </row>
    <row r="467">
      <c r="A467" s="3" t="inlineStr">
        <is>
          <t>001668</t>
        </is>
      </c>
      <c r="B467" s="6">
        <f>COUNTIF('Entetes_TriNumInterne'!$B$2:$B$723,A467)</f>
        <v/>
      </c>
    </row>
    <row r="468">
      <c r="A468" s="3" t="inlineStr">
        <is>
          <t>001669</t>
        </is>
      </c>
      <c r="B468" s="6">
        <f>COUNTIF('Entetes_TriNumInterne'!$B$2:$B$723,A468)</f>
        <v/>
      </c>
    </row>
    <row r="469">
      <c r="A469" s="3" t="inlineStr">
        <is>
          <t>001670</t>
        </is>
      </c>
      <c r="B469" s="6">
        <f>COUNTIF('Entetes_TriNumInterne'!$B$2:$B$723,A469)</f>
        <v/>
      </c>
    </row>
    <row r="470">
      <c r="A470" s="3" t="inlineStr">
        <is>
          <t>001671</t>
        </is>
      </c>
      <c r="B470" s="6">
        <f>COUNTIF('Entetes_TriNumInterne'!$B$2:$B$723,A470)</f>
        <v/>
      </c>
    </row>
    <row r="471">
      <c r="A471" s="3" t="inlineStr">
        <is>
          <t>001673</t>
        </is>
      </c>
      <c r="B471" s="6">
        <f>COUNTIF('Entetes_TriNumInterne'!$B$2:$B$723,A471)</f>
        <v/>
      </c>
    </row>
    <row r="472">
      <c r="A472" s="3" t="inlineStr">
        <is>
          <t>001674</t>
        </is>
      </c>
      <c r="B472" s="6">
        <f>COUNTIF('Entetes_TriNumInterne'!$B$2:$B$723,A472)</f>
        <v/>
      </c>
    </row>
    <row r="473">
      <c r="A473" s="3" t="inlineStr">
        <is>
          <t>001675</t>
        </is>
      </c>
      <c r="B473" s="6">
        <f>COUNTIF('Entetes_TriNumInterne'!$B$2:$B$723,A473)</f>
        <v/>
      </c>
    </row>
    <row r="474">
      <c r="A474" s="3" t="inlineStr">
        <is>
          <t>001676</t>
        </is>
      </c>
      <c r="B474" s="6">
        <f>COUNTIF('Entetes_TriNumInterne'!$B$2:$B$723,A474)</f>
        <v/>
      </c>
    </row>
    <row r="475">
      <c r="A475" s="3" t="inlineStr">
        <is>
          <t>001677</t>
        </is>
      </c>
      <c r="B475" s="6">
        <f>COUNTIF('Entetes_TriNumInterne'!$B$2:$B$723,A475)</f>
        <v/>
      </c>
    </row>
    <row r="476">
      <c r="A476" s="3" t="inlineStr">
        <is>
          <t>001678</t>
        </is>
      </c>
      <c r="B476" s="6">
        <f>COUNTIF('Entetes_TriNumInterne'!$B$2:$B$723,A476)</f>
        <v/>
      </c>
    </row>
    <row r="477">
      <c r="A477" s="3" t="inlineStr">
        <is>
          <t>001679</t>
        </is>
      </c>
      <c r="B477" s="6">
        <f>COUNTIF('Entetes_TriNumInterne'!$B$2:$B$723,A477)</f>
        <v/>
      </c>
    </row>
    <row r="478">
      <c r="A478" s="3" t="inlineStr">
        <is>
          <t>001681</t>
        </is>
      </c>
      <c r="B478" s="6">
        <f>COUNTIF('Entetes_TriNumInterne'!$B$2:$B$723,A478)</f>
        <v/>
      </c>
    </row>
    <row r="479">
      <c r="A479" s="3" t="inlineStr">
        <is>
          <t>001683</t>
        </is>
      </c>
      <c r="B479" s="6">
        <f>COUNTIF('Entetes_TriNumInterne'!$B$2:$B$723,A479)</f>
        <v/>
      </c>
    </row>
    <row r="480">
      <c r="A480" s="3" t="inlineStr">
        <is>
          <t>001684</t>
        </is>
      </c>
      <c r="B480" s="6">
        <f>COUNTIF('Entetes_TriNumInterne'!$B$2:$B$723,A480)</f>
        <v/>
      </c>
    </row>
    <row r="481">
      <c r="A481" s="3" t="inlineStr">
        <is>
          <t>001685</t>
        </is>
      </c>
      <c r="B481" s="6">
        <f>COUNTIF('Entetes_TriNumInterne'!$B$2:$B$723,A481)</f>
        <v/>
      </c>
    </row>
    <row r="482">
      <c r="A482" s="3" t="inlineStr">
        <is>
          <t>001686</t>
        </is>
      </c>
      <c r="B482" s="6">
        <f>COUNTIF('Entetes_TriNumInterne'!$B$2:$B$723,A482)</f>
        <v/>
      </c>
    </row>
    <row r="483">
      <c r="A483" s="3" t="inlineStr">
        <is>
          <t>001690</t>
        </is>
      </c>
      <c r="B483" s="6">
        <f>COUNTIF('Entetes_TriNumInterne'!$B$2:$B$723,A483)</f>
        <v/>
      </c>
    </row>
    <row r="484">
      <c r="A484" s="3" t="inlineStr">
        <is>
          <t>001691</t>
        </is>
      </c>
      <c r="B484" s="6">
        <f>COUNTIF('Entetes_TriNumInterne'!$B$2:$B$723,A484)</f>
        <v/>
      </c>
    </row>
    <row r="485">
      <c r="A485" s="3" t="inlineStr">
        <is>
          <t>001692</t>
        </is>
      </c>
      <c r="B485" s="6">
        <f>COUNTIF('Entetes_TriNumInterne'!$B$2:$B$723,A485)</f>
        <v/>
      </c>
    </row>
    <row r="486">
      <c r="A486" s="3" t="inlineStr">
        <is>
          <t>001696</t>
        </is>
      </c>
      <c r="B486" s="6">
        <f>COUNTIF('Entetes_TriNumInterne'!$B$2:$B$723,A486)</f>
        <v/>
      </c>
    </row>
    <row r="487">
      <c r="A487" s="3" t="inlineStr">
        <is>
          <t>001701</t>
        </is>
      </c>
      <c r="B487" s="6">
        <f>COUNTIF('Entetes_TriNumInterne'!$B$2:$B$723,A487)</f>
        <v/>
      </c>
    </row>
    <row r="488">
      <c r="A488" s="3" t="inlineStr">
        <is>
          <t>001706</t>
        </is>
      </c>
      <c r="B488" s="6">
        <f>COUNTIF('Entetes_TriNumInterne'!$B$2:$B$723,A488)</f>
        <v/>
      </c>
    </row>
    <row r="489">
      <c r="A489" s="3" t="inlineStr">
        <is>
          <t>001707</t>
        </is>
      </c>
      <c r="B489" s="6">
        <f>COUNTIF('Entetes_TriNumInterne'!$B$2:$B$723,A489)</f>
        <v/>
      </c>
    </row>
    <row r="490">
      <c r="A490" s="3" t="inlineStr">
        <is>
          <t>001708</t>
        </is>
      </c>
      <c r="B490" s="6">
        <f>COUNTIF('Entetes_TriNumInterne'!$B$2:$B$723,A490)</f>
        <v/>
      </c>
    </row>
    <row r="491">
      <c r="A491" s="3" t="inlineStr">
        <is>
          <t>001709</t>
        </is>
      </c>
      <c r="B491" s="6">
        <f>COUNTIF('Entetes_TriNumInterne'!$B$2:$B$723,A491)</f>
        <v/>
      </c>
    </row>
    <row r="492">
      <c r="A492" s="3" t="inlineStr">
        <is>
          <t>001710</t>
        </is>
      </c>
      <c r="B492" s="6">
        <f>COUNTIF('Entetes_TriNumInterne'!$B$2:$B$723,A492)</f>
        <v/>
      </c>
    </row>
    <row r="493">
      <c r="A493" s="3" t="inlineStr">
        <is>
          <t>001711</t>
        </is>
      </c>
      <c r="B493" s="6">
        <f>COUNTIF('Entetes_TriNumInterne'!$B$2:$B$723,A493)</f>
        <v/>
      </c>
    </row>
    <row r="494">
      <c r="A494" s="3" t="inlineStr">
        <is>
          <t>001713</t>
        </is>
      </c>
      <c r="B494" s="6">
        <f>COUNTIF('Entetes_TriNumInterne'!$B$2:$B$723,A494)</f>
        <v/>
      </c>
    </row>
    <row r="495">
      <c r="A495" s="3" t="inlineStr">
        <is>
          <t>001714</t>
        </is>
      </c>
      <c r="B495" s="6">
        <f>COUNTIF('Entetes_TriNumInterne'!$B$2:$B$723,A495)</f>
        <v/>
      </c>
    </row>
    <row r="496">
      <c r="A496" s="3" t="inlineStr">
        <is>
          <t>001715</t>
        </is>
      </c>
      <c r="B496" s="6">
        <f>COUNTIF('Entetes_TriNumInterne'!$B$2:$B$723,A496)</f>
        <v/>
      </c>
    </row>
    <row r="497">
      <c r="A497" s="3" t="inlineStr">
        <is>
          <t>001717</t>
        </is>
      </c>
      <c r="B497" s="6">
        <f>COUNTIF('Entetes_TriNumInterne'!$B$2:$B$723,A497)</f>
        <v/>
      </c>
    </row>
    <row r="498">
      <c r="A498" s="3" t="inlineStr">
        <is>
          <t>001718</t>
        </is>
      </c>
      <c r="B498" s="6">
        <f>COUNTIF('Entetes_TriNumInterne'!$B$2:$B$723,A498)</f>
        <v/>
      </c>
    </row>
    <row r="499">
      <c r="A499" s="3" t="inlineStr">
        <is>
          <t>001719</t>
        </is>
      </c>
      <c r="B499" s="6">
        <f>COUNTIF('Entetes_TriNumInterne'!$B$2:$B$723,A499)</f>
        <v/>
      </c>
    </row>
    <row r="500">
      <c r="A500" s="3" t="inlineStr">
        <is>
          <t>001720</t>
        </is>
      </c>
      <c r="B500" s="6">
        <f>COUNTIF('Entetes_TriNumInterne'!$B$2:$B$723,A500)</f>
        <v/>
      </c>
    </row>
    <row r="501">
      <c r="A501" s="3" t="inlineStr">
        <is>
          <t>001721</t>
        </is>
      </c>
      <c r="B501" s="6">
        <f>COUNTIF('Entetes_TriNumInterne'!$B$2:$B$723,A501)</f>
        <v/>
      </c>
    </row>
    <row r="502">
      <c r="A502" s="3" t="inlineStr">
        <is>
          <t>001722</t>
        </is>
      </c>
      <c r="B502" s="6">
        <f>COUNTIF('Entetes_TriNumInterne'!$B$2:$B$723,A502)</f>
        <v/>
      </c>
    </row>
    <row r="503">
      <c r="A503" s="3" t="inlineStr">
        <is>
          <t>001724</t>
        </is>
      </c>
      <c r="B503" s="6">
        <f>COUNTIF('Entetes_TriNumInterne'!$B$2:$B$723,A503)</f>
        <v/>
      </c>
    </row>
    <row r="504">
      <c r="A504" s="3" t="inlineStr">
        <is>
          <t>001725</t>
        </is>
      </c>
      <c r="B504" s="6">
        <f>COUNTIF('Entetes_TriNumInterne'!$B$2:$B$723,A504)</f>
        <v/>
      </c>
    </row>
    <row r="505">
      <c r="A505" s="3" t="inlineStr">
        <is>
          <t>001726</t>
        </is>
      </c>
      <c r="B505" s="6">
        <f>COUNTIF('Entetes_TriNumInterne'!$B$2:$B$723,A505)</f>
        <v/>
      </c>
    </row>
    <row r="506">
      <c r="A506" s="3" t="inlineStr">
        <is>
          <t>001732</t>
        </is>
      </c>
      <c r="B506" s="6">
        <f>COUNTIF('Entetes_TriNumInterne'!$B$2:$B$723,A506)</f>
        <v/>
      </c>
    </row>
    <row r="507">
      <c r="A507" s="3" t="inlineStr">
        <is>
          <t>001733</t>
        </is>
      </c>
      <c r="B507" s="6">
        <f>COUNTIF('Entetes_TriNumInterne'!$B$2:$B$723,A507)</f>
        <v/>
      </c>
    </row>
    <row r="508">
      <c r="A508" s="3" t="inlineStr">
        <is>
          <t>001734</t>
        </is>
      </c>
      <c r="B508" s="6">
        <f>COUNTIF('Entetes_TriNumInterne'!$B$2:$B$723,A508)</f>
        <v/>
      </c>
    </row>
    <row r="509">
      <c r="A509" s="3" t="inlineStr">
        <is>
          <t>001735</t>
        </is>
      </c>
      <c r="B509" s="6">
        <f>COUNTIF('Entetes_TriNumInterne'!$B$2:$B$723,A509)</f>
        <v/>
      </c>
    </row>
    <row r="510">
      <c r="A510" s="3" t="inlineStr">
        <is>
          <t>001736</t>
        </is>
      </c>
      <c r="B510" s="6">
        <f>COUNTIF('Entetes_TriNumInterne'!$B$2:$B$723,A510)</f>
        <v/>
      </c>
    </row>
    <row r="511">
      <c r="A511" s="3" t="inlineStr">
        <is>
          <t>001737</t>
        </is>
      </c>
      <c r="B511" s="6">
        <f>COUNTIF('Entetes_TriNumInterne'!$B$2:$B$723,A511)</f>
        <v/>
      </c>
    </row>
    <row r="512">
      <c r="A512" s="3" t="inlineStr">
        <is>
          <t>001738</t>
        </is>
      </c>
      <c r="B512" s="6">
        <f>COUNTIF('Entetes_TriNumInterne'!$B$2:$B$723,A512)</f>
        <v/>
      </c>
    </row>
    <row r="513">
      <c r="A513" s="3" t="inlineStr">
        <is>
          <t>001741</t>
        </is>
      </c>
      <c r="B513" s="6">
        <f>COUNTIF('Entetes_TriNumInterne'!$B$2:$B$723,A513)</f>
        <v/>
      </c>
    </row>
    <row r="514">
      <c r="A514" s="3" t="inlineStr">
        <is>
          <t>001742</t>
        </is>
      </c>
      <c r="B514" s="6">
        <f>COUNTIF('Entetes_TriNumInterne'!$B$2:$B$723,A514)</f>
        <v/>
      </c>
    </row>
    <row r="515">
      <c r="A515" s="3" t="inlineStr">
        <is>
          <t>001746</t>
        </is>
      </c>
      <c r="B515" s="6">
        <f>COUNTIF('Entetes_TriNumInterne'!$B$2:$B$723,A515)</f>
        <v/>
      </c>
    </row>
    <row r="516">
      <c r="A516" s="3" t="inlineStr">
        <is>
          <t>001747</t>
        </is>
      </c>
      <c r="B516" s="6">
        <f>COUNTIF('Entetes_TriNumInterne'!$B$2:$B$723,A516)</f>
        <v/>
      </c>
    </row>
    <row r="517">
      <c r="A517" s="3" t="inlineStr">
        <is>
          <t>001748</t>
        </is>
      </c>
      <c r="B517" s="6">
        <f>COUNTIF('Entetes_TriNumInterne'!$B$2:$B$723,A517)</f>
        <v/>
      </c>
    </row>
    <row r="518">
      <c r="A518" s="3" t="inlineStr">
        <is>
          <t>001750</t>
        </is>
      </c>
      <c r="B518" s="6">
        <f>COUNTIF('Entetes_TriNumInterne'!$B$2:$B$723,A518)</f>
        <v/>
      </c>
    </row>
    <row r="519">
      <c r="A519" s="3" t="inlineStr">
        <is>
          <t>001751</t>
        </is>
      </c>
      <c r="B519" s="6">
        <f>COUNTIF('Entetes_TriNumInterne'!$B$2:$B$723,A519)</f>
        <v/>
      </c>
    </row>
    <row r="520">
      <c r="A520" s="3" t="inlineStr">
        <is>
          <t>001752</t>
        </is>
      </c>
      <c r="B520" s="6">
        <f>COUNTIF('Entetes_TriNumInterne'!$B$2:$B$723,A520)</f>
        <v/>
      </c>
    </row>
    <row r="521">
      <c r="A521" s="3" t="inlineStr">
        <is>
          <t>001753</t>
        </is>
      </c>
      <c r="B521" s="6">
        <f>COUNTIF('Entetes_TriNumInterne'!$B$2:$B$723,A521)</f>
        <v/>
      </c>
    </row>
    <row r="522">
      <c r="A522" s="3" t="inlineStr">
        <is>
          <t>001754</t>
        </is>
      </c>
      <c r="B522" s="6">
        <f>COUNTIF('Entetes_TriNumInterne'!$B$2:$B$723,A522)</f>
        <v/>
      </c>
    </row>
    <row r="523">
      <c r="A523" s="3" t="inlineStr">
        <is>
          <t>001755</t>
        </is>
      </c>
      <c r="B523" s="6">
        <f>COUNTIF('Entetes_TriNumInterne'!$B$2:$B$723,A523)</f>
        <v/>
      </c>
    </row>
    <row r="524">
      <c r="A524" s="3" t="inlineStr">
        <is>
          <t>001759</t>
        </is>
      </c>
      <c r="B524" s="6">
        <f>COUNTIF('Entetes_TriNumInterne'!$B$2:$B$723,A524)</f>
        <v/>
      </c>
    </row>
    <row r="525">
      <c r="A525" s="3" t="inlineStr">
        <is>
          <t>001764</t>
        </is>
      </c>
      <c r="B525" s="6">
        <f>COUNTIF('Entetes_TriNumInterne'!$B$2:$B$723,A525)</f>
        <v/>
      </c>
    </row>
    <row r="526">
      <c r="A526" s="3" t="inlineStr">
        <is>
          <t>001765</t>
        </is>
      </c>
      <c r="B526" s="6">
        <f>COUNTIF('Entetes_TriNumInterne'!$B$2:$B$723,A526)</f>
        <v/>
      </c>
    </row>
    <row r="527">
      <c r="A527" s="3" t="inlineStr">
        <is>
          <t>001766</t>
        </is>
      </c>
      <c r="B527" s="6">
        <f>COUNTIF('Entetes_TriNumInterne'!$B$2:$B$723,A527)</f>
        <v/>
      </c>
    </row>
    <row r="528">
      <c r="A528" s="3" t="inlineStr">
        <is>
          <t>001767</t>
        </is>
      </c>
      <c r="B528" s="6">
        <f>COUNTIF('Entetes_TriNumInterne'!$B$2:$B$723,A528)</f>
        <v/>
      </c>
    </row>
    <row r="529">
      <c r="A529" s="3" t="inlineStr">
        <is>
          <t>001768</t>
        </is>
      </c>
      <c r="B529" s="6">
        <f>COUNTIF('Entetes_TriNumInterne'!$B$2:$B$723,A529)</f>
        <v/>
      </c>
    </row>
    <row r="530">
      <c r="A530" s="3" t="inlineStr">
        <is>
          <t>001769</t>
        </is>
      </c>
      <c r="B530" s="6">
        <f>COUNTIF('Entetes_TriNumInterne'!$B$2:$B$723,A530)</f>
        <v/>
      </c>
    </row>
    <row r="531">
      <c r="A531" s="3" t="inlineStr">
        <is>
          <t>001770</t>
        </is>
      </c>
      <c r="B531" s="6">
        <f>COUNTIF('Entetes_TriNumInterne'!$B$2:$B$723,A531)</f>
        <v/>
      </c>
    </row>
    <row r="532">
      <c r="A532" s="3" t="inlineStr">
        <is>
          <t>001771</t>
        </is>
      </c>
      <c r="B532" s="6">
        <f>COUNTIF('Entetes_TriNumInterne'!$B$2:$B$723,A532)</f>
        <v/>
      </c>
    </row>
    <row r="533">
      <c r="A533" s="3" t="inlineStr">
        <is>
          <t>001773</t>
        </is>
      </c>
      <c r="B533" s="6">
        <f>COUNTIF('Entetes_TriNumInterne'!$B$2:$B$723,A533)</f>
        <v/>
      </c>
    </row>
    <row r="534">
      <c r="A534" s="3" t="inlineStr">
        <is>
          <t>001775</t>
        </is>
      </c>
      <c r="B534" s="6">
        <f>COUNTIF('Entetes_TriNumInterne'!$B$2:$B$723,A534)</f>
        <v/>
      </c>
    </row>
    <row r="535">
      <c r="A535" s="3" t="inlineStr">
        <is>
          <t>001783</t>
        </is>
      </c>
      <c r="B535" s="6">
        <f>COUNTIF('Entetes_TriNumInterne'!$B$2:$B$723,A535)</f>
        <v/>
      </c>
    </row>
    <row r="536">
      <c r="A536" s="3" t="inlineStr">
        <is>
          <t>001784</t>
        </is>
      </c>
      <c r="B536" s="6">
        <f>COUNTIF('Entetes_TriNumInterne'!$B$2:$B$723,A536)</f>
        <v/>
      </c>
    </row>
    <row r="537">
      <c r="A537" s="3" t="inlineStr">
        <is>
          <t>001785</t>
        </is>
      </c>
      <c r="B537" s="6">
        <f>COUNTIF('Entetes_TriNumInterne'!$B$2:$B$723,A537)</f>
        <v/>
      </c>
    </row>
    <row r="538">
      <c r="A538" s="3" t="inlineStr">
        <is>
          <t>001787</t>
        </is>
      </c>
      <c r="B538" s="6">
        <f>COUNTIF('Entetes_TriNumInterne'!$B$2:$B$723,A538)</f>
        <v/>
      </c>
    </row>
    <row r="539">
      <c r="A539" s="3" t="inlineStr">
        <is>
          <t>001788</t>
        </is>
      </c>
      <c r="B539" s="6">
        <f>COUNTIF('Entetes_TriNumInterne'!$B$2:$B$723,A539)</f>
        <v/>
      </c>
    </row>
    <row r="540">
      <c r="A540" s="3" t="inlineStr">
        <is>
          <t>001790</t>
        </is>
      </c>
      <c r="B540" s="6">
        <f>COUNTIF('Entetes_TriNumInterne'!$B$2:$B$723,A540)</f>
        <v/>
      </c>
    </row>
    <row r="541">
      <c r="A541" s="3" t="inlineStr">
        <is>
          <t>001791</t>
        </is>
      </c>
      <c r="B541" s="6">
        <f>COUNTIF('Entetes_TriNumInterne'!$B$2:$B$723,A541)</f>
        <v/>
      </c>
    </row>
    <row r="542">
      <c r="A542" s="3" t="inlineStr">
        <is>
          <t>001792</t>
        </is>
      </c>
      <c r="B542" s="6">
        <f>COUNTIF('Entetes_TriNumInterne'!$B$2:$B$723,A542)</f>
        <v/>
      </c>
    </row>
    <row r="543">
      <c r="A543" s="3" t="inlineStr">
        <is>
          <t>001793</t>
        </is>
      </c>
      <c r="B543" s="6">
        <f>COUNTIF('Entetes_TriNumInterne'!$B$2:$B$723,A543)</f>
        <v/>
      </c>
    </row>
    <row r="544">
      <c r="A544" s="3" t="inlineStr">
        <is>
          <t>001795</t>
        </is>
      </c>
      <c r="B544" s="6">
        <f>COUNTIF('Entetes_TriNumInterne'!$B$2:$B$723,A544)</f>
        <v/>
      </c>
    </row>
    <row r="545">
      <c r="A545" s="3" t="inlineStr">
        <is>
          <t>001798</t>
        </is>
      </c>
      <c r="B545" s="6">
        <f>COUNTIF('Entetes_TriNumInterne'!$B$2:$B$723,A545)</f>
        <v/>
      </c>
    </row>
    <row r="546">
      <c r="A546" s="3" t="inlineStr">
        <is>
          <t>001799</t>
        </is>
      </c>
      <c r="B546" s="6">
        <f>COUNTIF('Entetes_TriNumInterne'!$B$2:$B$723,A546)</f>
        <v/>
      </c>
    </row>
    <row r="547">
      <c r="A547" s="3" t="inlineStr">
        <is>
          <t>001801</t>
        </is>
      </c>
      <c r="B547" s="6">
        <f>COUNTIF('Entetes_TriNumInterne'!$B$2:$B$723,A547)</f>
        <v/>
      </c>
    </row>
    <row r="548">
      <c r="A548" s="3" t="inlineStr">
        <is>
          <t>001802</t>
        </is>
      </c>
      <c r="B548" s="6">
        <f>COUNTIF('Entetes_TriNumInterne'!$B$2:$B$723,A548)</f>
        <v/>
      </c>
    </row>
    <row r="549">
      <c r="A549" s="3" t="inlineStr">
        <is>
          <t>001803</t>
        </is>
      </c>
      <c r="B549" s="6">
        <f>COUNTIF('Entetes_TriNumInterne'!$B$2:$B$723,A549)</f>
        <v/>
      </c>
    </row>
    <row r="550">
      <c r="A550" s="3" t="inlineStr">
        <is>
          <t>001804</t>
        </is>
      </c>
      <c r="B550" s="6">
        <f>COUNTIF('Entetes_TriNumInterne'!$B$2:$B$723,A550)</f>
        <v/>
      </c>
    </row>
    <row r="551">
      <c r="A551" s="3" t="inlineStr">
        <is>
          <t>001806</t>
        </is>
      </c>
      <c r="B551" s="6">
        <f>COUNTIF('Entetes_TriNumInterne'!$B$2:$B$723,A551)</f>
        <v/>
      </c>
    </row>
    <row r="552">
      <c r="A552" s="3" t="inlineStr">
        <is>
          <t>001807</t>
        </is>
      </c>
      <c r="B552" s="6">
        <f>COUNTIF('Entetes_TriNumInterne'!$B$2:$B$723,A552)</f>
        <v/>
      </c>
    </row>
    <row r="553">
      <c r="A553" s="3" t="inlineStr">
        <is>
          <t>001808</t>
        </is>
      </c>
      <c r="B553" s="6">
        <f>COUNTIF('Entetes_TriNumInterne'!$B$2:$B$723,A553)</f>
        <v/>
      </c>
    </row>
    <row r="554">
      <c r="A554" s="3" t="inlineStr">
        <is>
          <t>001809</t>
        </is>
      </c>
      <c r="B554" s="6">
        <f>COUNTIF('Entetes_TriNumInterne'!$B$2:$B$723,A554)</f>
        <v/>
      </c>
    </row>
    <row r="555">
      <c r="A555" s="3" t="inlineStr">
        <is>
          <t>001810</t>
        </is>
      </c>
      <c r="B555" s="6">
        <f>COUNTIF('Entetes_TriNumInterne'!$B$2:$B$723,A555)</f>
        <v/>
      </c>
    </row>
    <row r="556">
      <c r="A556" s="3" t="inlineStr">
        <is>
          <t>001811</t>
        </is>
      </c>
      <c r="B556" s="6">
        <f>COUNTIF('Entetes_TriNumInterne'!$B$2:$B$723,A556)</f>
        <v/>
      </c>
    </row>
    <row r="557">
      <c r="A557" s="3" t="inlineStr">
        <is>
          <t>001812</t>
        </is>
      </c>
      <c r="B557" s="6">
        <f>COUNTIF('Entetes_TriNumInterne'!$B$2:$B$723,A557)</f>
        <v/>
      </c>
    </row>
    <row r="558">
      <c r="A558" s="3" t="inlineStr">
        <is>
          <t>001814</t>
        </is>
      </c>
      <c r="B558" s="6">
        <f>COUNTIF('Entetes_TriNumInterne'!$B$2:$B$723,A558)</f>
        <v/>
      </c>
    </row>
    <row r="559">
      <c r="A559" s="3" t="inlineStr">
        <is>
          <t>001822</t>
        </is>
      </c>
      <c r="B559" s="6">
        <f>COUNTIF('Entetes_TriNumInterne'!$B$2:$B$723,A559)</f>
        <v/>
      </c>
    </row>
    <row r="560">
      <c r="A560" s="3" t="inlineStr">
        <is>
          <t>001825</t>
        </is>
      </c>
      <c r="B560" s="6">
        <f>COUNTIF('Entetes_TriNumInterne'!$B$2:$B$723,A560)</f>
        <v/>
      </c>
    </row>
    <row r="561">
      <c r="A561" s="3" t="inlineStr">
        <is>
          <t>001826</t>
        </is>
      </c>
      <c r="B561" s="6">
        <f>COUNTIF('Entetes_TriNumInterne'!$B$2:$B$723,A561)</f>
        <v/>
      </c>
    </row>
    <row r="562">
      <c r="A562" s="3" t="inlineStr">
        <is>
          <t>001829</t>
        </is>
      </c>
      <c r="B562" s="6">
        <f>COUNTIF('Entetes_TriNumInterne'!$B$2:$B$723,A562)</f>
        <v/>
      </c>
    </row>
    <row r="563">
      <c r="A563" s="3" t="inlineStr">
        <is>
          <t>001830</t>
        </is>
      </c>
      <c r="B563" s="6">
        <f>COUNTIF('Entetes_TriNumInterne'!$B$2:$B$723,A563)</f>
        <v/>
      </c>
    </row>
    <row r="564">
      <c r="A564" s="3" t="inlineStr">
        <is>
          <t>001831</t>
        </is>
      </c>
      <c r="B564" s="6">
        <f>COUNTIF('Entetes_TriNumInterne'!$B$2:$B$723,A564)</f>
        <v/>
      </c>
    </row>
    <row r="565">
      <c r="A565" s="3" t="inlineStr">
        <is>
          <t>001832</t>
        </is>
      </c>
      <c r="B565" s="6">
        <f>COUNTIF('Entetes_TriNumInterne'!$B$2:$B$723,A565)</f>
        <v/>
      </c>
    </row>
    <row r="566">
      <c r="A566" s="3" t="inlineStr">
        <is>
          <t>001833</t>
        </is>
      </c>
      <c r="B566" s="6">
        <f>COUNTIF('Entetes_TriNumInterne'!$B$2:$B$723,A566)</f>
        <v/>
      </c>
    </row>
    <row r="567">
      <c r="A567" s="3" t="inlineStr">
        <is>
          <t>001834</t>
        </is>
      </c>
      <c r="B567" s="6">
        <f>COUNTIF('Entetes_TriNumInterne'!$B$2:$B$723,A567)</f>
        <v/>
      </c>
    </row>
    <row r="568">
      <c r="A568" s="3" t="inlineStr">
        <is>
          <t>001835</t>
        </is>
      </c>
      <c r="B568" s="6">
        <f>COUNTIF('Entetes_TriNumInterne'!$B$2:$B$723,A568)</f>
        <v/>
      </c>
    </row>
    <row r="569">
      <c r="A569" s="3" t="inlineStr">
        <is>
          <t>001837</t>
        </is>
      </c>
      <c r="B569" s="6">
        <f>COUNTIF('Entetes_TriNumInterne'!$B$2:$B$723,A569)</f>
        <v/>
      </c>
    </row>
    <row r="570">
      <c r="A570" s="3" t="inlineStr">
        <is>
          <t>001838</t>
        </is>
      </c>
      <c r="B570" s="6">
        <f>COUNTIF('Entetes_TriNumInterne'!$B$2:$B$723,A570)</f>
        <v/>
      </c>
    </row>
    <row r="571">
      <c r="A571" s="3" t="inlineStr">
        <is>
          <t>001839</t>
        </is>
      </c>
      <c r="B571" s="6">
        <f>COUNTIF('Entetes_TriNumInterne'!$B$2:$B$723,A571)</f>
        <v/>
      </c>
    </row>
    <row r="572">
      <c r="A572" s="3" t="inlineStr">
        <is>
          <t>001840</t>
        </is>
      </c>
      <c r="B572" s="6">
        <f>COUNTIF('Entetes_TriNumInterne'!$B$2:$B$723,A572)</f>
        <v/>
      </c>
    </row>
    <row r="573">
      <c r="A573" s="3" t="inlineStr">
        <is>
          <t>001841</t>
        </is>
      </c>
      <c r="B573" s="6">
        <f>COUNTIF('Entetes_TriNumInterne'!$B$2:$B$723,A573)</f>
        <v/>
      </c>
    </row>
    <row r="574">
      <c r="A574" s="3" t="inlineStr">
        <is>
          <t>001843</t>
        </is>
      </c>
      <c r="B574" s="6">
        <f>COUNTIF('Entetes_TriNumInterne'!$B$2:$B$723,A574)</f>
        <v/>
      </c>
    </row>
    <row r="575">
      <c r="A575" s="3" t="inlineStr">
        <is>
          <t>001844</t>
        </is>
      </c>
      <c r="B575" s="6">
        <f>COUNTIF('Entetes_TriNumInterne'!$B$2:$B$723,A575)</f>
        <v/>
      </c>
    </row>
    <row r="576">
      <c r="A576" s="3" t="inlineStr">
        <is>
          <t>001845</t>
        </is>
      </c>
      <c r="B576" s="6">
        <f>COUNTIF('Entetes_TriNumInterne'!$B$2:$B$723,A576)</f>
        <v/>
      </c>
    </row>
    <row r="577">
      <c r="A577" s="3" t="inlineStr">
        <is>
          <t>001846</t>
        </is>
      </c>
      <c r="B577" s="6">
        <f>COUNTIF('Entetes_TriNumInterne'!$B$2:$B$723,A577)</f>
        <v/>
      </c>
    </row>
    <row r="578">
      <c r="A578" s="3" t="inlineStr">
        <is>
          <t>001847</t>
        </is>
      </c>
      <c r="B578" s="6">
        <f>COUNTIF('Entetes_TriNumInterne'!$B$2:$B$723,A578)</f>
        <v/>
      </c>
    </row>
    <row r="579">
      <c r="A579" s="3" t="inlineStr">
        <is>
          <t>001849</t>
        </is>
      </c>
      <c r="B579" s="6">
        <f>COUNTIF('Entetes_TriNumInterne'!$B$2:$B$723,A579)</f>
        <v/>
      </c>
    </row>
    <row r="580">
      <c r="A580" s="3" t="inlineStr">
        <is>
          <t>001850</t>
        </is>
      </c>
      <c r="B580" s="6">
        <f>COUNTIF('Entetes_TriNumInterne'!$B$2:$B$723,A580)</f>
        <v/>
      </c>
    </row>
    <row r="581">
      <c r="A581" s="3" t="inlineStr">
        <is>
          <t>001856</t>
        </is>
      </c>
      <c r="B581" s="6">
        <f>COUNTIF('Entetes_TriNumInterne'!$B$2:$B$723,A581)</f>
        <v/>
      </c>
    </row>
    <row r="582">
      <c r="A582" s="3" t="inlineStr">
        <is>
          <t>001857</t>
        </is>
      </c>
      <c r="B582" s="6">
        <f>COUNTIF('Entetes_TriNumInterne'!$B$2:$B$723,A582)</f>
        <v/>
      </c>
    </row>
    <row r="583">
      <c r="A583" s="3" t="inlineStr">
        <is>
          <t>001860</t>
        </is>
      </c>
      <c r="B583" s="6">
        <f>COUNTIF('Entetes_TriNumInterne'!$B$2:$B$723,A583)</f>
        <v/>
      </c>
    </row>
    <row r="584">
      <c r="A584" s="3" t="inlineStr">
        <is>
          <t>001861</t>
        </is>
      </c>
      <c r="B584" s="6">
        <f>COUNTIF('Entetes_TriNumInterne'!$B$2:$B$723,A584)</f>
        <v/>
      </c>
    </row>
    <row r="585">
      <c r="A585" s="3" t="inlineStr">
        <is>
          <t>001862</t>
        </is>
      </c>
      <c r="B585" s="6">
        <f>COUNTIF('Entetes_TriNumInterne'!$B$2:$B$723,A585)</f>
        <v/>
      </c>
    </row>
    <row r="586">
      <c r="A586" s="3" t="inlineStr">
        <is>
          <t>001863</t>
        </is>
      </c>
      <c r="B586" s="6">
        <f>COUNTIF('Entetes_TriNumInterne'!$B$2:$B$723,A586)</f>
        <v/>
      </c>
    </row>
    <row r="587">
      <c r="A587" s="3" t="inlineStr">
        <is>
          <t>001867</t>
        </is>
      </c>
      <c r="B587" s="6">
        <f>COUNTIF('Entetes_TriNumInterne'!$B$2:$B$723,A587)</f>
        <v/>
      </c>
    </row>
    <row r="588">
      <c r="A588" s="3" t="inlineStr">
        <is>
          <t>001868</t>
        </is>
      </c>
      <c r="B588" s="6">
        <f>COUNTIF('Entetes_TriNumInterne'!$B$2:$B$723,A588)</f>
        <v/>
      </c>
    </row>
    <row r="589">
      <c r="A589" s="3" t="inlineStr">
        <is>
          <t>001869</t>
        </is>
      </c>
      <c r="B589" s="6">
        <f>COUNTIF('Entetes_TriNumInterne'!$B$2:$B$723,A589)</f>
        <v/>
      </c>
    </row>
    <row r="590">
      <c r="A590" s="3" t="inlineStr">
        <is>
          <t>001870</t>
        </is>
      </c>
      <c r="B590" s="6">
        <f>COUNTIF('Entetes_TriNumInterne'!$B$2:$B$723,A590)</f>
        <v/>
      </c>
    </row>
    <row r="591">
      <c r="A591" s="3" t="inlineStr">
        <is>
          <t>001871</t>
        </is>
      </c>
      <c r="B591" s="6">
        <f>COUNTIF('Entetes_TriNumInterne'!$B$2:$B$723,A591)</f>
        <v/>
      </c>
    </row>
    <row r="592">
      <c r="A592" s="3" t="inlineStr">
        <is>
          <t>001872</t>
        </is>
      </c>
      <c r="B592" s="6">
        <f>COUNTIF('Entetes_TriNumInterne'!$B$2:$B$723,A592)</f>
        <v/>
      </c>
    </row>
    <row r="593">
      <c r="A593" s="3" t="inlineStr">
        <is>
          <t>001873</t>
        </is>
      </c>
      <c r="B593" s="6">
        <f>COUNTIF('Entetes_TriNumInterne'!$B$2:$B$723,A593)</f>
        <v/>
      </c>
    </row>
    <row r="594">
      <c r="A594" s="3" t="inlineStr">
        <is>
          <t>001874</t>
        </is>
      </c>
      <c r="B594" s="6">
        <f>COUNTIF('Entetes_TriNumInterne'!$B$2:$B$723,A594)</f>
        <v/>
      </c>
    </row>
    <row r="595">
      <c r="A595" s="3" t="inlineStr">
        <is>
          <t>001881</t>
        </is>
      </c>
      <c r="B595" s="6">
        <f>COUNTIF('Entetes_TriNumInterne'!$B$2:$B$723,A595)</f>
        <v/>
      </c>
    </row>
    <row r="596">
      <c r="A596" s="3" t="inlineStr">
        <is>
          <t>001885</t>
        </is>
      </c>
      <c r="B596" s="6">
        <f>COUNTIF('Entetes_TriNumInterne'!$B$2:$B$723,A596)</f>
        <v/>
      </c>
    </row>
    <row r="597">
      <c r="A597" s="3" t="inlineStr">
        <is>
          <t>001886</t>
        </is>
      </c>
      <c r="B597" s="6">
        <f>COUNTIF('Entetes_TriNumInterne'!$B$2:$B$723,A597)</f>
        <v/>
      </c>
    </row>
    <row r="598">
      <c r="A598" s="3" t="inlineStr">
        <is>
          <t>001887</t>
        </is>
      </c>
      <c r="B598" s="6">
        <f>COUNTIF('Entetes_TriNumInterne'!$B$2:$B$723,A598)</f>
        <v/>
      </c>
    </row>
    <row r="599">
      <c r="A599" s="3" t="inlineStr">
        <is>
          <t>001888</t>
        </is>
      </c>
      <c r="B599" s="6">
        <f>COUNTIF('Entetes_TriNumInterne'!$B$2:$B$723,A599)</f>
        <v/>
      </c>
    </row>
    <row r="600">
      <c r="A600" s="3" t="inlineStr">
        <is>
          <t>001889</t>
        </is>
      </c>
      <c r="B600" s="6">
        <f>COUNTIF('Entetes_TriNumInterne'!$B$2:$B$723,A600)</f>
        <v/>
      </c>
    </row>
    <row r="601">
      <c r="A601" s="3" t="inlineStr">
        <is>
          <t>001891</t>
        </is>
      </c>
      <c r="B601" s="6">
        <f>COUNTIF('Entetes_TriNumInterne'!$B$2:$B$723,A601)</f>
        <v/>
      </c>
    </row>
    <row r="602">
      <c r="A602" s="3" t="inlineStr">
        <is>
          <t>001900</t>
        </is>
      </c>
      <c r="B602" s="6">
        <f>COUNTIF('Entetes_TriNumInterne'!$B$2:$B$723,A602)</f>
        <v/>
      </c>
    </row>
    <row r="603">
      <c r="A603" s="3" t="inlineStr">
        <is>
          <t>001901</t>
        </is>
      </c>
      <c r="B603" s="6">
        <f>COUNTIF('Entetes_TriNumInterne'!$B$2:$B$723,A603)</f>
        <v/>
      </c>
    </row>
    <row r="604">
      <c r="A604" s="3" t="inlineStr">
        <is>
          <t>001902</t>
        </is>
      </c>
      <c r="B604" s="6">
        <f>COUNTIF('Entetes_TriNumInterne'!$B$2:$B$723,A604)</f>
        <v/>
      </c>
    </row>
    <row r="605">
      <c r="A605" s="3" t="inlineStr">
        <is>
          <t>001903</t>
        </is>
      </c>
      <c r="B605" s="6">
        <f>COUNTIF('Entetes_TriNumInterne'!$B$2:$B$723,A605)</f>
        <v/>
      </c>
    </row>
    <row r="606">
      <c r="A606" s="3" t="inlineStr">
        <is>
          <t>001904</t>
        </is>
      </c>
      <c r="B606" s="6">
        <f>COUNTIF('Entetes_TriNumInterne'!$B$2:$B$723,A606)</f>
        <v/>
      </c>
    </row>
    <row r="607">
      <c r="A607" s="3" t="inlineStr">
        <is>
          <t>001905</t>
        </is>
      </c>
      <c r="B607" s="6">
        <f>COUNTIF('Entetes_TriNumInterne'!$B$2:$B$723,A607)</f>
        <v/>
      </c>
    </row>
    <row r="608">
      <c r="A608" s="3" t="inlineStr">
        <is>
          <t>001906</t>
        </is>
      </c>
      <c r="B608" s="6">
        <f>COUNTIF('Entetes_TriNumInterne'!$B$2:$B$723,A608)</f>
        <v/>
      </c>
    </row>
    <row r="609">
      <c r="A609" s="3" t="inlineStr">
        <is>
          <t>001907</t>
        </is>
      </c>
      <c r="B609" s="6">
        <f>COUNTIF('Entetes_TriNumInterne'!$B$2:$B$723,A609)</f>
        <v/>
      </c>
    </row>
    <row r="610">
      <c r="A610" s="3" t="inlineStr">
        <is>
          <t>001908</t>
        </is>
      </c>
      <c r="B610" s="6">
        <f>COUNTIF('Entetes_TriNumInterne'!$B$2:$B$723,A610)</f>
        <v/>
      </c>
    </row>
    <row r="611">
      <c r="A611" s="3" t="inlineStr">
        <is>
          <t>001909</t>
        </is>
      </c>
      <c r="B611" s="6">
        <f>COUNTIF('Entetes_TriNumInterne'!$B$2:$B$723,A611)</f>
        <v/>
      </c>
    </row>
    <row r="612">
      <c r="A612" s="3" t="inlineStr">
        <is>
          <t>001910</t>
        </is>
      </c>
      <c r="B612" s="6">
        <f>COUNTIF('Entetes_TriNumInterne'!$B$2:$B$723,A612)</f>
        <v/>
      </c>
    </row>
    <row r="613">
      <c r="A613" s="3" t="inlineStr">
        <is>
          <t>001911</t>
        </is>
      </c>
      <c r="B613" s="6">
        <f>COUNTIF('Entetes_TriNumInterne'!$B$2:$B$723,A613)</f>
        <v/>
      </c>
    </row>
    <row r="614">
      <c r="A614" s="3" t="inlineStr">
        <is>
          <t>001912</t>
        </is>
      </c>
      <c r="B614" s="6">
        <f>COUNTIF('Entetes_TriNumInterne'!$B$2:$B$723,A614)</f>
        <v/>
      </c>
    </row>
    <row r="615">
      <c r="A615" s="3" t="inlineStr">
        <is>
          <t>001913</t>
        </is>
      </c>
      <c r="B615" s="6">
        <f>COUNTIF('Entetes_TriNumInterne'!$B$2:$B$723,A615)</f>
        <v/>
      </c>
    </row>
    <row r="616">
      <c r="A616" s="3" t="inlineStr">
        <is>
          <t>001914</t>
        </is>
      </c>
      <c r="B616" s="6">
        <f>COUNTIF('Entetes_TriNumInterne'!$B$2:$B$723,A616)</f>
        <v/>
      </c>
    </row>
    <row r="617">
      <c r="A617" s="3" t="inlineStr">
        <is>
          <t>001915</t>
        </is>
      </c>
      <c r="B617" s="6">
        <f>COUNTIF('Entetes_TriNumInterne'!$B$2:$B$723,A617)</f>
        <v/>
      </c>
    </row>
    <row r="618">
      <c r="A618" s="3" t="inlineStr">
        <is>
          <t>001917</t>
        </is>
      </c>
      <c r="B618" s="6">
        <f>COUNTIF('Entetes_TriNumInterne'!$B$2:$B$723,A618)</f>
        <v/>
      </c>
    </row>
    <row r="619">
      <c r="A619" s="3" t="inlineStr">
        <is>
          <t>001925</t>
        </is>
      </c>
      <c r="B619" s="6">
        <f>COUNTIF('Entetes_TriNumInterne'!$B$2:$B$723,A619)</f>
        <v/>
      </c>
    </row>
    <row r="620">
      <c r="A620" s="3" t="inlineStr">
        <is>
          <t>001926</t>
        </is>
      </c>
      <c r="B620" s="6">
        <f>COUNTIF('Entetes_TriNumInterne'!$B$2:$B$723,A620)</f>
        <v/>
      </c>
    </row>
    <row r="621">
      <c r="A621" s="3" t="inlineStr">
        <is>
          <t>001927</t>
        </is>
      </c>
      <c r="B621" s="6">
        <f>COUNTIF('Entetes_TriNumInterne'!$B$2:$B$723,A621)</f>
        <v/>
      </c>
    </row>
    <row r="622">
      <c r="A622" s="3" t="inlineStr">
        <is>
          <t>001928</t>
        </is>
      </c>
      <c r="B622" s="6">
        <f>COUNTIF('Entetes_TriNumInterne'!$B$2:$B$723,A622)</f>
        <v/>
      </c>
    </row>
    <row r="623">
      <c r="A623" s="3" t="inlineStr">
        <is>
          <t>001929</t>
        </is>
      </c>
      <c r="B623" s="6">
        <f>COUNTIF('Entetes_TriNumInterne'!$B$2:$B$723,A623)</f>
        <v/>
      </c>
    </row>
    <row r="624">
      <c r="A624" s="3" t="inlineStr">
        <is>
          <t>001931</t>
        </is>
      </c>
      <c r="B624" s="6">
        <f>COUNTIF('Entetes_TriNumInterne'!$B$2:$B$723,A624)</f>
        <v/>
      </c>
    </row>
    <row r="625">
      <c r="A625" s="3" t="inlineStr">
        <is>
          <t>001932</t>
        </is>
      </c>
      <c r="B625" s="6">
        <f>COUNTIF('Entetes_TriNumInterne'!$B$2:$B$723,A625)</f>
        <v/>
      </c>
    </row>
    <row r="626">
      <c r="A626" s="3" t="inlineStr">
        <is>
          <t>001933</t>
        </is>
      </c>
      <c r="B626" s="6">
        <f>COUNTIF('Entetes_TriNumInterne'!$B$2:$B$723,A626)</f>
        <v/>
      </c>
    </row>
    <row r="627">
      <c r="A627" s="3" t="inlineStr">
        <is>
          <t>001935</t>
        </is>
      </c>
      <c r="B627" s="6">
        <f>COUNTIF('Entetes_TriNumInterne'!$B$2:$B$723,A627)</f>
        <v/>
      </c>
    </row>
    <row r="628">
      <c r="A628" s="3" t="inlineStr">
        <is>
          <t>001937</t>
        </is>
      </c>
      <c r="B628" s="6">
        <f>COUNTIF('Entetes_TriNumInterne'!$B$2:$B$723,A628)</f>
        <v/>
      </c>
    </row>
    <row r="629">
      <c r="A629" s="3" t="inlineStr">
        <is>
          <t>001938</t>
        </is>
      </c>
      <c r="B629" s="6">
        <f>COUNTIF('Entetes_TriNumInterne'!$B$2:$B$723,A629)</f>
        <v/>
      </c>
    </row>
    <row r="630">
      <c r="A630" s="3" t="inlineStr">
        <is>
          <t>001939</t>
        </is>
      </c>
      <c r="B630" s="6">
        <f>COUNTIF('Entetes_TriNumInterne'!$B$2:$B$723,A630)</f>
        <v/>
      </c>
    </row>
    <row r="631">
      <c r="A631" s="3" t="inlineStr">
        <is>
          <t>001940</t>
        </is>
      </c>
      <c r="B631" s="6">
        <f>COUNTIF('Entetes_TriNumInterne'!$B$2:$B$723,A631)</f>
        <v/>
      </c>
    </row>
    <row r="632">
      <c r="A632" s="3" t="inlineStr">
        <is>
          <t>001941</t>
        </is>
      </c>
      <c r="B632" s="6">
        <f>COUNTIF('Entetes_TriNumInterne'!$B$2:$B$723,A632)</f>
        <v/>
      </c>
    </row>
    <row r="633">
      <c r="A633" s="3" t="inlineStr">
        <is>
          <t>001942</t>
        </is>
      </c>
      <c r="B633" s="6">
        <f>COUNTIF('Entetes_TriNumInterne'!$B$2:$B$723,A633)</f>
        <v/>
      </c>
    </row>
    <row r="634">
      <c r="A634" s="3" t="inlineStr">
        <is>
          <t>001945</t>
        </is>
      </c>
      <c r="B634" s="6">
        <f>COUNTIF('Entetes_TriNumInterne'!$B$2:$B$723,A634)</f>
        <v/>
      </c>
    </row>
    <row r="635">
      <c r="A635" s="3" t="inlineStr">
        <is>
          <t>001946</t>
        </is>
      </c>
      <c r="B635" s="6">
        <f>COUNTIF('Entetes_TriNumInterne'!$B$2:$B$723,A635)</f>
        <v/>
      </c>
    </row>
    <row r="636">
      <c r="A636" s="3" t="inlineStr">
        <is>
          <t>001950</t>
        </is>
      </c>
      <c r="B636" s="6">
        <f>COUNTIF('Entetes_TriNumInterne'!$B$2:$B$723,A636)</f>
        <v/>
      </c>
    </row>
    <row r="637">
      <c r="A637" s="3" t="inlineStr">
        <is>
          <t>001951</t>
        </is>
      </c>
      <c r="B637" s="6">
        <f>COUNTIF('Entetes_TriNumInterne'!$B$2:$B$723,A637)</f>
        <v/>
      </c>
    </row>
    <row r="638">
      <c r="A638" s="3" t="inlineStr">
        <is>
          <t>001960</t>
        </is>
      </c>
      <c r="B638" s="6">
        <f>COUNTIF('Entetes_TriNumInterne'!$B$2:$B$723,A638)</f>
        <v/>
      </c>
    </row>
    <row r="639">
      <c r="A639" s="3" t="inlineStr">
        <is>
          <t>001962</t>
        </is>
      </c>
      <c r="B639" s="6">
        <f>COUNTIF('Entetes_TriNumInterne'!$B$2:$B$723,A639)</f>
        <v/>
      </c>
    </row>
    <row r="640">
      <c r="A640" s="3" t="inlineStr">
        <is>
          <t>001963</t>
        </is>
      </c>
      <c r="B640" s="6">
        <f>COUNTIF('Entetes_TriNumInterne'!$B$2:$B$723,A640)</f>
        <v/>
      </c>
    </row>
    <row r="641">
      <c r="A641" s="3" t="inlineStr">
        <is>
          <t>001964</t>
        </is>
      </c>
      <c r="B641" s="6">
        <f>COUNTIF('Entetes_TriNumInterne'!$B$2:$B$723,A641)</f>
        <v/>
      </c>
    </row>
    <row r="642">
      <c r="A642" s="3" t="inlineStr">
        <is>
          <t>001965</t>
        </is>
      </c>
      <c r="B642" s="6">
        <f>COUNTIF('Entetes_TriNumInterne'!$B$2:$B$723,A642)</f>
        <v/>
      </c>
    </row>
    <row r="643">
      <c r="A643" s="3" t="inlineStr">
        <is>
          <t>001968</t>
        </is>
      </c>
      <c r="B643" s="6">
        <f>COUNTIF('Entetes_TriNumInterne'!$B$2:$B$723,A643)</f>
        <v/>
      </c>
    </row>
    <row r="644">
      <c r="A644" s="3" t="inlineStr">
        <is>
          <t>001969</t>
        </is>
      </c>
      <c r="B644" s="6">
        <f>COUNTIF('Entetes_TriNumInterne'!$B$2:$B$723,A644)</f>
        <v/>
      </c>
    </row>
    <row r="645">
      <c r="A645" s="3" t="inlineStr">
        <is>
          <t>001971</t>
        </is>
      </c>
      <c r="B645" s="6">
        <f>COUNTIF('Entetes_TriNumInterne'!$B$2:$B$723,A645)</f>
        <v/>
      </c>
    </row>
    <row r="646">
      <c r="A646" s="3" t="inlineStr">
        <is>
          <t>001973</t>
        </is>
      </c>
      <c r="B646" s="6">
        <f>COUNTIF('Entetes_TriNumInterne'!$B$2:$B$723,A646)</f>
        <v/>
      </c>
    </row>
    <row r="647">
      <c r="A647" s="3" t="inlineStr">
        <is>
          <t>001974</t>
        </is>
      </c>
      <c r="B647" s="6">
        <f>COUNTIF('Entetes_TriNumInterne'!$B$2:$B$723,A647)</f>
        <v/>
      </c>
    </row>
    <row r="648">
      <c r="A648" s="3" t="inlineStr">
        <is>
          <t>001975</t>
        </is>
      </c>
      <c r="B648" s="6">
        <f>COUNTIF('Entetes_TriNumInterne'!$B$2:$B$723,A648)</f>
        <v/>
      </c>
    </row>
    <row r="649">
      <c r="A649" s="3" t="inlineStr">
        <is>
          <t>001976</t>
        </is>
      </c>
      <c r="B649" s="6">
        <f>COUNTIF('Entetes_TriNumInterne'!$B$2:$B$723,A649)</f>
        <v/>
      </c>
    </row>
    <row r="650">
      <c r="A650" s="3" t="inlineStr">
        <is>
          <t>001979</t>
        </is>
      </c>
      <c r="B650" s="6">
        <f>COUNTIF('Entetes_TriNumInterne'!$B$2:$B$723,A650)</f>
        <v/>
      </c>
    </row>
    <row r="651">
      <c r="A651" s="3" t="inlineStr">
        <is>
          <t>001991</t>
        </is>
      </c>
      <c r="B651" s="6">
        <f>COUNTIF('Entetes_TriNumInterne'!$B$2:$B$723,A651)</f>
        <v/>
      </c>
    </row>
    <row r="652">
      <c r="A652" s="3" t="inlineStr">
        <is>
          <t>001992</t>
        </is>
      </c>
      <c r="B652" s="6">
        <f>COUNTIF('Entetes_TriNumInterne'!$B$2:$B$723,A652)</f>
        <v/>
      </c>
    </row>
    <row r="653">
      <c r="A653" s="3" t="inlineStr">
        <is>
          <t>001993</t>
        </is>
      </c>
      <c r="B653" s="6">
        <f>COUNTIF('Entetes_TriNumInterne'!$B$2:$B$723,A653)</f>
        <v/>
      </c>
    </row>
    <row r="654">
      <c r="A654" s="3" t="inlineStr">
        <is>
          <t>001994</t>
        </is>
      </c>
      <c r="B654" s="6">
        <f>COUNTIF('Entetes_TriNumInterne'!$B$2:$B$723,A654)</f>
        <v/>
      </c>
    </row>
    <row r="655">
      <c r="A655" s="3" t="inlineStr">
        <is>
          <t>001995</t>
        </is>
      </c>
      <c r="B655" s="6">
        <f>COUNTIF('Entetes_TriNumInterne'!$B$2:$B$723,A655)</f>
        <v/>
      </c>
    </row>
    <row r="656">
      <c r="A656" s="3" t="inlineStr">
        <is>
          <t>001997</t>
        </is>
      </c>
      <c r="B656" s="6">
        <f>COUNTIF('Entetes_TriNumInterne'!$B$2:$B$723,A656)</f>
        <v/>
      </c>
    </row>
    <row r="657">
      <c r="A657" s="3" t="inlineStr">
        <is>
          <t>001998</t>
        </is>
      </c>
      <c r="B657" s="6">
        <f>COUNTIF('Entetes_TriNumInterne'!$B$2:$B$723,A657)</f>
        <v/>
      </c>
    </row>
    <row r="658">
      <c r="A658" s="3" t="inlineStr">
        <is>
          <t>001999</t>
        </is>
      </c>
      <c r="B658" s="6">
        <f>COUNTIF('Entetes_TriNumInterne'!$B$2:$B$723,A658)</f>
        <v/>
      </c>
    </row>
    <row r="659">
      <c r="A659" s="3" t="inlineStr">
        <is>
          <t>002000</t>
        </is>
      </c>
      <c r="B659" s="6">
        <f>COUNTIF('Entetes_TriNumInterne'!$B$2:$B$723,A659)</f>
        <v/>
      </c>
    </row>
    <row r="660">
      <c r="A660" s="3" t="inlineStr">
        <is>
          <t>002001</t>
        </is>
      </c>
      <c r="B660" s="6">
        <f>COUNTIF('Entetes_TriNumInterne'!$B$2:$B$723,A660)</f>
        <v/>
      </c>
    </row>
    <row r="661">
      <c r="A661" s="3" t="inlineStr">
        <is>
          <t>002002</t>
        </is>
      </c>
      <c r="B661" s="6">
        <f>COUNTIF('Entetes_TriNumInterne'!$B$2:$B$723,A661)</f>
        <v/>
      </c>
    </row>
    <row r="662">
      <c r="A662" s="3" t="inlineStr">
        <is>
          <t>002003</t>
        </is>
      </c>
      <c r="B662" s="6">
        <f>COUNTIF('Entetes_TriNumInterne'!$B$2:$B$723,A662)</f>
        <v/>
      </c>
    </row>
    <row r="663">
      <c r="A663" s="3" t="inlineStr">
        <is>
          <t>002007</t>
        </is>
      </c>
      <c r="B663" s="6">
        <f>COUNTIF('Entetes_TriNumInterne'!$B$2:$B$723,A663)</f>
        <v/>
      </c>
    </row>
    <row r="664">
      <c r="A664" s="3" t="inlineStr">
        <is>
          <t>002012</t>
        </is>
      </c>
      <c r="B664" s="6">
        <f>COUNTIF('Entetes_TriNumInterne'!$B$2:$B$723,A664)</f>
        <v/>
      </c>
    </row>
    <row r="665">
      <c r="A665" s="3" t="inlineStr">
        <is>
          <t>002014</t>
        </is>
      </c>
      <c r="B665" s="6">
        <f>COUNTIF('Entetes_TriNumInterne'!$B$2:$B$723,A665)</f>
        <v/>
      </c>
    </row>
    <row r="666">
      <c r="A666" s="3" t="inlineStr">
        <is>
          <t>002017</t>
        </is>
      </c>
      <c r="B666" s="6">
        <f>COUNTIF('Entetes_TriNumInterne'!$B$2:$B$723,A666)</f>
        <v/>
      </c>
    </row>
    <row r="667">
      <c r="A667" s="3" t="inlineStr">
        <is>
          <t>002018</t>
        </is>
      </c>
      <c r="B667" s="6">
        <f>COUNTIF('Entetes_TriNumInterne'!$B$2:$B$723,A667)</f>
        <v/>
      </c>
    </row>
    <row r="668">
      <c r="A668" s="3" t="inlineStr">
        <is>
          <t>002019</t>
        </is>
      </c>
      <c r="B668" s="6">
        <f>COUNTIF('Entetes_TriNumInterne'!$B$2:$B$723,A668)</f>
        <v/>
      </c>
    </row>
    <row r="669">
      <c r="A669" s="3" t="inlineStr">
        <is>
          <t>002021</t>
        </is>
      </c>
      <c r="B669" s="6">
        <f>COUNTIF('Entetes_TriNumInterne'!$B$2:$B$723,A669)</f>
        <v/>
      </c>
    </row>
    <row r="670">
      <c r="A670" s="3" t="inlineStr">
        <is>
          <t>002022</t>
        </is>
      </c>
      <c r="B670" s="6">
        <f>COUNTIF('Entetes_TriNumInterne'!$B$2:$B$723,A670)</f>
        <v/>
      </c>
    </row>
    <row r="671">
      <c r="A671" s="3" t="inlineStr">
        <is>
          <t>002023</t>
        </is>
      </c>
      <c r="B671" s="6">
        <f>COUNTIF('Entetes_TriNumInterne'!$B$2:$B$723,A671)</f>
        <v/>
      </c>
    </row>
    <row r="672">
      <c r="A672" s="3" t="inlineStr">
        <is>
          <t>002024</t>
        </is>
      </c>
      <c r="B672" s="6">
        <f>COUNTIF('Entetes_TriNumInterne'!$B$2:$B$723,A672)</f>
        <v/>
      </c>
    </row>
    <row r="673">
      <c r="A673" s="3" t="inlineStr">
        <is>
          <t>002025</t>
        </is>
      </c>
      <c r="B673" s="6">
        <f>COUNTIF('Entetes_TriNumInterne'!$B$2:$B$723,A673)</f>
        <v/>
      </c>
    </row>
    <row r="674">
      <c r="A674" s="3" t="inlineStr">
        <is>
          <t>002028</t>
        </is>
      </c>
      <c r="B674" s="6">
        <f>COUNTIF('Entetes_TriNumInterne'!$B$2:$B$723,A674)</f>
        <v/>
      </c>
    </row>
    <row r="675">
      <c r="A675" s="3" t="inlineStr">
        <is>
          <t>002029</t>
        </is>
      </c>
      <c r="B675" s="6">
        <f>COUNTIF('Entetes_TriNumInterne'!$B$2:$B$723,A675)</f>
        <v/>
      </c>
    </row>
    <row r="676">
      <c r="A676" s="3" t="inlineStr">
        <is>
          <t>002031</t>
        </is>
      </c>
      <c r="B676" s="6">
        <f>COUNTIF('Entetes_TriNumInterne'!$B$2:$B$723,A676)</f>
        <v/>
      </c>
    </row>
    <row r="677">
      <c r="A677" s="3" t="inlineStr">
        <is>
          <t>002032</t>
        </is>
      </c>
      <c r="B677" s="6">
        <f>COUNTIF('Entetes_TriNumInterne'!$B$2:$B$723,A677)</f>
        <v/>
      </c>
    </row>
    <row r="678">
      <c r="A678" s="3" t="inlineStr">
        <is>
          <t>002036</t>
        </is>
      </c>
      <c r="B678" s="6">
        <f>COUNTIF('Entetes_TriNumInterne'!$B$2:$B$723,A678)</f>
        <v/>
      </c>
    </row>
    <row r="679">
      <c r="A679" s="3" t="inlineStr">
        <is>
          <t>002037</t>
        </is>
      </c>
      <c r="B679" s="6">
        <f>COUNTIF('Entetes_TriNumInterne'!$B$2:$B$723,A679)</f>
        <v/>
      </c>
    </row>
    <row r="680">
      <c r="A680" s="3" t="inlineStr">
        <is>
          <t>002038</t>
        </is>
      </c>
      <c r="B680" s="6">
        <f>COUNTIF('Entetes_TriNumInterne'!$B$2:$B$723,A680)</f>
        <v/>
      </c>
    </row>
    <row r="681">
      <c r="A681" s="3" t="inlineStr">
        <is>
          <t>002039</t>
        </is>
      </c>
      <c r="B681" s="6">
        <f>COUNTIF('Entetes_TriNumInterne'!$B$2:$B$723,A681)</f>
        <v/>
      </c>
    </row>
    <row r="682">
      <c r="A682" s="3" t="inlineStr">
        <is>
          <t>002040</t>
        </is>
      </c>
      <c r="B682" s="6">
        <f>COUNTIF('Entetes_TriNumInterne'!$B$2:$B$723,A682)</f>
        <v/>
      </c>
    </row>
    <row r="683">
      <c r="A683" s="3" t="inlineStr">
        <is>
          <t>002045</t>
        </is>
      </c>
      <c r="B683" s="6">
        <f>COUNTIF('Entetes_TriNumInterne'!$B$2:$B$723,A683)</f>
        <v/>
      </c>
    </row>
    <row r="684">
      <c r="A684" s="3" t="inlineStr">
        <is>
          <t>002047</t>
        </is>
      </c>
      <c r="B684" s="6">
        <f>COUNTIF('Entetes_TriNumInterne'!$B$2:$B$723,A684)</f>
        <v/>
      </c>
    </row>
    <row r="685">
      <c r="A685" s="3" t="inlineStr">
        <is>
          <t>002048</t>
        </is>
      </c>
      <c r="B685" s="6">
        <f>COUNTIF('Entetes_TriNumInterne'!$B$2:$B$723,A685)</f>
        <v/>
      </c>
    </row>
    <row r="686">
      <c r="A686" s="3" t="inlineStr">
        <is>
          <t>002049</t>
        </is>
      </c>
      <c r="B686" s="6">
        <f>COUNTIF('Entetes_TriNumInterne'!$B$2:$B$723,A686)</f>
        <v/>
      </c>
    </row>
    <row r="687">
      <c r="A687" s="3" t="inlineStr">
        <is>
          <t>002057</t>
        </is>
      </c>
      <c r="B687" s="6">
        <f>COUNTIF('Entetes_TriNumInterne'!$B$2:$B$723,A687)</f>
        <v/>
      </c>
    </row>
    <row r="688">
      <c r="A688" s="3" t="inlineStr">
        <is>
          <t>002058</t>
        </is>
      </c>
      <c r="B688" s="6">
        <f>COUNTIF('Entetes_TriNumInterne'!$B$2:$B$723,A688)</f>
        <v/>
      </c>
    </row>
    <row r="689">
      <c r="A689" s="3" t="inlineStr">
        <is>
          <t>002059</t>
        </is>
      </c>
      <c r="B689" s="6">
        <f>COUNTIF('Entetes_TriNumInterne'!$B$2:$B$723,A689)</f>
        <v/>
      </c>
    </row>
    <row r="690">
      <c r="A690" s="3" t="inlineStr">
        <is>
          <t>002060</t>
        </is>
      </c>
      <c r="B690" s="6">
        <f>COUNTIF('Entetes_TriNumInterne'!$B$2:$B$723,A690)</f>
        <v/>
      </c>
    </row>
    <row r="691">
      <c r="A691" s="3" t="inlineStr">
        <is>
          <t>002062</t>
        </is>
      </c>
      <c r="B691" s="6">
        <f>COUNTIF('Entetes_TriNumInterne'!$B$2:$B$723,A691)</f>
        <v/>
      </c>
    </row>
    <row r="692">
      <c r="A692" s="3" t="inlineStr">
        <is>
          <t>002063</t>
        </is>
      </c>
      <c r="B692" s="6">
        <f>COUNTIF('Entetes_TriNumInterne'!$B$2:$B$723,A692)</f>
        <v/>
      </c>
    </row>
    <row r="693">
      <c r="A693" s="3" t="inlineStr">
        <is>
          <t>002064</t>
        </is>
      </c>
      <c r="B693" s="6">
        <f>COUNTIF('Entetes_TriNumInterne'!$B$2:$B$723,A693)</f>
        <v/>
      </c>
    </row>
    <row r="694">
      <c r="A694" s="3" t="inlineStr">
        <is>
          <t>002067</t>
        </is>
      </c>
      <c r="B694" s="6">
        <f>COUNTIF('Entetes_TriNumInterne'!$B$2:$B$723,A694)</f>
        <v/>
      </c>
    </row>
    <row r="695">
      <c r="A695" s="3" t="inlineStr">
        <is>
          <t>002068</t>
        </is>
      </c>
      <c r="B695" s="6">
        <f>COUNTIF('Entetes_TriNumInterne'!$B$2:$B$723,A695)</f>
        <v/>
      </c>
    </row>
    <row r="696">
      <c r="A696" s="3" t="inlineStr">
        <is>
          <t>002069</t>
        </is>
      </c>
      <c r="B696" s="6">
        <f>COUNTIF('Entetes_TriNumInterne'!$B$2:$B$723,A696)</f>
        <v/>
      </c>
    </row>
    <row r="697">
      <c r="A697" s="3" t="inlineStr">
        <is>
          <t>002078</t>
        </is>
      </c>
      <c r="B697" s="6">
        <f>COUNTIF('Entetes_TriNumInterne'!$B$2:$B$723,A697)</f>
        <v/>
      </c>
    </row>
    <row r="698">
      <c r="A698" s="3" t="inlineStr">
        <is>
          <t>002079</t>
        </is>
      </c>
      <c r="B698" s="6">
        <f>COUNTIF('Entetes_TriNumInterne'!$B$2:$B$723,A698)</f>
        <v/>
      </c>
    </row>
    <row r="699">
      <c r="A699" s="3" t="inlineStr">
        <is>
          <t>002080</t>
        </is>
      </c>
      <c r="B699" s="6">
        <f>COUNTIF('Entetes_TriNumInterne'!$B$2:$B$723,A699)</f>
        <v/>
      </c>
    </row>
    <row r="700">
      <c r="A700" s="3" t="inlineStr">
        <is>
          <t>002081</t>
        </is>
      </c>
      <c r="B700" s="6">
        <f>COUNTIF('Entetes_TriNumInterne'!$B$2:$B$723,A700)</f>
        <v/>
      </c>
    </row>
    <row r="701">
      <c r="A701" s="3" t="inlineStr">
        <is>
          <t>002082</t>
        </is>
      </c>
      <c r="B701" s="6">
        <f>COUNTIF('Entetes_TriNumInterne'!$B$2:$B$723,A701)</f>
        <v/>
      </c>
    </row>
    <row r="702">
      <c r="A702" s="3" t="inlineStr">
        <is>
          <t>002083</t>
        </is>
      </c>
      <c r="B702" s="6">
        <f>COUNTIF('Entetes_TriNumInterne'!$B$2:$B$723,A702)</f>
        <v/>
      </c>
    </row>
    <row r="703">
      <c r="A703" s="3" t="inlineStr">
        <is>
          <t>002084</t>
        </is>
      </c>
      <c r="B703" s="6">
        <f>COUNTIF('Entetes_TriNumInterne'!$B$2:$B$723,A703)</f>
        <v/>
      </c>
    </row>
    <row r="704">
      <c r="A704" s="3" t="inlineStr">
        <is>
          <t>002085</t>
        </is>
      </c>
      <c r="B704" s="6">
        <f>COUNTIF('Entetes_TriNumInterne'!$B$2:$B$723,A704)</f>
        <v/>
      </c>
    </row>
    <row r="705">
      <c r="A705" s="3" t="inlineStr">
        <is>
          <t>002086</t>
        </is>
      </c>
      <c r="B705" s="6">
        <f>COUNTIF('Entetes_TriNumInterne'!$B$2:$B$723,A705)</f>
        <v/>
      </c>
    </row>
    <row r="706">
      <c r="A706" s="3" t="inlineStr">
        <is>
          <t>002088</t>
        </is>
      </c>
      <c r="B706" s="6">
        <f>COUNTIF('Entetes_TriNumInterne'!$B$2:$B$723,A706)</f>
        <v/>
      </c>
    </row>
    <row r="707">
      <c r="A707" s="3" t="inlineStr">
        <is>
          <t>002089</t>
        </is>
      </c>
      <c r="B707" s="6">
        <f>COUNTIF('Entetes_TriNumInterne'!$B$2:$B$723,A707)</f>
        <v/>
      </c>
    </row>
    <row r="708">
      <c r="A708" s="3" t="inlineStr">
        <is>
          <t>002090</t>
        </is>
      </c>
      <c r="B708" s="6">
        <f>COUNTIF('Entetes_TriNumInterne'!$B$2:$B$723,A708)</f>
        <v/>
      </c>
    </row>
    <row r="709">
      <c r="A709" s="3" t="inlineStr">
        <is>
          <t>002092</t>
        </is>
      </c>
      <c r="B709" s="6">
        <f>COUNTIF('Entetes_TriNumInterne'!$B$2:$B$723,A709)</f>
        <v/>
      </c>
    </row>
    <row r="710">
      <c r="A710" s="3" t="inlineStr">
        <is>
          <t>002093</t>
        </is>
      </c>
      <c r="B710" s="6">
        <f>COUNTIF('Entetes_TriNumInterne'!$B$2:$B$723,A710)</f>
        <v/>
      </c>
    </row>
    <row r="711">
      <c r="A711" s="3" t="inlineStr">
        <is>
          <t>002094</t>
        </is>
      </c>
      <c r="B711" s="6">
        <f>COUNTIF('Entetes_TriNumInterne'!$B$2:$B$723,A711)</f>
        <v/>
      </c>
    </row>
    <row r="712">
      <c r="A712" s="3" t="inlineStr">
        <is>
          <t>002095</t>
        </is>
      </c>
      <c r="B712" s="6">
        <f>COUNTIF('Entetes_TriNumInterne'!$B$2:$B$723,A712)</f>
        <v/>
      </c>
    </row>
    <row r="713">
      <c r="A713" s="3" t="inlineStr">
        <is>
          <t>002096</t>
        </is>
      </c>
      <c r="B713" s="6">
        <f>COUNTIF('Entetes_TriNumInterne'!$B$2:$B$723,A713)</f>
        <v/>
      </c>
    </row>
    <row r="714">
      <c r="A714" s="3" t="inlineStr">
        <is>
          <t>002097</t>
        </is>
      </c>
      <c r="B714" s="6">
        <f>COUNTIF('Entetes_TriNumInterne'!$B$2:$B$723,A714)</f>
        <v/>
      </c>
    </row>
    <row r="715">
      <c r="A715" s="3" t="inlineStr">
        <is>
          <t>002098</t>
        </is>
      </c>
      <c r="B715" s="6">
        <f>COUNTIF('Entetes_TriNumInterne'!$B$2:$B$723,A715)</f>
        <v/>
      </c>
    </row>
    <row r="716">
      <c r="A716" s="3" t="inlineStr">
        <is>
          <t>002100</t>
        </is>
      </c>
      <c r="B716" s="6">
        <f>COUNTIF('Entetes_TriNumInterne'!$B$2:$B$723,A716)</f>
        <v/>
      </c>
    </row>
    <row r="717">
      <c r="A717" s="3" t="inlineStr">
        <is>
          <t>002102</t>
        </is>
      </c>
      <c r="B717" s="6">
        <f>COUNTIF('Entetes_TriNumInterne'!$B$2:$B$723,A717)</f>
        <v/>
      </c>
    </row>
    <row r="718">
      <c r="A718" s="3" t="inlineStr">
        <is>
          <t>002106</t>
        </is>
      </c>
      <c r="B718" s="6">
        <f>COUNTIF('Entetes_TriNumInterne'!$B$2:$B$723,A718)</f>
        <v/>
      </c>
    </row>
    <row r="719">
      <c r="A719" s="3" t="inlineStr">
        <is>
          <t>002107</t>
        </is>
      </c>
      <c r="B719" s="6">
        <f>COUNTIF('Entetes_TriNumInterne'!$B$2:$B$723,A719)</f>
        <v/>
      </c>
    </row>
    <row r="720">
      <c r="A720" s="3" t="inlineStr">
        <is>
          <t>002108</t>
        </is>
      </c>
      <c r="B720" s="6">
        <f>COUNTIF('Entetes_TriNumInterne'!$B$2:$B$723,A720)</f>
        <v/>
      </c>
    </row>
    <row r="721">
      <c r="A721" s="3" t="inlineStr">
        <is>
          <t>002109</t>
        </is>
      </c>
      <c r="B721" s="6">
        <f>COUNTIF('Entetes_TriNumInterne'!$B$2:$B$723,A721)</f>
        <v/>
      </c>
    </row>
    <row r="722">
      <c r="A722" s="3" t="inlineStr">
        <is>
          <t>002110</t>
        </is>
      </c>
      <c r="B722" s="6">
        <f>COUNTIF('Entetes_TriNumInterne'!$B$2:$B$723,A722)</f>
        <v/>
      </c>
    </row>
    <row r="723">
      <c r="A723" s="3" t="inlineStr">
        <is>
          <t>002113</t>
        </is>
      </c>
      <c r="B723" s="6">
        <f>COUNTIF('Entetes_TriNumInterne'!$B$2:$B$723,A723)</f>
        <v/>
      </c>
    </row>
  </sheetData>
  <autoFilter ref="A1:B72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 ht="34" customHeight="1">
      <c r="A1" s="1" t="inlineStr">
        <is>
          <t>E_NUM_INTERNE</t>
        </is>
      </c>
      <c r="B1" s="1" t="inlineStr">
        <is>
          <t>COMPTER_E_NUM_INTERNE</t>
        </is>
      </c>
    </row>
    <row r="2">
      <c r="A2" s="3" t="inlineStr">
        <is>
          <t>AUCUN</t>
        </is>
      </c>
      <c r="B2" s="6" t="n">
        <v>0</v>
      </c>
    </row>
  </sheetData>
  <autoFilter ref="A1:B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 ht="34" customHeight="1">
      <c r="A1" s="1" t="inlineStr">
        <is>
          <t>E_NUM_TICKET</t>
        </is>
      </c>
      <c r="B1" s="1" t="inlineStr">
        <is>
          <t>COMPTER_E_NUM_TICKET</t>
        </is>
      </c>
    </row>
    <row r="2">
      <c r="A2" s="3" t="inlineStr">
        <is>
          <t>000609</t>
        </is>
      </c>
      <c r="B2" s="6">
        <f>COUNTIF('Entetes_TriNumInterne'!$C$2:$C$723,A2)</f>
        <v/>
      </c>
    </row>
    <row r="3">
      <c r="A3" s="3" t="inlineStr">
        <is>
          <t>000610</t>
        </is>
      </c>
      <c r="B3" s="6">
        <f>COUNTIF('Entetes_TriNumInterne'!$C$2:$C$723,A3)</f>
        <v/>
      </c>
    </row>
    <row r="4">
      <c r="A4" s="3" t="inlineStr">
        <is>
          <t>000611</t>
        </is>
      </c>
      <c r="B4" s="6">
        <f>COUNTIF('Entetes_TriNumInterne'!$C$2:$C$723,A4)</f>
        <v/>
      </c>
    </row>
    <row r="5">
      <c r="A5" s="3" t="inlineStr">
        <is>
          <t>000612</t>
        </is>
      </c>
      <c r="B5" s="6">
        <f>COUNTIF('Entetes_TriNumInterne'!$C$2:$C$723,A5)</f>
        <v/>
      </c>
    </row>
    <row r="6">
      <c r="A6" s="3" t="inlineStr">
        <is>
          <t>000613</t>
        </is>
      </c>
      <c r="B6" s="6">
        <f>COUNTIF('Entetes_TriNumInterne'!$C$2:$C$723,A6)</f>
        <v/>
      </c>
    </row>
    <row r="7">
      <c r="A7" s="3" t="inlineStr">
        <is>
          <t>000614</t>
        </is>
      </c>
      <c r="B7" s="6">
        <f>COUNTIF('Entetes_TriNumInterne'!$C$2:$C$723,A7)</f>
        <v/>
      </c>
    </row>
    <row r="8">
      <c r="A8" s="3" t="inlineStr">
        <is>
          <t>000615</t>
        </is>
      </c>
      <c r="B8" s="6">
        <f>COUNTIF('Entetes_TriNumInterne'!$C$2:$C$723,A8)</f>
        <v/>
      </c>
    </row>
    <row r="9">
      <c r="A9" s="3" t="inlineStr">
        <is>
          <t>000616</t>
        </is>
      </c>
      <c r="B9" s="6">
        <f>COUNTIF('Entetes_TriNumInterne'!$C$2:$C$723,A9)</f>
        <v/>
      </c>
    </row>
    <row r="10">
      <c r="A10" s="3" t="inlineStr">
        <is>
          <t>000617</t>
        </is>
      </c>
      <c r="B10" s="6">
        <f>COUNTIF('Entetes_TriNumInterne'!$C$2:$C$723,A10)</f>
        <v/>
      </c>
    </row>
    <row r="11">
      <c r="A11" s="3" t="inlineStr">
        <is>
          <t>000618</t>
        </is>
      </c>
      <c r="B11" s="6">
        <f>COUNTIF('Entetes_TriNumInterne'!$C$2:$C$723,A11)</f>
        <v/>
      </c>
    </row>
    <row r="12">
      <c r="A12" s="3" t="inlineStr">
        <is>
          <t>000619</t>
        </is>
      </c>
      <c r="B12" s="6">
        <f>COUNTIF('Entetes_TriNumInterne'!$C$2:$C$723,A12)</f>
        <v/>
      </c>
    </row>
    <row r="13">
      <c r="A13" s="3" t="inlineStr">
        <is>
          <t>000620</t>
        </is>
      </c>
      <c r="B13" s="6">
        <f>COUNTIF('Entetes_TriNumInterne'!$C$2:$C$723,A13)</f>
        <v/>
      </c>
    </row>
    <row r="14">
      <c r="A14" s="3" t="inlineStr">
        <is>
          <t>000621</t>
        </is>
      </c>
      <c r="B14" s="6">
        <f>COUNTIF('Entetes_TriNumInterne'!$C$2:$C$723,A14)</f>
        <v/>
      </c>
    </row>
    <row r="15">
      <c r="A15" s="3" t="inlineStr">
        <is>
          <t>000622</t>
        </is>
      </c>
      <c r="B15" s="6">
        <f>COUNTIF('Entetes_TriNumInterne'!$C$2:$C$723,A15)</f>
        <v/>
      </c>
    </row>
    <row r="16">
      <c r="A16" s="3" t="inlineStr">
        <is>
          <t>000623</t>
        </is>
      </c>
      <c r="B16" s="6">
        <f>COUNTIF('Entetes_TriNumInterne'!$C$2:$C$723,A16)</f>
        <v/>
      </c>
    </row>
    <row r="17">
      <c r="A17" s="3" t="inlineStr">
        <is>
          <t>000624</t>
        </is>
      </c>
      <c r="B17" s="6">
        <f>COUNTIF('Entetes_TriNumInterne'!$C$2:$C$723,A17)</f>
        <v/>
      </c>
    </row>
    <row r="18">
      <c r="A18" s="3" t="inlineStr">
        <is>
          <t>000625</t>
        </is>
      </c>
      <c r="B18" s="6">
        <f>COUNTIF('Entetes_TriNumInterne'!$C$2:$C$723,A18)</f>
        <v/>
      </c>
    </row>
    <row r="19">
      <c r="A19" s="3" t="inlineStr">
        <is>
          <t>000626</t>
        </is>
      </c>
      <c r="B19" s="6">
        <f>COUNTIF('Entetes_TriNumInterne'!$C$2:$C$723,A19)</f>
        <v/>
      </c>
    </row>
    <row r="20">
      <c r="A20" s="3" t="inlineStr">
        <is>
          <t>000627</t>
        </is>
      </c>
      <c r="B20" s="6">
        <f>COUNTIF('Entetes_TriNumInterne'!$C$2:$C$723,A20)</f>
        <v/>
      </c>
    </row>
    <row r="21">
      <c r="A21" s="3" t="inlineStr">
        <is>
          <t>000628</t>
        </is>
      </c>
      <c r="B21" s="6">
        <f>COUNTIF('Entetes_TriNumInterne'!$C$2:$C$723,A21)</f>
        <v/>
      </c>
    </row>
    <row r="22">
      <c r="A22" s="3" t="inlineStr">
        <is>
          <t>000629</t>
        </is>
      </c>
      <c r="B22" s="6">
        <f>COUNTIF('Entetes_TriNumInterne'!$C$2:$C$723,A22)</f>
        <v/>
      </c>
    </row>
    <row r="23">
      <c r="A23" s="3" t="inlineStr">
        <is>
          <t>000630</t>
        </is>
      </c>
      <c r="B23" s="6">
        <f>COUNTIF('Entetes_TriNumInterne'!$C$2:$C$723,A23)</f>
        <v/>
      </c>
    </row>
    <row r="24">
      <c r="A24" s="3" t="inlineStr">
        <is>
          <t>000631</t>
        </is>
      </c>
      <c r="B24" s="6">
        <f>COUNTIF('Entetes_TriNumInterne'!$C$2:$C$723,A24)</f>
        <v/>
      </c>
    </row>
    <row r="25">
      <c r="A25" s="3" t="inlineStr">
        <is>
          <t>000632</t>
        </is>
      </c>
      <c r="B25" s="6">
        <f>COUNTIF('Entetes_TriNumInterne'!$C$2:$C$723,A25)</f>
        <v/>
      </c>
    </row>
    <row r="26">
      <c r="A26" s="3" t="inlineStr">
        <is>
          <t>000633</t>
        </is>
      </c>
      <c r="B26" s="6">
        <f>COUNTIF('Entetes_TriNumInterne'!$C$2:$C$723,A26)</f>
        <v/>
      </c>
    </row>
    <row r="27">
      <c r="A27" s="3" t="inlineStr">
        <is>
          <t>000634</t>
        </is>
      </c>
      <c r="B27" s="6">
        <f>COUNTIF('Entetes_TriNumInterne'!$C$2:$C$723,A27)</f>
        <v/>
      </c>
    </row>
    <row r="28">
      <c r="A28" s="3" t="inlineStr">
        <is>
          <t>000635</t>
        </is>
      </c>
      <c r="B28" s="6">
        <f>COUNTIF('Entetes_TriNumInterne'!$C$2:$C$723,A28)</f>
        <v/>
      </c>
    </row>
    <row r="29">
      <c r="A29" s="3" t="inlineStr">
        <is>
          <t>000636</t>
        </is>
      </c>
      <c r="B29" s="6">
        <f>COUNTIF('Entetes_TriNumInterne'!$C$2:$C$723,A29)</f>
        <v/>
      </c>
    </row>
    <row r="30">
      <c r="A30" s="3" t="inlineStr">
        <is>
          <t>000637</t>
        </is>
      </c>
      <c r="B30" s="6">
        <f>COUNTIF('Entetes_TriNumInterne'!$C$2:$C$723,A30)</f>
        <v/>
      </c>
    </row>
    <row r="31">
      <c r="A31" s="3" t="inlineStr">
        <is>
          <t>000638</t>
        </is>
      </c>
      <c r="B31" s="6">
        <f>COUNTIF('Entetes_TriNumInterne'!$C$2:$C$723,A31)</f>
        <v/>
      </c>
    </row>
    <row r="32">
      <c r="A32" s="3" t="inlineStr">
        <is>
          <t>000639</t>
        </is>
      </c>
      <c r="B32" s="6">
        <f>COUNTIF('Entetes_TriNumInterne'!$C$2:$C$723,A32)</f>
        <v/>
      </c>
    </row>
    <row r="33">
      <c r="A33" s="3" t="inlineStr">
        <is>
          <t>000640</t>
        </is>
      </c>
      <c r="B33" s="6">
        <f>COUNTIF('Entetes_TriNumInterne'!$C$2:$C$723,A33)</f>
        <v/>
      </c>
    </row>
    <row r="34">
      <c r="A34" s="3" t="inlineStr">
        <is>
          <t>000641</t>
        </is>
      </c>
      <c r="B34" s="6">
        <f>COUNTIF('Entetes_TriNumInterne'!$C$2:$C$723,A34)</f>
        <v/>
      </c>
    </row>
    <row r="35">
      <c r="A35" s="3" t="inlineStr">
        <is>
          <t>000642</t>
        </is>
      </c>
      <c r="B35" s="6">
        <f>COUNTIF('Entetes_TriNumInterne'!$C$2:$C$723,A35)</f>
        <v/>
      </c>
    </row>
    <row r="36">
      <c r="A36" s="3" t="inlineStr">
        <is>
          <t>000643</t>
        </is>
      </c>
      <c r="B36" s="6">
        <f>COUNTIF('Entetes_TriNumInterne'!$C$2:$C$723,A36)</f>
        <v/>
      </c>
    </row>
    <row r="37">
      <c r="A37" s="3" t="inlineStr">
        <is>
          <t>000644</t>
        </is>
      </c>
      <c r="B37" s="6">
        <f>COUNTIF('Entetes_TriNumInterne'!$C$2:$C$723,A37)</f>
        <v/>
      </c>
    </row>
    <row r="38">
      <c r="A38" s="3" t="inlineStr">
        <is>
          <t>000645</t>
        </is>
      </c>
      <c r="B38" s="6">
        <f>COUNTIF('Entetes_TriNumInterne'!$C$2:$C$723,A38)</f>
        <v/>
      </c>
    </row>
    <row r="39">
      <c r="A39" s="3" t="inlineStr">
        <is>
          <t>000646</t>
        </is>
      </c>
      <c r="B39" s="6">
        <f>COUNTIF('Entetes_TriNumInterne'!$C$2:$C$723,A39)</f>
        <v/>
      </c>
    </row>
    <row r="40">
      <c r="A40" s="3" t="inlineStr">
        <is>
          <t>000647</t>
        </is>
      </c>
      <c r="B40" s="6">
        <f>COUNTIF('Entetes_TriNumInterne'!$C$2:$C$723,A40)</f>
        <v/>
      </c>
    </row>
    <row r="41">
      <c r="A41" s="3" t="inlineStr">
        <is>
          <t>000648</t>
        </is>
      </c>
      <c r="B41" s="6">
        <f>COUNTIF('Entetes_TriNumInterne'!$C$2:$C$723,A41)</f>
        <v/>
      </c>
    </row>
    <row r="42">
      <c r="A42" s="3" t="inlineStr">
        <is>
          <t>000649</t>
        </is>
      </c>
      <c r="B42" s="6">
        <f>COUNTIF('Entetes_TriNumInterne'!$C$2:$C$723,A42)</f>
        <v/>
      </c>
    </row>
    <row r="43">
      <c r="A43" s="3" t="inlineStr">
        <is>
          <t>000650</t>
        </is>
      </c>
      <c r="B43" s="6">
        <f>COUNTIF('Entetes_TriNumInterne'!$C$2:$C$723,A43)</f>
        <v/>
      </c>
    </row>
    <row r="44">
      <c r="A44" s="3" t="inlineStr">
        <is>
          <t>000651</t>
        </is>
      </c>
      <c r="B44" s="6">
        <f>COUNTIF('Entetes_TriNumInterne'!$C$2:$C$723,A44)</f>
        <v/>
      </c>
    </row>
    <row r="45">
      <c r="A45" s="3" t="inlineStr">
        <is>
          <t>000652</t>
        </is>
      </c>
      <c r="B45" s="6">
        <f>COUNTIF('Entetes_TriNumInterne'!$C$2:$C$723,A45)</f>
        <v/>
      </c>
    </row>
    <row r="46">
      <c r="A46" s="3" t="inlineStr">
        <is>
          <t>000653</t>
        </is>
      </c>
      <c r="B46" s="6">
        <f>COUNTIF('Entetes_TriNumInterne'!$C$2:$C$723,A46)</f>
        <v/>
      </c>
    </row>
    <row r="47">
      <c r="A47" s="3" t="inlineStr">
        <is>
          <t>000654</t>
        </is>
      </c>
      <c r="B47" s="6">
        <f>COUNTIF('Entetes_TriNumInterne'!$C$2:$C$723,A47)</f>
        <v/>
      </c>
    </row>
    <row r="48">
      <c r="A48" s="3" t="inlineStr">
        <is>
          <t>000655</t>
        </is>
      </c>
      <c r="B48" s="6">
        <f>COUNTIF('Entetes_TriNumInterne'!$C$2:$C$723,A48)</f>
        <v/>
      </c>
    </row>
    <row r="49">
      <c r="A49" s="3" t="inlineStr">
        <is>
          <t>000656</t>
        </is>
      </c>
      <c r="B49" s="6">
        <f>COUNTIF('Entetes_TriNumInterne'!$C$2:$C$723,A49)</f>
        <v/>
      </c>
    </row>
    <row r="50">
      <c r="A50" s="3" t="inlineStr">
        <is>
          <t>000657</t>
        </is>
      </c>
      <c r="B50" s="6">
        <f>COUNTIF('Entetes_TriNumInterne'!$C$2:$C$723,A50)</f>
        <v/>
      </c>
    </row>
    <row r="51">
      <c r="A51" s="3" t="inlineStr">
        <is>
          <t>000658</t>
        </is>
      </c>
      <c r="B51" s="6">
        <f>COUNTIF('Entetes_TriNumInterne'!$C$2:$C$723,A51)</f>
        <v/>
      </c>
    </row>
    <row r="52">
      <c r="A52" s="3" t="inlineStr">
        <is>
          <t>000659</t>
        </is>
      </c>
      <c r="B52" s="6">
        <f>COUNTIF('Entetes_TriNumInterne'!$C$2:$C$723,A52)</f>
        <v/>
      </c>
    </row>
    <row r="53">
      <c r="A53" s="3" t="inlineStr">
        <is>
          <t>000660</t>
        </is>
      </c>
      <c r="B53" s="6">
        <f>COUNTIF('Entetes_TriNumInterne'!$C$2:$C$723,A53)</f>
        <v/>
      </c>
    </row>
    <row r="54">
      <c r="A54" s="3" t="inlineStr">
        <is>
          <t>000661</t>
        </is>
      </c>
      <c r="B54" s="6">
        <f>COUNTIF('Entetes_TriNumInterne'!$C$2:$C$723,A54)</f>
        <v/>
      </c>
    </row>
    <row r="55">
      <c r="A55" s="3" t="inlineStr">
        <is>
          <t>000662</t>
        </is>
      </c>
      <c r="B55" s="6">
        <f>COUNTIF('Entetes_TriNumInterne'!$C$2:$C$723,A55)</f>
        <v/>
      </c>
    </row>
    <row r="56">
      <c r="A56" s="3" t="inlineStr">
        <is>
          <t>000663</t>
        </is>
      </c>
      <c r="B56" s="6">
        <f>COUNTIF('Entetes_TriNumInterne'!$C$2:$C$723,A56)</f>
        <v/>
      </c>
    </row>
    <row r="57">
      <c r="A57" s="3" t="inlineStr">
        <is>
          <t>000664</t>
        </is>
      </c>
      <c r="B57" s="6">
        <f>COUNTIF('Entetes_TriNumInterne'!$C$2:$C$723,A57)</f>
        <v/>
      </c>
    </row>
    <row r="58">
      <c r="A58" s="3" t="inlineStr">
        <is>
          <t>000665</t>
        </is>
      </c>
      <c r="B58" s="6">
        <f>COUNTIF('Entetes_TriNumInterne'!$C$2:$C$723,A58)</f>
        <v/>
      </c>
    </row>
    <row r="59">
      <c r="A59" s="3" t="inlineStr">
        <is>
          <t>000666</t>
        </is>
      </c>
      <c r="B59" s="6">
        <f>COUNTIF('Entetes_TriNumInterne'!$C$2:$C$723,A59)</f>
        <v/>
      </c>
    </row>
    <row r="60">
      <c r="A60" s="3" t="inlineStr">
        <is>
          <t>000667</t>
        </is>
      </c>
      <c r="B60" s="6">
        <f>COUNTIF('Entetes_TriNumInterne'!$C$2:$C$723,A60)</f>
        <v/>
      </c>
    </row>
    <row r="61">
      <c r="A61" s="3" t="inlineStr">
        <is>
          <t>000668</t>
        </is>
      </c>
      <c r="B61" s="6">
        <f>COUNTIF('Entetes_TriNumInterne'!$C$2:$C$723,A61)</f>
        <v/>
      </c>
    </row>
    <row r="62">
      <c r="A62" s="3" t="inlineStr">
        <is>
          <t>000669</t>
        </is>
      </c>
      <c r="B62" s="6">
        <f>COUNTIF('Entetes_TriNumInterne'!$C$2:$C$723,A62)</f>
        <v/>
      </c>
    </row>
    <row r="63">
      <c r="A63" s="3" t="inlineStr">
        <is>
          <t>000670</t>
        </is>
      </c>
      <c r="B63" s="6">
        <f>COUNTIF('Entetes_TriNumInterne'!$C$2:$C$723,A63)</f>
        <v/>
      </c>
    </row>
    <row r="64">
      <c r="A64" s="3" t="inlineStr">
        <is>
          <t>000671</t>
        </is>
      </c>
      <c r="B64" s="6">
        <f>COUNTIF('Entetes_TriNumInterne'!$C$2:$C$723,A64)</f>
        <v/>
      </c>
    </row>
    <row r="65">
      <c r="A65" s="3" t="inlineStr">
        <is>
          <t>000672</t>
        </is>
      </c>
      <c r="B65" s="6">
        <f>COUNTIF('Entetes_TriNumInterne'!$C$2:$C$723,A65)</f>
        <v/>
      </c>
    </row>
    <row r="66">
      <c r="A66" s="3" t="inlineStr">
        <is>
          <t>000673</t>
        </is>
      </c>
      <c r="B66" s="6">
        <f>COUNTIF('Entetes_TriNumInterne'!$C$2:$C$723,A66)</f>
        <v/>
      </c>
    </row>
    <row r="67">
      <c r="A67" s="3" t="inlineStr">
        <is>
          <t>000674</t>
        </is>
      </c>
      <c r="B67" s="6">
        <f>COUNTIF('Entetes_TriNumInterne'!$C$2:$C$723,A67)</f>
        <v/>
      </c>
    </row>
    <row r="68">
      <c r="A68" s="3" t="inlineStr">
        <is>
          <t>000675</t>
        </is>
      </c>
      <c r="B68" s="6">
        <f>COUNTIF('Entetes_TriNumInterne'!$C$2:$C$723,A68)</f>
        <v/>
      </c>
    </row>
    <row r="69">
      <c r="A69" s="3" t="inlineStr">
        <is>
          <t>000676</t>
        </is>
      </c>
      <c r="B69" s="6">
        <f>COUNTIF('Entetes_TriNumInterne'!$C$2:$C$723,A69)</f>
        <v/>
      </c>
    </row>
    <row r="70">
      <c r="A70" s="3" t="inlineStr">
        <is>
          <t>000677</t>
        </is>
      </c>
      <c r="B70" s="6">
        <f>COUNTIF('Entetes_TriNumInterne'!$C$2:$C$723,A70)</f>
        <v/>
      </c>
    </row>
    <row r="71">
      <c r="A71" s="3" t="inlineStr">
        <is>
          <t>000678</t>
        </is>
      </c>
      <c r="B71" s="6">
        <f>COUNTIF('Entetes_TriNumInterne'!$C$2:$C$723,A71)</f>
        <v/>
      </c>
    </row>
    <row r="72">
      <c r="A72" s="3" t="inlineStr">
        <is>
          <t>000679</t>
        </is>
      </c>
      <c r="B72" s="6">
        <f>COUNTIF('Entetes_TriNumInterne'!$C$2:$C$723,A72)</f>
        <v/>
      </c>
    </row>
    <row r="73">
      <c r="A73" s="3" t="inlineStr">
        <is>
          <t>000680</t>
        </is>
      </c>
      <c r="B73" s="6">
        <f>COUNTIF('Entetes_TriNumInterne'!$C$2:$C$723,A73)</f>
        <v/>
      </c>
    </row>
    <row r="74">
      <c r="A74" s="3" t="inlineStr">
        <is>
          <t>000681</t>
        </is>
      </c>
      <c r="B74" s="6">
        <f>COUNTIF('Entetes_TriNumInterne'!$C$2:$C$723,A74)</f>
        <v/>
      </c>
    </row>
    <row r="75">
      <c r="A75" s="3" t="inlineStr">
        <is>
          <t>000682</t>
        </is>
      </c>
      <c r="B75" s="6">
        <f>COUNTIF('Entetes_TriNumInterne'!$C$2:$C$723,A75)</f>
        <v/>
      </c>
    </row>
    <row r="76">
      <c r="A76" s="3" t="inlineStr">
        <is>
          <t>000683</t>
        </is>
      </c>
      <c r="B76" s="6">
        <f>COUNTIF('Entetes_TriNumInterne'!$C$2:$C$723,A76)</f>
        <v/>
      </c>
    </row>
    <row r="77">
      <c r="A77" s="3" t="inlineStr">
        <is>
          <t>000684</t>
        </is>
      </c>
      <c r="B77" s="6">
        <f>COUNTIF('Entetes_TriNumInterne'!$C$2:$C$723,A77)</f>
        <v/>
      </c>
    </row>
    <row r="78">
      <c r="A78" s="3" t="inlineStr">
        <is>
          <t>000685</t>
        </is>
      </c>
      <c r="B78" s="6">
        <f>COUNTIF('Entetes_TriNumInterne'!$C$2:$C$723,A78)</f>
        <v/>
      </c>
    </row>
    <row r="79">
      <c r="A79" s="3" t="inlineStr">
        <is>
          <t>000686</t>
        </is>
      </c>
      <c r="B79" s="6">
        <f>COUNTIF('Entetes_TriNumInterne'!$C$2:$C$723,A79)</f>
        <v/>
      </c>
    </row>
    <row r="80">
      <c r="A80" s="3" t="inlineStr">
        <is>
          <t>000687</t>
        </is>
      </c>
      <c r="B80" s="6">
        <f>COUNTIF('Entetes_TriNumInterne'!$C$2:$C$723,A80)</f>
        <v/>
      </c>
    </row>
    <row r="81">
      <c r="A81" s="3" t="inlineStr">
        <is>
          <t>000688</t>
        </is>
      </c>
      <c r="B81" s="6">
        <f>COUNTIF('Entetes_TriNumInterne'!$C$2:$C$723,A81)</f>
        <v/>
      </c>
    </row>
    <row r="82">
      <c r="A82" s="3" t="inlineStr">
        <is>
          <t>000689</t>
        </is>
      </c>
      <c r="B82" s="6">
        <f>COUNTIF('Entetes_TriNumInterne'!$C$2:$C$723,A82)</f>
        <v/>
      </c>
    </row>
    <row r="83">
      <c r="A83" s="3" t="inlineStr">
        <is>
          <t>000690</t>
        </is>
      </c>
      <c r="B83" s="6">
        <f>COUNTIF('Entetes_TriNumInterne'!$C$2:$C$723,A83)</f>
        <v/>
      </c>
    </row>
    <row r="84">
      <c r="A84" s="3" t="inlineStr">
        <is>
          <t>000691</t>
        </is>
      </c>
      <c r="B84" s="6">
        <f>COUNTIF('Entetes_TriNumInterne'!$C$2:$C$723,A84)</f>
        <v/>
      </c>
    </row>
    <row r="85">
      <c r="A85" s="3" t="inlineStr">
        <is>
          <t>000692</t>
        </is>
      </c>
      <c r="B85" s="6">
        <f>COUNTIF('Entetes_TriNumInterne'!$C$2:$C$723,A85)</f>
        <v/>
      </c>
    </row>
    <row r="86">
      <c r="A86" s="3" t="inlineStr">
        <is>
          <t>000693</t>
        </is>
      </c>
      <c r="B86" s="6">
        <f>COUNTIF('Entetes_TriNumInterne'!$C$2:$C$723,A86)</f>
        <v/>
      </c>
    </row>
    <row r="87">
      <c r="A87" s="3" t="inlineStr">
        <is>
          <t>000694</t>
        </is>
      </c>
      <c r="B87" s="6">
        <f>COUNTIF('Entetes_TriNumInterne'!$C$2:$C$723,A87)</f>
        <v/>
      </c>
    </row>
    <row r="88">
      <c r="A88" s="3" t="inlineStr">
        <is>
          <t>000695</t>
        </is>
      </c>
      <c r="B88" s="6">
        <f>COUNTIF('Entetes_TriNumInterne'!$C$2:$C$723,A88)</f>
        <v/>
      </c>
    </row>
    <row r="89">
      <c r="A89" s="3" t="inlineStr">
        <is>
          <t>000696</t>
        </is>
      </c>
      <c r="B89" s="6">
        <f>COUNTIF('Entetes_TriNumInterne'!$C$2:$C$723,A89)</f>
        <v/>
      </c>
    </row>
    <row r="90">
      <c r="A90" s="3" t="inlineStr">
        <is>
          <t>000697</t>
        </is>
      </c>
      <c r="B90" s="6">
        <f>COUNTIF('Entetes_TriNumInterne'!$C$2:$C$723,A90)</f>
        <v/>
      </c>
    </row>
    <row r="91">
      <c r="A91" s="3" t="inlineStr">
        <is>
          <t>000698</t>
        </is>
      </c>
      <c r="B91" s="6">
        <f>COUNTIF('Entetes_TriNumInterne'!$C$2:$C$723,A91)</f>
        <v/>
      </c>
    </row>
    <row r="92">
      <c r="A92" s="3" t="inlineStr">
        <is>
          <t>000699</t>
        </is>
      </c>
      <c r="B92" s="6">
        <f>COUNTIF('Entetes_TriNumInterne'!$C$2:$C$723,A92)</f>
        <v/>
      </c>
    </row>
    <row r="93">
      <c r="A93" s="3" t="inlineStr">
        <is>
          <t>000700</t>
        </is>
      </c>
      <c r="B93" s="6">
        <f>COUNTIF('Entetes_TriNumInterne'!$C$2:$C$723,A93)</f>
        <v/>
      </c>
    </row>
    <row r="94">
      <c r="A94" s="3" t="inlineStr">
        <is>
          <t>000701</t>
        </is>
      </c>
      <c r="B94" s="6">
        <f>COUNTIF('Entetes_TriNumInterne'!$C$2:$C$723,A94)</f>
        <v/>
      </c>
    </row>
    <row r="95">
      <c r="A95" s="3" t="inlineStr">
        <is>
          <t>000702</t>
        </is>
      </c>
      <c r="B95" s="6">
        <f>COUNTIF('Entetes_TriNumInterne'!$C$2:$C$723,A95)</f>
        <v/>
      </c>
    </row>
    <row r="96">
      <c r="A96" s="3" t="inlineStr">
        <is>
          <t>000703</t>
        </is>
      </c>
      <c r="B96" s="6">
        <f>COUNTIF('Entetes_TriNumInterne'!$C$2:$C$723,A96)</f>
        <v/>
      </c>
    </row>
    <row r="97">
      <c r="A97" s="3" t="inlineStr">
        <is>
          <t>000704</t>
        </is>
      </c>
      <c r="B97" s="6">
        <f>COUNTIF('Entetes_TriNumInterne'!$C$2:$C$723,A97)</f>
        <v/>
      </c>
    </row>
    <row r="98">
      <c r="A98" s="3" t="inlineStr">
        <is>
          <t>000705</t>
        </is>
      </c>
      <c r="B98" s="6">
        <f>COUNTIF('Entetes_TriNumInterne'!$C$2:$C$723,A98)</f>
        <v/>
      </c>
    </row>
    <row r="99">
      <c r="A99" s="3" t="inlineStr">
        <is>
          <t>000706</t>
        </is>
      </c>
      <c r="B99" s="6">
        <f>COUNTIF('Entetes_TriNumInterne'!$C$2:$C$723,A99)</f>
        <v/>
      </c>
    </row>
    <row r="100">
      <c r="A100" s="3" t="inlineStr">
        <is>
          <t>000707</t>
        </is>
      </c>
      <c r="B100" s="6">
        <f>COUNTIF('Entetes_TriNumInterne'!$C$2:$C$723,A100)</f>
        <v/>
      </c>
    </row>
    <row r="101">
      <c r="A101" s="3" t="inlineStr">
        <is>
          <t>000708</t>
        </is>
      </c>
      <c r="B101" s="6">
        <f>COUNTIF('Entetes_TriNumInterne'!$C$2:$C$723,A101)</f>
        <v/>
      </c>
    </row>
    <row r="102">
      <c r="A102" s="3" t="inlineStr">
        <is>
          <t>000709</t>
        </is>
      </c>
      <c r="B102" s="6">
        <f>COUNTIF('Entetes_TriNumInterne'!$C$2:$C$723,A102)</f>
        <v/>
      </c>
    </row>
    <row r="103">
      <c r="A103" s="3" t="inlineStr">
        <is>
          <t>000710</t>
        </is>
      </c>
      <c r="B103" s="6">
        <f>COUNTIF('Entetes_TriNumInterne'!$C$2:$C$723,A103)</f>
        <v/>
      </c>
    </row>
    <row r="104">
      <c r="A104" s="3" t="inlineStr">
        <is>
          <t>000711</t>
        </is>
      </c>
      <c r="B104" s="6">
        <f>COUNTIF('Entetes_TriNumInterne'!$C$2:$C$723,A104)</f>
        <v/>
      </c>
    </row>
    <row r="105">
      <c r="A105" s="3" t="inlineStr">
        <is>
          <t>000712</t>
        </is>
      </c>
      <c r="B105" s="6">
        <f>COUNTIF('Entetes_TriNumInterne'!$C$2:$C$723,A105)</f>
        <v/>
      </c>
    </row>
    <row r="106">
      <c r="A106" s="3" t="inlineStr">
        <is>
          <t>000713</t>
        </is>
      </c>
      <c r="B106" s="6">
        <f>COUNTIF('Entetes_TriNumInterne'!$C$2:$C$723,A106)</f>
        <v/>
      </c>
    </row>
    <row r="107">
      <c r="A107" s="3" t="inlineStr">
        <is>
          <t>000714</t>
        </is>
      </c>
      <c r="B107" s="6">
        <f>COUNTIF('Entetes_TriNumInterne'!$C$2:$C$723,A107)</f>
        <v/>
      </c>
    </row>
    <row r="108">
      <c r="A108" s="3" t="inlineStr">
        <is>
          <t>000715</t>
        </is>
      </c>
      <c r="B108" s="6">
        <f>COUNTIF('Entetes_TriNumInterne'!$C$2:$C$723,A108)</f>
        <v/>
      </c>
    </row>
    <row r="109">
      <c r="A109" s="3" t="inlineStr">
        <is>
          <t>000716</t>
        </is>
      </c>
      <c r="B109" s="6">
        <f>COUNTIF('Entetes_TriNumInterne'!$C$2:$C$723,A109)</f>
        <v/>
      </c>
    </row>
    <row r="110">
      <c r="A110" s="3" t="inlineStr">
        <is>
          <t>000717</t>
        </is>
      </c>
      <c r="B110" s="6">
        <f>COUNTIF('Entetes_TriNumInterne'!$C$2:$C$723,A110)</f>
        <v/>
      </c>
    </row>
    <row r="111">
      <c r="A111" s="3" t="inlineStr">
        <is>
          <t>000718</t>
        </is>
      </c>
      <c r="B111" s="6">
        <f>COUNTIF('Entetes_TriNumInterne'!$C$2:$C$723,A111)</f>
        <v/>
      </c>
    </row>
    <row r="112">
      <c r="A112" s="3" t="inlineStr">
        <is>
          <t>000719</t>
        </is>
      </c>
      <c r="B112" s="6">
        <f>COUNTIF('Entetes_TriNumInterne'!$C$2:$C$723,A112)</f>
        <v/>
      </c>
    </row>
    <row r="113">
      <c r="A113" s="3" t="inlineStr">
        <is>
          <t>000720</t>
        </is>
      </c>
      <c r="B113" s="6">
        <f>COUNTIF('Entetes_TriNumInterne'!$C$2:$C$723,A113)</f>
        <v/>
      </c>
    </row>
    <row r="114">
      <c r="A114" s="3" t="inlineStr">
        <is>
          <t>000721</t>
        </is>
      </c>
      <c r="B114" s="6">
        <f>COUNTIF('Entetes_TriNumInterne'!$C$2:$C$723,A114)</f>
        <v/>
      </c>
    </row>
    <row r="115">
      <c r="A115" s="3" t="inlineStr">
        <is>
          <t>000722</t>
        </is>
      </c>
      <c r="B115" s="6">
        <f>COUNTIF('Entetes_TriNumInterne'!$C$2:$C$723,A115)</f>
        <v/>
      </c>
    </row>
    <row r="116">
      <c r="A116" s="3" t="inlineStr">
        <is>
          <t>000723</t>
        </is>
      </c>
      <c r="B116" s="6">
        <f>COUNTIF('Entetes_TriNumInterne'!$C$2:$C$723,A116)</f>
        <v/>
      </c>
    </row>
    <row r="117">
      <c r="A117" s="3" t="inlineStr">
        <is>
          <t>000724</t>
        </is>
      </c>
      <c r="B117" s="6">
        <f>COUNTIF('Entetes_TriNumInterne'!$C$2:$C$723,A117)</f>
        <v/>
      </c>
    </row>
    <row r="118">
      <c r="A118" s="3" t="inlineStr">
        <is>
          <t>000725</t>
        </is>
      </c>
      <c r="B118" s="6">
        <f>COUNTIF('Entetes_TriNumInterne'!$C$2:$C$723,A118)</f>
        <v/>
      </c>
    </row>
    <row r="119">
      <c r="A119" s="3" t="inlineStr">
        <is>
          <t>000726</t>
        </is>
      </c>
      <c r="B119" s="6">
        <f>COUNTIF('Entetes_TriNumInterne'!$C$2:$C$723,A119)</f>
        <v/>
      </c>
    </row>
    <row r="120">
      <c r="A120" s="3" t="inlineStr">
        <is>
          <t>000727</t>
        </is>
      </c>
      <c r="B120" s="6">
        <f>COUNTIF('Entetes_TriNumInterne'!$C$2:$C$723,A120)</f>
        <v/>
      </c>
    </row>
    <row r="121">
      <c r="A121" s="3" t="inlineStr">
        <is>
          <t>000728</t>
        </is>
      </c>
      <c r="B121" s="6">
        <f>COUNTIF('Entetes_TriNumInterne'!$C$2:$C$723,A121)</f>
        <v/>
      </c>
    </row>
    <row r="122">
      <c r="A122" s="3" t="inlineStr">
        <is>
          <t>000729</t>
        </is>
      </c>
      <c r="B122" s="6">
        <f>COUNTIF('Entetes_TriNumInterne'!$C$2:$C$723,A122)</f>
        <v/>
      </c>
    </row>
    <row r="123">
      <c r="A123" s="3" t="inlineStr">
        <is>
          <t>000730</t>
        </is>
      </c>
      <c r="B123" s="6">
        <f>COUNTIF('Entetes_TriNumInterne'!$C$2:$C$723,A123)</f>
        <v/>
      </c>
    </row>
    <row r="124">
      <c r="A124" s="3" t="inlineStr">
        <is>
          <t>000731</t>
        </is>
      </c>
      <c r="B124" s="6">
        <f>COUNTIF('Entetes_TriNumInterne'!$C$2:$C$723,A124)</f>
        <v/>
      </c>
    </row>
    <row r="125">
      <c r="A125" s="3" t="inlineStr">
        <is>
          <t>000732</t>
        </is>
      </c>
      <c r="B125" s="6">
        <f>COUNTIF('Entetes_TriNumInterne'!$C$2:$C$723,A125)</f>
        <v/>
      </c>
    </row>
    <row r="126">
      <c r="A126" s="3" t="inlineStr">
        <is>
          <t>000733</t>
        </is>
      </c>
      <c r="B126" s="6">
        <f>COUNTIF('Entetes_TriNumInterne'!$C$2:$C$723,A126)</f>
        <v/>
      </c>
    </row>
    <row r="127">
      <c r="A127" s="3" t="inlineStr">
        <is>
          <t>000734</t>
        </is>
      </c>
      <c r="B127" s="6">
        <f>COUNTIF('Entetes_TriNumInterne'!$C$2:$C$723,A127)</f>
        <v/>
      </c>
    </row>
    <row r="128">
      <c r="A128" s="3" t="inlineStr">
        <is>
          <t>000735</t>
        </is>
      </c>
      <c r="B128" s="6">
        <f>COUNTIF('Entetes_TriNumInterne'!$C$2:$C$723,A128)</f>
        <v/>
      </c>
    </row>
    <row r="129">
      <c r="A129" s="3" t="inlineStr">
        <is>
          <t>000736</t>
        </is>
      </c>
      <c r="B129" s="6">
        <f>COUNTIF('Entetes_TriNumInterne'!$C$2:$C$723,A129)</f>
        <v/>
      </c>
    </row>
    <row r="130">
      <c r="A130" s="3" t="inlineStr">
        <is>
          <t>000737</t>
        </is>
      </c>
      <c r="B130" s="6">
        <f>COUNTIF('Entetes_TriNumInterne'!$C$2:$C$723,A130)</f>
        <v/>
      </c>
    </row>
    <row r="131">
      <c r="A131" s="3" t="inlineStr">
        <is>
          <t>000738</t>
        </is>
      </c>
      <c r="B131" s="6">
        <f>COUNTIF('Entetes_TriNumInterne'!$C$2:$C$723,A131)</f>
        <v/>
      </c>
    </row>
    <row r="132">
      <c r="A132" s="3" t="inlineStr">
        <is>
          <t>000739</t>
        </is>
      </c>
      <c r="B132" s="6">
        <f>COUNTIF('Entetes_TriNumInterne'!$C$2:$C$723,A132)</f>
        <v/>
      </c>
    </row>
    <row r="133">
      <c r="A133" s="3" t="inlineStr">
        <is>
          <t>000740</t>
        </is>
      </c>
      <c r="B133" s="6">
        <f>COUNTIF('Entetes_TriNumInterne'!$C$2:$C$723,A133)</f>
        <v/>
      </c>
    </row>
    <row r="134">
      <c r="A134" s="3" t="inlineStr">
        <is>
          <t>000741</t>
        </is>
      </c>
      <c r="B134" s="6">
        <f>COUNTIF('Entetes_TriNumInterne'!$C$2:$C$723,A134)</f>
        <v/>
      </c>
    </row>
    <row r="135">
      <c r="A135" s="3" t="inlineStr">
        <is>
          <t>000742</t>
        </is>
      </c>
      <c r="B135" s="6">
        <f>COUNTIF('Entetes_TriNumInterne'!$C$2:$C$723,A135)</f>
        <v/>
      </c>
    </row>
    <row r="136">
      <c r="A136" s="3" t="inlineStr">
        <is>
          <t>000743</t>
        </is>
      </c>
      <c r="B136" s="6">
        <f>COUNTIF('Entetes_TriNumInterne'!$C$2:$C$723,A136)</f>
        <v/>
      </c>
    </row>
    <row r="137">
      <c r="A137" s="3" t="inlineStr">
        <is>
          <t>000744</t>
        </is>
      </c>
      <c r="B137" s="6">
        <f>COUNTIF('Entetes_TriNumInterne'!$C$2:$C$723,A137)</f>
        <v/>
      </c>
    </row>
    <row r="138">
      <c r="A138" s="3" t="inlineStr">
        <is>
          <t>000745</t>
        </is>
      </c>
      <c r="B138" s="6">
        <f>COUNTIF('Entetes_TriNumInterne'!$C$2:$C$723,A138)</f>
        <v/>
      </c>
    </row>
    <row r="139">
      <c r="A139" s="3" t="inlineStr">
        <is>
          <t>000746</t>
        </is>
      </c>
      <c r="B139" s="6">
        <f>COUNTIF('Entetes_TriNumInterne'!$C$2:$C$723,A139)</f>
        <v/>
      </c>
    </row>
    <row r="140">
      <c r="A140" s="3" t="inlineStr">
        <is>
          <t>000747</t>
        </is>
      </c>
      <c r="B140" s="6">
        <f>COUNTIF('Entetes_TriNumInterne'!$C$2:$C$723,A140)</f>
        <v/>
      </c>
    </row>
    <row r="141">
      <c r="A141" s="3" t="inlineStr">
        <is>
          <t>000748</t>
        </is>
      </c>
      <c r="B141" s="6">
        <f>COUNTIF('Entetes_TriNumInterne'!$C$2:$C$723,A141)</f>
        <v/>
      </c>
    </row>
    <row r="142">
      <c r="A142" s="3" t="inlineStr">
        <is>
          <t>000749</t>
        </is>
      </c>
      <c r="B142" s="6">
        <f>COUNTIF('Entetes_TriNumInterne'!$C$2:$C$723,A142)</f>
        <v/>
      </c>
    </row>
    <row r="143">
      <c r="A143" s="3" t="inlineStr">
        <is>
          <t>000750</t>
        </is>
      </c>
      <c r="B143" s="6">
        <f>COUNTIF('Entetes_TriNumInterne'!$C$2:$C$723,A143)</f>
        <v/>
      </c>
    </row>
    <row r="144">
      <c r="A144" s="3" t="inlineStr">
        <is>
          <t>000751</t>
        </is>
      </c>
      <c r="B144" s="6">
        <f>COUNTIF('Entetes_TriNumInterne'!$C$2:$C$723,A144)</f>
        <v/>
      </c>
    </row>
    <row r="145">
      <c r="A145" s="3" t="inlineStr">
        <is>
          <t>000752</t>
        </is>
      </c>
      <c r="B145" s="6">
        <f>COUNTIF('Entetes_TriNumInterne'!$C$2:$C$723,A145)</f>
        <v/>
      </c>
    </row>
    <row r="146">
      <c r="A146" s="3" t="inlineStr">
        <is>
          <t>000753</t>
        </is>
      </c>
      <c r="B146" s="6">
        <f>COUNTIF('Entetes_TriNumInterne'!$C$2:$C$723,A146)</f>
        <v/>
      </c>
    </row>
    <row r="147">
      <c r="A147" s="3" t="inlineStr">
        <is>
          <t>000754</t>
        </is>
      </c>
      <c r="B147" s="6">
        <f>COUNTIF('Entetes_TriNumInterne'!$C$2:$C$723,A147)</f>
        <v/>
      </c>
    </row>
    <row r="148">
      <c r="A148" s="3" t="inlineStr">
        <is>
          <t>000755</t>
        </is>
      </c>
      <c r="B148" s="6">
        <f>COUNTIF('Entetes_TriNumInterne'!$C$2:$C$723,A148)</f>
        <v/>
      </c>
    </row>
    <row r="149">
      <c r="A149" s="3" t="inlineStr">
        <is>
          <t>000756</t>
        </is>
      </c>
      <c r="B149" s="6">
        <f>COUNTIF('Entetes_TriNumInterne'!$C$2:$C$723,A149)</f>
        <v/>
      </c>
    </row>
    <row r="150">
      <c r="A150" s="3" t="inlineStr">
        <is>
          <t>000757</t>
        </is>
      </c>
      <c r="B150" s="6">
        <f>COUNTIF('Entetes_TriNumInterne'!$C$2:$C$723,A150)</f>
        <v/>
      </c>
    </row>
    <row r="151">
      <c r="A151" s="3" t="inlineStr">
        <is>
          <t>000758</t>
        </is>
      </c>
      <c r="B151" s="6">
        <f>COUNTIF('Entetes_TriNumInterne'!$C$2:$C$723,A151)</f>
        <v/>
      </c>
    </row>
    <row r="152">
      <c r="A152" s="3" t="inlineStr">
        <is>
          <t>000759</t>
        </is>
      </c>
      <c r="B152" s="6">
        <f>COUNTIF('Entetes_TriNumInterne'!$C$2:$C$723,A152)</f>
        <v/>
      </c>
    </row>
    <row r="153">
      <c r="A153" s="3" t="inlineStr">
        <is>
          <t>000760</t>
        </is>
      </c>
      <c r="B153" s="6">
        <f>COUNTIF('Entetes_TriNumInterne'!$C$2:$C$723,A153)</f>
        <v/>
      </c>
    </row>
    <row r="154">
      <c r="A154" s="3" t="inlineStr">
        <is>
          <t>000761</t>
        </is>
      </c>
      <c r="B154" s="6">
        <f>COUNTIF('Entetes_TriNumInterne'!$C$2:$C$723,A154)</f>
        <v/>
      </c>
    </row>
    <row r="155">
      <c r="A155" s="3" t="inlineStr">
        <is>
          <t>000762</t>
        </is>
      </c>
      <c r="B155" s="6">
        <f>COUNTIF('Entetes_TriNumInterne'!$C$2:$C$723,A155)</f>
        <v/>
      </c>
    </row>
    <row r="156">
      <c r="A156" s="3" t="inlineStr">
        <is>
          <t>000763</t>
        </is>
      </c>
      <c r="B156" s="6">
        <f>COUNTIF('Entetes_TriNumInterne'!$C$2:$C$723,A156)</f>
        <v/>
      </c>
    </row>
    <row r="157">
      <c r="A157" s="3" t="inlineStr">
        <is>
          <t>000764</t>
        </is>
      </c>
      <c r="B157" s="6">
        <f>COUNTIF('Entetes_TriNumInterne'!$C$2:$C$723,A157)</f>
        <v/>
      </c>
    </row>
    <row r="158">
      <c r="A158" s="3" t="inlineStr">
        <is>
          <t>000765</t>
        </is>
      </c>
      <c r="B158" s="6">
        <f>COUNTIF('Entetes_TriNumInterne'!$C$2:$C$723,A158)</f>
        <v/>
      </c>
    </row>
    <row r="159">
      <c r="A159" s="3" t="inlineStr">
        <is>
          <t>000766</t>
        </is>
      </c>
      <c r="B159" s="6">
        <f>COUNTIF('Entetes_TriNumInterne'!$C$2:$C$723,A159)</f>
        <v/>
      </c>
    </row>
    <row r="160">
      <c r="A160" s="3" t="inlineStr">
        <is>
          <t>000767</t>
        </is>
      </c>
      <c r="B160" s="6">
        <f>COUNTIF('Entetes_TriNumInterne'!$C$2:$C$723,A160)</f>
        <v/>
      </c>
    </row>
    <row r="161">
      <c r="A161" s="3" t="inlineStr">
        <is>
          <t>000768</t>
        </is>
      </c>
      <c r="B161" s="6">
        <f>COUNTIF('Entetes_TriNumInterne'!$C$2:$C$723,A161)</f>
        <v/>
      </c>
    </row>
    <row r="162">
      <c r="A162" s="3" t="inlineStr">
        <is>
          <t>000769</t>
        </is>
      </c>
      <c r="B162" s="6">
        <f>COUNTIF('Entetes_TriNumInterne'!$C$2:$C$723,A162)</f>
        <v/>
      </c>
    </row>
    <row r="163">
      <c r="A163" s="3" t="inlineStr">
        <is>
          <t>000770</t>
        </is>
      </c>
      <c r="B163" s="6">
        <f>COUNTIF('Entetes_TriNumInterne'!$C$2:$C$723,A163)</f>
        <v/>
      </c>
    </row>
    <row r="164">
      <c r="A164" s="3" t="inlineStr">
        <is>
          <t>000771</t>
        </is>
      </c>
      <c r="B164" s="6">
        <f>COUNTIF('Entetes_TriNumInterne'!$C$2:$C$723,A164)</f>
        <v/>
      </c>
    </row>
    <row r="165">
      <c r="A165" s="3" t="inlineStr">
        <is>
          <t>000772</t>
        </is>
      </c>
      <c r="B165" s="6">
        <f>COUNTIF('Entetes_TriNumInterne'!$C$2:$C$723,A165)</f>
        <v/>
      </c>
    </row>
    <row r="166">
      <c r="A166" s="3" t="inlineStr">
        <is>
          <t>000773</t>
        </is>
      </c>
      <c r="B166" s="6">
        <f>COUNTIF('Entetes_TriNumInterne'!$C$2:$C$723,A166)</f>
        <v/>
      </c>
    </row>
    <row r="167">
      <c r="A167" s="3" t="inlineStr">
        <is>
          <t>000774</t>
        </is>
      </c>
      <c r="B167" s="6">
        <f>COUNTIF('Entetes_TriNumInterne'!$C$2:$C$723,A167)</f>
        <v/>
      </c>
    </row>
    <row r="168">
      <c r="A168" s="3" t="inlineStr">
        <is>
          <t>000775</t>
        </is>
      </c>
      <c r="B168" s="6">
        <f>COUNTIF('Entetes_TriNumInterne'!$C$2:$C$723,A168)</f>
        <v/>
      </c>
    </row>
    <row r="169">
      <c r="A169" s="3" t="inlineStr">
        <is>
          <t>000776</t>
        </is>
      </c>
      <c r="B169" s="6">
        <f>COUNTIF('Entetes_TriNumInterne'!$C$2:$C$723,A169)</f>
        <v/>
      </c>
    </row>
    <row r="170">
      <c r="A170" s="3" t="inlineStr">
        <is>
          <t>000777</t>
        </is>
      </c>
      <c r="B170" s="6">
        <f>COUNTIF('Entetes_TriNumInterne'!$C$2:$C$723,A170)</f>
        <v/>
      </c>
    </row>
    <row r="171">
      <c r="A171" s="3" t="inlineStr">
        <is>
          <t>000778</t>
        </is>
      </c>
      <c r="B171" s="6">
        <f>COUNTIF('Entetes_TriNumInterne'!$C$2:$C$723,A171)</f>
        <v/>
      </c>
    </row>
    <row r="172">
      <c r="A172" s="3" t="inlineStr">
        <is>
          <t>000779</t>
        </is>
      </c>
      <c r="B172" s="6">
        <f>COUNTIF('Entetes_TriNumInterne'!$C$2:$C$723,A172)</f>
        <v/>
      </c>
    </row>
    <row r="173">
      <c r="A173" s="3" t="inlineStr">
        <is>
          <t>000780</t>
        </is>
      </c>
      <c r="B173" s="6">
        <f>COUNTIF('Entetes_TriNumInterne'!$C$2:$C$723,A173)</f>
        <v/>
      </c>
    </row>
    <row r="174">
      <c r="A174" s="3" t="inlineStr">
        <is>
          <t>000781</t>
        </is>
      </c>
      <c r="B174" s="6">
        <f>COUNTIF('Entetes_TriNumInterne'!$C$2:$C$723,A174)</f>
        <v/>
      </c>
    </row>
    <row r="175">
      <c r="A175" s="3" t="inlineStr">
        <is>
          <t>000782</t>
        </is>
      </c>
      <c r="B175" s="6">
        <f>COUNTIF('Entetes_TriNumInterne'!$C$2:$C$723,A175)</f>
        <v/>
      </c>
    </row>
    <row r="176">
      <c r="A176" s="3" t="inlineStr">
        <is>
          <t>000783</t>
        </is>
      </c>
      <c r="B176" s="6">
        <f>COUNTIF('Entetes_TriNumInterne'!$C$2:$C$723,A176)</f>
        <v/>
      </c>
    </row>
    <row r="177">
      <c r="A177" s="3" t="inlineStr">
        <is>
          <t>000784</t>
        </is>
      </c>
      <c r="B177" s="6">
        <f>COUNTIF('Entetes_TriNumInterne'!$C$2:$C$723,A177)</f>
        <v/>
      </c>
    </row>
    <row r="178">
      <c r="A178" s="3" t="inlineStr">
        <is>
          <t>000785</t>
        </is>
      </c>
      <c r="B178" s="6">
        <f>COUNTIF('Entetes_TriNumInterne'!$C$2:$C$723,A178)</f>
        <v/>
      </c>
    </row>
    <row r="179">
      <c r="A179" s="3" t="inlineStr">
        <is>
          <t>000786</t>
        </is>
      </c>
      <c r="B179" s="6">
        <f>COUNTIF('Entetes_TriNumInterne'!$C$2:$C$723,A179)</f>
        <v/>
      </c>
    </row>
    <row r="180">
      <c r="A180" s="3" t="inlineStr">
        <is>
          <t>000787</t>
        </is>
      </c>
      <c r="B180" s="6">
        <f>COUNTIF('Entetes_TriNumInterne'!$C$2:$C$723,A180)</f>
        <v/>
      </c>
    </row>
    <row r="181">
      <c r="A181" s="3" t="inlineStr">
        <is>
          <t>000788</t>
        </is>
      </c>
      <c r="B181" s="6">
        <f>COUNTIF('Entetes_TriNumInterne'!$C$2:$C$723,A181)</f>
        <v/>
      </c>
    </row>
    <row r="182">
      <c r="A182" s="3" t="inlineStr">
        <is>
          <t>000789</t>
        </is>
      </c>
      <c r="B182" s="6">
        <f>COUNTIF('Entetes_TriNumInterne'!$C$2:$C$723,A182)</f>
        <v/>
      </c>
    </row>
    <row r="183">
      <c r="A183" s="3" t="inlineStr">
        <is>
          <t>000790</t>
        </is>
      </c>
      <c r="B183" s="6">
        <f>COUNTIF('Entetes_TriNumInterne'!$C$2:$C$723,A183)</f>
        <v/>
      </c>
    </row>
    <row r="184">
      <c r="A184" s="3" t="inlineStr">
        <is>
          <t>000791</t>
        </is>
      </c>
      <c r="B184" s="6">
        <f>COUNTIF('Entetes_TriNumInterne'!$C$2:$C$723,A184)</f>
        <v/>
      </c>
    </row>
    <row r="185">
      <c r="A185" s="3" t="inlineStr">
        <is>
          <t>000792</t>
        </is>
      </c>
      <c r="B185" s="6">
        <f>COUNTIF('Entetes_TriNumInterne'!$C$2:$C$723,A185)</f>
        <v/>
      </c>
    </row>
    <row r="186">
      <c r="A186" s="3" t="inlineStr">
        <is>
          <t>000793</t>
        </is>
      </c>
      <c r="B186" s="6">
        <f>COUNTIF('Entetes_TriNumInterne'!$C$2:$C$723,A186)</f>
        <v/>
      </c>
    </row>
    <row r="187">
      <c r="A187" s="3" t="inlineStr">
        <is>
          <t>000794</t>
        </is>
      </c>
      <c r="B187" s="6">
        <f>COUNTIF('Entetes_TriNumInterne'!$C$2:$C$723,A187)</f>
        <v/>
      </c>
    </row>
    <row r="188">
      <c r="A188" s="3" t="inlineStr">
        <is>
          <t>000795</t>
        </is>
      </c>
      <c r="B188" s="6">
        <f>COUNTIF('Entetes_TriNumInterne'!$C$2:$C$723,A188)</f>
        <v/>
      </c>
    </row>
    <row r="189">
      <c r="A189" s="3" t="inlineStr">
        <is>
          <t>000796</t>
        </is>
      </c>
      <c r="B189" s="6">
        <f>COUNTIF('Entetes_TriNumInterne'!$C$2:$C$723,A189)</f>
        <v/>
      </c>
    </row>
    <row r="190">
      <c r="A190" s="3" t="inlineStr">
        <is>
          <t>000797</t>
        </is>
      </c>
      <c r="B190" s="6">
        <f>COUNTIF('Entetes_TriNumInterne'!$C$2:$C$723,A190)</f>
        <v/>
      </c>
    </row>
    <row r="191">
      <c r="A191" s="3" t="inlineStr">
        <is>
          <t>000798</t>
        </is>
      </c>
      <c r="B191" s="6">
        <f>COUNTIF('Entetes_TriNumInterne'!$C$2:$C$723,A191)</f>
        <v/>
      </c>
    </row>
    <row r="192">
      <c r="A192" s="3" t="inlineStr">
        <is>
          <t>000799</t>
        </is>
      </c>
      <c r="B192" s="6">
        <f>COUNTIF('Entetes_TriNumInterne'!$C$2:$C$723,A192)</f>
        <v/>
      </c>
    </row>
    <row r="193">
      <c r="A193" s="3" t="inlineStr">
        <is>
          <t>000800</t>
        </is>
      </c>
      <c r="B193" s="6">
        <f>COUNTIF('Entetes_TriNumInterne'!$C$2:$C$723,A193)</f>
        <v/>
      </c>
    </row>
    <row r="194">
      <c r="A194" s="3" t="inlineStr">
        <is>
          <t>000801</t>
        </is>
      </c>
      <c r="B194" s="6">
        <f>COUNTIF('Entetes_TriNumInterne'!$C$2:$C$723,A194)</f>
        <v/>
      </c>
    </row>
    <row r="195">
      <c r="A195" s="3" t="inlineStr">
        <is>
          <t>000802</t>
        </is>
      </c>
      <c r="B195" s="6">
        <f>COUNTIF('Entetes_TriNumInterne'!$C$2:$C$723,A195)</f>
        <v/>
      </c>
    </row>
    <row r="196">
      <c r="A196" s="3" t="inlineStr">
        <is>
          <t>000803</t>
        </is>
      </c>
      <c r="B196" s="6">
        <f>COUNTIF('Entetes_TriNumInterne'!$C$2:$C$723,A196)</f>
        <v/>
      </c>
    </row>
    <row r="197">
      <c r="A197" s="3" t="inlineStr">
        <is>
          <t>000804</t>
        </is>
      </c>
      <c r="B197" s="6">
        <f>COUNTIF('Entetes_TriNumInterne'!$C$2:$C$723,A197)</f>
        <v/>
      </c>
    </row>
    <row r="198">
      <c r="A198" s="3" t="inlineStr">
        <is>
          <t>000805</t>
        </is>
      </c>
      <c r="B198" s="6">
        <f>COUNTIF('Entetes_TriNumInterne'!$C$2:$C$723,A198)</f>
        <v/>
      </c>
    </row>
    <row r="199">
      <c r="A199" s="3" t="inlineStr">
        <is>
          <t>000806</t>
        </is>
      </c>
      <c r="B199" s="6">
        <f>COUNTIF('Entetes_TriNumInterne'!$C$2:$C$723,A199)</f>
        <v/>
      </c>
    </row>
    <row r="200">
      <c r="A200" s="3" t="inlineStr">
        <is>
          <t>000807</t>
        </is>
      </c>
      <c r="B200" s="6">
        <f>COUNTIF('Entetes_TriNumInterne'!$C$2:$C$723,A200)</f>
        <v/>
      </c>
    </row>
    <row r="201">
      <c r="A201" s="3" t="inlineStr">
        <is>
          <t>000808</t>
        </is>
      </c>
      <c r="B201" s="6">
        <f>COUNTIF('Entetes_TriNumInterne'!$C$2:$C$723,A201)</f>
        <v/>
      </c>
    </row>
    <row r="202">
      <c r="A202" s="3" t="inlineStr">
        <is>
          <t>000809</t>
        </is>
      </c>
      <c r="B202" s="6">
        <f>COUNTIF('Entetes_TriNumInterne'!$C$2:$C$723,A202)</f>
        <v/>
      </c>
    </row>
    <row r="203">
      <c r="A203" s="3" t="inlineStr">
        <is>
          <t>000810</t>
        </is>
      </c>
      <c r="B203" s="6">
        <f>COUNTIF('Entetes_TriNumInterne'!$C$2:$C$723,A203)</f>
        <v/>
      </c>
    </row>
    <row r="204">
      <c r="A204" s="3" t="inlineStr">
        <is>
          <t>000811</t>
        </is>
      </c>
      <c r="B204" s="6">
        <f>COUNTIF('Entetes_TriNumInterne'!$C$2:$C$723,A204)</f>
        <v/>
      </c>
    </row>
    <row r="205">
      <c r="A205" s="3" t="inlineStr">
        <is>
          <t>000812</t>
        </is>
      </c>
      <c r="B205" s="6">
        <f>COUNTIF('Entetes_TriNumInterne'!$C$2:$C$723,A205)</f>
        <v/>
      </c>
    </row>
    <row r="206">
      <c r="A206" s="3" t="inlineStr">
        <is>
          <t>000813</t>
        </is>
      </c>
      <c r="B206" s="6">
        <f>COUNTIF('Entetes_TriNumInterne'!$C$2:$C$723,A206)</f>
        <v/>
      </c>
    </row>
    <row r="207">
      <c r="A207" s="3" t="inlineStr">
        <is>
          <t>000814</t>
        </is>
      </c>
      <c r="B207" s="6">
        <f>COUNTIF('Entetes_TriNumInterne'!$C$2:$C$723,A207)</f>
        <v/>
      </c>
    </row>
    <row r="208">
      <c r="A208" s="3" t="inlineStr">
        <is>
          <t>000815</t>
        </is>
      </c>
      <c r="B208" s="6">
        <f>COUNTIF('Entetes_TriNumInterne'!$C$2:$C$723,A208)</f>
        <v/>
      </c>
    </row>
    <row r="209">
      <c r="A209" s="3" t="inlineStr">
        <is>
          <t>000816</t>
        </is>
      </c>
      <c r="B209" s="6">
        <f>COUNTIF('Entetes_TriNumInterne'!$C$2:$C$723,A209)</f>
        <v/>
      </c>
    </row>
    <row r="210">
      <c r="A210" s="3" t="inlineStr">
        <is>
          <t>000817</t>
        </is>
      </c>
      <c r="B210" s="6">
        <f>COUNTIF('Entetes_TriNumInterne'!$C$2:$C$723,A210)</f>
        <v/>
      </c>
    </row>
    <row r="211">
      <c r="A211" s="3" t="inlineStr">
        <is>
          <t>000818</t>
        </is>
      </c>
      <c r="B211" s="6">
        <f>COUNTIF('Entetes_TriNumInterne'!$C$2:$C$723,A211)</f>
        <v/>
      </c>
    </row>
    <row r="212">
      <c r="A212" s="3" t="inlineStr">
        <is>
          <t>000819</t>
        </is>
      </c>
      <c r="B212" s="6">
        <f>COUNTIF('Entetes_TriNumInterne'!$C$2:$C$723,A212)</f>
        <v/>
      </c>
    </row>
    <row r="213">
      <c r="A213" s="3" t="inlineStr">
        <is>
          <t>000820</t>
        </is>
      </c>
      <c r="B213" s="6">
        <f>COUNTIF('Entetes_TriNumInterne'!$C$2:$C$723,A213)</f>
        <v/>
      </c>
    </row>
    <row r="214">
      <c r="A214" s="3" t="inlineStr">
        <is>
          <t>000821</t>
        </is>
      </c>
      <c r="B214" s="6">
        <f>COUNTIF('Entetes_TriNumInterne'!$C$2:$C$723,A214)</f>
        <v/>
      </c>
    </row>
    <row r="215">
      <c r="A215" s="3" t="inlineStr">
        <is>
          <t>000822</t>
        </is>
      </c>
      <c r="B215" s="6">
        <f>COUNTIF('Entetes_TriNumInterne'!$C$2:$C$723,A215)</f>
        <v/>
      </c>
    </row>
    <row r="216">
      <c r="A216" s="3" t="inlineStr">
        <is>
          <t>000823</t>
        </is>
      </c>
      <c r="B216" s="6">
        <f>COUNTIF('Entetes_TriNumInterne'!$C$2:$C$723,A216)</f>
        <v/>
      </c>
    </row>
    <row r="217">
      <c r="A217" s="3" t="inlineStr">
        <is>
          <t>000824</t>
        </is>
      </c>
      <c r="B217" s="6">
        <f>COUNTIF('Entetes_TriNumInterne'!$C$2:$C$723,A217)</f>
        <v/>
      </c>
    </row>
    <row r="218">
      <c r="A218" s="3" t="inlineStr">
        <is>
          <t>000825</t>
        </is>
      </c>
      <c r="B218" s="6">
        <f>COUNTIF('Entetes_TriNumInterne'!$C$2:$C$723,A218)</f>
        <v/>
      </c>
    </row>
    <row r="219">
      <c r="A219" s="3" t="inlineStr">
        <is>
          <t>000826</t>
        </is>
      </c>
      <c r="B219" s="6">
        <f>COUNTIF('Entetes_TriNumInterne'!$C$2:$C$723,A219)</f>
        <v/>
      </c>
    </row>
    <row r="220">
      <c r="A220" s="3" t="inlineStr">
        <is>
          <t>000827</t>
        </is>
      </c>
      <c r="B220" s="6">
        <f>COUNTIF('Entetes_TriNumInterne'!$C$2:$C$723,A220)</f>
        <v/>
      </c>
    </row>
    <row r="221">
      <c r="A221" s="3" t="inlineStr">
        <is>
          <t>000828</t>
        </is>
      </c>
      <c r="B221" s="6">
        <f>COUNTIF('Entetes_TriNumInterne'!$C$2:$C$723,A221)</f>
        <v/>
      </c>
    </row>
    <row r="222">
      <c r="A222" s="3" t="inlineStr">
        <is>
          <t>000829</t>
        </is>
      </c>
      <c r="B222" s="6">
        <f>COUNTIF('Entetes_TriNumInterne'!$C$2:$C$723,A222)</f>
        <v/>
      </c>
    </row>
    <row r="223">
      <c r="A223" s="3" t="inlineStr">
        <is>
          <t>000830</t>
        </is>
      </c>
      <c r="B223" s="6">
        <f>COUNTIF('Entetes_TriNumInterne'!$C$2:$C$723,A223)</f>
        <v/>
      </c>
    </row>
    <row r="224">
      <c r="A224" s="3" t="inlineStr">
        <is>
          <t>000831</t>
        </is>
      </c>
      <c r="B224" s="6">
        <f>COUNTIF('Entetes_TriNumInterne'!$C$2:$C$723,A224)</f>
        <v/>
      </c>
    </row>
    <row r="225">
      <c r="A225" s="3" t="inlineStr">
        <is>
          <t>000832</t>
        </is>
      </c>
      <c r="B225" s="6">
        <f>COUNTIF('Entetes_TriNumInterne'!$C$2:$C$723,A225)</f>
        <v/>
      </c>
    </row>
    <row r="226">
      <c r="A226" s="3" t="inlineStr">
        <is>
          <t>000833</t>
        </is>
      </c>
      <c r="B226" s="6">
        <f>COUNTIF('Entetes_TriNumInterne'!$C$2:$C$723,A226)</f>
        <v/>
      </c>
    </row>
    <row r="227">
      <c r="A227" s="3" t="inlineStr">
        <is>
          <t>000834</t>
        </is>
      </c>
      <c r="B227" s="6">
        <f>COUNTIF('Entetes_TriNumInterne'!$C$2:$C$723,A227)</f>
        <v/>
      </c>
    </row>
    <row r="228">
      <c r="A228" s="3" t="inlineStr">
        <is>
          <t>000835</t>
        </is>
      </c>
      <c r="B228" s="6">
        <f>COUNTIF('Entetes_TriNumInterne'!$C$2:$C$723,A228)</f>
        <v/>
      </c>
    </row>
    <row r="229">
      <c r="A229" s="3" t="inlineStr">
        <is>
          <t>000836</t>
        </is>
      </c>
      <c r="B229" s="6">
        <f>COUNTIF('Entetes_TriNumInterne'!$C$2:$C$723,A229)</f>
        <v/>
      </c>
    </row>
    <row r="230">
      <c r="A230" s="3" t="inlineStr">
        <is>
          <t>000837</t>
        </is>
      </c>
      <c r="B230" s="6">
        <f>COUNTIF('Entetes_TriNumInterne'!$C$2:$C$723,A230)</f>
        <v/>
      </c>
    </row>
    <row r="231">
      <c r="A231" s="3" t="inlineStr">
        <is>
          <t>000838</t>
        </is>
      </c>
      <c r="B231" s="6">
        <f>COUNTIF('Entetes_TriNumInterne'!$C$2:$C$723,A231)</f>
        <v/>
      </c>
    </row>
    <row r="232">
      <c r="A232" s="3" t="inlineStr">
        <is>
          <t>000839</t>
        </is>
      </c>
      <c r="B232" s="6">
        <f>COUNTIF('Entetes_TriNumInterne'!$C$2:$C$723,A232)</f>
        <v/>
      </c>
    </row>
    <row r="233">
      <c r="A233" s="3" t="inlineStr">
        <is>
          <t>000840</t>
        </is>
      </c>
      <c r="B233" s="6">
        <f>COUNTIF('Entetes_TriNumInterne'!$C$2:$C$723,A233)</f>
        <v/>
      </c>
    </row>
    <row r="234">
      <c r="A234" s="3" t="inlineStr">
        <is>
          <t>000841</t>
        </is>
      </c>
      <c r="B234" s="6">
        <f>COUNTIF('Entetes_TriNumInterne'!$C$2:$C$723,A234)</f>
        <v/>
      </c>
    </row>
    <row r="235">
      <c r="A235" s="3" t="inlineStr">
        <is>
          <t>000842</t>
        </is>
      </c>
      <c r="B235" s="6">
        <f>COUNTIF('Entetes_TriNumInterne'!$C$2:$C$723,A235)</f>
        <v/>
      </c>
    </row>
    <row r="236">
      <c r="A236" s="3" t="inlineStr">
        <is>
          <t>000843</t>
        </is>
      </c>
      <c r="B236" s="6">
        <f>COUNTIF('Entetes_TriNumInterne'!$C$2:$C$723,A236)</f>
        <v/>
      </c>
    </row>
    <row r="237">
      <c r="A237" s="3" t="inlineStr">
        <is>
          <t>000844</t>
        </is>
      </c>
      <c r="B237" s="6">
        <f>COUNTIF('Entetes_TriNumInterne'!$C$2:$C$723,A237)</f>
        <v/>
      </c>
    </row>
    <row r="238">
      <c r="A238" s="3" t="inlineStr">
        <is>
          <t>000845</t>
        </is>
      </c>
      <c r="B238" s="6">
        <f>COUNTIF('Entetes_TriNumInterne'!$C$2:$C$723,A238)</f>
        <v/>
      </c>
    </row>
    <row r="239">
      <c r="A239" s="3" t="inlineStr">
        <is>
          <t>000846</t>
        </is>
      </c>
      <c r="B239" s="6">
        <f>COUNTIF('Entetes_TriNumInterne'!$C$2:$C$723,A239)</f>
        <v/>
      </c>
    </row>
    <row r="240">
      <c r="A240" s="3" t="inlineStr">
        <is>
          <t>000847</t>
        </is>
      </c>
      <c r="B240" s="6">
        <f>COUNTIF('Entetes_TriNumInterne'!$C$2:$C$723,A240)</f>
        <v/>
      </c>
    </row>
    <row r="241">
      <c r="A241" s="3" t="inlineStr">
        <is>
          <t>000848</t>
        </is>
      </c>
      <c r="B241" s="6">
        <f>COUNTIF('Entetes_TriNumInterne'!$C$2:$C$723,A241)</f>
        <v/>
      </c>
    </row>
    <row r="242">
      <c r="A242" s="3" t="inlineStr">
        <is>
          <t>000849</t>
        </is>
      </c>
      <c r="B242" s="6">
        <f>COUNTIF('Entetes_TriNumInterne'!$C$2:$C$723,A242)</f>
        <v/>
      </c>
    </row>
    <row r="243">
      <c r="A243" s="3" t="inlineStr">
        <is>
          <t>000850</t>
        </is>
      </c>
      <c r="B243" s="6">
        <f>COUNTIF('Entetes_TriNumInterne'!$C$2:$C$723,A243)</f>
        <v/>
      </c>
    </row>
    <row r="244">
      <c r="A244" s="3" t="inlineStr">
        <is>
          <t>000851</t>
        </is>
      </c>
      <c r="B244" s="6">
        <f>COUNTIF('Entetes_TriNumInterne'!$C$2:$C$723,A244)</f>
        <v/>
      </c>
    </row>
    <row r="245">
      <c r="A245" s="3" t="inlineStr">
        <is>
          <t>000852</t>
        </is>
      </c>
      <c r="B245" s="6">
        <f>COUNTIF('Entetes_TriNumInterne'!$C$2:$C$723,A245)</f>
        <v/>
      </c>
    </row>
    <row r="246">
      <c r="A246" s="3" t="inlineStr">
        <is>
          <t>000853</t>
        </is>
      </c>
      <c r="B246" s="6">
        <f>COUNTIF('Entetes_TriNumInterne'!$C$2:$C$723,A246)</f>
        <v/>
      </c>
    </row>
    <row r="247">
      <c r="A247" s="3" t="inlineStr">
        <is>
          <t>000854</t>
        </is>
      </c>
      <c r="B247" s="6">
        <f>COUNTIF('Entetes_TriNumInterne'!$C$2:$C$723,A247)</f>
        <v/>
      </c>
    </row>
    <row r="248">
      <c r="A248" s="3" t="inlineStr">
        <is>
          <t>000855</t>
        </is>
      </c>
      <c r="B248" s="6">
        <f>COUNTIF('Entetes_TriNumInterne'!$C$2:$C$723,A248)</f>
        <v/>
      </c>
    </row>
    <row r="249">
      <c r="A249" s="3" t="inlineStr">
        <is>
          <t>000856</t>
        </is>
      </c>
      <c r="B249" s="6">
        <f>COUNTIF('Entetes_TriNumInterne'!$C$2:$C$723,A249)</f>
        <v/>
      </c>
    </row>
    <row r="250">
      <c r="A250" s="3" t="inlineStr">
        <is>
          <t>000857</t>
        </is>
      </c>
      <c r="B250" s="6">
        <f>COUNTIF('Entetes_TriNumInterne'!$C$2:$C$723,A250)</f>
        <v/>
      </c>
    </row>
    <row r="251">
      <c r="A251" s="3" t="inlineStr">
        <is>
          <t>000858</t>
        </is>
      </c>
      <c r="B251" s="6">
        <f>COUNTIF('Entetes_TriNumInterne'!$C$2:$C$723,A251)</f>
        <v/>
      </c>
    </row>
    <row r="252">
      <c r="A252" s="3" t="inlineStr">
        <is>
          <t>000859</t>
        </is>
      </c>
      <c r="B252" s="6">
        <f>COUNTIF('Entetes_TriNumInterne'!$C$2:$C$723,A252)</f>
        <v/>
      </c>
    </row>
    <row r="253">
      <c r="A253" s="3" t="inlineStr">
        <is>
          <t>000860</t>
        </is>
      </c>
      <c r="B253" s="6">
        <f>COUNTIF('Entetes_TriNumInterne'!$C$2:$C$723,A253)</f>
        <v/>
      </c>
    </row>
    <row r="254">
      <c r="A254" s="3" t="inlineStr">
        <is>
          <t>000861</t>
        </is>
      </c>
      <c r="B254" s="6">
        <f>COUNTIF('Entetes_TriNumInterne'!$C$2:$C$723,A254)</f>
        <v/>
      </c>
    </row>
    <row r="255">
      <c r="A255" s="3" t="inlineStr">
        <is>
          <t>000862</t>
        </is>
      </c>
      <c r="B255" s="6">
        <f>COUNTIF('Entetes_TriNumInterne'!$C$2:$C$723,A255)</f>
        <v/>
      </c>
    </row>
    <row r="256">
      <c r="A256" s="3" t="inlineStr">
        <is>
          <t>000863</t>
        </is>
      </c>
      <c r="B256" s="6">
        <f>COUNTIF('Entetes_TriNumInterne'!$C$2:$C$723,A256)</f>
        <v/>
      </c>
    </row>
    <row r="257">
      <c r="A257" s="3" t="inlineStr">
        <is>
          <t>000864</t>
        </is>
      </c>
      <c r="B257" s="6">
        <f>COUNTIF('Entetes_TriNumInterne'!$C$2:$C$723,A257)</f>
        <v/>
      </c>
    </row>
    <row r="258">
      <c r="A258" s="3" t="inlineStr">
        <is>
          <t>000865</t>
        </is>
      </c>
      <c r="B258" s="6">
        <f>COUNTIF('Entetes_TriNumInterne'!$C$2:$C$723,A258)</f>
        <v/>
      </c>
    </row>
    <row r="259">
      <c r="A259" s="3" t="inlineStr">
        <is>
          <t>000866</t>
        </is>
      </c>
      <c r="B259" s="6">
        <f>COUNTIF('Entetes_TriNumInterne'!$C$2:$C$723,A259)</f>
        <v/>
      </c>
    </row>
    <row r="260">
      <c r="A260" s="3" t="inlineStr">
        <is>
          <t>000867</t>
        </is>
      </c>
      <c r="B260" s="6">
        <f>COUNTIF('Entetes_TriNumInterne'!$C$2:$C$723,A260)</f>
        <v/>
      </c>
    </row>
    <row r="261">
      <c r="A261" s="3" t="inlineStr">
        <is>
          <t>000868</t>
        </is>
      </c>
      <c r="B261" s="6">
        <f>COUNTIF('Entetes_TriNumInterne'!$C$2:$C$723,A261)</f>
        <v/>
      </c>
    </row>
    <row r="262">
      <c r="A262" s="3" t="inlineStr">
        <is>
          <t>000869</t>
        </is>
      </c>
      <c r="B262" s="6">
        <f>COUNTIF('Entetes_TriNumInterne'!$C$2:$C$723,A262)</f>
        <v/>
      </c>
    </row>
    <row r="263">
      <c r="A263" s="3" t="inlineStr">
        <is>
          <t>000870</t>
        </is>
      </c>
      <c r="B263" s="6">
        <f>COUNTIF('Entetes_TriNumInterne'!$C$2:$C$723,A263)</f>
        <v/>
      </c>
    </row>
    <row r="264">
      <c r="A264" s="3" t="inlineStr">
        <is>
          <t>000871</t>
        </is>
      </c>
      <c r="B264" s="6">
        <f>COUNTIF('Entetes_TriNumInterne'!$C$2:$C$723,A264)</f>
        <v/>
      </c>
    </row>
    <row r="265">
      <c r="A265" s="3" t="inlineStr">
        <is>
          <t>000872</t>
        </is>
      </c>
      <c r="B265" s="6">
        <f>COUNTIF('Entetes_TriNumInterne'!$C$2:$C$723,A265)</f>
        <v/>
      </c>
    </row>
    <row r="266">
      <c r="A266" s="3" t="inlineStr">
        <is>
          <t>000873</t>
        </is>
      </c>
      <c r="B266" s="6">
        <f>COUNTIF('Entetes_TriNumInterne'!$C$2:$C$723,A266)</f>
        <v/>
      </c>
    </row>
    <row r="267">
      <c r="A267" s="3" t="inlineStr">
        <is>
          <t>000874</t>
        </is>
      </c>
      <c r="B267" s="6">
        <f>COUNTIF('Entetes_TriNumInterne'!$C$2:$C$723,A267)</f>
        <v/>
      </c>
    </row>
    <row r="268">
      <c r="A268" s="3" t="inlineStr">
        <is>
          <t>000875</t>
        </is>
      </c>
      <c r="B268" s="6">
        <f>COUNTIF('Entetes_TriNumInterne'!$C$2:$C$723,A268)</f>
        <v/>
      </c>
    </row>
    <row r="269">
      <c r="A269" s="3" t="inlineStr">
        <is>
          <t>000876</t>
        </is>
      </c>
      <c r="B269" s="6">
        <f>COUNTIF('Entetes_TriNumInterne'!$C$2:$C$723,A269)</f>
        <v/>
      </c>
    </row>
    <row r="270">
      <c r="A270" s="3" t="inlineStr">
        <is>
          <t>000877</t>
        </is>
      </c>
      <c r="B270" s="6">
        <f>COUNTIF('Entetes_TriNumInterne'!$C$2:$C$723,A270)</f>
        <v/>
      </c>
    </row>
    <row r="271">
      <c r="A271" s="3" t="inlineStr">
        <is>
          <t>000878</t>
        </is>
      </c>
      <c r="B271" s="6">
        <f>COUNTIF('Entetes_TriNumInterne'!$C$2:$C$723,A271)</f>
        <v/>
      </c>
    </row>
    <row r="272">
      <c r="A272" s="3" t="inlineStr">
        <is>
          <t>000879</t>
        </is>
      </c>
      <c r="B272" s="6">
        <f>COUNTIF('Entetes_TriNumInterne'!$C$2:$C$723,A272)</f>
        <v/>
      </c>
    </row>
    <row r="273">
      <c r="A273" s="3" t="inlineStr">
        <is>
          <t>000880</t>
        </is>
      </c>
      <c r="B273" s="6">
        <f>COUNTIF('Entetes_TriNumInterne'!$C$2:$C$723,A273)</f>
        <v/>
      </c>
    </row>
    <row r="274">
      <c r="A274" s="3" t="inlineStr">
        <is>
          <t>000881</t>
        </is>
      </c>
      <c r="B274" s="6">
        <f>COUNTIF('Entetes_TriNumInterne'!$C$2:$C$723,A274)</f>
        <v/>
      </c>
    </row>
    <row r="275">
      <c r="A275" s="3" t="inlineStr">
        <is>
          <t>000882</t>
        </is>
      </c>
      <c r="B275" s="6">
        <f>COUNTIF('Entetes_TriNumInterne'!$C$2:$C$723,A275)</f>
        <v/>
      </c>
    </row>
    <row r="276">
      <c r="A276" s="3" t="inlineStr">
        <is>
          <t>000883</t>
        </is>
      </c>
      <c r="B276" s="6">
        <f>COUNTIF('Entetes_TriNumInterne'!$C$2:$C$723,A276)</f>
        <v/>
      </c>
    </row>
    <row r="277">
      <c r="A277" s="3" t="inlineStr">
        <is>
          <t>000884</t>
        </is>
      </c>
      <c r="B277" s="6">
        <f>COUNTIF('Entetes_TriNumInterne'!$C$2:$C$723,A277)</f>
        <v/>
      </c>
    </row>
    <row r="278">
      <c r="A278" s="3" t="inlineStr">
        <is>
          <t>000885</t>
        </is>
      </c>
      <c r="B278" s="6">
        <f>COUNTIF('Entetes_TriNumInterne'!$C$2:$C$723,A278)</f>
        <v/>
      </c>
    </row>
    <row r="279">
      <c r="A279" s="3" t="inlineStr">
        <is>
          <t>000886</t>
        </is>
      </c>
      <c r="B279" s="6">
        <f>COUNTIF('Entetes_TriNumInterne'!$C$2:$C$723,A279)</f>
        <v/>
      </c>
    </row>
    <row r="280">
      <c r="A280" s="3" t="inlineStr">
        <is>
          <t>000887</t>
        </is>
      </c>
      <c r="B280" s="6">
        <f>COUNTIF('Entetes_TriNumInterne'!$C$2:$C$723,A280)</f>
        <v/>
      </c>
    </row>
    <row r="281">
      <c r="A281" s="3" t="inlineStr">
        <is>
          <t>000888</t>
        </is>
      </c>
      <c r="B281" s="6">
        <f>COUNTIF('Entetes_TriNumInterne'!$C$2:$C$723,A281)</f>
        <v/>
      </c>
    </row>
    <row r="282">
      <c r="A282" s="3" t="inlineStr">
        <is>
          <t>000889</t>
        </is>
      </c>
      <c r="B282" s="6">
        <f>COUNTIF('Entetes_TriNumInterne'!$C$2:$C$723,A282)</f>
        <v/>
      </c>
    </row>
    <row r="283">
      <c r="A283" s="3" t="inlineStr">
        <is>
          <t>000890</t>
        </is>
      </c>
      <c r="B283" s="6">
        <f>COUNTIF('Entetes_TriNumInterne'!$C$2:$C$723,A283)</f>
        <v/>
      </c>
    </row>
    <row r="284">
      <c r="A284" s="3" t="inlineStr">
        <is>
          <t>000891</t>
        </is>
      </c>
      <c r="B284" s="6">
        <f>COUNTIF('Entetes_TriNumInterne'!$C$2:$C$723,A284)</f>
        <v/>
      </c>
    </row>
    <row r="285">
      <c r="A285" s="3" t="inlineStr">
        <is>
          <t>000892</t>
        </is>
      </c>
      <c r="B285" s="6">
        <f>COUNTIF('Entetes_TriNumInterne'!$C$2:$C$723,A285)</f>
        <v/>
      </c>
    </row>
    <row r="286">
      <c r="A286" s="3" t="inlineStr">
        <is>
          <t>000893</t>
        </is>
      </c>
      <c r="B286" s="6">
        <f>COUNTIF('Entetes_TriNumInterne'!$C$2:$C$723,A286)</f>
        <v/>
      </c>
    </row>
    <row r="287">
      <c r="A287" s="3" t="inlineStr">
        <is>
          <t>000894</t>
        </is>
      </c>
      <c r="B287" s="6">
        <f>COUNTIF('Entetes_TriNumInterne'!$C$2:$C$723,A287)</f>
        <v/>
      </c>
    </row>
    <row r="288">
      <c r="A288" s="3" t="inlineStr">
        <is>
          <t>000895</t>
        </is>
      </c>
      <c r="B288" s="6">
        <f>COUNTIF('Entetes_TriNumInterne'!$C$2:$C$723,A288)</f>
        <v/>
      </c>
    </row>
    <row r="289">
      <c r="A289" s="3" t="inlineStr">
        <is>
          <t>000896</t>
        </is>
      </c>
      <c r="B289" s="6">
        <f>COUNTIF('Entetes_TriNumInterne'!$C$2:$C$723,A289)</f>
        <v/>
      </c>
    </row>
    <row r="290">
      <c r="A290" s="3" t="inlineStr">
        <is>
          <t>000897</t>
        </is>
      </c>
      <c r="B290" s="6">
        <f>COUNTIF('Entetes_TriNumInterne'!$C$2:$C$723,A290)</f>
        <v/>
      </c>
    </row>
    <row r="291">
      <c r="A291" s="3" t="inlineStr">
        <is>
          <t>000898</t>
        </is>
      </c>
      <c r="B291" s="6">
        <f>COUNTIF('Entetes_TriNumInterne'!$C$2:$C$723,A291)</f>
        <v/>
      </c>
    </row>
    <row r="292">
      <c r="A292" s="3" t="inlineStr">
        <is>
          <t>000899</t>
        </is>
      </c>
      <c r="B292" s="6">
        <f>COUNTIF('Entetes_TriNumInterne'!$C$2:$C$723,A292)</f>
        <v/>
      </c>
    </row>
    <row r="293">
      <c r="A293" s="3" t="inlineStr">
        <is>
          <t>000900</t>
        </is>
      </c>
      <c r="B293" s="6">
        <f>COUNTIF('Entetes_TriNumInterne'!$C$2:$C$723,A293)</f>
        <v/>
      </c>
    </row>
    <row r="294">
      <c r="A294" s="3" t="inlineStr">
        <is>
          <t>000901</t>
        </is>
      </c>
      <c r="B294" s="6">
        <f>COUNTIF('Entetes_TriNumInterne'!$C$2:$C$723,A294)</f>
        <v/>
      </c>
    </row>
    <row r="295">
      <c r="A295" s="3" t="inlineStr">
        <is>
          <t>000902</t>
        </is>
      </c>
      <c r="B295" s="6">
        <f>COUNTIF('Entetes_TriNumInterne'!$C$2:$C$723,A295)</f>
        <v/>
      </c>
    </row>
    <row r="296">
      <c r="A296" s="3" t="inlineStr">
        <is>
          <t>000903</t>
        </is>
      </c>
      <c r="B296" s="6">
        <f>COUNTIF('Entetes_TriNumInterne'!$C$2:$C$723,A296)</f>
        <v/>
      </c>
    </row>
    <row r="297">
      <c r="A297" s="3" t="inlineStr">
        <is>
          <t>000904</t>
        </is>
      </c>
      <c r="B297" s="6">
        <f>COUNTIF('Entetes_TriNumInterne'!$C$2:$C$723,A297)</f>
        <v/>
      </c>
    </row>
    <row r="298">
      <c r="A298" s="3" t="inlineStr">
        <is>
          <t>000905</t>
        </is>
      </c>
      <c r="B298" s="6">
        <f>COUNTIF('Entetes_TriNumInterne'!$C$2:$C$723,A298)</f>
        <v/>
      </c>
    </row>
    <row r="299">
      <c r="A299" s="3" t="inlineStr">
        <is>
          <t>000906</t>
        </is>
      </c>
      <c r="B299" s="6">
        <f>COUNTIF('Entetes_TriNumInterne'!$C$2:$C$723,A299)</f>
        <v/>
      </c>
    </row>
    <row r="300">
      <c r="A300" s="3" t="inlineStr">
        <is>
          <t>000907</t>
        </is>
      </c>
      <c r="B300" s="6">
        <f>COUNTIF('Entetes_TriNumInterne'!$C$2:$C$723,A300)</f>
        <v/>
      </c>
    </row>
    <row r="301">
      <c r="A301" s="3" t="inlineStr">
        <is>
          <t>000908</t>
        </is>
      </c>
      <c r="B301" s="6">
        <f>COUNTIF('Entetes_TriNumInterne'!$C$2:$C$723,A301)</f>
        <v/>
      </c>
    </row>
    <row r="302">
      <c r="A302" s="3" t="inlineStr">
        <is>
          <t>000909</t>
        </is>
      </c>
      <c r="B302" s="6">
        <f>COUNTIF('Entetes_TriNumInterne'!$C$2:$C$723,A302)</f>
        <v/>
      </c>
    </row>
    <row r="303">
      <c r="A303" s="3" t="inlineStr">
        <is>
          <t>000910</t>
        </is>
      </c>
      <c r="B303" s="6">
        <f>COUNTIF('Entetes_TriNumInterne'!$C$2:$C$723,A303)</f>
        <v/>
      </c>
    </row>
    <row r="304">
      <c r="A304" s="3" t="inlineStr">
        <is>
          <t>000911</t>
        </is>
      </c>
      <c r="B304" s="6">
        <f>COUNTIF('Entetes_TriNumInterne'!$C$2:$C$723,A304)</f>
        <v/>
      </c>
    </row>
    <row r="305">
      <c r="A305" s="3" t="inlineStr">
        <is>
          <t>000912</t>
        </is>
      </c>
      <c r="B305" s="6">
        <f>COUNTIF('Entetes_TriNumInterne'!$C$2:$C$723,A305)</f>
        <v/>
      </c>
    </row>
    <row r="306">
      <c r="A306" s="3" t="inlineStr">
        <is>
          <t>000913</t>
        </is>
      </c>
      <c r="B306" s="6">
        <f>COUNTIF('Entetes_TriNumInterne'!$C$2:$C$723,A306)</f>
        <v/>
      </c>
    </row>
    <row r="307">
      <c r="A307" s="3" t="inlineStr">
        <is>
          <t>000914</t>
        </is>
      </c>
      <c r="B307" s="6">
        <f>COUNTIF('Entetes_TriNumInterne'!$C$2:$C$723,A307)</f>
        <v/>
      </c>
    </row>
    <row r="308">
      <c r="A308" s="3" t="inlineStr">
        <is>
          <t>000915</t>
        </is>
      </c>
      <c r="B308" s="6">
        <f>COUNTIF('Entetes_TriNumInterne'!$C$2:$C$723,A308)</f>
        <v/>
      </c>
    </row>
    <row r="309">
      <c r="A309" s="3" t="inlineStr">
        <is>
          <t>000916</t>
        </is>
      </c>
      <c r="B309" s="6">
        <f>COUNTIF('Entetes_TriNumInterne'!$C$2:$C$723,A309)</f>
        <v/>
      </c>
    </row>
    <row r="310">
      <c r="A310" s="3" t="inlineStr">
        <is>
          <t>000917</t>
        </is>
      </c>
      <c r="B310" s="6">
        <f>COUNTIF('Entetes_TriNumInterne'!$C$2:$C$723,A310)</f>
        <v/>
      </c>
    </row>
    <row r="311">
      <c r="A311" s="3" t="inlineStr">
        <is>
          <t>000918</t>
        </is>
      </c>
      <c r="B311" s="6">
        <f>COUNTIF('Entetes_TriNumInterne'!$C$2:$C$723,A311)</f>
        <v/>
      </c>
    </row>
    <row r="312">
      <c r="A312" s="3" t="inlineStr">
        <is>
          <t>000919</t>
        </is>
      </c>
      <c r="B312" s="6">
        <f>COUNTIF('Entetes_TriNumInterne'!$C$2:$C$723,A312)</f>
        <v/>
      </c>
    </row>
    <row r="313">
      <c r="A313" s="3" t="inlineStr">
        <is>
          <t>000920</t>
        </is>
      </c>
      <c r="B313" s="6">
        <f>COUNTIF('Entetes_TriNumInterne'!$C$2:$C$723,A313)</f>
        <v/>
      </c>
    </row>
    <row r="314">
      <c r="A314" s="3" t="inlineStr">
        <is>
          <t>000921</t>
        </is>
      </c>
      <c r="B314" s="6">
        <f>COUNTIF('Entetes_TriNumInterne'!$C$2:$C$723,A314)</f>
        <v/>
      </c>
    </row>
    <row r="315">
      <c r="A315" s="3" t="inlineStr">
        <is>
          <t>000922</t>
        </is>
      </c>
      <c r="B315" s="6">
        <f>COUNTIF('Entetes_TriNumInterne'!$C$2:$C$723,A315)</f>
        <v/>
      </c>
    </row>
    <row r="316">
      <c r="A316" s="3" t="inlineStr">
        <is>
          <t>000923</t>
        </is>
      </c>
      <c r="B316" s="6">
        <f>COUNTIF('Entetes_TriNumInterne'!$C$2:$C$723,A316)</f>
        <v/>
      </c>
    </row>
    <row r="317">
      <c r="A317" s="3" t="inlineStr">
        <is>
          <t>000924</t>
        </is>
      </c>
      <c r="B317" s="6">
        <f>COUNTIF('Entetes_TriNumInterne'!$C$2:$C$723,A317)</f>
        <v/>
      </c>
    </row>
    <row r="318">
      <c r="A318" s="3" t="inlineStr">
        <is>
          <t>000925</t>
        </is>
      </c>
      <c r="B318" s="6">
        <f>COUNTIF('Entetes_TriNumInterne'!$C$2:$C$723,A318)</f>
        <v/>
      </c>
    </row>
    <row r="319">
      <c r="A319" s="3" t="inlineStr">
        <is>
          <t>000926</t>
        </is>
      </c>
      <c r="B319" s="6">
        <f>COUNTIF('Entetes_TriNumInterne'!$C$2:$C$723,A319)</f>
        <v/>
      </c>
    </row>
    <row r="320">
      <c r="A320" s="3" t="inlineStr">
        <is>
          <t>000927</t>
        </is>
      </c>
      <c r="B320" s="6">
        <f>COUNTIF('Entetes_TriNumInterne'!$C$2:$C$723,A320)</f>
        <v/>
      </c>
    </row>
    <row r="321">
      <c r="A321" s="3" t="inlineStr">
        <is>
          <t>000928</t>
        </is>
      </c>
      <c r="B321" s="6">
        <f>COUNTIF('Entetes_TriNumInterne'!$C$2:$C$723,A321)</f>
        <v/>
      </c>
    </row>
    <row r="322">
      <c r="A322" s="3" t="inlineStr">
        <is>
          <t>000929</t>
        </is>
      </c>
      <c r="B322" s="6">
        <f>COUNTIF('Entetes_TriNumInterne'!$C$2:$C$723,A322)</f>
        <v/>
      </c>
    </row>
    <row r="323">
      <c r="A323" s="3" t="inlineStr">
        <is>
          <t>000930</t>
        </is>
      </c>
      <c r="B323" s="6">
        <f>COUNTIF('Entetes_TriNumInterne'!$C$2:$C$723,A323)</f>
        <v/>
      </c>
    </row>
    <row r="324">
      <c r="A324" s="3" t="inlineStr">
        <is>
          <t>000931</t>
        </is>
      </c>
      <c r="B324" s="6">
        <f>COUNTIF('Entetes_TriNumInterne'!$C$2:$C$723,A324)</f>
        <v/>
      </c>
    </row>
    <row r="325">
      <c r="A325" s="3" t="inlineStr">
        <is>
          <t>000932</t>
        </is>
      </c>
      <c r="B325" s="6">
        <f>COUNTIF('Entetes_TriNumInterne'!$C$2:$C$723,A325)</f>
        <v/>
      </c>
    </row>
    <row r="326">
      <c r="A326" s="3" t="inlineStr">
        <is>
          <t>000933</t>
        </is>
      </c>
      <c r="B326" s="6">
        <f>COUNTIF('Entetes_TriNumInterne'!$C$2:$C$723,A326)</f>
        <v/>
      </c>
    </row>
    <row r="327">
      <c r="A327" s="3" t="inlineStr">
        <is>
          <t>000934</t>
        </is>
      </c>
      <c r="B327" s="6">
        <f>COUNTIF('Entetes_TriNumInterne'!$C$2:$C$723,A327)</f>
        <v/>
      </c>
    </row>
    <row r="328">
      <c r="A328" s="3" t="inlineStr">
        <is>
          <t>000935</t>
        </is>
      </c>
      <c r="B328" s="6">
        <f>COUNTIF('Entetes_TriNumInterne'!$C$2:$C$723,A328)</f>
        <v/>
      </c>
    </row>
    <row r="329">
      <c r="A329" s="3" t="inlineStr">
        <is>
          <t>000936</t>
        </is>
      </c>
      <c r="B329" s="6">
        <f>COUNTIF('Entetes_TriNumInterne'!$C$2:$C$723,A329)</f>
        <v/>
      </c>
    </row>
    <row r="330">
      <c r="A330" s="3" t="inlineStr">
        <is>
          <t>000937</t>
        </is>
      </c>
      <c r="B330" s="6">
        <f>COUNTIF('Entetes_TriNumInterne'!$C$2:$C$723,A330)</f>
        <v/>
      </c>
    </row>
    <row r="331">
      <c r="A331" s="3" t="inlineStr">
        <is>
          <t>000938</t>
        </is>
      </c>
      <c r="B331" s="6">
        <f>COUNTIF('Entetes_TriNumInterne'!$C$2:$C$723,A331)</f>
        <v/>
      </c>
    </row>
    <row r="332">
      <c r="A332" s="3" t="inlineStr">
        <is>
          <t>000939</t>
        </is>
      </c>
      <c r="B332" s="6">
        <f>COUNTIF('Entetes_TriNumInterne'!$C$2:$C$723,A332)</f>
        <v/>
      </c>
    </row>
    <row r="333">
      <c r="A333" s="3" t="inlineStr">
        <is>
          <t>000940</t>
        </is>
      </c>
      <c r="B333" s="6">
        <f>COUNTIF('Entetes_TriNumInterne'!$C$2:$C$723,A333)</f>
        <v/>
      </c>
    </row>
    <row r="334">
      <c r="A334" s="3" t="inlineStr">
        <is>
          <t>000941</t>
        </is>
      </c>
      <c r="B334" s="6">
        <f>COUNTIF('Entetes_TriNumInterne'!$C$2:$C$723,A334)</f>
        <v/>
      </c>
    </row>
    <row r="335">
      <c r="A335" s="3" t="inlineStr">
        <is>
          <t>000942</t>
        </is>
      </c>
      <c r="B335" s="6">
        <f>COUNTIF('Entetes_TriNumInterne'!$C$2:$C$723,A335)</f>
        <v/>
      </c>
    </row>
    <row r="336">
      <c r="A336" s="3" t="inlineStr">
        <is>
          <t>000943</t>
        </is>
      </c>
      <c r="B336" s="6">
        <f>COUNTIF('Entetes_TriNumInterne'!$C$2:$C$723,A336)</f>
        <v/>
      </c>
    </row>
    <row r="337">
      <c r="A337" s="3" t="inlineStr">
        <is>
          <t>000944</t>
        </is>
      </c>
      <c r="B337" s="6">
        <f>COUNTIF('Entetes_TriNumInterne'!$C$2:$C$723,A337)</f>
        <v/>
      </c>
    </row>
    <row r="338">
      <c r="A338" s="3" t="inlineStr">
        <is>
          <t>000945</t>
        </is>
      </c>
      <c r="B338" s="6">
        <f>COUNTIF('Entetes_TriNumInterne'!$C$2:$C$723,A338)</f>
        <v/>
      </c>
    </row>
    <row r="339">
      <c r="A339" s="3" t="inlineStr">
        <is>
          <t>000946</t>
        </is>
      </c>
      <c r="B339" s="6">
        <f>COUNTIF('Entetes_TriNumInterne'!$C$2:$C$723,A339)</f>
        <v/>
      </c>
    </row>
    <row r="340">
      <c r="A340" s="3" t="inlineStr">
        <is>
          <t>000947</t>
        </is>
      </c>
      <c r="B340" s="6">
        <f>COUNTIF('Entetes_TriNumInterne'!$C$2:$C$723,A340)</f>
        <v/>
      </c>
    </row>
    <row r="341">
      <c r="A341" s="3" t="inlineStr">
        <is>
          <t>000948</t>
        </is>
      </c>
      <c r="B341" s="6">
        <f>COUNTIF('Entetes_TriNumInterne'!$C$2:$C$723,A341)</f>
        <v/>
      </c>
    </row>
    <row r="342">
      <c r="A342" s="3" t="inlineStr">
        <is>
          <t>000949</t>
        </is>
      </c>
      <c r="B342" s="6">
        <f>COUNTIF('Entetes_TriNumInterne'!$C$2:$C$723,A342)</f>
        <v/>
      </c>
    </row>
    <row r="343">
      <c r="A343" s="3" t="inlineStr">
        <is>
          <t>000950</t>
        </is>
      </c>
      <c r="B343" s="6">
        <f>COUNTIF('Entetes_TriNumInterne'!$C$2:$C$723,A343)</f>
        <v/>
      </c>
    </row>
    <row r="344">
      <c r="A344" s="3" t="inlineStr">
        <is>
          <t>000951</t>
        </is>
      </c>
      <c r="B344" s="6">
        <f>COUNTIF('Entetes_TriNumInterne'!$C$2:$C$723,A344)</f>
        <v/>
      </c>
    </row>
    <row r="345">
      <c r="A345" s="3" t="inlineStr">
        <is>
          <t>000952</t>
        </is>
      </c>
      <c r="B345" s="6">
        <f>COUNTIF('Entetes_TriNumInterne'!$C$2:$C$723,A345)</f>
        <v/>
      </c>
    </row>
    <row r="346">
      <c r="A346" s="3" t="inlineStr">
        <is>
          <t>000953</t>
        </is>
      </c>
      <c r="B346" s="6">
        <f>COUNTIF('Entetes_TriNumInterne'!$C$2:$C$723,A346)</f>
        <v/>
      </c>
    </row>
    <row r="347">
      <c r="A347" s="3" t="inlineStr">
        <is>
          <t>000954</t>
        </is>
      </c>
      <c r="B347" s="6">
        <f>COUNTIF('Entetes_TriNumInterne'!$C$2:$C$723,A347)</f>
        <v/>
      </c>
    </row>
    <row r="348">
      <c r="A348" s="3" t="inlineStr">
        <is>
          <t>000955</t>
        </is>
      </c>
      <c r="B348" s="6">
        <f>COUNTIF('Entetes_TriNumInterne'!$C$2:$C$723,A348)</f>
        <v/>
      </c>
    </row>
    <row r="349">
      <c r="A349" s="3" t="inlineStr">
        <is>
          <t>000956</t>
        </is>
      </c>
      <c r="B349" s="6">
        <f>COUNTIF('Entetes_TriNumInterne'!$C$2:$C$723,A349)</f>
        <v/>
      </c>
    </row>
    <row r="350">
      <c r="A350" s="3" t="inlineStr">
        <is>
          <t>000957</t>
        </is>
      </c>
      <c r="B350" s="6">
        <f>COUNTIF('Entetes_TriNumInterne'!$C$2:$C$723,A350)</f>
        <v/>
      </c>
    </row>
    <row r="351">
      <c r="A351" s="3" t="inlineStr">
        <is>
          <t>000958</t>
        </is>
      </c>
      <c r="B351" s="6">
        <f>COUNTIF('Entetes_TriNumInterne'!$C$2:$C$723,A351)</f>
        <v/>
      </c>
    </row>
    <row r="352">
      <c r="A352" s="3" t="inlineStr">
        <is>
          <t>000959</t>
        </is>
      </c>
      <c r="B352" s="6">
        <f>COUNTIF('Entetes_TriNumInterne'!$C$2:$C$723,A352)</f>
        <v/>
      </c>
    </row>
    <row r="353">
      <c r="A353" s="3" t="inlineStr">
        <is>
          <t>000960</t>
        </is>
      </c>
      <c r="B353" s="6">
        <f>COUNTIF('Entetes_TriNumInterne'!$C$2:$C$723,A353)</f>
        <v/>
      </c>
    </row>
    <row r="354">
      <c r="A354" s="3" t="inlineStr">
        <is>
          <t>000961</t>
        </is>
      </c>
      <c r="B354" s="6">
        <f>COUNTIF('Entetes_TriNumInterne'!$C$2:$C$723,A354)</f>
        <v/>
      </c>
    </row>
    <row r="355">
      <c r="A355" s="3" t="inlineStr">
        <is>
          <t>000962</t>
        </is>
      </c>
      <c r="B355" s="6">
        <f>COUNTIF('Entetes_TriNumInterne'!$C$2:$C$723,A355)</f>
        <v/>
      </c>
    </row>
    <row r="356">
      <c r="A356" s="3" t="inlineStr">
        <is>
          <t>000963</t>
        </is>
      </c>
      <c r="B356" s="6">
        <f>COUNTIF('Entetes_TriNumInterne'!$C$2:$C$723,A356)</f>
        <v/>
      </c>
    </row>
    <row r="357">
      <c r="A357" s="3" t="inlineStr">
        <is>
          <t>000964</t>
        </is>
      </c>
      <c r="B357" s="6">
        <f>COUNTIF('Entetes_TriNumInterne'!$C$2:$C$723,A357)</f>
        <v/>
      </c>
    </row>
    <row r="358">
      <c r="A358" s="3" t="inlineStr">
        <is>
          <t>000965</t>
        </is>
      </c>
      <c r="B358" s="6">
        <f>COUNTIF('Entetes_TriNumInterne'!$C$2:$C$723,A358)</f>
        <v/>
      </c>
    </row>
    <row r="359">
      <c r="A359" s="3" t="inlineStr">
        <is>
          <t>000966</t>
        </is>
      </c>
      <c r="B359" s="6">
        <f>COUNTIF('Entetes_TriNumInterne'!$C$2:$C$723,A359)</f>
        <v/>
      </c>
    </row>
    <row r="360">
      <c r="A360" s="3" t="inlineStr">
        <is>
          <t>000967</t>
        </is>
      </c>
      <c r="B360" s="6">
        <f>COUNTIF('Entetes_TriNumInterne'!$C$2:$C$723,A360)</f>
        <v/>
      </c>
    </row>
    <row r="361">
      <c r="A361" s="3" t="inlineStr">
        <is>
          <t>000968</t>
        </is>
      </c>
      <c r="B361" s="6">
        <f>COUNTIF('Entetes_TriNumInterne'!$C$2:$C$723,A361)</f>
        <v/>
      </c>
    </row>
    <row r="362">
      <c r="A362" s="3" t="inlineStr">
        <is>
          <t>000969</t>
        </is>
      </c>
      <c r="B362" s="6">
        <f>COUNTIF('Entetes_TriNumInterne'!$C$2:$C$723,A362)</f>
        <v/>
      </c>
    </row>
    <row r="363">
      <c r="A363" s="3" t="inlineStr">
        <is>
          <t>000970</t>
        </is>
      </c>
      <c r="B363" s="6">
        <f>COUNTIF('Entetes_TriNumInterne'!$C$2:$C$723,A363)</f>
        <v/>
      </c>
    </row>
    <row r="364">
      <c r="A364" s="3" t="inlineStr">
        <is>
          <t>000971</t>
        </is>
      </c>
      <c r="B364" s="6">
        <f>COUNTIF('Entetes_TriNumInterne'!$C$2:$C$723,A364)</f>
        <v/>
      </c>
    </row>
    <row r="365">
      <c r="A365" s="3" t="inlineStr">
        <is>
          <t>000972</t>
        </is>
      </c>
      <c r="B365" s="6">
        <f>COUNTIF('Entetes_TriNumInterne'!$C$2:$C$723,A365)</f>
        <v/>
      </c>
    </row>
    <row r="366">
      <c r="A366" s="3" t="inlineStr">
        <is>
          <t>000973</t>
        </is>
      </c>
      <c r="B366" s="6">
        <f>COUNTIF('Entetes_TriNumInterne'!$C$2:$C$723,A366)</f>
        <v/>
      </c>
    </row>
    <row r="367">
      <c r="A367" s="3" t="inlineStr">
        <is>
          <t>000974</t>
        </is>
      </c>
      <c r="B367" s="6">
        <f>COUNTIF('Entetes_TriNumInterne'!$C$2:$C$723,A367)</f>
        <v/>
      </c>
    </row>
    <row r="368">
      <c r="A368" s="3" t="inlineStr">
        <is>
          <t>000975</t>
        </is>
      </c>
      <c r="B368" s="6">
        <f>COUNTIF('Entetes_TriNumInterne'!$C$2:$C$723,A368)</f>
        <v/>
      </c>
    </row>
    <row r="369">
      <c r="A369" s="3" t="inlineStr">
        <is>
          <t>000976</t>
        </is>
      </c>
      <c r="B369" s="6">
        <f>COUNTIF('Entetes_TriNumInterne'!$C$2:$C$723,A369)</f>
        <v/>
      </c>
    </row>
    <row r="370">
      <c r="A370" s="3" t="inlineStr">
        <is>
          <t>000977</t>
        </is>
      </c>
      <c r="B370" s="6">
        <f>COUNTIF('Entetes_TriNumInterne'!$C$2:$C$723,A370)</f>
        <v/>
      </c>
    </row>
    <row r="371">
      <c r="A371" s="3" t="inlineStr">
        <is>
          <t>000978</t>
        </is>
      </c>
      <c r="B371" s="6">
        <f>COUNTIF('Entetes_TriNumInterne'!$C$2:$C$723,A371)</f>
        <v/>
      </c>
    </row>
    <row r="372">
      <c r="A372" s="3" t="inlineStr">
        <is>
          <t>000979</t>
        </is>
      </c>
      <c r="B372" s="6">
        <f>COUNTIF('Entetes_TriNumInterne'!$C$2:$C$723,A372)</f>
        <v/>
      </c>
    </row>
    <row r="373">
      <c r="A373" s="3" t="inlineStr">
        <is>
          <t>000980</t>
        </is>
      </c>
      <c r="B373" s="6">
        <f>COUNTIF('Entetes_TriNumInterne'!$C$2:$C$723,A373)</f>
        <v/>
      </c>
    </row>
    <row r="374">
      <c r="A374" s="3" t="inlineStr">
        <is>
          <t>000981</t>
        </is>
      </c>
      <c r="B374" s="6">
        <f>COUNTIF('Entetes_TriNumInterne'!$C$2:$C$723,A374)</f>
        <v/>
      </c>
    </row>
    <row r="375">
      <c r="A375" s="3" t="inlineStr">
        <is>
          <t>000982</t>
        </is>
      </c>
      <c r="B375" s="6">
        <f>COUNTIF('Entetes_TriNumInterne'!$C$2:$C$723,A375)</f>
        <v/>
      </c>
    </row>
    <row r="376">
      <c r="A376" s="3" t="inlineStr">
        <is>
          <t>000983</t>
        </is>
      </c>
      <c r="B376" s="6">
        <f>COUNTIF('Entetes_TriNumInterne'!$C$2:$C$723,A376)</f>
        <v/>
      </c>
    </row>
    <row r="377">
      <c r="A377" s="3" t="inlineStr">
        <is>
          <t>000984</t>
        </is>
      </c>
      <c r="B377" s="6">
        <f>COUNTIF('Entetes_TriNumInterne'!$C$2:$C$723,A377)</f>
        <v/>
      </c>
    </row>
    <row r="378">
      <c r="A378" s="3" t="inlineStr">
        <is>
          <t>000985</t>
        </is>
      </c>
      <c r="B378" s="6">
        <f>COUNTIF('Entetes_TriNumInterne'!$C$2:$C$723,A378)</f>
        <v/>
      </c>
    </row>
    <row r="379">
      <c r="A379" s="3" t="inlineStr">
        <is>
          <t>000986</t>
        </is>
      </c>
      <c r="B379" s="6">
        <f>COUNTIF('Entetes_TriNumInterne'!$C$2:$C$723,A379)</f>
        <v/>
      </c>
    </row>
    <row r="380">
      <c r="A380" s="3" t="inlineStr">
        <is>
          <t>000987</t>
        </is>
      </c>
      <c r="B380" s="6">
        <f>COUNTIF('Entetes_TriNumInterne'!$C$2:$C$723,A380)</f>
        <v/>
      </c>
    </row>
    <row r="381">
      <c r="A381" s="3" t="inlineStr">
        <is>
          <t>000988</t>
        </is>
      </c>
      <c r="B381" s="6">
        <f>COUNTIF('Entetes_TriNumInterne'!$C$2:$C$723,A381)</f>
        <v/>
      </c>
    </row>
    <row r="382">
      <c r="A382" s="3" t="inlineStr">
        <is>
          <t>000989</t>
        </is>
      </c>
      <c r="B382" s="6">
        <f>COUNTIF('Entetes_TriNumInterne'!$C$2:$C$723,A382)</f>
        <v/>
      </c>
    </row>
    <row r="383">
      <c r="A383" s="3" t="inlineStr">
        <is>
          <t>000990</t>
        </is>
      </c>
      <c r="B383" s="6">
        <f>COUNTIF('Entetes_TriNumInterne'!$C$2:$C$723,A383)</f>
        <v/>
      </c>
    </row>
    <row r="384">
      <c r="A384" s="3" t="inlineStr">
        <is>
          <t>000991</t>
        </is>
      </c>
      <c r="B384" s="6">
        <f>COUNTIF('Entetes_TriNumInterne'!$C$2:$C$723,A384)</f>
        <v/>
      </c>
    </row>
    <row r="385">
      <c r="A385" s="3" t="inlineStr">
        <is>
          <t>000992</t>
        </is>
      </c>
      <c r="B385" s="6">
        <f>COUNTIF('Entetes_TriNumInterne'!$C$2:$C$723,A385)</f>
        <v/>
      </c>
    </row>
    <row r="386">
      <c r="A386" s="3" t="inlineStr">
        <is>
          <t>000993</t>
        </is>
      </c>
      <c r="B386" s="6">
        <f>COUNTIF('Entetes_TriNumInterne'!$C$2:$C$723,A386)</f>
        <v/>
      </c>
    </row>
    <row r="387">
      <c r="A387" s="3" t="inlineStr">
        <is>
          <t>000994</t>
        </is>
      </c>
      <c r="B387" s="6">
        <f>COUNTIF('Entetes_TriNumInterne'!$C$2:$C$723,A387)</f>
        <v/>
      </c>
    </row>
    <row r="388">
      <c r="A388" s="3" t="inlineStr">
        <is>
          <t>000995</t>
        </is>
      </c>
      <c r="B388" s="6">
        <f>COUNTIF('Entetes_TriNumInterne'!$C$2:$C$723,A388)</f>
        <v/>
      </c>
    </row>
    <row r="389">
      <c r="A389" s="3" t="inlineStr">
        <is>
          <t>000996</t>
        </is>
      </c>
      <c r="B389" s="6">
        <f>COUNTIF('Entetes_TriNumInterne'!$C$2:$C$723,A389)</f>
        <v/>
      </c>
    </row>
    <row r="390">
      <c r="A390" s="3" t="inlineStr">
        <is>
          <t>000997</t>
        </is>
      </c>
      <c r="B390" s="6">
        <f>COUNTIF('Entetes_TriNumInterne'!$C$2:$C$723,A390)</f>
        <v/>
      </c>
    </row>
    <row r="391">
      <c r="A391" s="3" t="inlineStr">
        <is>
          <t>000998</t>
        </is>
      </c>
      <c r="B391" s="6">
        <f>COUNTIF('Entetes_TriNumInterne'!$C$2:$C$723,A391)</f>
        <v/>
      </c>
    </row>
    <row r="392">
      <c r="A392" s="3" t="inlineStr">
        <is>
          <t>000999</t>
        </is>
      </c>
      <c r="B392" s="6">
        <f>COUNTIF('Entetes_TriNumInterne'!$C$2:$C$723,A392)</f>
        <v/>
      </c>
    </row>
    <row r="393">
      <c r="A393" s="3" t="inlineStr">
        <is>
          <t>001000</t>
        </is>
      </c>
      <c r="B393" s="6">
        <f>COUNTIF('Entetes_TriNumInterne'!$C$2:$C$723,A393)</f>
        <v/>
      </c>
    </row>
    <row r="394">
      <c r="A394" s="3" t="inlineStr">
        <is>
          <t>001001</t>
        </is>
      </c>
      <c r="B394" s="6">
        <f>COUNTIF('Entetes_TriNumInterne'!$C$2:$C$723,A394)</f>
        <v/>
      </c>
    </row>
    <row r="395">
      <c r="A395" s="3" t="inlineStr">
        <is>
          <t>001002</t>
        </is>
      </c>
      <c r="B395" s="6">
        <f>COUNTIF('Entetes_TriNumInterne'!$C$2:$C$723,A395)</f>
        <v/>
      </c>
    </row>
    <row r="396">
      <c r="A396" s="3" t="inlineStr">
        <is>
          <t>001003</t>
        </is>
      </c>
      <c r="B396" s="6">
        <f>COUNTIF('Entetes_TriNumInterne'!$C$2:$C$723,A396)</f>
        <v/>
      </c>
    </row>
    <row r="397">
      <c r="A397" s="3" t="inlineStr">
        <is>
          <t>001004</t>
        </is>
      </c>
      <c r="B397" s="6">
        <f>COUNTIF('Entetes_TriNumInterne'!$C$2:$C$723,A397)</f>
        <v/>
      </c>
    </row>
    <row r="398">
      <c r="A398" s="3" t="inlineStr">
        <is>
          <t>001005</t>
        </is>
      </c>
      <c r="B398" s="6">
        <f>COUNTIF('Entetes_TriNumInterne'!$C$2:$C$723,A398)</f>
        <v/>
      </c>
    </row>
    <row r="399">
      <c r="A399" s="3" t="inlineStr">
        <is>
          <t>001006</t>
        </is>
      </c>
      <c r="B399" s="6">
        <f>COUNTIF('Entetes_TriNumInterne'!$C$2:$C$723,A399)</f>
        <v/>
      </c>
    </row>
    <row r="400">
      <c r="A400" s="3" t="inlineStr">
        <is>
          <t>001007</t>
        </is>
      </c>
      <c r="B400" s="6">
        <f>COUNTIF('Entetes_TriNumInterne'!$C$2:$C$723,A400)</f>
        <v/>
      </c>
    </row>
    <row r="401">
      <c r="A401" s="3" t="inlineStr">
        <is>
          <t>001008</t>
        </is>
      </c>
      <c r="B401" s="6">
        <f>COUNTIF('Entetes_TriNumInterne'!$C$2:$C$723,A401)</f>
        <v/>
      </c>
    </row>
    <row r="402">
      <c r="A402" s="3" t="inlineStr">
        <is>
          <t>001009</t>
        </is>
      </c>
      <c r="B402" s="6">
        <f>COUNTIF('Entetes_TriNumInterne'!$C$2:$C$723,A402)</f>
        <v/>
      </c>
    </row>
    <row r="403">
      <c r="A403" s="3" t="inlineStr">
        <is>
          <t>001010</t>
        </is>
      </c>
      <c r="B403" s="6">
        <f>COUNTIF('Entetes_TriNumInterne'!$C$2:$C$723,A403)</f>
        <v/>
      </c>
    </row>
    <row r="404">
      <c r="A404" s="3" t="inlineStr">
        <is>
          <t>001011</t>
        </is>
      </c>
      <c r="B404" s="6">
        <f>COUNTIF('Entetes_TriNumInterne'!$C$2:$C$723,A404)</f>
        <v/>
      </c>
    </row>
    <row r="405">
      <c r="A405" s="3" t="inlineStr">
        <is>
          <t>001012</t>
        </is>
      </c>
      <c r="B405" s="6">
        <f>COUNTIF('Entetes_TriNumInterne'!$C$2:$C$723,A405)</f>
        <v/>
      </c>
    </row>
    <row r="406">
      <c r="A406" s="3" t="inlineStr">
        <is>
          <t>001013</t>
        </is>
      </c>
      <c r="B406" s="6">
        <f>COUNTIF('Entetes_TriNumInterne'!$C$2:$C$723,A406)</f>
        <v/>
      </c>
    </row>
    <row r="407">
      <c r="A407" s="3" t="inlineStr">
        <is>
          <t>001014</t>
        </is>
      </c>
      <c r="B407" s="6">
        <f>COUNTIF('Entetes_TriNumInterne'!$C$2:$C$723,A407)</f>
        <v/>
      </c>
    </row>
    <row r="408">
      <c r="A408" s="3" t="inlineStr">
        <is>
          <t>001015</t>
        </is>
      </c>
      <c r="B408" s="6">
        <f>COUNTIF('Entetes_TriNumInterne'!$C$2:$C$723,A408)</f>
        <v/>
      </c>
    </row>
    <row r="409">
      <c r="A409" s="3" t="inlineStr">
        <is>
          <t>001016</t>
        </is>
      </c>
      <c r="B409" s="6">
        <f>COUNTIF('Entetes_TriNumInterne'!$C$2:$C$723,A409)</f>
        <v/>
      </c>
    </row>
    <row r="410">
      <c r="A410" s="3" t="inlineStr">
        <is>
          <t>001017</t>
        </is>
      </c>
      <c r="B410" s="6">
        <f>COUNTIF('Entetes_TriNumInterne'!$C$2:$C$723,A410)</f>
        <v/>
      </c>
    </row>
    <row r="411">
      <c r="A411" s="3" t="inlineStr">
        <is>
          <t>001018</t>
        </is>
      </c>
      <c r="B411" s="6">
        <f>COUNTIF('Entetes_TriNumInterne'!$C$2:$C$723,A411)</f>
        <v/>
      </c>
    </row>
    <row r="412">
      <c r="A412" s="3" t="inlineStr">
        <is>
          <t>001019</t>
        </is>
      </c>
      <c r="B412" s="6">
        <f>COUNTIF('Entetes_TriNumInterne'!$C$2:$C$723,A412)</f>
        <v/>
      </c>
    </row>
    <row r="413">
      <c r="A413" s="3" t="inlineStr">
        <is>
          <t>001020</t>
        </is>
      </c>
      <c r="B413" s="6">
        <f>COUNTIF('Entetes_TriNumInterne'!$C$2:$C$723,A413)</f>
        <v/>
      </c>
    </row>
    <row r="414">
      <c r="A414" s="3" t="inlineStr">
        <is>
          <t>001021</t>
        </is>
      </c>
      <c r="B414" s="6">
        <f>COUNTIF('Entetes_TriNumInterne'!$C$2:$C$723,A414)</f>
        <v/>
      </c>
    </row>
    <row r="415">
      <c r="A415" s="3" t="inlineStr">
        <is>
          <t>001022</t>
        </is>
      </c>
      <c r="B415" s="6">
        <f>COUNTIF('Entetes_TriNumInterne'!$C$2:$C$723,A415)</f>
        <v/>
      </c>
    </row>
    <row r="416">
      <c r="A416" s="3" t="inlineStr">
        <is>
          <t>001023</t>
        </is>
      </c>
      <c r="B416" s="6">
        <f>COUNTIF('Entetes_TriNumInterne'!$C$2:$C$723,A416)</f>
        <v/>
      </c>
    </row>
    <row r="417">
      <c r="A417" s="3" t="inlineStr">
        <is>
          <t>001024</t>
        </is>
      </c>
      <c r="B417" s="6">
        <f>COUNTIF('Entetes_TriNumInterne'!$C$2:$C$723,A417)</f>
        <v/>
      </c>
    </row>
    <row r="418">
      <c r="A418" s="3" t="inlineStr">
        <is>
          <t>001025</t>
        </is>
      </c>
      <c r="B418" s="6">
        <f>COUNTIF('Entetes_TriNumInterne'!$C$2:$C$723,A418)</f>
        <v/>
      </c>
    </row>
    <row r="419">
      <c r="A419" s="3" t="inlineStr">
        <is>
          <t>001026</t>
        </is>
      </c>
      <c r="B419" s="6">
        <f>COUNTIF('Entetes_TriNumInterne'!$C$2:$C$723,A419)</f>
        <v/>
      </c>
    </row>
    <row r="420">
      <c r="A420" s="3" t="inlineStr">
        <is>
          <t>001027</t>
        </is>
      </c>
      <c r="B420" s="6">
        <f>COUNTIF('Entetes_TriNumInterne'!$C$2:$C$723,A420)</f>
        <v/>
      </c>
    </row>
    <row r="421">
      <c r="A421" s="3" t="inlineStr">
        <is>
          <t>001028</t>
        </is>
      </c>
      <c r="B421" s="6">
        <f>COUNTIF('Entetes_TriNumInterne'!$C$2:$C$723,A421)</f>
        <v/>
      </c>
    </row>
    <row r="422">
      <c r="A422" s="3" t="inlineStr">
        <is>
          <t>001029</t>
        </is>
      </c>
      <c r="B422" s="6">
        <f>COUNTIF('Entetes_TriNumInterne'!$C$2:$C$723,A422)</f>
        <v/>
      </c>
    </row>
    <row r="423">
      <c r="A423" s="3" t="inlineStr">
        <is>
          <t>001030</t>
        </is>
      </c>
      <c r="B423" s="6">
        <f>COUNTIF('Entetes_TriNumInterne'!$C$2:$C$723,A423)</f>
        <v/>
      </c>
    </row>
    <row r="424">
      <c r="A424" s="3" t="inlineStr">
        <is>
          <t>001031</t>
        </is>
      </c>
      <c r="B424" s="6">
        <f>COUNTIF('Entetes_TriNumInterne'!$C$2:$C$723,A424)</f>
        <v/>
      </c>
    </row>
    <row r="425">
      <c r="A425" s="3" t="inlineStr">
        <is>
          <t>001032</t>
        </is>
      </c>
      <c r="B425" s="6">
        <f>COUNTIF('Entetes_TriNumInterne'!$C$2:$C$723,A425)</f>
        <v/>
      </c>
    </row>
    <row r="426">
      <c r="A426" s="3" t="inlineStr">
        <is>
          <t>001033</t>
        </is>
      </c>
      <c r="B426" s="6">
        <f>COUNTIF('Entetes_TriNumInterne'!$C$2:$C$723,A426)</f>
        <v/>
      </c>
    </row>
    <row r="427">
      <c r="A427" s="3" t="inlineStr">
        <is>
          <t>001034</t>
        </is>
      </c>
      <c r="B427" s="6">
        <f>COUNTIF('Entetes_TriNumInterne'!$C$2:$C$723,A427)</f>
        <v/>
      </c>
    </row>
    <row r="428">
      <c r="A428" s="3" t="inlineStr">
        <is>
          <t>001035</t>
        </is>
      </c>
      <c r="B428" s="6">
        <f>COUNTIF('Entetes_TriNumInterne'!$C$2:$C$723,A428)</f>
        <v/>
      </c>
    </row>
    <row r="429">
      <c r="A429" s="3" t="inlineStr">
        <is>
          <t>001036</t>
        </is>
      </c>
      <c r="B429" s="6">
        <f>COUNTIF('Entetes_TriNumInterne'!$C$2:$C$723,A429)</f>
        <v/>
      </c>
    </row>
    <row r="430">
      <c r="A430" s="3" t="inlineStr">
        <is>
          <t>001037</t>
        </is>
      </c>
      <c r="B430" s="6">
        <f>COUNTIF('Entetes_TriNumInterne'!$C$2:$C$723,A430)</f>
        <v/>
      </c>
    </row>
    <row r="431">
      <c r="A431" s="3" t="inlineStr">
        <is>
          <t>001038</t>
        </is>
      </c>
      <c r="B431" s="6">
        <f>COUNTIF('Entetes_TriNumInterne'!$C$2:$C$723,A431)</f>
        <v/>
      </c>
    </row>
    <row r="432">
      <c r="A432" s="3" t="inlineStr">
        <is>
          <t>001039</t>
        </is>
      </c>
      <c r="B432" s="6">
        <f>COUNTIF('Entetes_TriNumInterne'!$C$2:$C$723,A432)</f>
        <v/>
      </c>
    </row>
    <row r="433">
      <c r="A433" s="3" t="inlineStr">
        <is>
          <t>001040</t>
        </is>
      </c>
      <c r="B433" s="6">
        <f>COUNTIF('Entetes_TriNumInterne'!$C$2:$C$723,A433)</f>
        <v/>
      </c>
    </row>
    <row r="434">
      <c r="A434" s="3" t="inlineStr">
        <is>
          <t>001041</t>
        </is>
      </c>
      <c r="B434" s="6">
        <f>COUNTIF('Entetes_TriNumInterne'!$C$2:$C$723,A434)</f>
        <v/>
      </c>
    </row>
    <row r="435">
      <c r="A435" s="3" t="inlineStr">
        <is>
          <t>001042</t>
        </is>
      </c>
      <c r="B435" s="6">
        <f>COUNTIF('Entetes_TriNumInterne'!$C$2:$C$723,A435)</f>
        <v/>
      </c>
    </row>
    <row r="436">
      <c r="A436" s="3" t="inlineStr">
        <is>
          <t>001043</t>
        </is>
      </c>
      <c r="B436" s="6">
        <f>COUNTIF('Entetes_TriNumInterne'!$C$2:$C$723,A436)</f>
        <v/>
      </c>
    </row>
    <row r="437">
      <c r="A437" s="3" t="inlineStr">
        <is>
          <t>001044</t>
        </is>
      </c>
      <c r="B437" s="6">
        <f>COUNTIF('Entetes_TriNumInterne'!$C$2:$C$723,A437)</f>
        <v/>
      </c>
    </row>
    <row r="438">
      <c r="A438" s="3" t="inlineStr">
        <is>
          <t>001045</t>
        </is>
      </c>
      <c r="B438" s="6">
        <f>COUNTIF('Entetes_TriNumInterne'!$C$2:$C$723,A438)</f>
        <v/>
      </c>
    </row>
    <row r="439">
      <c r="A439" s="3" t="inlineStr">
        <is>
          <t>001046</t>
        </is>
      </c>
      <c r="B439" s="6">
        <f>COUNTIF('Entetes_TriNumInterne'!$C$2:$C$723,A439)</f>
        <v/>
      </c>
    </row>
    <row r="440">
      <c r="A440" s="3" t="inlineStr">
        <is>
          <t>001047</t>
        </is>
      </c>
      <c r="B440" s="6">
        <f>COUNTIF('Entetes_TriNumInterne'!$C$2:$C$723,A440)</f>
        <v/>
      </c>
    </row>
    <row r="441">
      <c r="A441" s="3" t="inlineStr">
        <is>
          <t>001048</t>
        </is>
      </c>
      <c r="B441" s="6">
        <f>COUNTIF('Entetes_TriNumInterne'!$C$2:$C$723,A441)</f>
        <v/>
      </c>
    </row>
    <row r="442">
      <c r="A442" s="3" t="inlineStr">
        <is>
          <t>001049</t>
        </is>
      </c>
      <c r="B442" s="6">
        <f>COUNTIF('Entetes_TriNumInterne'!$C$2:$C$723,A442)</f>
        <v/>
      </c>
    </row>
    <row r="443">
      <c r="A443" s="3" t="inlineStr">
        <is>
          <t>001050</t>
        </is>
      </c>
      <c r="B443" s="6">
        <f>COUNTIF('Entetes_TriNumInterne'!$C$2:$C$723,A443)</f>
        <v/>
      </c>
    </row>
    <row r="444">
      <c r="A444" s="3" t="inlineStr">
        <is>
          <t>001051</t>
        </is>
      </c>
      <c r="B444" s="6">
        <f>COUNTIF('Entetes_TriNumInterne'!$C$2:$C$723,A444)</f>
        <v/>
      </c>
    </row>
    <row r="445">
      <c r="A445" s="3" t="inlineStr">
        <is>
          <t>001052</t>
        </is>
      </c>
      <c r="B445" s="6">
        <f>COUNTIF('Entetes_TriNumInterne'!$C$2:$C$723,A445)</f>
        <v/>
      </c>
    </row>
    <row r="446">
      <c r="A446" s="3" t="inlineStr">
        <is>
          <t>001053</t>
        </is>
      </c>
      <c r="B446" s="6">
        <f>COUNTIF('Entetes_TriNumInterne'!$C$2:$C$723,A446)</f>
        <v/>
      </c>
    </row>
    <row r="447">
      <c r="A447" s="3" t="inlineStr">
        <is>
          <t>001054</t>
        </is>
      </c>
      <c r="B447" s="6">
        <f>COUNTIF('Entetes_TriNumInterne'!$C$2:$C$723,A447)</f>
        <v/>
      </c>
    </row>
    <row r="448">
      <c r="A448" s="3" t="inlineStr">
        <is>
          <t>001055</t>
        </is>
      </c>
      <c r="B448" s="6">
        <f>COUNTIF('Entetes_TriNumInterne'!$C$2:$C$723,A448)</f>
        <v/>
      </c>
    </row>
    <row r="449">
      <c r="A449" s="3" t="inlineStr">
        <is>
          <t>001056</t>
        </is>
      </c>
      <c r="B449" s="6">
        <f>COUNTIF('Entetes_TriNumInterne'!$C$2:$C$723,A449)</f>
        <v/>
      </c>
    </row>
    <row r="450">
      <c r="A450" s="3" t="inlineStr">
        <is>
          <t>001057</t>
        </is>
      </c>
      <c r="B450" s="6">
        <f>COUNTIF('Entetes_TriNumInterne'!$C$2:$C$723,A450)</f>
        <v/>
      </c>
    </row>
    <row r="451">
      <c r="A451" s="3" t="inlineStr">
        <is>
          <t>001058</t>
        </is>
      </c>
      <c r="B451" s="6">
        <f>COUNTIF('Entetes_TriNumInterne'!$C$2:$C$723,A451)</f>
        <v/>
      </c>
    </row>
    <row r="452">
      <c r="A452" s="3" t="inlineStr">
        <is>
          <t>001059</t>
        </is>
      </c>
      <c r="B452" s="6">
        <f>COUNTIF('Entetes_TriNumInterne'!$C$2:$C$723,A452)</f>
        <v/>
      </c>
    </row>
    <row r="453">
      <c r="A453" s="3" t="inlineStr">
        <is>
          <t>001060</t>
        </is>
      </c>
      <c r="B453" s="6">
        <f>COUNTIF('Entetes_TriNumInterne'!$C$2:$C$723,A453)</f>
        <v/>
      </c>
    </row>
    <row r="454">
      <c r="A454" s="3" t="inlineStr">
        <is>
          <t>001061</t>
        </is>
      </c>
      <c r="B454" s="6">
        <f>COUNTIF('Entetes_TriNumInterne'!$C$2:$C$723,A454)</f>
        <v/>
      </c>
    </row>
    <row r="455">
      <c r="A455" s="3" t="inlineStr">
        <is>
          <t>001062</t>
        </is>
      </c>
      <c r="B455" s="6">
        <f>COUNTIF('Entetes_TriNumInterne'!$C$2:$C$723,A455)</f>
        <v/>
      </c>
    </row>
    <row r="456">
      <c r="A456" s="3" t="inlineStr">
        <is>
          <t>001063</t>
        </is>
      </c>
      <c r="B456" s="6">
        <f>COUNTIF('Entetes_TriNumInterne'!$C$2:$C$723,A456)</f>
        <v/>
      </c>
    </row>
    <row r="457">
      <c r="A457" s="3" t="inlineStr">
        <is>
          <t>001064</t>
        </is>
      </c>
      <c r="B457" s="6">
        <f>COUNTIF('Entetes_TriNumInterne'!$C$2:$C$723,A457)</f>
        <v/>
      </c>
    </row>
    <row r="458">
      <c r="A458" s="3" t="inlineStr">
        <is>
          <t>001065</t>
        </is>
      </c>
      <c r="B458" s="6">
        <f>COUNTIF('Entetes_TriNumInterne'!$C$2:$C$723,A458)</f>
        <v/>
      </c>
    </row>
    <row r="459">
      <c r="A459" s="3" t="inlineStr">
        <is>
          <t>001066</t>
        </is>
      </c>
      <c r="B459" s="6">
        <f>COUNTIF('Entetes_TriNumInterne'!$C$2:$C$723,A459)</f>
        <v/>
      </c>
    </row>
    <row r="460">
      <c r="A460" s="3" t="inlineStr">
        <is>
          <t>001067</t>
        </is>
      </c>
      <c r="B460" s="6">
        <f>COUNTIF('Entetes_TriNumInterne'!$C$2:$C$723,A460)</f>
        <v/>
      </c>
    </row>
    <row r="461">
      <c r="A461" s="3" t="inlineStr">
        <is>
          <t>001068</t>
        </is>
      </c>
      <c r="B461" s="6">
        <f>COUNTIF('Entetes_TriNumInterne'!$C$2:$C$723,A461)</f>
        <v/>
      </c>
    </row>
    <row r="462">
      <c r="A462" s="3" t="inlineStr">
        <is>
          <t>001069</t>
        </is>
      </c>
      <c r="B462" s="6">
        <f>COUNTIF('Entetes_TriNumInterne'!$C$2:$C$723,A462)</f>
        <v/>
      </c>
    </row>
    <row r="463">
      <c r="A463" s="3" t="inlineStr">
        <is>
          <t>001070</t>
        </is>
      </c>
      <c r="B463" s="6">
        <f>COUNTIF('Entetes_TriNumInterne'!$C$2:$C$723,A463)</f>
        <v/>
      </c>
    </row>
    <row r="464">
      <c r="A464" s="3" t="inlineStr">
        <is>
          <t>001071</t>
        </is>
      </c>
      <c r="B464" s="6">
        <f>COUNTIF('Entetes_TriNumInterne'!$C$2:$C$723,A464)</f>
        <v/>
      </c>
    </row>
    <row r="465">
      <c r="A465" s="3" t="inlineStr">
        <is>
          <t>001072</t>
        </is>
      </c>
      <c r="B465" s="6">
        <f>COUNTIF('Entetes_TriNumInterne'!$C$2:$C$723,A465)</f>
        <v/>
      </c>
    </row>
    <row r="466">
      <c r="A466" s="3" t="inlineStr">
        <is>
          <t>001073</t>
        </is>
      </c>
      <c r="B466" s="6">
        <f>COUNTIF('Entetes_TriNumInterne'!$C$2:$C$723,A466)</f>
        <v/>
      </c>
    </row>
    <row r="467">
      <c r="A467" s="3" t="inlineStr">
        <is>
          <t>001074</t>
        </is>
      </c>
      <c r="B467" s="6">
        <f>COUNTIF('Entetes_TriNumInterne'!$C$2:$C$723,A467)</f>
        <v/>
      </c>
    </row>
    <row r="468">
      <c r="A468" s="3" t="inlineStr">
        <is>
          <t>001075</t>
        </is>
      </c>
      <c r="B468" s="6">
        <f>COUNTIF('Entetes_TriNumInterne'!$C$2:$C$723,A468)</f>
        <v/>
      </c>
    </row>
    <row r="469">
      <c r="A469" s="3" t="inlineStr">
        <is>
          <t>001076</t>
        </is>
      </c>
      <c r="B469" s="6">
        <f>COUNTIF('Entetes_TriNumInterne'!$C$2:$C$723,A469)</f>
        <v/>
      </c>
    </row>
    <row r="470">
      <c r="A470" s="3" t="inlineStr">
        <is>
          <t>001077</t>
        </is>
      </c>
      <c r="B470" s="6">
        <f>COUNTIF('Entetes_TriNumInterne'!$C$2:$C$723,A470)</f>
        <v/>
      </c>
    </row>
    <row r="471">
      <c r="A471" s="3" t="inlineStr">
        <is>
          <t>001078</t>
        </is>
      </c>
      <c r="B471" s="6">
        <f>COUNTIF('Entetes_TriNumInterne'!$C$2:$C$723,A471)</f>
        <v/>
      </c>
    </row>
    <row r="472">
      <c r="A472" s="3" t="inlineStr">
        <is>
          <t>001079</t>
        </is>
      </c>
      <c r="B472" s="6">
        <f>COUNTIF('Entetes_TriNumInterne'!$C$2:$C$723,A472)</f>
        <v/>
      </c>
    </row>
    <row r="473">
      <c r="A473" s="3" t="inlineStr">
        <is>
          <t>001080</t>
        </is>
      </c>
      <c r="B473" s="6">
        <f>COUNTIF('Entetes_TriNumInterne'!$C$2:$C$723,A473)</f>
        <v/>
      </c>
    </row>
    <row r="474">
      <c r="A474" s="3" t="inlineStr">
        <is>
          <t>001081</t>
        </is>
      </c>
      <c r="B474" s="6">
        <f>COUNTIF('Entetes_TriNumInterne'!$C$2:$C$723,A474)</f>
        <v/>
      </c>
    </row>
    <row r="475">
      <c r="A475" s="3" t="inlineStr">
        <is>
          <t>001082</t>
        </is>
      </c>
      <c r="B475" s="6">
        <f>COUNTIF('Entetes_TriNumInterne'!$C$2:$C$723,A475)</f>
        <v/>
      </c>
    </row>
    <row r="476">
      <c r="A476" s="3" t="inlineStr">
        <is>
          <t>001083</t>
        </is>
      </c>
      <c r="B476" s="6">
        <f>COUNTIF('Entetes_TriNumInterne'!$C$2:$C$723,A476)</f>
        <v/>
      </c>
    </row>
    <row r="477">
      <c r="A477" s="3" t="inlineStr">
        <is>
          <t>001084</t>
        </is>
      </c>
      <c r="B477" s="6">
        <f>COUNTIF('Entetes_TriNumInterne'!$C$2:$C$723,A477)</f>
        <v/>
      </c>
    </row>
    <row r="478">
      <c r="A478" s="3" t="inlineStr">
        <is>
          <t>001085</t>
        </is>
      </c>
      <c r="B478" s="6">
        <f>COUNTIF('Entetes_TriNumInterne'!$C$2:$C$723,A478)</f>
        <v/>
      </c>
    </row>
    <row r="479">
      <c r="A479" s="3" t="inlineStr">
        <is>
          <t>001086</t>
        </is>
      </c>
      <c r="B479" s="6">
        <f>COUNTIF('Entetes_TriNumInterne'!$C$2:$C$723,A479)</f>
        <v/>
      </c>
    </row>
    <row r="480">
      <c r="A480" s="3" t="inlineStr">
        <is>
          <t>001087</t>
        </is>
      </c>
      <c r="B480" s="6">
        <f>COUNTIF('Entetes_TriNumInterne'!$C$2:$C$723,A480)</f>
        <v/>
      </c>
    </row>
    <row r="481">
      <c r="A481" s="3" t="inlineStr">
        <is>
          <t>001088</t>
        </is>
      </c>
      <c r="B481" s="6">
        <f>COUNTIF('Entetes_TriNumInterne'!$C$2:$C$723,A481)</f>
        <v/>
      </c>
    </row>
    <row r="482">
      <c r="A482" s="3" t="inlineStr">
        <is>
          <t>001089</t>
        </is>
      </c>
      <c r="B482" s="6">
        <f>COUNTIF('Entetes_TriNumInterne'!$C$2:$C$723,A482)</f>
        <v/>
      </c>
    </row>
    <row r="483">
      <c r="A483" s="3" t="inlineStr">
        <is>
          <t>001090</t>
        </is>
      </c>
      <c r="B483" s="6">
        <f>COUNTIF('Entetes_TriNumInterne'!$C$2:$C$723,A483)</f>
        <v/>
      </c>
    </row>
    <row r="484">
      <c r="A484" s="3" t="inlineStr">
        <is>
          <t>001091</t>
        </is>
      </c>
      <c r="B484" s="6">
        <f>COUNTIF('Entetes_TriNumInterne'!$C$2:$C$723,A484)</f>
        <v/>
      </c>
    </row>
    <row r="485">
      <c r="A485" s="3" t="inlineStr">
        <is>
          <t>001092</t>
        </is>
      </c>
      <c r="B485" s="6">
        <f>COUNTIF('Entetes_TriNumInterne'!$C$2:$C$723,A485)</f>
        <v/>
      </c>
    </row>
    <row r="486">
      <c r="A486" s="3" t="inlineStr">
        <is>
          <t>001093</t>
        </is>
      </c>
      <c r="B486" s="6">
        <f>COUNTIF('Entetes_TriNumInterne'!$C$2:$C$723,A486)</f>
        <v/>
      </c>
    </row>
    <row r="487">
      <c r="A487" s="3" t="inlineStr">
        <is>
          <t>001094</t>
        </is>
      </c>
      <c r="B487" s="6">
        <f>COUNTIF('Entetes_TriNumInterne'!$C$2:$C$723,A487)</f>
        <v/>
      </c>
    </row>
    <row r="488">
      <c r="A488" s="3" t="inlineStr">
        <is>
          <t>001095</t>
        </is>
      </c>
      <c r="B488" s="6">
        <f>COUNTIF('Entetes_TriNumInterne'!$C$2:$C$723,A488)</f>
        <v/>
      </c>
    </row>
    <row r="489">
      <c r="A489" s="3" t="inlineStr">
        <is>
          <t>001096</t>
        </is>
      </c>
      <c r="B489" s="6">
        <f>COUNTIF('Entetes_TriNumInterne'!$C$2:$C$723,A489)</f>
        <v/>
      </c>
    </row>
    <row r="490">
      <c r="A490" s="3" t="inlineStr">
        <is>
          <t>001097</t>
        </is>
      </c>
      <c r="B490" s="6">
        <f>COUNTIF('Entetes_TriNumInterne'!$C$2:$C$723,A490)</f>
        <v/>
      </c>
    </row>
    <row r="491">
      <c r="A491" s="3" t="inlineStr">
        <is>
          <t>001098</t>
        </is>
      </c>
      <c r="B491" s="6">
        <f>COUNTIF('Entetes_TriNumInterne'!$C$2:$C$723,A491)</f>
        <v/>
      </c>
    </row>
    <row r="492">
      <c r="A492" s="3" t="inlineStr">
        <is>
          <t>001099</t>
        </is>
      </c>
      <c r="B492" s="6">
        <f>COUNTIF('Entetes_TriNumInterne'!$C$2:$C$723,A492)</f>
        <v/>
      </c>
    </row>
    <row r="493">
      <c r="A493" s="3" t="inlineStr">
        <is>
          <t>001100</t>
        </is>
      </c>
      <c r="B493" s="6">
        <f>COUNTIF('Entetes_TriNumInterne'!$C$2:$C$723,A493)</f>
        <v/>
      </c>
    </row>
    <row r="494">
      <c r="A494" s="3" t="inlineStr">
        <is>
          <t>001101</t>
        </is>
      </c>
      <c r="B494" s="6">
        <f>COUNTIF('Entetes_TriNumInterne'!$C$2:$C$723,A494)</f>
        <v/>
      </c>
    </row>
    <row r="495">
      <c r="A495" s="3" t="inlineStr">
        <is>
          <t>001102</t>
        </is>
      </c>
      <c r="B495" s="6">
        <f>COUNTIF('Entetes_TriNumInterne'!$C$2:$C$723,A495)</f>
        <v/>
      </c>
    </row>
    <row r="496">
      <c r="A496" s="3" t="inlineStr">
        <is>
          <t>001103</t>
        </is>
      </c>
      <c r="B496" s="6">
        <f>COUNTIF('Entetes_TriNumInterne'!$C$2:$C$723,A496)</f>
        <v/>
      </c>
    </row>
    <row r="497">
      <c r="A497" s="3" t="inlineStr">
        <is>
          <t>001104</t>
        </is>
      </c>
      <c r="B497" s="6">
        <f>COUNTIF('Entetes_TriNumInterne'!$C$2:$C$723,A497)</f>
        <v/>
      </c>
    </row>
    <row r="498">
      <c r="A498" s="3" t="inlineStr">
        <is>
          <t>001105</t>
        </is>
      </c>
      <c r="B498" s="6">
        <f>COUNTIF('Entetes_TriNumInterne'!$C$2:$C$723,A498)</f>
        <v/>
      </c>
    </row>
    <row r="499">
      <c r="A499" s="3" t="inlineStr">
        <is>
          <t>001106</t>
        </is>
      </c>
      <c r="B499" s="6">
        <f>COUNTIF('Entetes_TriNumInterne'!$C$2:$C$723,A499)</f>
        <v/>
      </c>
    </row>
    <row r="500">
      <c r="A500" s="3" t="inlineStr">
        <is>
          <t>001107</t>
        </is>
      </c>
      <c r="B500" s="6">
        <f>COUNTIF('Entetes_TriNumInterne'!$C$2:$C$723,A500)</f>
        <v/>
      </c>
    </row>
    <row r="501">
      <c r="A501" s="3" t="inlineStr">
        <is>
          <t>001108</t>
        </is>
      </c>
      <c r="B501" s="6">
        <f>COUNTIF('Entetes_TriNumInterne'!$C$2:$C$723,A501)</f>
        <v/>
      </c>
    </row>
    <row r="502">
      <c r="A502" s="3" t="inlineStr">
        <is>
          <t>001109</t>
        </is>
      </c>
      <c r="B502" s="6">
        <f>COUNTIF('Entetes_TriNumInterne'!$C$2:$C$723,A502)</f>
        <v/>
      </c>
    </row>
    <row r="503">
      <c r="A503" s="3" t="inlineStr">
        <is>
          <t>001110</t>
        </is>
      </c>
      <c r="B503" s="6">
        <f>COUNTIF('Entetes_TriNumInterne'!$C$2:$C$723,A503)</f>
        <v/>
      </c>
    </row>
    <row r="504">
      <c r="A504" s="3" t="inlineStr">
        <is>
          <t>001111</t>
        </is>
      </c>
      <c r="B504" s="6">
        <f>COUNTIF('Entetes_TriNumInterne'!$C$2:$C$723,A504)</f>
        <v/>
      </c>
    </row>
    <row r="505">
      <c r="A505" s="3" t="inlineStr">
        <is>
          <t>001112</t>
        </is>
      </c>
      <c r="B505" s="6">
        <f>COUNTIF('Entetes_TriNumInterne'!$C$2:$C$723,A505)</f>
        <v/>
      </c>
    </row>
    <row r="506">
      <c r="A506" s="3" t="inlineStr">
        <is>
          <t>001113</t>
        </is>
      </c>
      <c r="B506" s="6">
        <f>COUNTIF('Entetes_TriNumInterne'!$C$2:$C$723,A506)</f>
        <v/>
      </c>
    </row>
    <row r="507">
      <c r="A507" s="3" t="inlineStr">
        <is>
          <t>001114</t>
        </is>
      </c>
      <c r="B507" s="6">
        <f>COUNTIF('Entetes_TriNumInterne'!$C$2:$C$723,A507)</f>
        <v/>
      </c>
    </row>
    <row r="508">
      <c r="A508" s="3" t="inlineStr">
        <is>
          <t>001115</t>
        </is>
      </c>
      <c r="B508" s="6">
        <f>COUNTIF('Entetes_TriNumInterne'!$C$2:$C$723,A508)</f>
        <v/>
      </c>
    </row>
    <row r="509">
      <c r="A509" s="3" t="inlineStr">
        <is>
          <t>001116</t>
        </is>
      </c>
      <c r="B509" s="6">
        <f>COUNTIF('Entetes_TriNumInterne'!$C$2:$C$723,A509)</f>
        <v/>
      </c>
    </row>
    <row r="510">
      <c r="A510" s="3" t="inlineStr">
        <is>
          <t>001117</t>
        </is>
      </c>
      <c r="B510" s="6">
        <f>COUNTIF('Entetes_TriNumInterne'!$C$2:$C$723,A510)</f>
        <v/>
      </c>
    </row>
    <row r="511">
      <c r="A511" s="3" t="inlineStr">
        <is>
          <t>001118</t>
        </is>
      </c>
      <c r="B511" s="6">
        <f>COUNTIF('Entetes_TriNumInterne'!$C$2:$C$723,A511)</f>
        <v/>
      </c>
    </row>
    <row r="512">
      <c r="A512" s="3" t="inlineStr">
        <is>
          <t>001119</t>
        </is>
      </c>
      <c r="B512" s="6">
        <f>COUNTIF('Entetes_TriNumInterne'!$C$2:$C$723,A512)</f>
        <v/>
      </c>
    </row>
    <row r="513">
      <c r="A513" s="3" t="inlineStr">
        <is>
          <t>001120</t>
        </is>
      </c>
      <c r="B513" s="6">
        <f>COUNTIF('Entetes_TriNumInterne'!$C$2:$C$723,A513)</f>
        <v/>
      </c>
    </row>
    <row r="514">
      <c r="A514" s="3" t="inlineStr">
        <is>
          <t>001121</t>
        </is>
      </c>
      <c r="B514" s="6">
        <f>COUNTIF('Entetes_TriNumInterne'!$C$2:$C$723,A514)</f>
        <v/>
      </c>
    </row>
    <row r="515">
      <c r="A515" s="3" t="inlineStr">
        <is>
          <t>001122</t>
        </is>
      </c>
      <c r="B515" s="6">
        <f>COUNTIF('Entetes_TriNumInterne'!$C$2:$C$723,A515)</f>
        <v/>
      </c>
    </row>
    <row r="516">
      <c r="A516" s="3" t="inlineStr">
        <is>
          <t>001123</t>
        </is>
      </c>
      <c r="B516" s="6">
        <f>COUNTIF('Entetes_TriNumInterne'!$C$2:$C$723,A516)</f>
        <v/>
      </c>
    </row>
    <row r="517">
      <c r="A517" s="3" t="inlineStr">
        <is>
          <t>001124</t>
        </is>
      </c>
      <c r="B517" s="6">
        <f>COUNTIF('Entetes_TriNumInterne'!$C$2:$C$723,A517)</f>
        <v/>
      </c>
    </row>
    <row r="518">
      <c r="A518" s="3" t="inlineStr">
        <is>
          <t>001125</t>
        </is>
      </c>
      <c r="B518" s="6">
        <f>COUNTIF('Entetes_TriNumInterne'!$C$2:$C$723,A518)</f>
        <v/>
      </c>
    </row>
    <row r="519">
      <c r="A519" s="3" t="inlineStr">
        <is>
          <t>001126</t>
        </is>
      </c>
      <c r="B519" s="6">
        <f>COUNTIF('Entetes_TriNumInterne'!$C$2:$C$723,A519)</f>
        <v/>
      </c>
    </row>
    <row r="520">
      <c r="A520" s="3" t="inlineStr">
        <is>
          <t>001127</t>
        </is>
      </c>
      <c r="B520" s="6">
        <f>COUNTIF('Entetes_TriNumInterne'!$C$2:$C$723,A520)</f>
        <v/>
      </c>
    </row>
    <row r="521">
      <c r="A521" s="3" t="inlineStr">
        <is>
          <t>001128</t>
        </is>
      </c>
      <c r="B521" s="6">
        <f>COUNTIF('Entetes_TriNumInterne'!$C$2:$C$723,A521)</f>
        <v/>
      </c>
    </row>
    <row r="522">
      <c r="A522" s="3" t="inlineStr">
        <is>
          <t>001129</t>
        </is>
      </c>
      <c r="B522" s="6">
        <f>COUNTIF('Entetes_TriNumInterne'!$C$2:$C$723,A522)</f>
        <v/>
      </c>
    </row>
    <row r="523">
      <c r="A523" s="3" t="inlineStr">
        <is>
          <t>001130</t>
        </is>
      </c>
      <c r="B523" s="6">
        <f>COUNTIF('Entetes_TriNumInterne'!$C$2:$C$723,A523)</f>
        <v/>
      </c>
    </row>
    <row r="524">
      <c r="A524" s="3" t="inlineStr">
        <is>
          <t>001131</t>
        </is>
      </c>
      <c r="B524" s="6">
        <f>COUNTIF('Entetes_TriNumInterne'!$C$2:$C$723,A524)</f>
        <v/>
      </c>
    </row>
    <row r="525">
      <c r="A525" s="3" t="inlineStr">
        <is>
          <t>001132</t>
        </is>
      </c>
      <c r="B525" s="6">
        <f>COUNTIF('Entetes_TriNumInterne'!$C$2:$C$723,A525)</f>
        <v/>
      </c>
    </row>
    <row r="526">
      <c r="A526" s="3" t="inlineStr">
        <is>
          <t>001133</t>
        </is>
      </c>
      <c r="B526" s="6">
        <f>COUNTIF('Entetes_TriNumInterne'!$C$2:$C$723,A526)</f>
        <v/>
      </c>
    </row>
    <row r="527">
      <c r="A527" s="3" t="inlineStr">
        <is>
          <t>001134</t>
        </is>
      </c>
      <c r="B527" s="6">
        <f>COUNTIF('Entetes_TriNumInterne'!$C$2:$C$723,A527)</f>
        <v/>
      </c>
    </row>
    <row r="528">
      <c r="A528" s="3" t="inlineStr">
        <is>
          <t>001135</t>
        </is>
      </c>
      <c r="B528" s="6">
        <f>COUNTIF('Entetes_TriNumInterne'!$C$2:$C$723,A528)</f>
        <v/>
      </c>
    </row>
    <row r="529">
      <c r="A529" s="3" t="inlineStr">
        <is>
          <t>001136</t>
        </is>
      </c>
      <c r="B529" s="6">
        <f>COUNTIF('Entetes_TriNumInterne'!$C$2:$C$723,A529)</f>
        <v/>
      </c>
    </row>
    <row r="530">
      <c r="A530" s="3" t="inlineStr">
        <is>
          <t>001137</t>
        </is>
      </c>
      <c r="B530" s="6">
        <f>COUNTIF('Entetes_TriNumInterne'!$C$2:$C$723,A530)</f>
        <v/>
      </c>
    </row>
    <row r="531">
      <c r="A531" s="3" t="inlineStr">
        <is>
          <t>001138</t>
        </is>
      </c>
      <c r="B531" s="6">
        <f>COUNTIF('Entetes_TriNumInterne'!$C$2:$C$723,A531)</f>
        <v/>
      </c>
    </row>
    <row r="532">
      <c r="A532" s="3" t="inlineStr">
        <is>
          <t>001139</t>
        </is>
      </c>
      <c r="B532" s="6">
        <f>COUNTIF('Entetes_TriNumInterne'!$C$2:$C$723,A532)</f>
        <v/>
      </c>
    </row>
    <row r="533">
      <c r="A533" s="3" t="inlineStr">
        <is>
          <t>001140</t>
        </is>
      </c>
      <c r="B533" s="6">
        <f>COUNTIF('Entetes_TriNumInterne'!$C$2:$C$723,A533)</f>
        <v/>
      </c>
    </row>
    <row r="534">
      <c r="A534" s="3" t="inlineStr">
        <is>
          <t>001141</t>
        </is>
      </c>
      <c r="B534" s="6">
        <f>COUNTIF('Entetes_TriNumInterne'!$C$2:$C$723,A534)</f>
        <v/>
      </c>
    </row>
    <row r="535">
      <c r="A535" s="3" t="inlineStr">
        <is>
          <t>001142</t>
        </is>
      </c>
      <c r="B535" s="6">
        <f>COUNTIF('Entetes_TriNumInterne'!$C$2:$C$723,A535)</f>
        <v/>
      </c>
    </row>
    <row r="536">
      <c r="A536" s="3" t="inlineStr">
        <is>
          <t>001143</t>
        </is>
      </c>
      <c r="B536" s="6">
        <f>COUNTIF('Entetes_TriNumInterne'!$C$2:$C$723,A536)</f>
        <v/>
      </c>
    </row>
    <row r="537">
      <c r="A537" s="3" t="inlineStr">
        <is>
          <t>001144</t>
        </is>
      </c>
      <c r="B537" s="6">
        <f>COUNTIF('Entetes_TriNumInterne'!$C$2:$C$723,A537)</f>
        <v/>
      </c>
    </row>
    <row r="538">
      <c r="A538" s="3" t="inlineStr">
        <is>
          <t>001145</t>
        </is>
      </c>
      <c r="B538" s="6">
        <f>COUNTIF('Entetes_TriNumInterne'!$C$2:$C$723,A538)</f>
        <v/>
      </c>
    </row>
    <row r="539">
      <c r="A539" s="3" t="inlineStr">
        <is>
          <t>001146</t>
        </is>
      </c>
      <c r="B539" s="6">
        <f>COUNTIF('Entetes_TriNumInterne'!$C$2:$C$723,A539)</f>
        <v/>
      </c>
    </row>
    <row r="540">
      <c r="A540" s="3" t="inlineStr">
        <is>
          <t>001147</t>
        </is>
      </c>
      <c r="B540" s="6">
        <f>COUNTIF('Entetes_TriNumInterne'!$C$2:$C$723,A540)</f>
        <v/>
      </c>
    </row>
    <row r="541">
      <c r="A541" s="3" t="inlineStr">
        <is>
          <t>001148</t>
        </is>
      </c>
      <c r="B541" s="6">
        <f>COUNTIF('Entetes_TriNumInterne'!$C$2:$C$723,A541)</f>
        <v/>
      </c>
    </row>
    <row r="542">
      <c r="A542" s="3" t="inlineStr">
        <is>
          <t>001149</t>
        </is>
      </c>
      <c r="B542" s="6">
        <f>COUNTIF('Entetes_TriNumInterne'!$C$2:$C$723,A542)</f>
        <v/>
      </c>
    </row>
    <row r="543">
      <c r="A543" s="3" t="inlineStr">
        <is>
          <t>001150</t>
        </is>
      </c>
      <c r="B543" s="6">
        <f>COUNTIF('Entetes_TriNumInterne'!$C$2:$C$723,A543)</f>
        <v/>
      </c>
    </row>
    <row r="544">
      <c r="A544" s="3" t="inlineStr">
        <is>
          <t>001151</t>
        </is>
      </c>
      <c r="B544" s="6">
        <f>COUNTIF('Entetes_TriNumInterne'!$C$2:$C$723,A544)</f>
        <v/>
      </c>
    </row>
    <row r="545">
      <c r="A545" s="3" t="inlineStr">
        <is>
          <t>001152</t>
        </is>
      </c>
      <c r="B545" s="6">
        <f>COUNTIF('Entetes_TriNumInterne'!$C$2:$C$723,A545)</f>
        <v/>
      </c>
    </row>
    <row r="546">
      <c r="A546" s="3" t="inlineStr">
        <is>
          <t>001153</t>
        </is>
      </c>
      <c r="B546" s="6">
        <f>COUNTIF('Entetes_TriNumInterne'!$C$2:$C$723,A546)</f>
        <v/>
      </c>
    </row>
    <row r="547">
      <c r="A547" s="3" t="inlineStr">
        <is>
          <t>001154</t>
        </is>
      </c>
      <c r="B547" s="6">
        <f>COUNTIF('Entetes_TriNumInterne'!$C$2:$C$723,A547)</f>
        <v/>
      </c>
    </row>
    <row r="548">
      <c r="A548" s="3" t="inlineStr">
        <is>
          <t>001155</t>
        </is>
      </c>
      <c r="B548" s="6">
        <f>COUNTIF('Entetes_TriNumInterne'!$C$2:$C$723,A548)</f>
        <v/>
      </c>
    </row>
    <row r="549">
      <c r="A549" s="3" t="inlineStr">
        <is>
          <t>001156</t>
        </is>
      </c>
      <c r="B549" s="6">
        <f>COUNTIF('Entetes_TriNumInterne'!$C$2:$C$723,A549)</f>
        <v/>
      </c>
    </row>
    <row r="550">
      <c r="A550" s="3" t="inlineStr">
        <is>
          <t>001157</t>
        </is>
      </c>
      <c r="B550" s="6">
        <f>COUNTIF('Entetes_TriNumInterne'!$C$2:$C$723,A550)</f>
        <v/>
      </c>
    </row>
    <row r="551">
      <c r="A551" s="3" t="inlineStr">
        <is>
          <t>001158</t>
        </is>
      </c>
      <c r="B551" s="6">
        <f>COUNTIF('Entetes_TriNumInterne'!$C$2:$C$723,A551)</f>
        <v/>
      </c>
    </row>
    <row r="552">
      <c r="A552" s="3" t="inlineStr">
        <is>
          <t>001159</t>
        </is>
      </c>
      <c r="B552" s="6">
        <f>COUNTIF('Entetes_TriNumInterne'!$C$2:$C$723,A552)</f>
        <v/>
      </c>
    </row>
    <row r="553">
      <c r="A553" s="3" t="inlineStr">
        <is>
          <t>001160</t>
        </is>
      </c>
      <c r="B553" s="6">
        <f>COUNTIF('Entetes_TriNumInterne'!$C$2:$C$723,A553)</f>
        <v/>
      </c>
    </row>
    <row r="554">
      <c r="A554" s="3" t="inlineStr">
        <is>
          <t>001161</t>
        </is>
      </c>
      <c r="B554" s="6">
        <f>COUNTIF('Entetes_TriNumInterne'!$C$2:$C$723,A554)</f>
        <v/>
      </c>
    </row>
    <row r="555">
      <c r="A555" s="3" t="inlineStr">
        <is>
          <t>001162</t>
        </is>
      </c>
      <c r="B555" s="6">
        <f>COUNTIF('Entetes_TriNumInterne'!$C$2:$C$723,A555)</f>
        <v/>
      </c>
    </row>
    <row r="556">
      <c r="A556" s="3" t="inlineStr">
        <is>
          <t>001163</t>
        </is>
      </c>
      <c r="B556" s="6">
        <f>COUNTIF('Entetes_TriNumInterne'!$C$2:$C$723,A556)</f>
        <v/>
      </c>
    </row>
    <row r="557">
      <c r="A557" s="3" t="inlineStr">
        <is>
          <t>001164</t>
        </is>
      </c>
      <c r="B557" s="6">
        <f>COUNTIF('Entetes_TriNumInterne'!$C$2:$C$723,A557)</f>
        <v/>
      </c>
    </row>
    <row r="558">
      <c r="A558" s="3" t="inlineStr">
        <is>
          <t>001165</t>
        </is>
      </c>
      <c r="B558" s="6">
        <f>COUNTIF('Entetes_TriNumInterne'!$C$2:$C$723,A558)</f>
        <v/>
      </c>
    </row>
    <row r="559">
      <c r="A559" s="3" t="inlineStr">
        <is>
          <t>001166</t>
        </is>
      </c>
      <c r="B559" s="6">
        <f>COUNTIF('Entetes_TriNumInterne'!$C$2:$C$723,A559)</f>
        <v/>
      </c>
    </row>
    <row r="560">
      <c r="A560" s="3" t="inlineStr">
        <is>
          <t>001167</t>
        </is>
      </c>
      <c r="B560" s="6">
        <f>COUNTIF('Entetes_TriNumInterne'!$C$2:$C$723,A560)</f>
        <v/>
      </c>
    </row>
    <row r="561">
      <c r="A561" s="3" t="inlineStr">
        <is>
          <t>001168</t>
        </is>
      </c>
      <c r="B561" s="6">
        <f>COUNTIF('Entetes_TriNumInterne'!$C$2:$C$723,A561)</f>
        <v/>
      </c>
    </row>
    <row r="562">
      <c r="A562" s="3" t="inlineStr">
        <is>
          <t>001169</t>
        </is>
      </c>
      <c r="B562" s="6">
        <f>COUNTIF('Entetes_TriNumInterne'!$C$2:$C$723,A562)</f>
        <v/>
      </c>
    </row>
    <row r="563">
      <c r="A563" s="3" t="inlineStr">
        <is>
          <t>001170</t>
        </is>
      </c>
      <c r="B563" s="6">
        <f>COUNTIF('Entetes_TriNumInterne'!$C$2:$C$723,A563)</f>
        <v/>
      </c>
    </row>
    <row r="564">
      <c r="A564" s="3" t="inlineStr">
        <is>
          <t>001171</t>
        </is>
      </c>
      <c r="B564" s="6">
        <f>COUNTIF('Entetes_TriNumInterne'!$C$2:$C$723,A564)</f>
        <v/>
      </c>
    </row>
    <row r="565">
      <c r="A565" s="3" t="inlineStr">
        <is>
          <t>001172</t>
        </is>
      </c>
      <c r="B565" s="6">
        <f>COUNTIF('Entetes_TriNumInterne'!$C$2:$C$723,A565)</f>
        <v/>
      </c>
    </row>
    <row r="566">
      <c r="A566" s="3" t="inlineStr">
        <is>
          <t>001173</t>
        </is>
      </c>
      <c r="B566" s="6">
        <f>COUNTIF('Entetes_TriNumInterne'!$C$2:$C$723,A566)</f>
        <v/>
      </c>
    </row>
    <row r="567">
      <c r="A567" s="3" t="inlineStr">
        <is>
          <t>001174</t>
        </is>
      </c>
      <c r="B567" s="6">
        <f>COUNTIF('Entetes_TriNumInterne'!$C$2:$C$723,A567)</f>
        <v/>
      </c>
    </row>
    <row r="568">
      <c r="A568" s="3" t="inlineStr">
        <is>
          <t>001175</t>
        </is>
      </c>
      <c r="B568" s="6">
        <f>COUNTIF('Entetes_TriNumInterne'!$C$2:$C$723,A568)</f>
        <v/>
      </c>
    </row>
    <row r="569">
      <c r="A569" s="3" t="inlineStr">
        <is>
          <t>001176</t>
        </is>
      </c>
      <c r="B569" s="6">
        <f>COUNTIF('Entetes_TriNumInterne'!$C$2:$C$723,A569)</f>
        <v/>
      </c>
    </row>
    <row r="570">
      <c r="A570" s="3" t="inlineStr">
        <is>
          <t>001177</t>
        </is>
      </c>
      <c r="B570" s="6">
        <f>COUNTIF('Entetes_TriNumInterne'!$C$2:$C$723,A570)</f>
        <v/>
      </c>
    </row>
    <row r="571">
      <c r="A571" s="3" t="inlineStr">
        <is>
          <t>001178</t>
        </is>
      </c>
      <c r="B571" s="6">
        <f>COUNTIF('Entetes_TriNumInterne'!$C$2:$C$723,A571)</f>
        <v/>
      </c>
    </row>
    <row r="572">
      <c r="A572" s="3" t="inlineStr">
        <is>
          <t>001179</t>
        </is>
      </c>
      <c r="B572" s="6">
        <f>COUNTIF('Entetes_TriNumInterne'!$C$2:$C$723,A572)</f>
        <v/>
      </c>
    </row>
    <row r="573">
      <c r="A573" s="3" t="inlineStr">
        <is>
          <t>001180</t>
        </is>
      </c>
      <c r="B573" s="6">
        <f>COUNTIF('Entetes_TriNumInterne'!$C$2:$C$723,A573)</f>
        <v/>
      </c>
    </row>
    <row r="574">
      <c r="A574" s="3" t="inlineStr">
        <is>
          <t>001181</t>
        </is>
      </c>
      <c r="B574" s="6">
        <f>COUNTIF('Entetes_TriNumInterne'!$C$2:$C$723,A574)</f>
        <v/>
      </c>
    </row>
    <row r="575">
      <c r="A575" s="3" t="inlineStr">
        <is>
          <t>001182</t>
        </is>
      </c>
      <c r="B575" s="6">
        <f>COUNTIF('Entetes_TriNumInterne'!$C$2:$C$723,A575)</f>
        <v/>
      </c>
    </row>
    <row r="576">
      <c r="A576" s="3" t="inlineStr">
        <is>
          <t>001183</t>
        </is>
      </c>
      <c r="B576" s="6">
        <f>COUNTIF('Entetes_TriNumInterne'!$C$2:$C$723,A576)</f>
        <v/>
      </c>
    </row>
    <row r="577">
      <c r="A577" s="3" t="inlineStr">
        <is>
          <t>001184</t>
        </is>
      </c>
      <c r="B577" s="6">
        <f>COUNTIF('Entetes_TriNumInterne'!$C$2:$C$723,A577)</f>
        <v/>
      </c>
    </row>
    <row r="578">
      <c r="A578" s="3" t="inlineStr">
        <is>
          <t>001185</t>
        </is>
      </c>
      <c r="B578" s="6">
        <f>COUNTIF('Entetes_TriNumInterne'!$C$2:$C$723,A578)</f>
        <v/>
      </c>
    </row>
    <row r="579">
      <c r="A579" s="3" t="inlineStr">
        <is>
          <t>001186</t>
        </is>
      </c>
      <c r="B579" s="6">
        <f>COUNTIF('Entetes_TriNumInterne'!$C$2:$C$723,A579)</f>
        <v/>
      </c>
    </row>
    <row r="580">
      <c r="A580" s="3" t="inlineStr">
        <is>
          <t>001187</t>
        </is>
      </c>
      <c r="B580" s="6">
        <f>COUNTIF('Entetes_TriNumInterne'!$C$2:$C$723,A580)</f>
        <v/>
      </c>
    </row>
    <row r="581">
      <c r="A581" s="3" t="inlineStr">
        <is>
          <t>001188</t>
        </is>
      </c>
      <c r="B581" s="6">
        <f>COUNTIF('Entetes_TriNumInterne'!$C$2:$C$723,A581)</f>
        <v/>
      </c>
    </row>
    <row r="582">
      <c r="A582" s="3" t="inlineStr">
        <is>
          <t>001189</t>
        </is>
      </c>
      <c r="B582" s="6">
        <f>COUNTIF('Entetes_TriNumInterne'!$C$2:$C$723,A582)</f>
        <v/>
      </c>
    </row>
    <row r="583">
      <c r="A583" s="3" t="inlineStr">
        <is>
          <t>001190</t>
        </is>
      </c>
      <c r="B583" s="6">
        <f>COUNTIF('Entetes_TriNumInterne'!$C$2:$C$723,A583)</f>
        <v/>
      </c>
    </row>
    <row r="584">
      <c r="A584" s="3" t="inlineStr">
        <is>
          <t>001191</t>
        </is>
      </c>
      <c r="B584" s="6">
        <f>COUNTIF('Entetes_TriNumInterne'!$C$2:$C$723,A584)</f>
        <v/>
      </c>
    </row>
    <row r="585">
      <c r="A585" s="3" t="inlineStr">
        <is>
          <t>001192</t>
        </is>
      </c>
      <c r="B585" s="6">
        <f>COUNTIF('Entetes_TriNumInterne'!$C$2:$C$723,A585)</f>
        <v/>
      </c>
    </row>
    <row r="586">
      <c r="A586" s="3" t="inlineStr">
        <is>
          <t>001193</t>
        </is>
      </c>
      <c r="B586" s="6">
        <f>COUNTIF('Entetes_TriNumInterne'!$C$2:$C$723,A586)</f>
        <v/>
      </c>
    </row>
    <row r="587">
      <c r="A587" s="3" t="inlineStr">
        <is>
          <t>001194</t>
        </is>
      </c>
      <c r="B587" s="6">
        <f>COUNTIF('Entetes_TriNumInterne'!$C$2:$C$723,A587)</f>
        <v/>
      </c>
    </row>
    <row r="588">
      <c r="A588" s="3" t="inlineStr">
        <is>
          <t>001195</t>
        </is>
      </c>
      <c r="B588" s="6">
        <f>COUNTIF('Entetes_TriNumInterne'!$C$2:$C$723,A588)</f>
        <v/>
      </c>
    </row>
    <row r="589">
      <c r="A589" s="3" t="inlineStr">
        <is>
          <t>001196</t>
        </is>
      </c>
      <c r="B589" s="6">
        <f>COUNTIF('Entetes_TriNumInterne'!$C$2:$C$723,A589)</f>
        <v/>
      </c>
    </row>
    <row r="590">
      <c r="A590" s="3" t="inlineStr">
        <is>
          <t>001197</t>
        </is>
      </c>
      <c r="B590" s="6">
        <f>COUNTIF('Entetes_TriNumInterne'!$C$2:$C$723,A590)</f>
        <v/>
      </c>
    </row>
    <row r="591">
      <c r="A591" s="3" t="inlineStr">
        <is>
          <t>001198</t>
        </is>
      </c>
      <c r="B591" s="6">
        <f>COUNTIF('Entetes_TriNumInterne'!$C$2:$C$723,A591)</f>
        <v/>
      </c>
    </row>
    <row r="592">
      <c r="A592" s="3" t="inlineStr">
        <is>
          <t>001199</t>
        </is>
      </c>
      <c r="B592" s="6">
        <f>COUNTIF('Entetes_TriNumInterne'!$C$2:$C$723,A592)</f>
        <v/>
      </c>
    </row>
    <row r="593">
      <c r="A593" s="3" t="inlineStr">
        <is>
          <t>001200</t>
        </is>
      </c>
      <c r="B593" s="6">
        <f>COUNTIF('Entetes_TriNumInterne'!$C$2:$C$723,A593)</f>
        <v/>
      </c>
    </row>
    <row r="594">
      <c r="A594" s="3" t="inlineStr">
        <is>
          <t>001201</t>
        </is>
      </c>
      <c r="B594" s="6">
        <f>COUNTIF('Entetes_TriNumInterne'!$C$2:$C$723,A594)</f>
        <v/>
      </c>
    </row>
    <row r="595">
      <c r="A595" s="3" t="inlineStr">
        <is>
          <t>001202</t>
        </is>
      </c>
      <c r="B595" s="6">
        <f>COUNTIF('Entetes_TriNumInterne'!$C$2:$C$723,A595)</f>
        <v/>
      </c>
    </row>
    <row r="596">
      <c r="A596" s="3" t="inlineStr">
        <is>
          <t>001203</t>
        </is>
      </c>
      <c r="B596" s="6">
        <f>COUNTIF('Entetes_TriNumInterne'!$C$2:$C$723,A596)</f>
        <v/>
      </c>
    </row>
    <row r="597">
      <c r="A597" s="3" t="inlineStr">
        <is>
          <t>001204</t>
        </is>
      </c>
      <c r="B597" s="6">
        <f>COUNTIF('Entetes_TriNumInterne'!$C$2:$C$723,A597)</f>
        <v/>
      </c>
    </row>
    <row r="598">
      <c r="A598" s="3" t="inlineStr">
        <is>
          <t>001205</t>
        </is>
      </c>
      <c r="B598" s="6">
        <f>COUNTIF('Entetes_TriNumInterne'!$C$2:$C$723,A598)</f>
        <v/>
      </c>
    </row>
    <row r="599">
      <c r="A599" s="3" t="inlineStr">
        <is>
          <t>001206</t>
        </is>
      </c>
      <c r="B599" s="6">
        <f>COUNTIF('Entetes_TriNumInterne'!$C$2:$C$723,A599)</f>
        <v/>
      </c>
    </row>
    <row r="600">
      <c r="A600" s="3" t="inlineStr">
        <is>
          <t>001207</t>
        </is>
      </c>
      <c r="B600" s="6">
        <f>COUNTIF('Entetes_TriNumInterne'!$C$2:$C$723,A600)</f>
        <v/>
      </c>
    </row>
    <row r="601">
      <c r="A601" s="3" t="inlineStr">
        <is>
          <t>001208</t>
        </is>
      </c>
      <c r="B601" s="6">
        <f>COUNTIF('Entetes_TriNumInterne'!$C$2:$C$723,A601)</f>
        <v/>
      </c>
    </row>
    <row r="602">
      <c r="A602" s="3" t="inlineStr">
        <is>
          <t>001209</t>
        </is>
      </c>
      <c r="B602" s="6">
        <f>COUNTIF('Entetes_TriNumInterne'!$C$2:$C$723,A602)</f>
        <v/>
      </c>
    </row>
    <row r="603">
      <c r="A603" s="3" t="inlineStr">
        <is>
          <t>001210</t>
        </is>
      </c>
      <c r="B603" s="6">
        <f>COUNTIF('Entetes_TriNumInterne'!$C$2:$C$723,A603)</f>
        <v/>
      </c>
    </row>
    <row r="604">
      <c r="A604" s="3" t="inlineStr">
        <is>
          <t>001211</t>
        </is>
      </c>
      <c r="B604" s="6">
        <f>COUNTIF('Entetes_TriNumInterne'!$C$2:$C$723,A604)</f>
        <v/>
      </c>
    </row>
    <row r="605">
      <c r="A605" s="3" t="inlineStr">
        <is>
          <t>001212</t>
        </is>
      </c>
      <c r="B605" s="6">
        <f>COUNTIF('Entetes_TriNumInterne'!$C$2:$C$723,A605)</f>
        <v/>
      </c>
    </row>
    <row r="606">
      <c r="A606" s="3" t="inlineStr">
        <is>
          <t>001213</t>
        </is>
      </c>
      <c r="B606" s="6">
        <f>COUNTIF('Entetes_TriNumInterne'!$C$2:$C$723,A606)</f>
        <v/>
      </c>
    </row>
    <row r="607">
      <c r="A607" s="3" t="inlineStr">
        <is>
          <t>001214</t>
        </is>
      </c>
      <c r="B607" s="6">
        <f>COUNTIF('Entetes_TriNumInterne'!$C$2:$C$723,A607)</f>
        <v/>
      </c>
    </row>
    <row r="608">
      <c r="A608" s="3" t="inlineStr">
        <is>
          <t>001215</t>
        </is>
      </c>
      <c r="B608" s="6">
        <f>COUNTIF('Entetes_TriNumInterne'!$C$2:$C$723,A608)</f>
        <v/>
      </c>
    </row>
    <row r="609">
      <c r="A609" s="3" t="inlineStr">
        <is>
          <t>001216</t>
        </is>
      </c>
      <c r="B609" s="6">
        <f>COUNTIF('Entetes_TriNumInterne'!$C$2:$C$723,A609)</f>
        <v/>
      </c>
    </row>
    <row r="610">
      <c r="A610" s="3" t="inlineStr">
        <is>
          <t>001217</t>
        </is>
      </c>
      <c r="B610" s="6">
        <f>COUNTIF('Entetes_TriNumInterne'!$C$2:$C$723,A610)</f>
        <v/>
      </c>
    </row>
    <row r="611">
      <c r="A611" s="3" t="inlineStr">
        <is>
          <t>001218</t>
        </is>
      </c>
      <c r="B611" s="6">
        <f>COUNTIF('Entetes_TriNumInterne'!$C$2:$C$723,A611)</f>
        <v/>
      </c>
    </row>
    <row r="612">
      <c r="A612" s="3" t="inlineStr">
        <is>
          <t>001219</t>
        </is>
      </c>
      <c r="B612" s="6">
        <f>COUNTIF('Entetes_TriNumInterne'!$C$2:$C$723,A612)</f>
        <v/>
      </c>
    </row>
    <row r="613">
      <c r="A613" s="3" t="inlineStr">
        <is>
          <t>001220</t>
        </is>
      </c>
      <c r="B613" s="6">
        <f>COUNTIF('Entetes_TriNumInterne'!$C$2:$C$723,A613)</f>
        <v/>
      </c>
    </row>
    <row r="614">
      <c r="A614" s="3" t="inlineStr">
        <is>
          <t>001221</t>
        </is>
      </c>
      <c r="B614" s="6">
        <f>COUNTIF('Entetes_TriNumInterne'!$C$2:$C$723,A614)</f>
        <v/>
      </c>
    </row>
    <row r="615">
      <c r="A615" s="3" t="inlineStr">
        <is>
          <t>001222</t>
        </is>
      </c>
      <c r="B615" s="6">
        <f>COUNTIF('Entetes_TriNumInterne'!$C$2:$C$723,A615)</f>
        <v/>
      </c>
    </row>
    <row r="616">
      <c r="A616" s="3" t="inlineStr">
        <is>
          <t>001223</t>
        </is>
      </c>
      <c r="B616" s="6">
        <f>COUNTIF('Entetes_TriNumInterne'!$C$2:$C$723,A616)</f>
        <v/>
      </c>
    </row>
    <row r="617">
      <c r="A617" s="3" t="inlineStr">
        <is>
          <t>001224</t>
        </is>
      </c>
      <c r="B617" s="6">
        <f>COUNTIF('Entetes_TriNumInterne'!$C$2:$C$723,A617)</f>
        <v/>
      </c>
    </row>
    <row r="618">
      <c r="A618" s="3" t="inlineStr">
        <is>
          <t>001225</t>
        </is>
      </c>
      <c r="B618" s="6">
        <f>COUNTIF('Entetes_TriNumInterne'!$C$2:$C$723,A618)</f>
        <v/>
      </c>
    </row>
    <row r="619">
      <c r="A619" s="3" t="inlineStr">
        <is>
          <t>001226</t>
        </is>
      </c>
      <c r="B619" s="6">
        <f>COUNTIF('Entetes_TriNumInterne'!$C$2:$C$723,A619)</f>
        <v/>
      </c>
    </row>
    <row r="620">
      <c r="A620" s="3" t="inlineStr">
        <is>
          <t>001227</t>
        </is>
      </c>
      <c r="B620" s="6">
        <f>COUNTIF('Entetes_TriNumInterne'!$C$2:$C$723,A620)</f>
        <v/>
      </c>
    </row>
    <row r="621">
      <c r="A621" s="3" t="inlineStr">
        <is>
          <t>001228</t>
        </is>
      </c>
      <c r="B621" s="6">
        <f>COUNTIF('Entetes_TriNumInterne'!$C$2:$C$723,A621)</f>
        <v/>
      </c>
    </row>
    <row r="622">
      <c r="A622" s="3" t="inlineStr">
        <is>
          <t>001229</t>
        </is>
      </c>
      <c r="B622" s="6">
        <f>COUNTIF('Entetes_TriNumInterne'!$C$2:$C$723,A622)</f>
        <v/>
      </c>
    </row>
    <row r="623">
      <c r="A623" s="3" t="inlineStr">
        <is>
          <t>001230</t>
        </is>
      </c>
      <c r="B623" s="6">
        <f>COUNTIF('Entetes_TriNumInterne'!$C$2:$C$723,A623)</f>
        <v/>
      </c>
    </row>
    <row r="624">
      <c r="A624" s="3" t="inlineStr">
        <is>
          <t>001231</t>
        </is>
      </c>
      <c r="B624" s="6">
        <f>COUNTIF('Entetes_TriNumInterne'!$C$2:$C$723,A624)</f>
        <v/>
      </c>
    </row>
    <row r="625">
      <c r="A625" s="3" t="inlineStr">
        <is>
          <t>001232</t>
        </is>
      </c>
      <c r="B625" s="6">
        <f>COUNTIF('Entetes_TriNumInterne'!$C$2:$C$723,A625)</f>
        <v/>
      </c>
    </row>
    <row r="626">
      <c r="A626" s="3" t="inlineStr">
        <is>
          <t>001233</t>
        </is>
      </c>
      <c r="B626" s="6">
        <f>COUNTIF('Entetes_TriNumInterne'!$C$2:$C$723,A626)</f>
        <v/>
      </c>
    </row>
    <row r="627">
      <c r="A627" s="3" t="inlineStr">
        <is>
          <t>001234</t>
        </is>
      </c>
      <c r="B627" s="6">
        <f>COUNTIF('Entetes_TriNumInterne'!$C$2:$C$723,A627)</f>
        <v/>
      </c>
    </row>
    <row r="628">
      <c r="A628" s="3" t="inlineStr">
        <is>
          <t>001235</t>
        </is>
      </c>
      <c r="B628" s="6">
        <f>COUNTIF('Entetes_TriNumInterne'!$C$2:$C$723,A628)</f>
        <v/>
      </c>
    </row>
    <row r="629">
      <c r="A629" s="3" t="inlineStr">
        <is>
          <t>001236</t>
        </is>
      </c>
      <c r="B629" s="6">
        <f>COUNTIF('Entetes_TriNumInterne'!$C$2:$C$723,A629)</f>
        <v/>
      </c>
    </row>
    <row r="630">
      <c r="A630" s="3" t="inlineStr">
        <is>
          <t>001237</t>
        </is>
      </c>
      <c r="B630" s="6">
        <f>COUNTIF('Entetes_TriNumInterne'!$C$2:$C$723,A630)</f>
        <v/>
      </c>
    </row>
    <row r="631">
      <c r="A631" s="3" t="inlineStr">
        <is>
          <t>001238</t>
        </is>
      </c>
      <c r="B631" s="6">
        <f>COUNTIF('Entetes_TriNumInterne'!$C$2:$C$723,A631)</f>
        <v/>
      </c>
    </row>
    <row r="632">
      <c r="A632" s="3" t="inlineStr">
        <is>
          <t>001239</t>
        </is>
      </c>
      <c r="B632" s="6">
        <f>COUNTIF('Entetes_TriNumInterne'!$C$2:$C$723,A632)</f>
        <v/>
      </c>
    </row>
    <row r="633">
      <c r="A633" s="3" t="inlineStr">
        <is>
          <t>001240</t>
        </is>
      </c>
      <c r="B633" s="6">
        <f>COUNTIF('Entetes_TriNumInterne'!$C$2:$C$723,A633)</f>
        <v/>
      </c>
    </row>
    <row r="634">
      <c r="A634" s="3" t="inlineStr">
        <is>
          <t>001241</t>
        </is>
      </c>
      <c r="B634" s="6">
        <f>COUNTIF('Entetes_TriNumInterne'!$C$2:$C$723,A634)</f>
        <v/>
      </c>
    </row>
    <row r="635">
      <c r="A635" s="3" t="inlineStr">
        <is>
          <t>001242</t>
        </is>
      </c>
      <c r="B635" s="6">
        <f>COUNTIF('Entetes_TriNumInterne'!$C$2:$C$723,A635)</f>
        <v/>
      </c>
    </row>
    <row r="636">
      <c r="A636" s="3" t="inlineStr">
        <is>
          <t>001243</t>
        </is>
      </c>
      <c r="B636" s="6">
        <f>COUNTIF('Entetes_TriNumInterne'!$C$2:$C$723,A636)</f>
        <v/>
      </c>
    </row>
    <row r="637">
      <c r="A637" s="3" t="inlineStr">
        <is>
          <t>001244</t>
        </is>
      </c>
      <c r="B637" s="6">
        <f>COUNTIF('Entetes_TriNumInterne'!$C$2:$C$723,A637)</f>
        <v/>
      </c>
    </row>
    <row r="638">
      <c r="A638" s="3" t="inlineStr">
        <is>
          <t>001245</t>
        </is>
      </c>
      <c r="B638" s="6">
        <f>COUNTIF('Entetes_TriNumInterne'!$C$2:$C$723,A638)</f>
        <v/>
      </c>
    </row>
    <row r="639">
      <c r="A639" s="3" t="inlineStr">
        <is>
          <t>001246</t>
        </is>
      </c>
      <c r="B639" s="6">
        <f>COUNTIF('Entetes_TriNumInterne'!$C$2:$C$723,A639)</f>
        <v/>
      </c>
    </row>
    <row r="640">
      <c r="A640" s="3" t="inlineStr">
        <is>
          <t>001247</t>
        </is>
      </c>
      <c r="B640" s="6">
        <f>COUNTIF('Entetes_TriNumInterne'!$C$2:$C$723,A640)</f>
        <v/>
      </c>
    </row>
    <row r="641">
      <c r="A641" s="3" t="inlineStr">
        <is>
          <t>001248</t>
        </is>
      </c>
      <c r="B641" s="6">
        <f>COUNTIF('Entetes_TriNumInterne'!$C$2:$C$723,A641)</f>
        <v/>
      </c>
    </row>
    <row r="642">
      <c r="A642" s="3" t="inlineStr">
        <is>
          <t>001249</t>
        </is>
      </c>
      <c r="B642" s="6">
        <f>COUNTIF('Entetes_TriNumInterne'!$C$2:$C$723,A642)</f>
        <v/>
      </c>
    </row>
    <row r="643">
      <c r="A643" s="3" t="inlineStr">
        <is>
          <t>001250</t>
        </is>
      </c>
      <c r="B643" s="6">
        <f>COUNTIF('Entetes_TriNumInterne'!$C$2:$C$723,A643)</f>
        <v/>
      </c>
    </row>
    <row r="644">
      <c r="A644" s="3" t="inlineStr">
        <is>
          <t>001251</t>
        </is>
      </c>
      <c r="B644" s="6">
        <f>COUNTIF('Entetes_TriNumInterne'!$C$2:$C$723,A644)</f>
        <v/>
      </c>
    </row>
    <row r="645">
      <c r="A645" s="3" t="inlineStr">
        <is>
          <t>001252</t>
        </is>
      </c>
      <c r="B645" s="6">
        <f>COUNTIF('Entetes_TriNumInterne'!$C$2:$C$723,A645)</f>
        <v/>
      </c>
    </row>
    <row r="646">
      <c r="A646" s="3" t="inlineStr">
        <is>
          <t>001253</t>
        </is>
      </c>
      <c r="B646" s="6">
        <f>COUNTIF('Entetes_TriNumInterne'!$C$2:$C$723,A646)</f>
        <v/>
      </c>
    </row>
    <row r="647">
      <c r="A647" s="3" t="inlineStr">
        <is>
          <t>001254</t>
        </is>
      </c>
      <c r="B647" s="6">
        <f>COUNTIF('Entetes_TriNumInterne'!$C$2:$C$723,A647)</f>
        <v/>
      </c>
    </row>
    <row r="648">
      <c r="A648" s="3" t="inlineStr">
        <is>
          <t>001255</t>
        </is>
      </c>
      <c r="B648" s="6">
        <f>COUNTIF('Entetes_TriNumInterne'!$C$2:$C$723,A648)</f>
        <v/>
      </c>
    </row>
    <row r="649">
      <c r="A649" s="3" t="inlineStr">
        <is>
          <t>001256</t>
        </is>
      </c>
      <c r="B649" s="6">
        <f>COUNTIF('Entetes_TriNumInterne'!$C$2:$C$723,A649)</f>
        <v/>
      </c>
    </row>
    <row r="650">
      <c r="A650" s="3" t="inlineStr">
        <is>
          <t>001257</t>
        </is>
      </c>
      <c r="B650" s="6">
        <f>COUNTIF('Entetes_TriNumInterne'!$C$2:$C$723,A650)</f>
        <v/>
      </c>
    </row>
    <row r="651">
      <c r="A651" s="3" t="inlineStr">
        <is>
          <t>001258</t>
        </is>
      </c>
      <c r="B651" s="6">
        <f>COUNTIF('Entetes_TriNumInterne'!$C$2:$C$723,A651)</f>
        <v/>
      </c>
    </row>
    <row r="652">
      <c r="A652" s="3" t="inlineStr">
        <is>
          <t>001259</t>
        </is>
      </c>
      <c r="B652" s="6">
        <f>COUNTIF('Entetes_TriNumInterne'!$C$2:$C$723,A652)</f>
        <v/>
      </c>
    </row>
    <row r="653">
      <c r="A653" s="3" t="inlineStr">
        <is>
          <t>001260</t>
        </is>
      </c>
      <c r="B653" s="6">
        <f>COUNTIF('Entetes_TriNumInterne'!$C$2:$C$723,A653)</f>
        <v/>
      </c>
    </row>
    <row r="654">
      <c r="A654" s="3" t="inlineStr">
        <is>
          <t>001261</t>
        </is>
      </c>
      <c r="B654" s="6">
        <f>COUNTIF('Entetes_TriNumInterne'!$C$2:$C$723,A654)</f>
        <v/>
      </c>
    </row>
    <row r="655">
      <c r="A655" s="3" t="inlineStr">
        <is>
          <t>001262</t>
        </is>
      </c>
      <c r="B655" s="6">
        <f>COUNTIF('Entetes_TriNumInterne'!$C$2:$C$723,A655)</f>
        <v/>
      </c>
    </row>
    <row r="656">
      <c r="A656" s="3" t="inlineStr">
        <is>
          <t>001263</t>
        </is>
      </c>
      <c r="B656" s="6">
        <f>COUNTIF('Entetes_TriNumInterne'!$C$2:$C$723,A656)</f>
        <v/>
      </c>
    </row>
    <row r="657">
      <c r="A657" s="3" t="inlineStr">
        <is>
          <t>001264</t>
        </is>
      </c>
      <c r="B657" s="6">
        <f>COUNTIF('Entetes_TriNumInterne'!$C$2:$C$723,A657)</f>
        <v/>
      </c>
    </row>
    <row r="658">
      <c r="A658" s="3" t="inlineStr">
        <is>
          <t>001265</t>
        </is>
      </c>
      <c r="B658" s="6">
        <f>COUNTIF('Entetes_TriNumInterne'!$C$2:$C$723,A658)</f>
        <v/>
      </c>
    </row>
    <row r="659">
      <c r="A659" s="3" t="inlineStr">
        <is>
          <t>001266</t>
        </is>
      </c>
      <c r="B659" s="6">
        <f>COUNTIF('Entetes_TriNumInterne'!$C$2:$C$723,A659)</f>
        <v/>
      </c>
    </row>
    <row r="660">
      <c r="A660" s="3" t="inlineStr">
        <is>
          <t>001267</t>
        </is>
      </c>
      <c r="B660" s="6">
        <f>COUNTIF('Entetes_TriNumInterne'!$C$2:$C$723,A660)</f>
        <v/>
      </c>
    </row>
    <row r="661">
      <c r="A661" s="3" t="inlineStr">
        <is>
          <t>001268</t>
        </is>
      </c>
      <c r="B661" s="6">
        <f>COUNTIF('Entetes_TriNumInterne'!$C$2:$C$723,A661)</f>
        <v/>
      </c>
    </row>
    <row r="662">
      <c r="A662" s="3" t="inlineStr">
        <is>
          <t>001269</t>
        </is>
      </c>
      <c r="B662" s="6">
        <f>COUNTIF('Entetes_TriNumInterne'!$C$2:$C$723,A662)</f>
        <v/>
      </c>
    </row>
    <row r="663">
      <c r="A663" s="3" t="inlineStr">
        <is>
          <t>001270</t>
        </is>
      </c>
      <c r="B663" s="6">
        <f>COUNTIF('Entetes_TriNumInterne'!$C$2:$C$723,A663)</f>
        <v/>
      </c>
    </row>
    <row r="664">
      <c r="A664" s="3" t="inlineStr">
        <is>
          <t>001271</t>
        </is>
      </c>
      <c r="B664" s="6">
        <f>COUNTIF('Entetes_TriNumInterne'!$C$2:$C$723,A664)</f>
        <v/>
      </c>
    </row>
    <row r="665">
      <c r="A665" s="3" t="inlineStr">
        <is>
          <t>001272</t>
        </is>
      </c>
      <c r="B665" s="6">
        <f>COUNTIF('Entetes_TriNumInterne'!$C$2:$C$723,A665)</f>
        <v/>
      </c>
    </row>
    <row r="666">
      <c r="A666" s="3" t="inlineStr">
        <is>
          <t>001273</t>
        </is>
      </c>
      <c r="B666" s="6">
        <f>COUNTIF('Entetes_TriNumInterne'!$C$2:$C$723,A666)</f>
        <v/>
      </c>
    </row>
    <row r="667">
      <c r="A667" s="3" t="inlineStr">
        <is>
          <t>001274</t>
        </is>
      </c>
      <c r="B667" s="6">
        <f>COUNTIF('Entetes_TriNumInterne'!$C$2:$C$723,A667)</f>
        <v/>
      </c>
    </row>
    <row r="668">
      <c r="A668" s="3" t="inlineStr">
        <is>
          <t>001275</t>
        </is>
      </c>
      <c r="B668" s="6">
        <f>COUNTIF('Entetes_TriNumInterne'!$C$2:$C$723,A668)</f>
        <v/>
      </c>
    </row>
    <row r="669">
      <c r="A669" s="3" t="inlineStr">
        <is>
          <t>001276</t>
        </is>
      </c>
      <c r="B669" s="6">
        <f>COUNTIF('Entetes_TriNumInterne'!$C$2:$C$723,A669)</f>
        <v/>
      </c>
    </row>
    <row r="670">
      <c r="A670" s="3" t="inlineStr">
        <is>
          <t>001277</t>
        </is>
      </c>
      <c r="B670" s="6">
        <f>COUNTIF('Entetes_TriNumInterne'!$C$2:$C$723,A670)</f>
        <v/>
      </c>
    </row>
    <row r="671">
      <c r="A671" s="3" t="inlineStr">
        <is>
          <t>001278</t>
        </is>
      </c>
      <c r="B671" s="6">
        <f>COUNTIF('Entetes_TriNumInterne'!$C$2:$C$723,A671)</f>
        <v/>
      </c>
    </row>
    <row r="672">
      <c r="A672" s="3" t="inlineStr">
        <is>
          <t>001279</t>
        </is>
      </c>
      <c r="B672" s="6">
        <f>COUNTIF('Entetes_TriNumInterne'!$C$2:$C$723,A672)</f>
        <v/>
      </c>
    </row>
    <row r="673">
      <c r="A673" s="3" t="inlineStr">
        <is>
          <t>001280</t>
        </is>
      </c>
      <c r="B673" s="6">
        <f>COUNTIF('Entetes_TriNumInterne'!$C$2:$C$723,A673)</f>
        <v/>
      </c>
    </row>
    <row r="674">
      <c r="A674" s="3" t="inlineStr">
        <is>
          <t>001281</t>
        </is>
      </c>
      <c r="B674" s="6">
        <f>COUNTIF('Entetes_TriNumInterne'!$C$2:$C$723,A674)</f>
        <v/>
      </c>
    </row>
    <row r="675">
      <c r="A675" s="3" t="inlineStr">
        <is>
          <t>001282</t>
        </is>
      </c>
      <c r="B675" s="6">
        <f>COUNTIF('Entetes_TriNumInterne'!$C$2:$C$723,A675)</f>
        <v/>
      </c>
    </row>
    <row r="676">
      <c r="A676" s="3" t="inlineStr">
        <is>
          <t>001283</t>
        </is>
      </c>
      <c r="B676" s="6">
        <f>COUNTIF('Entetes_TriNumInterne'!$C$2:$C$723,A676)</f>
        <v/>
      </c>
    </row>
    <row r="677">
      <c r="A677" s="3" t="inlineStr">
        <is>
          <t>001284</t>
        </is>
      </c>
      <c r="B677" s="6">
        <f>COUNTIF('Entetes_TriNumInterne'!$C$2:$C$723,A677)</f>
        <v/>
      </c>
    </row>
    <row r="678">
      <c r="A678" s="3" t="inlineStr">
        <is>
          <t>001285</t>
        </is>
      </c>
      <c r="B678" s="6">
        <f>COUNTIF('Entetes_TriNumInterne'!$C$2:$C$723,A678)</f>
        <v/>
      </c>
    </row>
    <row r="679">
      <c r="A679" s="3" t="inlineStr">
        <is>
          <t>001286</t>
        </is>
      </c>
      <c r="B679" s="6">
        <f>COUNTIF('Entetes_TriNumInterne'!$C$2:$C$723,A679)</f>
        <v/>
      </c>
    </row>
    <row r="680">
      <c r="A680" s="3" t="inlineStr">
        <is>
          <t>001287</t>
        </is>
      </c>
      <c r="B680" s="6">
        <f>COUNTIF('Entetes_TriNumInterne'!$C$2:$C$723,A680)</f>
        <v/>
      </c>
    </row>
    <row r="681">
      <c r="A681" s="3" t="inlineStr">
        <is>
          <t>001288</t>
        </is>
      </c>
      <c r="B681" s="6">
        <f>COUNTIF('Entetes_TriNumInterne'!$C$2:$C$723,A681)</f>
        <v/>
      </c>
    </row>
    <row r="682">
      <c r="A682" s="3" t="inlineStr">
        <is>
          <t>001289</t>
        </is>
      </c>
      <c r="B682" s="6">
        <f>COUNTIF('Entetes_TriNumInterne'!$C$2:$C$723,A682)</f>
        <v/>
      </c>
    </row>
    <row r="683">
      <c r="A683" s="3" t="inlineStr">
        <is>
          <t>001290</t>
        </is>
      </c>
      <c r="B683" s="6">
        <f>COUNTIF('Entetes_TriNumInterne'!$C$2:$C$723,A683)</f>
        <v/>
      </c>
    </row>
    <row r="684">
      <c r="A684" s="3" t="inlineStr">
        <is>
          <t>001291</t>
        </is>
      </c>
      <c r="B684" s="6">
        <f>COUNTIF('Entetes_TriNumInterne'!$C$2:$C$723,A684)</f>
        <v/>
      </c>
    </row>
    <row r="685">
      <c r="A685" s="3" t="inlineStr">
        <is>
          <t>001292</t>
        </is>
      </c>
      <c r="B685" s="6">
        <f>COUNTIF('Entetes_TriNumInterne'!$C$2:$C$723,A685)</f>
        <v/>
      </c>
    </row>
    <row r="686">
      <c r="A686" s="3" t="inlineStr">
        <is>
          <t>001293</t>
        </is>
      </c>
      <c r="B686" s="6">
        <f>COUNTIF('Entetes_TriNumInterne'!$C$2:$C$723,A686)</f>
        <v/>
      </c>
    </row>
    <row r="687">
      <c r="A687" s="3" t="inlineStr">
        <is>
          <t>001294</t>
        </is>
      </c>
      <c r="B687" s="6">
        <f>COUNTIF('Entetes_TriNumInterne'!$C$2:$C$723,A687)</f>
        <v/>
      </c>
    </row>
    <row r="688">
      <c r="A688" s="3" t="inlineStr">
        <is>
          <t>001295</t>
        </is>
      </c>
      <c r="B688" s="6">
        <f>COUNTIF('Entetes_TriNumInterne'!$C$2:$C$723,A688)</f>
        <v/>
      </c>
    </row>
    <row r="689">
      <c r="A689" s="3" t="inlineStr">
        <is>
          <t>001296</t>
        </is>
      </c>
      <c r="B689" s="6">
        <f>COUNTIF('Entetes_TriNumInterne'!$C$2:$C$723,A689)</f>
        <v/>
      </c>
    </row>
    <row r="690">
      <c r="A690" s="3" t="inlineStr">
        <is>
          <t>001297</t>
        </is>
      </c>
      <c r="B690" s="6">
        <f>COUNTIF('Entetes_TriNumInterne'!$C$2:$C$723,A690)</f>
        <v/>
      </c>
    </row>
    <row r="691">
      <c r="A691" s="3" t="inlineStr">
        <is>
          <t>001298</t>
        </is>
      </c>
      <c r="B691" s="6">
        <f>COUNTIF('Entetes_TriNumInterne'!$C$2:$C$723,A691)</f>
        <v/>
      </c>
    </row>
    <row r="692">
      <c r="A692" s="3" t="inlineStr">
        <is>
          <t>001299</t>
        </is>
      </c>
      <c r="B692" s="6">
        <f>COUNTIF('Entetes_TriNumInterne'!$C$2:$C$723,A692)</f>
        <v/>
      </c>
    </row>
    <row r="693">
      <c r="A693" s="3" t="inlineStr">
        <is>
          <t>001300</t>
        </is>
      </c>
      <c r="B693" s="6">
        <f>COUNTIF('Entetes_TriNumInterne'!$C$2:$C$723,A693)</f>
        <v/>
      </c>
    </row>
    <row r="694">
      <c r="A694" s="3" t="inlineStr">
        <is>
          <t>001301</t>
        </is>
      </c>
      <c r="B694" s="6">
        <f>COUNTIF('Entetes_TriNumInterne'!$C$2:$C$723,A694)</f>
        <v/>
      </c>
    </row>
    <row r="695">
      <c r="A695" s="3" t="inlineStr">
        <is>
          <t>001302</t>
        </is>
      </c>
      <c r="B695" s="6">
        <f>COUNTIF('Entetes_TriNumInterne'!$C$2:$C$723,A695)</f>
        <v/>
      </c>
    </row>
    <row r="696">
      <c r="A696" s="3" t="inlineStr">
        <is>
          <t>001303</t>
        </is>
      </c>
      <c r="B696" s="6">
        <f>COUNTIF('Entetes_TriNumInterne'!$C$2:$C$723,A696)</f>
        <v/>
      </c>
    </row>
    <row r="697">
      <c r="A697" s="3" t="inlineStr">
        <is>
          <t>001304</t>
        </is>
      </c>
      <c r="B697" s="6">
        <f>COUNTIF('Entetes_TriNumInterne'!$C$2:$C$723,A697)</f>
        <v/>
      </c>
    </row>
    <row r="698">
      <c r="A698" s="3" t="inlineStr">
        <is>
          <t>001305</t>
        </is>
      </c>
      <c r="B698" s="6">
        <f>COUNTIF('Entetes_TriNumInterne'!$C$2:$C$723,A698)</f>
        <v/>
      </c>
    </row>
    <row r="699">
      <c r="A699" s="3" t="inlineStr">
        <is>
          <t>001306</t>
        </is>
      </c>
      <c r="B699" s="6">
        <f>COUNTIF('Entetes_TriNumInterne'!$C$2:$C$723,A699)</f>
        <v/>
      </c>
    </row>
    <row r="700">
      <c r="A700" s="3" t="inlineStr">
        <is>
          <t>001307</t>
        </is>
      </c>
      <c r="B700" s="6">
        <f>COUNTIF('Entetes_TriNumInterne'!$C$2:$C$723,A700)</f>
        <v/>
      </c>
    </row>
    <row r="701">
      <c r="A701" s="3" t="inlineStr">
        <is>
          <t>001308</t>
        </is>
      </c>
      <c r="B701" s="6">
        <f>COUNTIF('Entetes_TriNumInterne'!$C$2:$C$723,A701)</f>
        <v/>
      </c>
    </row>
    <row r="702">
      <c r="A702" s="3" t="inlineStr">
        <is>
          <t>001309</t>
        </is>
      </c>
      <c r="B702" s="6">
        <f>COUNTIF('Entetes_TriNumInterne'!$C$2:$C$723,A702)</f>
        <v/>
      </c>
    </row>
    <row r="703">
      <c r="A703" s="3" t="inlineStr">
        <is>
          <t>001310</t>
        </is>
      </c>
      <c r="B703" s="6">
        <f>COUNTIF('Entetes_TriNumInterne'!$C$2:$C$723,A703)</f>
        <v/>
      </c>
    </row>
    <row r="704">
      <c r="A704" s="3" t="inlineStr">
        <is>
          <t>001311</t>
        </is>
      </c>
      <c r="B704" s="6">
        <f>COUNTIF('Entetes_TriNumInterne'!$C$2:$C$723,A704)</f>
        <v/>
      </c>
    </row>
    <row r="705">
      <c r="A705" s="3" t="inlineStr">
        <is>
          <t>001312</t>
        </is>
      </c>
      <c r="B705" s="6">
        <f>COUNTIF('Entetes_TriNumInterne'!$C$2:$C$723,A705)</f>
        <v/>
      </c>
    </row>
    <row r="706">
      <c r="A706" s="3" t="inlineStr">
        <is>
          <t>001313</t>
        </is>
      </c>
      <c r="B706" s="6">
        <f>COUNTIF('Entetes_TriNumInterne'!$C$2:$C$723,A706)</f>
        <v/>
      </c>
    </row>
    <row r="707">
      <c r="A707" s="3" t="inlineStr">
        <is>
          <t>001314</t>
        </is>
      </c>
      <c r="B707" s="6">
        <f>COUNTIF('Entetes_TriNumInterne'!$C$2:$C$723,A707)</f>
        <v/>
      </c>
    </row>
    <row r="708">
      <c r="A708" s="3" t="inlineStr">
        <is>
          <t>001315</t>
        </is>
      </c>
      <c r="B708" s="6">
        <f>COUNTIF('Entetes_TriNumInterne'!$C$2:$C$723,A708)</f>
        <v/>
      </c>
    </row>
    <row r="709">
      <c r="A709" s="3" t="inlineStr">
        <is>
          <t>001316</t>
        </is>
      </c>
      <c r="B709" s="6">
        <f>COUNTIF('Entetes_TriNumInterne'!$C$2:$C$723,A709)</f>
        <v/>
      </c>
    </row>
    <row r="710">
      <c r="A710" s="3" t="inlineStr">
        <is>
          <t>001317</t>
        </is>
      </c>
      <c r="B710" s="6">
        <f>COUNTIF('Entetes_TriNumInterne'!$C$2:$C$723,A710)</f>
        <v/>
      </c>
    </row>
    <row r="711">
      <c r="A711" s="3" t="inlineStr">
        <is>
          <t>001318</t>
        </is>
      </c>
      <c r="B711" s="6">
        <f>COUNTIF('Entetes_TriNumInterne'!$C$2:$C$723,A711)</f>
        <v/>
      </c>
    </row>
    <row r="712">
      <c r="A712" s="3" t="inlineStr">
        <is>
          <t>001319</t>
        </is>
      </c>
      <c r="B712" s="6">
        <f>COUNTIF('Entetes_TriNumInterne'!$C$2:$C$723,A712)</f>
        <v/>
      </c>
    </row>
    <row r="713">
      <c r="A713" s="3" t="inlineStr">
        <is>
          <t>001320</t>
        </is>
      </c>
      <c r="B713" s="6">
        <f>COUNTIF('Entetes_TriNumInterne'!$C$2:$C$723,A713)</f>
        <v/>
      </c>
    </row>
    <row r="714">
      <c r="A714" s="3" t="inlineStr">
        <is>
          <t>001321</t>
        </is>
      </c>
      <c r="B714" s="6">
        <f>COUNTIF('Entetes_TriNumInterne'!$C$2:$C$723,A714)</f>
        <v/>
      </c>
    </row>
    <row r="715">
      <c r="A715" s="3" t="inlineStr">
        <is>
          <t>001322</t>
        </is>
      </c>
      <c r="B715" s="6">
        <f>COUNTIF('Entetes_TriNumInterne'!$C$2:$C$723,A715)</f>
        <v/>
      </c>
    </row>
    <row r="716">
      <c r="A716" s="3" t="inlineStr">
        <is>
          <t>001323</t>
        </is>
      </c>
      <c r="B716" s="6">
        <f>COUNTIF('Entetes_TriNumInterne'!$C$2:$C$723,A716)</f>
        <v/>
      </c>
    </row>
    <row r="717">
      <c r="A717" s="3" t="inlineStr">
        <is>
          <t>001324</t>
        </is>
      </c>
      <c r="B717" s="6">
        <f>COUNTIF('Entetes_TriNumInterne'!$C$2:$C$723,A717)</f>
        <v/>
      </c>
    </row>
    <row r="718">
      <c r="A718" s="3" t="inlineStr">
        <is>
          <t>001325</t>
        </is>
      </c>
      <c r="B718" s="6">
        <f>COUNTIF('Entetes_TriNumInterne'!$C$2:$C$723,A718)</f>
        <v/>
      </c>
    </row>
    <row r="719">
      <c r="A719" s="3" t="inlineStr">
        <is>
          <t>001326</t>
        </is>
      </c>
      <c r="B719" s="6">
        <f>COUNTIF('Entetes_TriNumInterne'!$C$2:$C$723,A719)</f>
        <v/>
      </c>
    </row>
    <row r="720">
      <c r="A720" s="3" t="inlineStr">
        <is>
          <t>001327</t>
        </is>
      </c>
      <c r="B720" s="6">
        <f>COUNTIF('Entetes_TriNumInterne'!$C$2:$C$723,A720)</f>
        <v/>
      </c>
    </row>
    <row r="721">
      <c r="A721" s="3" t="inlineStr">
        <is>
          <t>001328</t>
        </is>
      </c>
      <c r="B721" s="6">
        <f>COUNTIF('Entetes_TriNumInterne'!$C$2:$C$723,A721)</f>
        <v/>
      </c>
    </row>
    <row r="722">
      <c r="A722" s="3" t="inlineStr">
        <is>
          <t>001329</t>
        </is>
      </c>
      <c r="B722" s="6">
        <f>COUNTIF('Entetes_TriNumInterne'!$C$2:$C$723,A722)</f>
        <v/>
      </c>
    </row>
    <row r="723">
      <c r="A723" s="3" t="inlineStr">
        <is>
          <t>001330</t>
        </is>
      </c>
      <c r="B723" s="6">
        <f>COUNTIF('Entetes_TriNumInterne'!$C$2:$C$723,A723)</f>
        <v/>
      </c>
    </row>
  </sheetData>
  <autoFilter ref="A1:B72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 ht="34" customHeight="1">
      <c r="A1" s="1" t="inlineStr">
        <is>
          <t>E_NUM_TICKET</t>
        </is>
      </c>
      <c r="B1" s="1" t="inlineStr">
        <is>
          <t>COMPTER_E_NUM_TICKET</t>
        </is>
      </c>
    </row>
    <row r="2">
      <c r="A2" s="3" t="inlineStr">
        <is>
          <t>AUCUN</t>
        </is>
      </c>
      <c r="B2" s="6" t="n">
        <v>0</v>
      </c>
    </row>
  </sheetData>
  <autoFilter ref="A1:B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7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 ht="34" customHeight="1">
      <c r="A1" s="1" t="inlineStr">
        <is>
          <t>nomfichier</t>
        </is>
      </c>
      <c r="B1" s="1" t="inlineStr">
        <is>
          <t>E_NUM_INTERNE</t>
        </is>
      </c>
      <c r="C1" s="1" t="inlineStr">
        <is>
          <t>E_NUM_TICKET</t>
        </is>
      </c>
      <c r="D1" s="1" t="inlineStr">
        <is>
          <t>E_DATE_TICKET</t>
        </is>
      </c>
      <c r="E1" s="1" t="inlineStr">
        <is>
          <t>E_HEURE_TICKET</t>
        </is>
      </c>
      <c r="F1" s="1" t="inlineStr">
        <is>
          <t>E_HT1</t>
        </is>
      </c>
      <c r="G1" s="1" t="inlineStr">
        <is>
          <t>E_HT2</t>
        </is>
      </c>
      <c r="H1" s="1" t="inlineStr">
        <is>
          <t>E_HT3</t>
        </is>
      </c>
      <c r="I1" s="1" t="inlineStr">
        <is>
          <t>E_HT4</t>
        </is>
      </c>
      <c r="J1" s="1" t="inlineStr">
        <is>
          <t>E_TVA1</t>
        </is>
      </c>
      <c r="K1" s="1" t="inlineStr">
        <is>
          <t>E_TVA2</t>
        </is>
      </c>
      <c r="L1" s="1" t="inlineStr">
        <is>
          <t>E_TVA3</t>
        </is>
      </c>
      <c r="M1" s="1" t="inlineStr">
        <is>
          <t>E_TVA4</t>
        </is>
      </c>
      <c r="N1" s="1" t="inlineStr">
        <is>
          <t>E_HT_NON_TAXABLE</t>
        </is>
      </c>
      <c r="O1" s="1" t="inlineStr">
        <is>
          <t>E_TTC</t>
        </is>
      </c>
      <c r="P1" s="1" t="inlineStr">
        <is>
          <t>E_MDP_CB</t>
        </is>
      </c>
      <c r="Q1" s="1" t="inlineStr">
        <is>
          <t>E_MDP_ESPECES</t>
        </is>
      </c>
      <c r="R1" s="1" t="inlineStr">
        <is>
          <t>E_MDP_CHEQUES</t>
        </is>
      </c>
      <c r="S1" s="1" t="inlineStr">
        <is>
          <t>AJ_TOTAL_HT</t>
        </is>
      </c>
      <c r="T1" s="1" t="inlineStr">
        <is>
          <t>AJ_TOTAL_TVA_20</t>
        </is>
      </c>
      <c r="U1" s="1" t="inlineStr">
        <is>
          <t>AJ_ANNEE</t>
        </is>
      </c>
      <c r="V1" s="1" t="inlineStr">
        <is>
          <t>AJ_MOIS</t>
        </is>
      </c>
    </row>
    <row r="2">
      <c r="A2" s="2" t="inlineStr">
        <is>
          <t>EJ010223.TXT</t>
        </is>
      </c>
      <c r="B2" s="3" t="inlineStr">
        <is>
          <t>000977</t>
        </is>
      </c>
      <c r="C2" s="3" t="inlineStr">
        <is>
          <t>000609</t>
        </is>
      </c>
      <c r="D2" s="4" t="n">
        <v>44930</v>
      </c>
      <c r="E2" s="2" t="inlineStr">
        <is>
          <t>12:01</t>
        </is>
      </c>
      <c r="F2" s="5" t="n">
        <v>747.5</v>
      </c>
      <c r="G2" s="5" t="n"/>
      <c r="H2" s="5" t="n"/>
      <c r="I2" s="5" t="n"/>
      <c r="J2" s="5" t="n">
        <v>149.5</v>
      </c>
      <c r="K2" s="5" t="n"/>
      <c r="L2" s="5" t="n"/>
      <c r="M2" s="5" t="n"/>
      <c r="N2" s="5" t="n"/>
      <c r="O2" s="5" t="n">
        <v>897</v>
      </c>
      <c r="P2" s="5" t="n"/>
      <c r="Q2" s="5" t="n">
        <v>897</v>
      </c>
      <c r="R2" s="5" t="n"/>
      <c r="S2" s="5">
        <f>SUM(F2:I2)+N2</f>
        <v/>
      </c>
      <c r="T2" s="5">
        <f>J2</f>
        <v/>
      </c>
      <c r="U2" s="6">
        <f>YEAR(D2)</f>
        <v/>
      </c>
      <c r="V2" s="5">
        <f>TEXT(D2,"yyyy-mm")</f>
        <v/>
      </c>
    </row>
    <row r="3">
      <c r="A3" s="2" t="inlineStr">
        <is>
          <t>EJ010223.TXT</t>
        </is>
      </c>
      <c r="B3" s="3" t="inlineStr">
        <is>
          <t>000978</t>
        </is>
      </c>
      <c r="C3" s="3" t="inlineStr">
        <is>
          <t>000610</t>
        </is>
      </c>
      <c r="D3" s="4" t="n">
        <v>44932</v>
      </c>
      <c r="E3" s="2" t="inlineStr">
        <is>
          <t>11:30</t>
        </is>
      </c>
      <c r="F3" s="5" t="n">
        <v>498.33</v>
      </c>
      <c r="G3" s="5" t="n"/>
      <c r="H3" s="5" t="n"/>
      <c r="I3" s="5" t="n"/>
      <c r="J3" s="5" t="n">
        <v>99.67</v>
      </c>
      <c r="K3" s="5" t="n"/>
      <c r="L3" s="5" t="n"/>
      <c r="M3" s="5" t="n"/>
      <c r="N3" s="5" t="n"/>
      <c r="O3" s="5" t="n">
        <v>598</v>
      </c>
      <c r="P3" s="5" t="n">
        <v>598</v>
      </c>
      <c r="Q3" s="5" t="n"/>
      <c r="R3" s="5" t="n"/>
      <c r="S3" s="5">
        <f>SUM(F3:I3)+N3</f>
        <v/>
      </c>
      <c r="T3" s="5">
        <f>J3</f>
        <v/>
      </c>
      <c r="U3" s="6">
        <f>YEAR(D3)</f>
        <v/>
      </c>
      <c r="V3" s="5">
        <f>TEXT(D3,"yyyy-mm")</f>
        <v/>
      </c>
    </row>
    <row r="4">
      <c r="A4" s="2" t="inlineStr">
        <is>
          <t>EJ010223.TXT</t>
        </is>
      </c>
      <c r="B4" s="3" t="inlineStr">
        <is>
          <t>000979</t>
        </is>
      </c>
      <c r="C4" s="3" t="inlineStr">
        <is>
          <t>000611</t>
        </is>
      </c>
      <c r="D4" s="4" t="n">
        <v>44932</v>
      </c>
      <c r="E4" s="2" t="inlineStr">
        <is>
          <t>13:38</t>
        </is>
      </c>
      <c r="F4" s="5" t="n">
        <v>483.33</v>
      </c>
      <c r="G4" s="5" t="n"/>
      <c r="H4" s="5" t="n"/>
      <c r="I4" s="5" t="n"/>
      <c r="J4" s="5" t="n">
        <v>96.67</v>
      </c>
      <c r="K4" s="5" t="n"/>
      <c r="L4" s="5" t="n"/>
      <c r="M4" s="5" t="n"/>
      <c r="N4" s="5" t="n"/>
      <c r="O4" s="5" t="n">
        <v>580</v>
      </c>
      <c r="P4" s="5" t="n">
        <v>580</v>
      </c>
      <c r="Q4" s="5" t="n"/>
      <c r="R4" s="5" t="n"/>
      <c r="S4" s="5">
        <f>SUM(F4:I4)+N4</f>
        <v/>
      </c>
      <c r="T4" s="5">
        <f>J4</f>
        <v/>
      </c>
      <c r="U4" s="6">
        <f>YEAR(D4)</f>
        <v/>
      </c>
      <c r="V4" s="5">
        <f>TEXT(D4,"yyyy-mm")</f>
        <v/>
      </c>
    </row>
    <row r="5">
      <c r="A5" s="2" t="inlineStr">
        <is>
          <t>EJ010223.TXT</t>
        </is>
      </c>
      <c r="B5" s="3" t="inlineStr">
        <is>
          <t>000980</t>
        </is>
      </c>
      <c r="C5" s="3" t="inlineStr">
        <is>
          <t>000612</t>
        </is>
      </c>
      <c r="D5" s="4" t="n">
        <v>44932</v>
      </c>
      <c r="E5" s="2" t="inlineStr">
        <is>
          <t>13:38</t>
        </is>
      </c>
      <c r="F5" s="5" t="n">
        <v>1450</v>
      </c>
      <c r="G5" s="5" t="n"/>
      <c r="H5" s="5" t="n"/>
      <c r="I5" s="5" t="n"/>
      <c r="J5" s="5" t="n">
        <v>290</v>
      </c>
      <c r="K5" s="5" t="n"/>
      <c r="L5" s="5" t="n"/>
      <c r="M5" s="5" t="n"/>
      <c r="N5" s="5" t="n"/>
      <c r="O5" s="5" t="n">
        <v>1740</v>
      </c>
      <c r="P5" s="5" t="n">
        <v>1740</v>
      </c>
      <c r="Q5" s="5" t="n"/>
      <c r="R5" s="5" t="n"/>
      <c r="S5" s="5">
        <f>SUM(F5:I5)+N5</f>
        <v/>
      </c>
      <c r="T5" s="5">
        <f>J5</f>
        <v/>
      </c>
      <c r="U5" s="6">
        <f>YEAR(D5)</f>
        <v/>
      </c>
      <c r="V5" s="5">
        <f>TEXT(D5,"yyyy-mm")</f>
        <v/>
      </c>
    </row>
    <row r="6">
      <c r="A6" s="2" t="inlineStr">
        <is>
          <t>EJ010223.TXT</t>
        </is>
      </c>
      <c r="B6" s="3" t="inlineStr">
        <is>
          <t>000981</t>
        </is>
      </c>
      <c r="C6" s="3" t="inlineStr">
        <is>
          <t>000613</t>
        </is>
      </c>
      <c r="D6" s="4" t="n">
        <v>44932</v>
      </c>
      <c r="E6" s="2" t="inlineStr">
        <is>
          <t>13:58</t>
        </is>
      </c>
      <c r="F6" s="5" t="n">
        <v>1450</v>
      </c>
      <c r="G6" s="5" t="n"/>
      <c r="H6" s="5" t="n"/>
      <c r="I6" s="5" t="n"/>
      <c r="J6" s="5" t="n">
        <v>290</v>
      </c>
      <c r="K6" s="5" t="n"/>
      <c r="L6" s="5" t="n"/>
      <c r="M6" s="5" t="n"/>
      <c r="N6" s="5" t="n"/>
      <c r="O6" s="5" t="n">
        <v>1740</v>
      </c>
      <c r="P6" s="5" t="n">
        <v>1740</v>
      </c>
      <c r="Q6" s="5" t="n"/>
      <c r="R6" s="5" t="n"/>
      <c r="S6" s="5">
        <f>SUM(F6:I6)+N6</f>
        <v/>
      </c>
      <c r="T6" s="5">
        <f>J6</f>
        <v/>
      </c>
      <c r="U6" s="6">
        <f>YEAR(D6)</f>
        <v/>
      </c>
      <c r="V6" s="5">
        <f>TEXT(D6,"yyyy-mm")</f>
        <v/>
      </c>
    </row>
    <row r="7">
      <c r="A7" s="2" t="inlineStr">
        <is>
          <t>EJ010223.TXT</t>
        </is>
      </c>
      <c r="B7" s="3" t="inlineStr">
        <is>
          <t>000982</t>
        </is>
      </c>
      <c r="C7" s="3" t="inlineStr">
        <is>
          <t>000614</t>
        </is>
      </c>
      <c r="D7" s="4" t="n">
        <v>44932</v>
      </c>
      <c r="E7" s="2" t="inlineStr">
        <is>
          <t>13:59</t>
        </is>
      </c>
      <c r="F7" s="5" t="n">
        <v>2900</v>
      </c>
      <c r="G7" s="5" t="n"/>
      <c r="H7" s="5" t="n"/>
      <c r="I7" s="5" t="n"/>
      <c r="J7" s="5" t="n">
        <v>580</v>
      </c>
      <c r="K7" s="5" t="n"/>
      <c r="L7" s="5" t="n"/>
      <c r="M7" s="5" t="n"/>
      <c r="N7" s="5" t="n"/>
      <c r="O7" s="5" t="n">
        <v>3480</v>
      </c>
      <c r="P7" s="5" t="n">
        <v>3480</v>
      </c>
      <c r="Q7" s="5" t="n"/>
      <c r="R7" s="5" t="n"/>
      <c r="S7" s="5">
        <f>SUM(F7:I7)+N7</f>
        <v/>
      </c>
      <c r="T7" s="5">
        <f>J7</f>
        <v/>
      </c>
      <c r="U7" s="6">
        <f>YEAR(D7)</f>
        <v/>
      </c>
      <c r="V7" s="5">
        <f>TEXT(D7,"yyyy-mm")</f>
        <v/>
      </c>
    </row>
    <row r="8">
      <c r="A8" s="2" t="inlineStr">
        <is>
          <t>EJ010223.TXT</t>
        </is>
      </c>
      <c r="B8" s="3" t="inlineStr">
        <is>
          <t>000983</t>
        </is>
      </c>
      <c r="C8" s="3" t="inlineStr">
        <is>
          <t>000615</t>
        </is>
      </c>
      <c r="D8" s="4" t="n">
        <v>44937</v>
      </c>
      <c r="E8" s="2" t="inlineStr">
        <is>
          <t>12:38</t>
        </is>
      </c>
      <c r="F8" s="5" t="n">
        <v>73.33</v>
      </c>
      <c r="G8" s="5" t="n"/>
      <c r="H8" s="5" t="n"/>
      <c r="I8" s="5" t="n"/>
      <c r="J8" s="5" t="n">
        <v>14.67</v>
      </c>
      <c r="K8" s="5" t="n"/>
      <c r="L8" s="5" t="n"/>
      <c r="M8" s="5" t="n"/>
      <c r="N8" s="5" t="n"/>
      <c r="O8" s="5" t="n">
        <v>88</v>
      </c>
      <c r="P8" s="5" t="n">
        <v>88</v>
      </c>
      <c r="Q8" s="5" t="n"/>
      <c r="R8" s="5" t="n"/>
      <c r="S8" s="5">
        <f>SUM(F8:I8)+N8</f>
        <v/>
      </c>
      <c r="T8" s="5">
        <f>J8</f>
        <v/>
      </c>
      <c r="U8" s="6">
        <f>YEAR(D8)</f>
        <v/>
      </c>
      <c r="V8" s="5">
        <f>TEXT(D8,"yyyy-mm")</f>
        <v/>
      </c>
    </row>
    <row r="9">
      <c r="A9" s="2" t="inlineStr">
        <is>
          <t>EJ010223.TXT</t>
        </is>
      </c>
      <c r="B9" s="3" t="inlineStr">
        <is>
          <t>000984</t>
        </is>
      </c>
      <c r="C9" s="3" t="inlineStr">
        <is>
          <t>000616</t>
        </is>
      </c>
      <c r="D9" s="4" t="n">
        <v>44937</v>
      </c>
      <c r="E9" s="2" t="inlineStr">
        <is>
          <t>14:46</t>
        </is>
      </c>
      <c r="F9" s="5" t="n">
        <v>311.5</v>
      </c>
      <c r="G9" s="5" t="n"/>
      <c r="H9" s="5" t="n"/>
      <c r="I9" s="5" t="n"/>
      <c r="J9" s="5" t="n">
        <v>62.3</v>
      </c>
      <c r="K9" s="5" t="n"/>
      <c r="L9" s="5" t="n"/>
      <c r="M9" s="5" t="n"/>
      <c r="N9" s="5" t="n"/>
      <c r="O9" s="5" t="n">
        <v>373.8</v>
      </c>
      <c r="P9" s="5" t="n">
        <v>373.8</v>
      </c>
      <c r="Q9" s="5" t="n"/>
      <c r="R9" s="5" t="n"/>
      <c r="S9" s="5">
        <f>SUM(F9:I9)+N9</f>
        <v/>
      </c>
      <c r="T9" s="5">
        <f>J9</f>
        <v/>
      </c>
      <c r="U9" s="6">
        <f>YEAR(D9)</f>
        <v/>
      </c>
      <c r="V9" s="5">
        <f>TEXT(D9,"yyyy-mm")</f>
        <v/>
      </c>
    </row>
    <row r="10">
      <c r="A10" s="2" t="inlineStr">
        <is>
          <t>EJ010223.TXT</t>
        </is>
      </c>
      <c r="B10" s="3" t="inlineStr">
        <is>
          <t>000985</t>
        </is>
      </c>
      <c r="C10" s="3" t="inlineStr">
        <is>
          <t>000617</t>
        </is>
      </c>
      <c r="D10" s="4" t="n">
        <v>44939</v>
      </c>
      <c r="E10" s="2" t="inlineStr">
        <is>
          <t>10:27</t>
        </is>
      </c>
      <c r="F10" s="5" t="n">
        <v>249.17</v>
      </c>
      <c r="G10" s="5" t="n"/>
      <c r="H10" s="5" t="n"/>
      <c r="I10" s="5" t="n"/>
      <c r="J10" s="5" t="n">
        <v>49.83</v>
      </c>
      <c r="K10" s="5" t="n"/>
      <c r="L10" s="5" t="n"/>
      <c r="M10" s="5" t="n"/>
      <c r="N10" s="5" t="n"/>
      <c r="O10" s="5" t="n">
        <v>299</v>
      </c>
      <c r="P10" s="5" t="n">
        <v>299</v>
      </c>
      <c r="Q10" s="5" t="n"/>
      <c r="R10" s="5" t="n"/>
      <c r="S10" s="5">
        <f>SUM(F10:I10)+N10</f>
        <v/>
      </c>
      <c r="T10" s="5">
        <f>J10</f>
        <v/>
      </c>
      <c r="U10" s="6">
        <f>YEAR(D10)</f>
        <v/>
      </c>
      <c r="V10" s="5">
        <f>TEXT(D10,"yyyy-mm")</f>
        <v/>
      </c>
    </row>
    <row r="11">
      <c r="A11" s="2" t="inlineStr">
        <is>
          <t>EJ010223.TXT</t>
        </is>
      </c>
      <c r="B11" s="3" t="inlineStr">
        <is>
          <t>000986</t>
        </is>
      </c>
      <c r="C11" s="3" t="inlineStr">
        <is>
          <t>000618</t>
        </is>
      </c>
      <c r="D11" s="4" t="n">
        <v>44939</v>
      </c>
      <c r="E11" s="2" t="inlineStr">
        <is>
          <t>10:48</t>
        </is>
      </c>
      <c r="F11" s="5" t="n">
        <v>146.67</v>
      </c>
      <c r="G11" s="5" t="n"/>
      <c r="H11" s="5" t="n"/>
      <c r="I11" s="5" t="n"/>
      <c r="J11" s="5" t="n">
        <v>29.33</v>
      </c>
      <c r="K11" s="5" t="n"/>
      <c r="L11" s="5" t="n"/>
      <c r="M11" s="5" t="n"/>
      <c r="N11" s="5" t="n"/>
      <c r="O11" s="5" t="n">
        <v>176</v>
      </c>
      <c r="P11" s="5" t="n">
        <v>176</v>
      </c>
      <c r="Q11" s="5" t="n"/>
      <c r="R11" s="5" t="n"/>
      <c r="S11" s="5">
        <f>SUM(F11:I11)+N11</f>
        <v/>
      </c>
      <c r="T11" s="5">
        <f>J11</f>
        <v/>
      </c>
      <c r="U11" s="6">
        <f>YEAR(D11)</f>
        <v/>
      </c>
      <c r="V11" s="5">
        <f>TEXT(D11,"yyyy-mm")</f>
        <v/>
      </c>
    </row>
    <row r="12">
      <c r="A12" s="2" t="inlineStr">
        <is>
          <t>EJ010223.TXT</t>
        </is>
      </c>
      <c r="B12" s="3" t="inlineStr">
        <is>
          <t>000987</t>
        </is>
      </c>
      <c r="C12" s="3" t="inlineStr">
        <is>
          <t>000619</t>
        </is>
      </c>
      <c r="D12" s="4" t="n">
        <v>44939</v>
      </c>
      <c r="E12" s="2" t="inlineStr">
        <is>
          <t>13:05</t>
        </is>
      </c>
      <c r="F12" s="5" t="n">
        <v>498.33</v>
      </c>
      <c r="G12" s="5" t="n"/>
      <c r="H12" s="5" t="n"/>
      <c r="I12" s="5" t="n"/>
      <c r="J12" s="5" t="n">
        <v>99.67</v>
      </c>
      <c r="K12" s="5" t="n"/>
      <c r="L12" s="5" t="n"/>
      <c r="M12" s="5" t="n"/>
      <c r="N12" s="5" t="n"/>
      <c r="O12" s="5" t="n">
        <v>598</v>
      </c>
      <c r="P12" s="5" t="n">
        <v>598</v>
      </c>
      <c r="Q12" s="5" t="n"/>
      <c r="R12" s="5" t="n"/>
      <c r="S12" s="5">
        <f>SUM(F12:I12)+N12</f>
        <v/>
      </c>
      <c r="T12" s="5">
        <f>J12</f>
        <v/>
      </c>
      <c r="U12" s="6">
        <f>YEAR(D12)</f>
        <v/>
      </c>
      <c r="V12" s="5">
        <f>TEXT(D12,"yyyy-mm")</f>
        <v/>
      </c>
    </row>
    <row r="13">
      <c r="A13" s="2" t="inlineStr">
        <is>
          <t>EJ010223.TXT</t>
        </is>
      </c>
      <c r="B13" s="3" t="inlineStr">
        <is>
          <t>000988</t>
        </is>
      </c>
      <c r="C13" s="3" t="inlineStr">
        <is>
          <t>000620</t>
        </is>
      </c>
      <c r="D13" s="4" t="n">
        <v>44940</v>
      </c>
      <c r="E13" s="2" t="inlineStr">
        <is>
          <t>16:39</t>
        </is>
      </c>
      <c r="F13" s="5" t="n">
        <v>498.33</v>
      </c>
      <c r="G13" s="5" t="n"/>
      <c r="H13" s="5" t="n"/>
      <c r="I13" s="5" t="n"/>
      <c r="J13" s="5" t="n">
        <v>99.67</v>
      </c>
      <c r="K13" s="5" t="n"/>
      <c r="L13" s="5" t="n"/>
      <c r="M13" s="5" t="n"/>
      <c r="N13" s="5" t="n"/>
      <c r="O13" s="5" t="n">
        <v>598</v>
      </c>
      <c r="P13" s="5" t="n">
        <v>598</v>
      </c>
      <c r="Q13" s="5" t="n"/>
      <c r="R13" s="5" t="n"/>
      <c r="S13" s="5">
        <f>SUM(F13:I13)+N13</f>
        <v/>
      </c>
      <c r="T13" s="5">
        <f>J13</f>
        <v/>
      </c>
      <c r="U13" s="6">
        <f>YEAR(D13)</f>
        <v/>
      </c>
      <c r="V13" s="5">
        <f>TEXT(D13,"yyyy-mm")</f>
        <v/>
      </c>
    </row>
    <row r="14">
      <c r="A14" s="2" t="inlineStr">
        <is>
          <t>EJ010223.TXT</t>
        </is>
      </c>
      <c r="B14" s="3" t="inlineStr">
        <is>
          <t>000989</t>
        </is>
      </c>
      <c r="C14" s="3" t="inlineStr">
        <is>
          <t>000621</t>
        </is>
      </c>
      <c r="D14" s="4" t="n">
        <v>44940</v>
      </c>
      <c r="E14" s="2" t="inlineStr">
        <is>
          <t>16:53</t>
        </is>
      </c>
      <c r="F14" s="5" t="n">
        <v>288.33</v>
      </c>
      <c r="G14" s="5" t="n"/>
      <c r="H14" s="5" t="n"/>
      <c r="I14" s="5" t="n"/>
      <c r="J14" s="5" t="n">
        <v>57.67</v>
      </c>
      <c r="K14" s="5" t="n"/>
      <c r="L14" s="5" t="n"/>
      <c r="M14" s="5" t="n"/>
      <c r="N14" s="5" t="n"/>
      <c r="O14" s="5" t="n">
        <v>346</v>
      </c>
      <c r="P14" s="5" t="n">
        <v>346</v>
      </c>
      <c r="Q14" s="5" t="n"/>
      <c r="R14" s="5" t="n"/>
      <c r="S14" s="5">
        <f>SUM(F14:I14)+N14</f>
        <v/>
      </c>
      <c r="T14" s="5">
        <f>J14</f>
        <v/>
      </c>
      <c r="U14" s="6">
        <f>YEAR(D14)</f>
        <v/>
      </c>
      <c r="V14" s="5">
        <f>TEXT(D14,"yyyy-mm")</f>
        <v/>
      </c>
    </row>
    <row r="15">
      <c r="A15" s="2" t="inlineStr">
        <is>
          <t>EJ010223.TXT</t>
        </is>
      </c>
      <c r="B15" s="3" t="inlineStr">
        <is>
          <t>000990</t>
        </is>
      </c>
      <c r="C15" s="3" t="inlineStr">
        <is>
          <t>000622</t>
        </is>
      </c>
      <c r="D15" s="4" t="n">
        <v>44942</v>
      </c>
      <c r="E15" s="2" t="inlineStr">
        <is>
          <t>17:36</t>
        </is>
      </c>
      <c r="F15" s="5" t="n">
        <v>658.33</v>
      </c>
      <c r="G15" s="5" t="n"/>
      <c r="H15" s="5" t="n"/>
      <c r="I15" s="5" t="n"/>
      <c r="J15" s="5" t="n">
        <v>131.67</v>
      </c>
      <c r="K15" s="5" t="n"/>
      <c r="L15" s="5" t="n"/>
      <c r="M15" s="5" t="n"/>
      <c r="N15" s="5" t="n"/>
      <c r="O15" s="5" t="n">
        <v>790</v>
      </c>
      <c r="P15" s="5" t="n"/>
      <c r="Q15" s="5" t="n">
        <v>790</v>
      </c>
      <c r="R15" s="5" t="n"/>
      <c r="S15" s="5">
        <f>SUM(F15:I15)+N15</f>
        <v/>
      </c>
      <c r="T15" s="5">
        <f>J15</f>
        <v/>
      </c>
      <c r="U15" s="6">
        <f>YEAR(D15)</f>
        <v/>
      </c>
      <c r="V15" s="5">
        <f>TEXT(D15,"yyyy-mm")</f>
        <v/>
      </c>
    </row>
    <row r="16">
      <c r="A16" s="2" t="inlineStr">
        <is>
          <t>EJ010223.TXT</t>
        </is>
      </c>
      <c r="B16" s="3" t="inlineStr">
        <is>
          <t>000991</t>
        </is>
      </c>
      <c r="C16" s="3" t="inlineStr">
        <is>
          <t>000623</t>
        </is>
      </c>
      <c r="D16" s="4" t="n">
        <v>44942</v>
      </c>
      <c r="E16" s="2" t="inlineStr">
        <is>
          <t>17:44</t>
        </is>
      </c>
      <c r="F16" s="5" t="n">
        <v>241.67</v>
      </c>
      <c r="G16" s="5" t="n"/>
      <c r="H16" s="5" t="n"/>
      <c r="I16" s="5" t="n"/>
      <c r="J16" s="5" t="n">
        <v>48.33</v>
      </c>
      <c r="K16" s="5" t="n"/>
      <c r="L16" s="5" t="n"/>
      <c r="M16" s="5" t="n"/>
      <c r="N16" s="5" t="n"/>
      <c r="O16" s="5" t="n">
        <v>290</v>
      </c>
      <c r="P16" s="5" t="n"/>
      <c r="Q16" s="5" t="n">
        <v>290</v>
      </c>
      <c r="R16" s="5" t="n"/>
      <c r="S16" s="5">
        <f>SUM(F16:I16)+N16</f>
        <v/>
      </c>
      <c r="T16" s="5">
        <f>J16</f>
        <v/>
      </c>
      <c r="U16" s="6">
        <f>YEAR(D16)</f>
        <v/>
      </c>
      <c r="V16" s="5">
        <f>TEXT(D16,"yyyy-mm")</f>
        <v/>
      </c>
    </row>
    <row r="17">
      <c r="A17" s="2" t="inlineStr">
        <is>
          <t>EJ010223.TXT</t>
        </is>
      </c>
      <c r="B17" s="3" t="inlineStr">
        <is>
          <t>000992</t>
        </is>
      </c>
      <c r="C17" s="3" t="inlineStr">
        <is>
          <t>000624</t>
        </is>
      </c>
      <c r="D17" s="4" t="n">
        <v>44942</v>
      </c>
      <c r="E17" s="2" t="inlineStr">
        <is>
          <t>17:44</t>
        </is>
      </c>
      <c r="F17" s="5" t="n">
        <v>241.67</v>
      </c>
      <c r="G17" s="5" t="n"/>
      <c r="H17" s="5" t="n"/>
      <c r="I17" s="5" t="n"/>
      <c r="J17" s="5" t="n">
        <v>48.33</v>
      </c>
      <c r="K17" s="5" t="n"/>
      <c r="L17" s="5" t="n"/>
      <c r="M17" s="5" t="n"/>
      <c r="N17" s="5" t="n"/>
      <c r="O17" s="5" t="n">
        <v>290</v>
      </c>
      <c r="P17" s="5" t="n"/>
      <c r="Q17" s="5" t="n">
        <v>290</v>
      </c>
      <c r="R17" s="5" t="n"/>
      <c r="S17" s="5">
        <f>SUM(F17:I17)+N17</f>
        <v/>
      </c>
      <c r="T17" s="5">
        <f>J17</f>
        <v/>
      </c>
      <c r="U17" s="6">
        <f>YEAR(D17)</f>
        <v/>
      </c>
      <c r="V17" s="5">
        <f>TEXT(D17,"yyyy-mm")</f>
        <v/>
      </c>
    </row>
    <row r="18">
      <c r="A18" s="2" t="inlineStr">
        <is>
          <t>EJ010223.TXT</t>
        </is>
      </c>
      <c r="B18" s="3" t="inlineStr">
        <is>
          <t>000993</t>
        </is>
      </c>
      <c r="C18" s="3" t="inlineStr">
        <is>
          <t>000625</t>
        </is>
      </c>
      <c r="D18" s="4" t="n">
        <v>44942</v>
      </c>
      <c r="E18" s="2" t="inlineStr">
        <is>
          <t>17:44</t>
        </is>
      </c>
      <c r="F18" s="5" t="n">
        <v>241.67</v>
      </c>
      <c r="G18" s="5" t="n"/>
      <c r="H18" s="5" t="n"/>
      <c r="I18" s="5" t="n"/>
      <c r="J18" s="5" t="n">
        <v>48.33</v>
      </c>
      <c r="K18" s="5" t="n"/>
      <c r="L18" s="5" t="n"/>
      <c r="M18" s="5" t="n"/>
      <c r="N18" s="5" t="n"/>
      <c r="O18" s="5" t="n">
        <v>290</v>
      </c>
      <c r="P18" s="5" t="n"/>
      <c r="Q18" s="5" t="n">
        <v>290</v>
      </c>
      <c r="R18" s="5" t="n"/>
      <c r="S18" s="5">
        <f>SUM(F18:I18)+N18</f>
        <v/>
      </c>
      <c r="T18" s="5">
        <f>J18</f>
        <v/>
      </c>
      <c r="U18" s="6">
        <f>YEAR(D18)</f>
        <v/>
      </c>
      <c r="V18" s="5">
        <f>TEXT(D18,"yyyy-mm")</f>
        <v/>
      </c>
    </row>
    <row r="19">
      <c r="A19" s="2" t="inlineStr">
        <is>
          <t>EJ010223.TXT</t>
        </is>
      </c>
      <c r="B19" s="3" t="inlineStr">
        <is>
          <t>000994</t>
        </is>
      </c>
      <c r="C19" s="3" t="inlineStr">
        <is>
          <t>000626</t>
        </is>
      </c>
      <c r="D19" s="4" t="n">
        <v>44943</v>
      </c>
      <c r="E19" s="2" t="inlineStr">
        <is>
          <t>10:05</t>
        </is>
      </c>
      <c r="F19" s="5" t="n">
        <v>747.5</v>
      </c>
      <c r="G19" s="5" t="n"/>
      <c r="H19" s="5" t="n"/>
      <c r="I19" s="5" t="n"/>
      <c r="J19" s="5" t="n">
        <v>149.5</v>
      </c>
      <c r="K19" s="5" t="n"/>
      <c r="L19" s="5" t="n"/>
      <c r="M19" s="5" t="n"/>
      <c r="N19" s="5" t="n"/>
      <c r="O19" s="5" t="n">
        <v>897</v>
      </c>
      <c r="P19" s="5" t="n">
        <v>897</v>
      </c>
      <c r="Q19" s="5" t="n"/>
      <c r="R19" s="5" t="n"/>
      <c r="S19" s="5">
        <f>SUM(F19:I19)+N19</f>
        <v/>
      </c>
      <c r="T19" s="5">
        <f>J19</f>
        <v/>
      </c>
      <c r="U19" s="6">
        <f>YEAR(D19)</f>
        <v/>
      </c>
      <c r="V19" s="5">
        <f>TEXT(D19,"yyyy-mm")</f>
        <v/>
      </c>
    </row>
    <row r="20">
      <c r="A20" s="2" t="inlineStr">
        <is>
          <t>EJ010223.TXT</t>
        </is>
      </c>
      <c r="B20" s="3" t="inlineStr">
        <is>
          <t>000995</t>
        </is>
      </c>
      <c r="C20" s="3" t="inlineStr">
        <is>
          <t>000627</t>
        </is>
      </c>
      <c r="D20" s="4" t="n">
        <v>44943</v>
      </c>
      <c r="E20" s="2" t="inlineStr">
        <is>
          <t>11:17</t>
        </is>
      </c>
      <c r="F20" s="5" t="n">
        <v>115.83</v>
      </c>
      <c r="G20" s="5" t="n"/>
      <c r="H20" s="5" t="n"/>
      <c r="I20" s="5" t="n"/>
      <c r="J20" s="5" t="n">
        <v>23.17</v>
      </c>
      <c r="K20" s="5" t="n"/>
      <c r="L20" s="5" t="n"/>
      <c r="M20" s="5" t="n"/>
      <c r="N20" s="5" t="n"/>
      <c r="O20" s="5" t="n">
        <v>139</v>
      </c>
      <c r="P20" s="5" t="n">
        <v>139</v>
      </c>
      <c r="Q20" s="5" t="n"/>
      <c r="R20" s="5" t="n"/>
      <c r="S20" s="5">
        <f>SUM(F20:I20)+N20</f>
        <v/>
      </c>
      <c r="T20" s="5">
        <f>J20</f>
        <v/>
      </c>
      <c r="U20" s="6">
        <f>YEAR(D20)</f>
        <v/>
      </c>
      <c r="V20" s="5">
        <f>TEXT(D20,"yyyy-mm")</f>
        <v/>
      </c>
    </row>
    <row r="21">
      <c r="A21" s="2" t="inlineStr">
        <is>
          <t>EJ010223.TXT</t>
        </is>
      </c>
      <c r="B21" s="3" t="inlineStr">
        <is>
          <t>000996</t>
        </is>
      </c>
      <c r="C21" s="3" t="inlineStr">
        <is>
          <t>000628</t>
        </is>
      </c>
      <c r="D21" s="4" t="n">
        <v>44943</v>
      </c>
      <c r="E21" s="2" t="inlineStr">
        <is>
          <t>11:23</t>
        </is>
      </c>
      <c r="F21" s="5" t="n">
        <v>2900</v>
      </c>
      <c r="G21" s="5" t="n"/>
      <c r="H21" s="5" t="n"/>
      <c r="I21" s="5" t="n"/>
      <c r="J21" s="5" t="n">
        <v>580</v>
      </c>
      <c r="K21" s="5" t="n"/>
      <c r="L21" s="5" t="n"/>
      <c r="M21" s="5" t="n"/>
      <c r="N21" s="5" t="n"/>
      <c r="O21" s="5" t="n">
        <v>3480</v>
      </c>
      <c r="P21" s="5" t="n">
        <v>3480</v>
      </c>
      <c r="Q21" s="5" t="n"/>
      <c r="R21" s="5" t="n"/>
      <c r="S21" s="5">
        <f>SUM(F21:I21)+N21</f>
        <v/>
      </c>
      <c r="T21" s="5">
        <f>J21</f>
        <v/>
      </c>
      <c r="U21" s="6">
        <f>YEAR(D21)</f>
        <v/>
      </c>
      <c r="V21" s="5">
        <f>TEXT(D21,"yyyy-mm")</f>
        <v/>
      </c>
    </row>
    <row r="22">
      <c r="A22" s="2" t="inlineStr">
        <is>
          <t>EJ010223.TXT</t>
        </is>
      </c>
      <c r="B22" s="3" t="inlineStr">
        <is>
          <t>000997</t>
        </is>
      </c>
      <c r="C22" s="3" t="inlineStr">
        <is>
          <t>000629</t>
        </is>
      </c>
      <c r="D22" s="4" t="n">
        <v>44943</v>
      </c>
      <c r="E22" s="2" t="inlineStr">
        <is>
          <t>12:30</t>
        </is>
      </c>
      <c r="F22" s="5" t="n">
        <v>144.17</v>
      </c>
      <c r="G22" s="5" t="n"/>
      <c r="H22" s="5" t="n"/>
      <c r="I22" s="5" t="n"/>
      <c r="J22" s="5" t="n">
        <v>28.83</v>
      </c>
      <c r="K22" s="5" t="n"/>
      <c r="L22" s="5" t="n"/>
      <c r="M22" s="5" t="n"/>
      <c r="N22" s="5" t="n"/>
      <c r="O22" s="5" t="n">
        <v>173</v>
      </c>
      <c r="P22" s="5" t="n">
        <v>173</v>
      </c>
      <c r="Q22" s="5" t="n"/>
      <c r="R22" s="5" t="n"/>
      <c r="S22" s="5">
        <f>SUM(F22:I22)+N22</f>
        <v/>
      </c>
      <c r="T22" s="5">
        <f>J22</f>
        <v/>
      </c>
      <c r="U22" s="6">
        <f>YEAR(D22)</f>
        <v/>
      </c>
      <c r="V22" s="5">
        <f>TEXT(D22,"yyyy-mm")</f>
        <v/>
      </c>
    </row>
    <row r="23">
      <c r="A23" s="2" t="inlineStr">
        <is>
          <t>EJ010223.TXT</t>
        </is>
      </c>
      <c r="B23" s="3" t="inlineStr">
        <is>
          <t>000998</t>
        </is>
      </c>
      <c r="C23" s="3" t="inlineStr">
        <is>
          <t>000630</t>
        </is>
      </c>
      <c r="D23" s="4" t="n">
        <v>44943</v>
      </c>
      <c r="E23" s="2" t="inlineStr">
        <is>
          <t>13:47</t>
        </is>
      </c>
      <c r="F23" s="5" t="n">
        <v>498.33</v>
      </c>
      <c r="G23" s="5" t="n"/>
      <c r="H23" s="5" t="n"/>
      <c r="I23" s="5" t="n"/>
      <c r="J23" s="5" t="n">
        <v>99.67</v>
      </c>
      <c r="K23" s="5" t="n"/>
      <c r="L23" s="5" t="n"/>
      <c r="M23" s="5" t="n"/>
      <c r="N23" s="5" t="n"/>
      <c r="O23" s="5" t="n">
        <v>598</v>
      </c>
      <c r="P23" s="5" t="n"/>
      <c r="Q23" s="5" t="n">
        <v>598</v>
      </c>
      <c r="R23" s="5" t="n"/>
      <c r="S23" s="5">
        <f>SUM(F23:I23)+N23</f>
        <v/>
      </c>
      <c r="T23" s="5">
        <f>J23</f>
        <v/>
      </c>
      <c r="U23" s="6">
        <f>YEAR(D23)</f>
        <v/>
      </c>
      <c r="V23" s="5">
        <f>TEXT(D23,"yyyy-mm")</f>
        <v/>
      </c>
    </row>
    <row r="24">
      <c r="A24" s="2" t="inlineStr">
        <is>
          <t>EJ010223.TXT</t>
        </is>
      </c>
      <c r="B24" s="3" t="inlineStr">
        <is>
          <t>000999</t>
        </is>
      </c>
      <c r="C24" s="3" t="inlineStr">
        <is>
          <t>000631</t>
        </is>
      </c>
      <c r="D24" s="4" t="n">
        <v>44944</v>
      </c>
      <c r="E24" s="2" t="inlineStr">
        <is>
          <t>12:59</t>
        </is>
      </c>
      <c r="F24" s="5" t="n">
        <v>149</v>
      </c>
      <c r="G24" s="5" t="n"/>
      <c r="H24" s="5" t="n"/>
      <c r="I24" s="5" t="n"/>
      <c r="J24" s="5" t="n">
        <v>29.8</v>
      </c>
      <c r="K24" s="5" t="n"/>
      <c r="L24" s="5" t="n"/>
      <c r="M24" s="5" t="n"/>
      <c r="N24" s="5" t="n"/>
      <c r="O24" s="5" t="n">
        <v>178.8</v>
      </c>
      <c r="P24" s="5" t="n">
        <v>178.8</v>
      </c>
      <c r="Q24" s="5" t="n"/>
      <c r="R24" s="5" t="n"/>
      <c r="S24" s="5">
        <f>SUM(F24:I24)+N24</f>
        <v/>
      </c>
      <c r="T24" s="5">
        <f>J24</f>
        <v/>
      </c>
      <c r="U24" s="6">
        <f>YEAR(D24)</f>
        <v/>
      </c>
      <c r="V24" s="5">
        <f>TEXT(D24,"yyyy-mm")</f>
        <v/>
      </c>
    </row>
    <row r="25">
      <c r="A25" s="2" t="inlineStr">
        <is>
          <t>EJ010223.TXT</t>
        </is>
      </c>
      <c r="B25" s="3" t="inlineStr">
        <is>
          <t>001000</t>
        </is>
      </c>
      <c r="C25" s="3" t="inlineStr">
        <is>
          <t>000632</t>
        </is>
      </c>
      <c r="D25" s="4" t="n">
        <v>44944</v>
      </c>
      <c r="E25" s="2" t="inlineStr">
        <is>
          <t>17:24</t>
        </is>
      </c>
      <c r="F25" s="5" t="n">
        <v>73.33</v>
      </c>
      <c r="G25" s="5" t="n"/>
      <c r="H25" s="5" t="n"/>
      <c r="I25" s="5" t="n"/>
      <c r="J25" s="5" t="n">
        <v>14.67</v>
      </c>
      <c r="K25" s="5" t="n"/>
      <c r="L25" s="5" t="n"/>
      <c r="M25" s="5" t="n"/>
      <c r="N25" s="5" t="n"/>
      <c r="O25" s="5" t="n">
        <v>88</v>
      </c>
      <c r="P25" s="5" t="n">
        <v>88</v>
      </c>
      <c r="Q25" s="5" t="n"/>
      <c r="R25" s="5" t="n"/>
      <c r="S25" s="5">
        <f>SUM(F25:I25)+N25</f>
        <v/>
      </c>
      <c r="T25" s="5">
        <f>J25</f>
        <v/>
      </c>
      <c r="U25" s="6">
        <f>YEAR(D25)</f>
        <v/>
      </c>
      <c r="V25" s="5">
        <f>TEXT(D25,"yyyy-mm")</f>
        <v/>
      </c>
    </row>
    <row r="26">
      <c r="A26" s="2" t="inlineStr">
        <is>
          <t>EJ010223.TXT</t>
        </is>
      </c>
      <c r="B26" s="3" t="inlineStr">
        <is>
          <t>001001</t>
        </is>
      </c>
      <c r="C26" s="3" t="inlineStr">
        <is>
          <t>000633</t>
        </is>
      </c>
      <c r="D26" s="4" t="n">
        <v>44945</v>
      </c>
      <c r="E26" s="2" t="inlineStr">
        <is>
          <t>12:34</t>
        </is>
      </c>
      <c r="F26" s="5" t="n">
        <v>498.33</v>
      </c>
      <c r="G26" s="5" t="n"/>
      <c r="H26" s="5" t="n"/>
      <c r="I26" s="5" t="n"/>
      <c r="J26" s="5" t="n">
        <v>99.67</v>
      </c>
      <c r="K26" s="5" t="n"/>
      <c r="L26" s="5" t="n"/>
      <c r="M26" s="5" t="n"/>
      <c r="N26" s="5" t="n"/>
      <c r="O26" s="5" t="n">
        <v>598</v>
      </c>
      <c r="P26" s="5" t="n"/>
      <c r="Q26" s="5" t="n">
        <v>598</v>
      </c>
      <c r="R26" s="5" t="n"/>
      <c r="S26" s="5">
        <f>SUM(F26:I26)+N26</f>
        <v/>
      </c>
      <c r="T26" s="5">
        <f>J26</f>
        <v/>
      </c>
      <c r="U26" s="6">
        <f>YEAR(D26)</f>
        <v/>
      </c>
      <c r="V26" s="5">
        <f>TEXT(D26,"yyyy-mm")</f>
        <v/>
      </c>
    </row>
    <row r="27">
      <c r="A27" s="2" t="inlineStr">
        <is>
          <t>EJ010223.TXT</t>
        </is>
      </c>
      <c r="B27" s="3" t="inlineStr">
        <is>
          <t>001002</t>
        </is>
      </c>
      <c r="C27" s="3" t="inlineStr">
        <is>
          <t>000634</t>
        </is>
      </c>
      <c r="D27" s="4" t="n">
        <v>44947</v>
      </c>
      <c r="E27" s="2" t="inlineStr">
        <is>
          <t>14:43</t>
        </is>
      </c>
      <c r="F27" s="5" t="n">
        <v>498.33</v>
      </c>
      <c r="G27" s="5" t="n"/>
      <c r="H27" s="5" t="n"/>
      <c r="I27" s="5" t="n"/>
      <c r="J27" s="5" t="n">
        <v>99.67</v>
      </c>
      <c r="K27" s="5" t="n"/>
      <c r="L27" s="5" t="n"/>
      <c r="M27" s="5" t="n"/>
      <c r="N27" s="5" t="n"/>
      <c r="O27" s="5" t="n">
        <v>598</v>
      </c>
      <c r="P27" s="5" t="n">
        <v>598</v>
      </c>
      <c r="Q27" s="5" t="n"/>
      <c r="R27" s="5" t="n"/>
      <c r="S27" s="5">
        <f>SUM(F27:I27)+N27</f>
        <v/>
      </c>
      <c r="T27" s="5">
        <f>J27</f>
        <v/>
      </c>
      <c r="U27" s="6">
        <f>YEAR(D27)</f>
        <v/>
      </c>
      <c r="V27" s="5">
        <f>TEXT(D27,"yyyy-mm")</f>
        <v/>
      </c>
    </row>
    <row r="28">
      <c r="A28" s="2" t="inlineStr">
        <is>
          <t>EJ010223.TXT</t>
        </is>
      </c>
      <c r="B28" s="3" t="inlineStr">
        <is>
          <t>001003</t>
        </is>
      </c>
      <c r="C28" s="3" t="inlineStr">
        <is>
          <t>000635</t>
        </is>
      </c>
      <c r="D28" s="4" t="n">
        <v>44951</v>
      </c>
      <c r="E28" s="2" t="inlineStr">
        <is>
          <t>09:58</t>
        </is>
      </c>
      <c r="F28" s="5" t="n">
        <v>249.17</v>
      </c>
      <c r="G28" s="5" t="n"/>
      <c r="H28" s="5" t="n"/>
      <c r="I28" s="5" t="n"/>
      <c r="J28" s="5" t="n">
        <v>49.83</v>
      </c>
      <c r="K28" s="5" t="n"/>
      <c r="L28" s="5" t="n"/>
      <c r="M28" s="5" t="n"/>
      <c r="N28" s="5" t="n"/>
      <c r="O28" s="5" t="n">
        <v>299</v>
      </c>
      <c r="P28" s="5" t="n"/>
      <c r="Q28" s="5" t="n">
        <v>299</v>
      </c>
      <c r="R28" s="5" t="n"/>
      <c r="S28" s="5">
        <f>SUM(F28:I28)+N28</f>
        <v/>
      </c>
      <c r="T28" s="5">
        <f>J28</f>
        <v/>
      </c>
      <c r="U28" s="6">
        <f>YEAR(D28)</f>
        <v/>
      </c>
      <c r="V28" s="5">
        <f>TEXT(D28,"yyyy-mm")</f>
        <v/>
      </c>
    </row>
    <row r="29">
      <c r="A29" s="2" t="inlineStr">
        <is>
          <t>EJ010223.TXT</t>
        </is>
      </c>
      <c r="B29" s="3" t="inlineStr">
        <is>
          <t>001004</t>
        </is>
      </c>
      <c r="C29" s="3" t="inlineStr">
        <is>
          <t>000636</t>
        </is>
      </c>
      <c r="D29" s="4" t="n">
        <v>44951</v>
      </c>
      <c r="E29" s="2" t="inlineStr">
        <is>
          <t>16:08</t>
        </is>
      </c>
      <c r="F29" s="5" t="n">
        <v>498.33</v>
      </c>
      <c r="G29" s="5" t="n"/>
      <c r="H29" s="5" t="n"/>
      <c r="I29" s="5" t="n"/>
      <c r="J29" s="5" t="n">
        <v>99.67</v>
      </c>
      <c r="K29" s="5" t="n"/>
      <c r="L29" s="5" t="n"/>
      <c r="M29" s="5" t="n"/>
      <c r="N29" s="5" t="n"/>
      <c r="O29" s="5" t="n">
        <v>598</v>
      </c>
      <c r="P29" s="5" t="n">
        <v>598</v>
      </c>
      <c r="Q29" s="5" t="n"/>
      <c r="R29" s="5" t="n"/>
      <c r="S29" s="5">
        <f>SUM(F29:I29)+N29</f>
        <v/>
      </c>
      <c r="T29" s="5">
        <f>J29</f>
        <v/>
      </c>
      <c r="U29" s="6">
        <f>YEAR(D29)</f>
        <v/>
      </c>
      <c r="V29" s="5">
        <f>TEXT(D29,"yyyy-mm")</f>
        <v/>
      </c>
    </row>
    <row r="30">
      <c r="A30" s="2" t="inlineStr">
        <is>
          <t>EJ010223.TXT</t>
        </is>
      </c>
      <c r="B30" s="3" t="inlineStr">
        <is>
          <t>001005</t>
        </is>
      </c>
      <c r="C30" s="3" t="inlineStr">
        <is>
          <t>000637</t>
        </is>
      </c>
      <c r="D30" s="4" t="n">
        <v>44951</v>
      </c>
      <c r="E30" s="2" t="inlineStr">
        <is>
          <t>16:46</t>
        </is>
      </c>
      <c r="F30" s="5" t="n">
        <v>498.33</v>
      </c>
      <c r="G30" s="5" t="n"/>
      <c r="H30" s="5" t="n"/>
      <c r="I30" s="5" t="n"/>
      <c r="J30" s="5" t="n">
        <v>99.67</v>
      </c>
      <c r="K30" s="5" t="n"/>
      <c r="L30" s="5" t="n"/>
      <c r="M30" s="5" t="n"/>
      <c r="N30" s="5" t="n"/>
      <c r="O30" s="5" t="n">
        <v>598</v>
      </c>
      <c r="P30" s="5" t="n"/>
      <c r="Q30" s="5" t="n">
        <v>598</v>
      </c>
      <c r="R30" s="5" t="n"/>
      <c r="S30" s="5">
        <f>SUM(F30:I30)+N30</f>
        <v/>
      </c>
      <c r="T30" s="5">
        <f>J30</f>
        <v/>
      </c>
      <c r="U30" s="6">
        <f>YEAR(D30)</f>
        <v/>
      </c>
      <c r="V30" s="5">
        <f>TEXT(D30,"yyyy-mm")</f>
        <v/>
      </c>
    </row>
    <row r="31">
      <c r="A31" s="2" t="inlineStr">
        <is>
          <t>EJ010223.TXT</t>
        </is>
      </c>
      <c r="B31" s="3" t="inlineStr">
        <is>
          <t>001006</t>
        </is>
      </c>
      <c r="C31" s="3" t="inlineStr">
        <is>
          <t>000638</t>
        </is>
      </c>
      <c r="D31" s="4" t="n">
        <v>44952</v>
      </c>
      <c r="E31" s="2" t="inlineStr">
        <is>
          <t>16:05</t>
        </is>
      </c>
      <c r="F31" s="5" t="n">
        <v>498.33</v>
      </c>
      <c r="G31" s="5" t="n"/>
      <c r="H31" s="5" t="n"/>
      <c r="I31" s="5" t="n"/>
      <c r="J31" s="5" t="n">
        <v>99.67</v>
      </c>
      <c r="K31" s="5" t="n"/>
      <c r="L31" s="5" t="n"/>
      <c r="M31" s="5" t="n"/>
      <c r="N31" s="5" t="n"/>
      <c r="O31" s="5" t="n">
        <v>598</v>
      </c>
      <c r="P31" s="5" t="n"/>
      <c r="Q31" s="5" t="n">
        <v>598</v>
      </c>
      <c r="R31" s="5" t="n"/>
      <c r="S31" s="5">
        <f>SUM(F31:I31)+N31</f>
        <v/>
      </c>
      <c r="T31" s="5">
        <f>J31</f>
        <v/>
      </c>
      <c r="U31" s="6">
        <f>YEAR(D31)</f>
        <v/>
      </c>
      <c r="V31" s="5">
        <f>TEXT(D31,"yyyy-mm")</f>
        <v/>
      </c>
    </row>
    <row r="32">
      <c r="A32" s="2" t="inlineStr">
        <is>
          <t>EJ010223.TXT</t>
        </is>
      </c>
      <c r="B32" s="3" t="inlineStr">
        <is>
          <t>001007</t>
        </is>
      </c>
      <c r="C32" s="3" t="inlineStr">
        <is>
          <t>000639</t>
        </is>
      </c>
      <c r="D32" s="4" t="n">
        <v>44953</v>
      </c>
      <c r="E32" s="2" t="inlineStr">
        <is>
          <t>13:19</t>
        </is>
      </c>
      <c r="F32" s="5" t="n">
        <v>498.33</v>
      </c>
      <c r="G32" s="5" t="n"/>
      <c r="H32" s="5" t="n"/>
      <c r="I32" s="5" t="n"/>
      <c r="J32" s="5" t="n">
        <v>99.67</v>
      </c>
      <c r="K32" s="5" t="n"/>
      <c r="L32" s="5" t="n"/>
      <c r="M32" s="5" t="n"/>
      <c r="N32" s="5" t="n"/>
      <c r="O32" s="5" t="n">
        <v>598</v>
      </c>
      <c r="P32" s="5" t="n">
        <v>598</v>
      </c>
      <c r="Q32" s="5" t="n"/>
      <c r="R32" s="5" t="n"/>
      <c r="S32" s="5">
        <f>SUM(F32:I32)+N32</f>
        <v/>
      </c>
      <c r="T32" s="5">
        <f>J32</f>
        <v/>
      </c>
      <c r="U32" s="6">
        <f>YEAR(D32)</f>
        <v/>
      </c>
      <c r="V32" s="5">
        <f>TEXT(D32,"yyyy-mm")</f>
        <v/>
      </c>
    </row>
    <row r="33">
      <c r="A33" s="2" t="inlineStr">
        <is>
          <t>EJ010223.TXT</t>
        </is>
      </c>
      <c r="B33" s="3" t="inlineStr">
        <is>
          <t>001008</t>
        </is>
      </c>
      <c r="C33" s="3" t="inlineStr">
        <is>
          <t>000640</t>
        </is>
      </c>
      <c r="D33" s="4" t="n">
        <v>44953</v>
      </c>
      <c r="E33" s="2" t="inlineStr">
        <is>
          <t>17:19</t>
        </is>
      </c>
      <c r="F33" s="5" t="n">
        <v>498.33</v>
      </c>
      <c r="G33" s="5" t="n"/>
      <c r="H33" s="5" t="n"/>
      <c r="I33" s="5" t="n"/>
      <c r="J33" s="5" t="n">
        <v>99.67</v>
      </c>
      <c r="K33" s="5" t="n"/>
      <c r="L33" s="5" t="n"/>
      <c r="M33" s="5" t="n"/>
      <c r="N33" s="5" t="n"/>
      <c r="O33" s="5" t="n">
        <v>598</v>
      </c>
      <c r="P33" s="5" t="n">
        <v>598</v>
      </c>
      <c r="Q33" s="5" t="n"/>
      <c r="R33" s="5" t="n"/>
      <c r="S33" s="5">
        <f>SUM(F33:I33)+N33</f>
        <v/>
      </c>
      <c r="T33" s="5">
        <f>J33</f>
        <v/>
      </c>
      <c r="U33" s="6">
        <f>YEAR(D33)</f>
        <v/>
      </c>
      <c r="V33" s="5">
        <f>TEXT(D33,"yyyy-mm")</f>
        <v/>
      </c>
    </row>
    <row r="34">
      <c r="A34" s="2" t="inlineStr">
        <is>
          <t>EJ010323.TXT</t>
        </is>
      </c>
      <c r="B34" s="3" t="inlineStr">
        <is>
          <t>001015</t>
        </is>
      </c>
      <c r="C34" s="3" t="inlineStr">
        <is>
          <t>000641</t>
        </is>
      </c>
      <c r="D34" s="4" t="n">
        <v>44958</v>
      </c>
      <c r="E34" s="2" t="inlineStr">
        <is>
          <t>15:26</t>
        </is>
      </c>
      <c r="F34" s="5" t="n">
        <v>24.83</v>
      </c>
      <c r="G34" s="5" t="n"/>
      <c r="H34" s="5" t="n"/>
      <c r="I34" s="5" t="n"/>
      <c r="J34" s="5" t="n">
        <v>4.97</v>
      </c>
      <c r="K34" s="5" t="n"/>
      <c r="L34" s="5" t="n"/>
      <c r="M34" s="5" t="n"/>
      <c r="N34" s="5" t="n"/>
      <c r="O34" s="5" t="n">
        <v>29.8</v>
      </c>
      <c r="P34" s="5" t="n"/>
      <c r="Q34" s="5" t="n">
        <v>29.8</v>
      </c>
      <c r="R34" s="5" t="n"/>
      <c r="S34" s="5">
        <f>SUM(F34:I34)+N34</f>
        <v/>
      </c>
      <c r="T34" s="5">
        <f>J34</f>
        <v/>
      </c>
      <c r="U34" s="6">
        <f>YEAR(D34)</f>
        <v/>
      </c>
      <c r="V34" s="5">
        <f>TEXT(D34,"yyyy-mm")</f>
        <v/>
      </c>
    </row>
    <row r="35">
      <c r="A35" s="2" t="inlineStr">
        <is>
          <t>EJ010323.TXT</t>
        </is>
      </c>
      <c r="B35" s="3" t="inlineStr">
        <is>
          <t>001017</t>
        </is>
      </c>
      <c r="C35" s="3" t="inlineStr">
        <is>
          <t>000642</t>
        </is>
      </c>
      <c r="D35" s="4" t="n">
        <v>44959</v>
      </c>
      <c r="E35" s="2" t="inlineStr">
        <is>
          <t>12:55</t>
        </is>
      </c>
      <c r="F35" s="5" t="n">
        <v>274.17</v>
      </c>
      <c r="G35" s="5" t="n"/>
      <c r="H35" s="5" t="n"/>
      <c r="I35" s="5" t="n"/>
      <c r="J35" s="5" t="n">
        <v>54.83</v>
      </c>
      <c r="K35" s="5" t="n"/>
      <c r="L35" s="5" t="n"/>
      <c r="M35" s="5" t="n"/>
      <c r="N35" s="5" t="n"/>
      <c r="O35" s="5" t="n">
        <v>329</v>
      </c>
      <c r="P35" s="5" t="n">
        <v>329</v>
      </c>
      <c r="Q35" s="5" t="n"/>
      <c r="R35" s="5" t="n"/>
      <c r="S35" s="5">
        <f>SUM(F35:I35)+N35</f>
        <v/>
      </c>
      <c r="T35" s="5">
        <f>J35</f>
        <v/>
      </c>
      <c r="U35" s="6">
        <f>YEAR(D35)</f>
        <v/>
      </c>
      <c r="V35" s="5">
        <f>TEXT(D35,"yyyy-mm")</f>
        <v/>
      </c>
    </row>
    <row r="36">
      <c r="A36" s="2" t="inlineStr">
        <is>
          <t>EJ010323.TXT</t>
        </is>
      </c>
      <c r="B36" s="3" t="inlineStr">
        <is>
          <t>001020</t>
        </is>
      </c>
      <c r="C36" s="3" t="inlineStr">
        <is>
          <t>000643</t>
        </is>
      </c>
      <c r="D36" s="4" t="n">
        <v>44959</v>
      </c>
      <c r="E36" s="2" t="inlineStr">
        <is>
          <t>14:04</t>
        </is>
      </c>
      <c r="F36" s="5" t="n">
        <v>274.17</v>
      </c>
      <c r="G36" s="5" t="n"/>
      <c r="H36" s="5" t="n"/>
      <c r="I36" s="5" t="n"/>
      <c r="J36" s="5" t="n">
        <v>54.83</v>
      </c>
      <c r="K36" s="5" t="n"/>
      <c r="L36" s="5" t="n"/>
      <c r="M36" s="5" t="n"/>
      <c r="N36" s="5" t="n"/>
      <c r="O36" s="5" t="n">
        <v>329</v>
      </c>
      <c r="P36" s="5" t="n"/>
      <c r="Q36" s="5" t="n">
        <v>329</v>
      </c>
      <c r="R36" s="5" t="n"/>
      <c r="S36" s="5">
        <f>SUM(F36:I36)+N36</f>
        <v/>
      </c>
      <c r="T36" s="5">
        <f>J36</f>
        <v/>
      </c>
      <c r="U36" s="6">
        <f>YEAR(D36)</f>
        <v/>
      </c>
      <c r="V36" s="5">
        <f>TEXT(D36,"yyyy-mm")</f>
        <v/>
      </c>
    </row>
    <row r="37">
      <c r="A37" s="2" t="inlineStr">
        <is>
          <t>EJ010323.TXT</t>
        </is>
      </c>
      <c r="B37" s="3" t="inlineStr">
        <is>
          <t>001021</t>
        </is>
      </c>
      <c r="C37" s="3" t="inlineStr">
        <is>
          <t>000644</t>
        </is>
      </c>
      <c r="D37" s="4" t="n">
        <v>44961</v>
      </c>
      <c r="E37" s="2" t="inlineStr">
        <is>
          <t>15:31</t>
        </is>
      </c>
      <c r="F37" s="5" t="n">
        <v>548.33</v>
      </c>
      <c r="G37" s="5" t="n"/>
      <c r="H37" s="5" t="n"/>
      <c r="I37" s="5" t="n"/>
      <c r="J37" s="5" t="n">
        <v>109.67</v>
      </c>
      <c r="K37" s="5" t="n"/>
      <c r="L37" s="5" t="n"/>
      <c r="M37" s="5" t="n"/>
      <c r="N37" s="5" t="n"/>
      <c r="O37" s="5" t="n">
        <v>658</v>
      </c>
      <c r="P37" s="5" t="n"/>
      <c r="Q37" s="5" t="n">
        <v>658</v>
      </c>
      <c r="R37" s="5" t="n"/>
      <c r="S37" s="5">
        <f>SUM(F37:I37)+N37</f>
        <v/>
      </c>
      <c r="T37" s="5">
        <f>J37</f>
        <v/>
      </c>
      <c r="U37" s="6">
        <f>YEAR(D37)</f>
        <v/>
      </c>
      <c r="V37" s="5">
        <f>TEXT(D37,"yyyy-mm")</f>
        <v/>
      </c>
    </row>
    <row r="38">
      <c r="A38" s="2" t="inlineStr">
        <is>
          <t>EJ010323.TXT</t>
        </is>
      </c>
      <c r="B38" s="3" t="inlineStr">
        <is>
          <t>001022</t>
        </is>
      </c>
      <c r="C38" s="3" t="inlineStr">
        <is>
          <t>000645</t>
        </is>
      </c>
      <c r="D38" s="4" t="n">
        <v>44961</v>
      </c>
      <c r="E38" s="2" t="inlineStr">
        <is>
          <t>15:34</t>
        </is>
      </c>
      <c r="F38" s="5" t="n">
        <v>548.33</v>
      </c>
      <c r="G38" s="5" t="n"/>
      <c r="H38" s="5" t="n"/>
      <c r="I38" s="5" t="n"/>
      <c r="J38" s="5" t="n">
        <v>109.67</v>
      </c>
      <c r="K38" s="5" t="n"/>
      <c r="L38" s="5" t="n"/>
      <c r="M38" s="5" t="n"/>
      <c r="N38" s="5" t="n"/>
      <c r="O38" s="5" t="n">
        <v>658</v>
      </c>
      <c r="P38" s="5" t="n">
        <v>658</v>
      </c>
      <c r="Q38" s="5" t="n"/>
      <c r="R38" s="5" t="n"/>
      <c r="S38" s="5">
        <f>SUM(F38:I38)+N38</f>
        <v/>
      </c>
      <c r="T38" s="5">
        <f>J38</f>
        <v/>
      </c>
      <c r="U38" s="6">
        <f>YEAR(D38)</f>
        <v/>
      </c>
      <c r="V38" s="5">
        <f>TEXT(D38,"yyyy-mm")</f>
        <v/>
      </c>
    </row>
    <row r="39">
      <c r="A39" s="2" t="inlineStr">
        <is>
          <t>EJ010323.TXT</t>
        </is>
      </c>
      <c r="B39" s="3" t="inlineStr">
        <is>
          <t>001023</t>
        </is>
      </c>
      <c r="C39" s="3" t="inlineStr">
        <is>
          <t>000646</t>
        </is>
      </c>
      <c r="D39" s="4" t="n">
        <v>44961</v>
      </c>
      <c r="E39" s="2" t="inlineStr">
        <is>
          <t>16:26</t>
        </is>
      </c>
      <c r="F39" s="5" t="n">
        <v>822.5</v>
      </c>
      <c r="G39" s="5" t="n"/>
      <c r="H39" s="5" t="n"/>
      <c r="I39" s="5" t="n"/>
      <c r="J39" s="5" t="n">
        <v>164.5</v>
      </c>
      <c r="K39" s="5" t="n"/>
      <c r="L39" s="5" t="n"/>
      <c r="M39" s="5" t="n"/>
      <c r="N39" s="5" t="n"/>
      <c r="O39" s="5" t="n">
        <v>987</v>
      </c>
      <c r="P39" s="5" t="n"/>
      <c r="Q39" s="5" t="n">
        <v>987</v>
      </c>
      <c r="R39" s="5" t="n"/>
      <c r="S39" s="5">
        <f>SUM(F39:I39)+N39</f>
        <v/>
      </c>
      <c r="T39" s="5">
        <f>J39</f>
        <v/>
      </c>
      <c r="U39" s="6">
        <f>YEAR(D39)</f>
        <v/>
      </c>
      <c r="V39" s="5">
        <f>TEXT(D39,"yyyy-mm")</f>
        <v/>
      </c>
    </row>
    <row r="40">
      <c r="A40" s="2" t="inlineStr">
        <is>
          <t>EJ010323.TXT</t>
        </is>
      </c>
      <c r="B40" s="3" t="inlineStr">
        <is>
          <t>001024</t>
        </is>
      </c>
      <c r="C40" s="3" t="inlineStr">
        <is>
          <t>000647</t>
        </is>
      </c>
      <c r="D40" s="4" t="n">
        <v>44961</v>
      </c>
      <c r="E40" s="2" t="inlineStr">
        <is>
          <t>16:35</t>
        </is>
      </c>
      <c r="F40" s="5" t="n">
        <v>548.33</v>
      </c>
      <c r="G40" s="5" t="n"/>
      <c r="H40" s="5" t="n"/>
      <c r="I40" s="5" t="n"/>
      <c r="J40" s="5" t="n">
        <v>109.67</v>
      </c>
      <c r="K40" s="5" t="n"/>
      <c r="L40" s="5" t="n"/>
      <c r="M40" s="5" t="n"/>
      <c r="N40" s="5" t="n"/>
      <c r="O40" s="5" t="n">
        <v>658</v>
      </c>
      <c r="P40" s="5" t="n">
        <v>658</v>
      </c>
      <c r="Q40" s="5" t="n"/>
      <c r="R40" s="5" t="n"/>
      <c r="S40" s="5">
        <f>SUM(F40:I40)+N40</f>
        <v/>
      </c>
      <c r="T40" s="5">
        <f>J40</f>
        <v/>
      </c>
      <c r="U40" s="6">
        <f>YEAR(D40)</f>
        <v/>
      </c>
      <c r="V40" s="5">
        <f>TEXT(D40,"yyyy-mm")</f>
        <v/>
      </c>
    </row>
    <row r="41">
      <c r="A41" s="2" t="inlineStr">
        <is>
          <t>EJ010323.TXT</t>
        </is>
      </c>
      <c r="B41" s="3" t="inlineStr">
        <is>
          <t>001025</t>
        </is>
      </c>
      <c r="C41" s="3" t="inlineStr">
        <is>
          <t>000648</t>
        </is>
      </c>
      <c r="D41" s="4" t="n">
        <v>44963</v>
      </c>
      <c r="E41" s="2" t="inlineStr">
        <is>
          <t>13:29</t>
        </is>
      </c>
      <c r="F41" s="5" t="n">
        <v>1495</v>
      </c>
      <c r="G41" s="5" t="n"/>
      <c r="H41" s="5" t="n"/>
      <c r="I41" s="5" t="n"/>
      <c r="J41" s="5" t="n">
        <v>299</v>
      </c>
      <c r="K41" s="5" t="n"/>
      <c r="L41" s="5" t="n"/>
      <c r="M41" s="5" t="n"/>
      <c r="N41" s="5" t="n"/>
      <c r="O41" s="5" t="n">
        <v>1794</v>
      </c>
      <c r="P41" s="5" t="n">
        <v>1794</v>
      </c>
      <c r="Q41" s="5" t="n"/>
      <c r="R41" s="5" t="n"/>
      <c r="S41" s="5">
        <f>SUM(F41:I41)+N41</f>
        <v/>
      </c>
      <c r="T41" s="5">
        <f>J41</f>
        <v/>
      </c>
      <c r="U41" s="6">
        <f>YEAR(D41)</f>
        <v/>
      </c>
      <c r="V41" s="5">
        <f>TEXT(D41,"yyyy-mm")</f>
        <v/>
      </c>
    </row>
    <row r="42">
      <c r="A42" s="2" t="inlineStr">
        <is>
          <t>EJ010323.TXT</t>
        </is>
      </c>
      <c r="B42" s="3" t="inlineStr">
        <is>
          <t>001026</t>
        </is>
      </c>
      <c r="C42" s="3" t="inlineStr">
        <is>
          <t>000649</t>
        </is>
      </c>
      <c r="D42" s="4" t="n">
        <v>44963</v>
      </c>
      <c r="E42" s="2" t="inlineStr">
        <is>
          <t>17:56</t>
        </is>
      </c>
      <c r="F42" s="5" t="n">
        <v>897.5</v>
      </c>
      <c r="G42" s="5" t="n"/>
      <c r="H42" s="5" t="n"/>
      <c r="I42" s="5" t="n"/>
      <c r="J42" s="5" t="n">
        <v>179.5</v>
      </c>
      <c r="K42" s="5" t="n"/>
      <c r="L42" s="5" t="n"/>
      <c r="M42" s="5" t="n"/>
      <c r="N42" s="5" t="n"/>
      <c r="O42" s="5" t="n">
        <v>1077</v>
      </c>
      <c r="P42" s="5" t="n"/>
      <c r="Q42" s="5" t="n">
        <v>1077</v>
      </c>
      <c r="R42" s="5" t="n"/>
      <c r="S42" s="5">
        <f>SUM(F42:I42)+N42</f>
        <v/>
      </c>
      <c r="T42" s="5">
        <f>J42</f>
        <v/>
      </c>
      <c r="U42" s="6">
        <f>YEAR(D42)</f>
        <v/>
      </c>
      <c r="V42" s="5">
        <f>TEXT(D42,"yyyy-mm")</f>
        <v/>
      </c>
    </row>
    <row r="43">
      <c r="A43" s="2" t="inlineStr">
        <is>
          <t>EJ010323.TXT</t>
        </is>
      </c>
      <c r="B43" s="3" t="inlineStr">
        <is>
          <t>001027</t>
        </is>
      </c>
      <c r="C43" s="3" t="inlineStr">
        <is>
          <t>000650</t>
        </is>
      </c>
      <c r="D43" s="4" t="n">
        <v>44966</v>
      </c>
      <c r="E43" s="2" t="inlineStr">
        <is>
          <t>15:16</t>
        </is>
      </c>
      <c r="F43" s="5" t="n">
        <v>548.33</v>
      </c>
      <c r="G43" s="5" t="n"/>
      <c r="H43" s="5" t="n"/>
      <c r="I43" s="5" t="n"/>
      <c r="J43" s="5" t="n">
        <v>109.67</v>
      </c>
      <c r="K43" s="5" t="n"/>
      <c r="L43" s="5" t="n"/>
      <c r="M43" s="5" t="n"/>
      <c r="N43" s="5" t="n"/>
      <c r="O43" s="5" t="n">
        <v>658</v>
      </c>
      <c r="P43" s="5" t="n">
        <v>58</v>
      </c>
      <c r="Q43" s="5" t="n">
        <v>600</v>
      </c>
      <c r="R43" s="5" t="n"/>
      <c r="S43" s="5">
        <f>SUM(F43:I43)+N43</f>
        <v/>
      </c>
      <c r="T43" s="5">
        <f>J43</f>
        <v/>
      </c>
      <c r="U43" s="6">
        <f>YEAR(D43)</f>
        <v/>
      </c>
      <c r="V43" s="5">
        <f>TEXT(D43,"yyyy-mm")</f>
        <v/>
      </c>
    </row>
    <row r="44">
      <c r="A44" s="2" t="inlineStr">
        <is>
          <t>EJ010323.TXT</t>
        </is>
      </c>
      <c r="B44" s="3" t="inlineStr">
        <is>
          <t>001029</t>
        </is>
      </c>
      <c r="C44" s="3" t="inlineStr">
        <is>
          <t>000651</t>
        </is>
      </c>
      <c r="D44" s="4" t="n">
        <v>44967</v>
      </c>
      <c r="E44" s="2" t="inlineStr">
        <is>
          <t>17:03</t>
        </is>
      </c>
      <c r="F44" s="5" t="n">
        <v>1449.17</v>
      </c>
      <c r="G44" s="5" t="n"/>
      <c r="H44" s="5" t="n"/>
      <c r="I44" s="5" t="n"/>
      <c r="J44" s="5" t="n">
        <v>289.83</v>
      </c>
      <c r="K44" s="5" t="n"/>
      <c r="L44" s="5" t="n"/>
      <c r="M44" s="5" t="n"/>
      <c r="N44" s="5" t="n"/>
      <c r="O44" s="5" t="n">
        <v>1739</v>
      </c>
      <c r="P44" s="5" t="n">
        <v>1739</v>
      </c>
      <c r="Q44" s="5" t="n"/>
      <c r="R44" s="5" t="n"/>
      <c r="S44" s="5">
        <f>SUM(F44:I44)+N44</f>
        <v/>
      </c>
      <c r="T44" s="5">
        <f>J44</f>
        <v/>
      </c>
      <c r="U44" s="6">
        <f>YEAR(D44)</f>
        <v/>
      </c>
      <c r="V44" s="5">
        <f>TEXT(D44,"yyyy-mm")</f>
        <v/>
      </c>
    </row>
    <row r="45">
      <c r="A45" s="2" t="inlineStr">
        <is>
          <t>EJ010323.TXT</t>
        </is>
      </c>
      <c r="B45" s="3" t="inlineStr">
        <is>
          <t>001030</t>
        </is>
      </c>
      <c r="C45" s="3" t="inlineStr">
        <is>
          <t>000652</t>
        </is>
      </c>
      <c r="D45" s="4" t="n">
        <v>44970</v>
      </c>
      <c r="E45" s="2" t="inlineStr">
        <is>
          <t>11:49</t>
        </is>
      </c>
      <c r="F45" s="5" t="n">
        <v>646.67</v>
      </c>
      <c r="G45" s="5" t="n"/>
      <c r="H45" s="5" t="n"/>
      <c r="I45" s="5" t="n"/>
      <c r="J45" s="5" t="n">
        <v>129.33</v>
      </c>
      <c r="K45" s="5" t="n"/>
      <c r="L45" s="5" t="n"/>
      <c r="M45" s="5" t="n"/>
      <c r="N45" s="5" t="n"/>
      <c r="O45" s="5" t="n">
        <v>776</v>
      </c>
      <c r="P45" s="5" t="n"/>
      <c r="Q45" s="5" t="n">
        <v>776</v>
      </c>
      <c r="R45" s="5" t="n"/>
      <c r="S45" s="5">
        <f>SUM(F45:I45)+N45</f>
        <v/>
      </c>
      <c r="T45" s="5">
        <f>J45</f>
        <v/>
      </c>
      <c r="U45" s="6">
        <f>YEAR(D45)</f>
        <v/>
      </c>
      <c r="V45" s="5">
        <f>TEXT(D45,"yyyy-mm")</f>
        <v/>
      </c>
    </row>
    <row r="46">
      <c r="A46" s="2" t="inlineStr">
        <is>
          <t>EJ010323.TXT</t>
        </is>
      </c>
      <c r="B46" s="3" t="inlineStr">
        <is>
          <t>001031</t>
        </is>
      </c>
      <c r="C46" s="3" t="inlineStr">
        <is>
          <t>000653</t>
        </is>
      </c>
      <c r="D46" s="4" t="n">
        <v>44972</v>
      </c>
      <c r="E46" s="2" t="inlineStr">
        <is>
          <t>10:22</t>
        </is>
      </c>
      <c r="F46" s="5" t="n">
        <v>1600</v>
      </c>
      <c r="G46" s="5" t="n"/>
      <c r="H46" s="5" t="n"/>
      <c r="I46" s="5" t="n"/>
      <c r="J46" s="5" t="n">
        <v>320</v>
      </c>
      <c r="K46" s="5" t="n"/>
      <c r="L46" s="5" t="n"/>
      <c r="M46" s="5" t="n"/>
      <c r="N46" s="5" t="n"/>
      <c r="O46" s="5" t="n">
        <v>1920</v>
      </c>
      <c r="P46" s="5" t="n">
        <v>920</v>
      </c>
      <c r="Q46" s="5" t="n">
        <v>1000</v>
      </c>
      <c r="R46" s="5" t="n"/>
      <c r="S46" s="5">
        <f>SUM(F46:I46)+N46</f>
        <v/>
      </c>
      <c r="T46" s="5">
        <f>J46</f>
        <v/>
      </c>
      <c r="U46" s="6">
        <f>YEAR(D46)</f>
        <v/>
      </c>
      <c r="V46" s="5">
        <f>TEXT(D46,"yyyy-mm")</f>
        <v/>
      </c>
    </row>
    <row r="47">
      <c r="A47" s="2" t="inlineStr">
        <is>
          <t>EJ010323.TXT</t>
        </is>
      </c>
      <c r="B47" s="3" t="inlineStr">
        <is>
          <t>001033</t>
        </is>
      </c>
      <c r="C47" s="3" t="inlineStr">
        <is>
          <t>000654</t>
        </is>
      </c>
      <c r="D47" s="4" t="n">
        <v>44972</v>
      </c>
      <c r="E47" s="2" t="inlineStr">
        <is>
          <t>10:50</t>
        </is>
      </c>
      <c r="F47" s="5" t="n">
        <v>274.17</v>
      </c>
      <c r="G47" s="5" t="n"/>
      <c r="H47" s="5" t="n"/>
      <c r="I47" s="5" t="n"/>
      <c r="J47" s="5" t="n">
        <v>54.83</v>
      </c>
      <c r="K47" s="5" t="n"/>
      <c r="L47" s="5" t="n"/>
      <c r="M47" s="5" t="n"/>
      <c r="N47" s="5" t="n"/>
      <c r="O47" s="5" t="n">
        <v>329</v>
      </c>
      <c r="P47" s="5" t="n"/>
      <c r="Q47" s="5" t="n"/>
      <c r="R47" s="5" t="n">
        <v>329</v>
      </c>
      <c r="S47" s="5">
        <f>SUM(F47:I47)+N47</f>
        <v/>
      </c>
      <c r="T47" s="5">
        <f>J47</f>
        <v/>
      </c>
      <c r="U47" s="6">
        <f>YEAR(D47)</f>
        <v/>
      </c>
      <c r="V47" s="5">
        <f>TEXT(D47,"yyyy-mm")</f>
        <v/>
      </c>
    </row>
    <row r="48">
      <c r="A48" s="2" t="inlineStr">
        <is>
          <t>EJ010323.TXT</t>
        </is>
      </c>
      <c r="B48" s="3" t="inlineStr">
        <is>
          <t>001034</t>
        </is>
      </c>
      <c r="C48" s="3" t="inlineStr">
        <is>
          <t>000655</t>
        </is>
      </c>
      <c r="D48" s="4" t="n">
        <v>44972</v>
      </c>
      <c r="E48" s="2" t="inlineStr">
        <is>
          <t>13:58</t>
        </is>
      </c>
      <c r="F48" s="5" t="n">
        <v>465</v>
      </c>
      <c r="G48" s="5" t="n"/>
      <c r="H48" s="5" t="n"/>
      <c r="I48" s="5" t="n"/>
      <c r="J48" s="5" t="n">
        <v>93</v>
      </c>
      <c r="K48" s="5" t="n"/>
      <c r="L48" s="5" t="n"/>
      <c r="M48" s="5" t="n"/>
      <c r="N48" s="5" t="n"/>
      <c r="O48" s="5" t="n">
        <v>558</v>
      </c>
      <c r="P48" s="5" t="n">
        <v>558</v>
      </c>
      <c r="Q48" s="5" t="n"/>
      <c r="R48" s="5" t="n"/>
      <c r="S48" s="5">
        <f>SUM(F48:I48)+N48</f>
        <v/>
      </c>
      <c r="T48" s="5">
        <f>J48</f>
        <v/>
      </c>
      <c r="U48" s="6">
        <f>YEAR(D48)</f>
        <v/>
      </c>
      <c r="V48" s="5">
        <f>TEXT(D48,"yyyy-mm")</f>
        <v/>
      </c>
    </row>
    <row r="49">
      <c r="A49" s="2" t="inlineStr">
        <is>
          <t>EJ010323.TXT</t>
        </is>
      </c>
      <c r="B49" s="3" t="inlineStr">
        <is>
          <t>001035</t>
        </is>
      </c>
      <c r="C49" s="3" t="inlineStr">
        <is>
          <t>000656</t>
        </is>
      </c>
      <c r="D49" s="4" t="n">
        <v>44972</v>
      </c>
      <c r="E49" s="2" t="inlineStr">
        <is>
          <t>15:51</t>
        </is>
      </c>
      <c r="F49" s="5" t="n">
        <v>548.33</v>
      </c>
      <c r="G49" s="5" t="n"/>
      <c r="H49" s="5" t="n"/>
      <c r="I49" s="5" t="n"/>
      <c r="J49" s="5" t="n">
        <v>109.67</v>
      </c>
      <c r="K49" s="5" t="n"/>
      <c r="L49" s="5" t="n"/>
      <c r="M49" s="5" t="n"/>
      <c r="N49" s="5" t="n"/>
      <c r="O49" s="5" t="n">
        <v>658</v>
      </c>
      <c r="P49" s="5" t="n">
        <v>158</v>
      </c>
      <c r="Q49" s="5" t="n">
        <v>500</v>
      </c>
      <c r="R49" s="5" t="n"/>
      <c r="S49" s="5">
        <f>SUM(F49:I49)+N49</f>
        <v/>
      </c>
      <c r="T49" s="5">
        <f>J49</f>
        <v/>
      </c>
      <c r="U49" s="6">
        <f>YEAR(D49)</f>
        <v/>
      </c>
      <c r="V49" s="5">
        <f>TEXT(D49,"yyyy-mm")</f>
        <v/>
      </c>
    </row>
    <row r="50">
      <c r="A50" s="2" t="inlineStr">
        <is>
          <t>EJ010323.TXT</t>
        </is>
      </c>
      <c r="B50" s="3" t="inlineStr">
        <is>
          <t>001038</t>
        </is>
      </c>
      <c r="C50" s="3" t="inlineStr">
        <is>
          <t>000657</t>
        </is>
      </c>
      <c r="D50" s="4" t="n">
        <v>44974</v>
      </c>
      <c r="E50" s="2" t="inlineStr">
        <is>
          <t>13:43</t>
        </is>
      </c>
      <c r="F50" s="5" t="n">
        <v>548.33</v>
      </c>
      <c r="G50" s="5" t="n"/>
      <c r="H50" s="5" t="n"/>
      <c r="I50" s="5" t="n"/>
      <c r="J50" s="5" t="n">
        <v>109.67</v>
      </c>
      <c r="K50" s="5" t="n"/>
      <c r="L50" s="5" t="n"/>
      <c r="M50" s="5" t="n"/>
      <c r="N50" s="5" t="n"/>
      <c r="O50" s="5" t="n">
        <v>658</v>
      </c>
      <c r="P50" s="5" t="n"/>
      <c r="Q50" s="5" t="n">
        <v>658</v>
      </c>
      <c r="R50" s="5" t="n"/>
      <c r="S50" s="5">
        <f>SUM(F50:I50)+N50</f>
        <v/>
      </c>
      <c r="T50" s="5">
        <f>J50</f>
        <v/>
      </c>
      <c r="U50" s="6">
        <f>YEAR(D50)</f>
        <v/>
      </c>
      <c r="V50" s="5">
        <f>TEXT(D50,"yyyy-mm")</f>
        <v/>
      </c>
    </row>
    <row r="51">
      <c r="A51" s="2" t="inlineStr">
        <is>
          <t>EJ010323.TXT</t>
        </is>
      </c>
      <c r="B51" s="3" t="inlineStr">
        <is>
          <t>001039</t>
        </is>
      </c>
      <c r="C51" s="3" t="inlineStr">
        <is>
          <t>000658</t>
        </is>
      </c>
      <c r="D51" s="4" t="n">
        <v>44974</v>
      </c>
      <c r="E51" s="2" t="inlineStr">
        <is>
          <t>13:43</t>
        </is>
      </c>
      <c r="F51" s="5" t="n">
        <v>548.33</v>
      </c>
      <c r="G51" s="5" t="n"/>
      <c r="H51" s="5" t="n"/>
      <c r="I51" s="5" t="n"/>
      <c r="J51" s="5" t="n">
        <v>109.67</v>
      </c>
      <c r="K51" s="5" t="n"/>
      <c r="L51" s="5" t="n"/>
      <c r="M51" s="5" t="n"/>
      <c r="N51" s="5" t="n"/>
      <c r="O51" s="5" t="n">
        <v>658</v>
      </c>
      <c r="P51" s="5" t="n"/>
      <c r="Q51" s="5" t="n">
        <v>658</v>
      </c>
      <c r="R51" s="5" t="n"/>
      <c r="S51" s="5">
        <f>SUM(F51:I51)+N51</f>
        <v/>
      </c>
      <c r="T51" s="5">
        <f>J51</f>
        <v/>
      </c>
      <c r="U51" s="6">
        <f>YEAR(D51)</f>
        <v/>
      </c>
      <c r="V51" s="5">
        <f>TEXT(D51,"yyyy-mm")</f>
        <v/>
      </c>
    </row>
    <row r="52">
      <c r="A52" s="2" t="inlineStr">
        <is>
          <t>EJ010323.TXT</t>
        </is>
      </c>
      <c r="B52" s="3" t="inlineStr">
        <is>
          <t>001040</t>
        </is>
      </c>
      <c r="C52" s="3" t="inlineStr">
        <is>
          <t>000659</t>
        </is>
      </c>
      <c r="D52" s="4" t="n">
        <v>44975</v>
      </c>
      <c r="E52" s="2" t="inlineStr">
        <is>
          <t>17:47</t>
        </is>
      </c>
      <c r="F52" s="5" t="n">
        <v>533.33</v>
      </c>
      <c r="G52" s="5" t="n"/>
      <c r="H52" s="5" t="n"/>
      <c r="I52" s="5" t="n"/>
      <c r="J52" s="5" t="n">
        <v>106.67</v>
      </c>
      <c r="K52" s="5" t="n"/>
      <c r="L52" s="5" t="n"/>
      <c r="M52" s="5" t="n"/>
      <c r="N52" s="5" t="n"/>
      <c r="O52" s="5" t="n">
        <v>640</v>
      </c>
      <c r="P52" s="5" t="n"/>
      <c r="Q52" s="5" t="n">
        <v>640</v>
      </c>
      <c r="R52" s="5" t="n"/>
      <c r="S52" s="5">
        <f>SUM(F52:I52)+N52</f>
        <v/>
      </c>
      <c r="T52" s="5">
        <f>J52</f>
        <v/>
      </c>
      <c r="U52" s="6">
        <f>YEAR(D52)</f>
        <v/>
      </c>
      <c r="V52" s="5">
        <f>TEXT(D52,"yyyy-mm")</f>
        <v/>
      </c>
    </row>
    <row r="53">
      <c r="A53" s="2" t="inlineStr">
        <is>
          <t>EJ010323.TXT</t>
        </is>
      </c>
      <c r="B53" s="3" t="inlineStr">
        <is>
          <t>001041</t>
        </is>
      </c>
      <c r="C53" s="3" t="inlineStr">
        <is>
          <t>000660</t>
        </is>
      </c>
      <c r="D53" s="4" t="n">
        <v>44978</v>
      </c>
      <c r="E53" s="2" t="inlineStr">
        <is>
          <t>11:02</t>
        </is>
      </c>
      <c r="F53" s="5" t="n">
        <v>548.33</v>
      </c>
      <c r="G53" s="5" t="n"/>
      <c r="H53" s="5" t="n"/>
      <c r="I53" s="5" t="n"/>
      <c r="J53" s="5" t="n">
        <v>109.67</v>
      </c>
      <c r="K53" s="5" t="n"/>
      <c r="L53" s="5" t="n"/>
      <c r="M53" s="5" t="n"/>
      <c r="N53" s="5" t="n"/>
      <c r="O53" s="5" t="n">
        <v>658</v>
      </c>
      <c r="P53" s="5" t="n">
        <v>658</v>
      </c>
      <c r="Q53" s="5" t="n"/>
      <c r="R53" s="5" t="n"/>
      <c r="S53" s="5">
        <f>SUM(F53:I53)+N53</f>
        <v/>
      </c>
      <c r="T53" s="5">
        <f>J53</f>
        <v/>
      </c>
      <c r="U53" s="6">
        <f>YEAR(D53)</f>
        <v/>
      </c>
      <c r="V53" s="5">
        <f>TEXT(D53,"yyyy-mm")</f>
        <v/>
      </c>
    </row>
    <row r="54">
      <c r="A54" s="2" t="inlineStr">
        <is>
          <t>EJ010323.TXT</t>
        </is>
      </c>
      <c r="B54" s="3" t="inlineStr">
        <is>
          <t>001042</t>
        </is>
      </c>
      <c r="C54" s="3" t="inlineStr">
        <is>
          <t>000661</t>
        </is>
      </c>
      <c r="D54" s="4" t="n">
        <v>44978</v>
      </c>
      <c r="E54" s="2" t="inlineStr">
        <is>
          <t>11:03</t>
        </is>
      </c>
      <c r="F54" s="5" t="n">
        <v>548.33</v>
      </c>
      <c r="G54" s="5" t="n"/>
      <c r="H54" s="5" t="n"/>
      <c r="I54" s="5" t="n"/>
      <c r="J54" s="5" t="n">
        <v>109.67</v>
      </c>
      <c r="K54" s="5" t="n"/>
      <c r="L54" s="5" t="n"/>
      <c r="M54" s="5" t="n"/>
      <c r="N54" s="5" t="n"/>
      <c r="O54" s="5" t="n">
        <v>658</v>
      </c>
      <c r="P54" s="5" t="n">
        <v>658</v>
      </c>
      <c r="Q54" s="5" t="n"/>
      <c r="R54" s="5" t="n"/>
      <c r="S54" s="5">
        <f>SUM(F54:I54)+N54</f>
        <v/>
      </c>
      <c r="T54" s="5">
        <f>J54</f>
        <v/>
      </c>
      <c r="U54" s="6">
        <f>YEAR(D54)</f>
        <v/>
      </c>
      <c r="V54" s="5">
        <f>TEXT(D54,"yyyy-mm")</f>
        <v/>
      </c>
    </row>
    <row r="55">
      <c r="A55" s="2" t="inlineStr">
        <is>
          <t>EJ010323.TXT</t>
        </is>
      </c>
      <c r="B55" s="3" t="inlineStr">
        <is>
          <t>001043</t>
        </is>
      </c>
      <c r="C55" s="3" t="inlineStr">
        <is>
          <t>000662</t>
        </is>
      </c>
      <c r="D55" s="4" t="n">
        <v>44978</v>
      </c>
      <c r="E55" s="2" t="inlineStr">
        <is>
          <t>11:09</t>
        </is>
      </c>
      <c r="F55" s="5" t="n">
        <v>274.17</v>
      </c>
      <c r="G55" s="5" t="n"/>
      <c r="H55" s="5" t="n"/>
      <c r="I55" s="5" t="n"/>
      <c r="J55" s="5" t="n">
        <v>54.83</v>
      </c>
      <c r="K55" s="5" t="n"/>
      <c r="L55" s="5" t="n"/>
      <c r="M55" s="5" t="n"/>
      <c r="N55" s="5" t="n"/>
      <c r="O55" s="5" t="n">
        <v>329</v>
      </c>
      <c r="P55" s="5" t="n">
        <v>329</v>
      </c>
      <c r="Q55" s="5" t="n"/>
      <c r="R55" s="5" t="n"/>
      <c r="S55" s="5">
        <f>SUM(F55:I55)+N55</f>
        <v/>
      </c>
      <c r="T55" s="5">
        <f>J55</f>
        <v/>
      </c>
      <c r="U55" s="6">
        <f>YEAR(D55)</f>
        <v/>
      </c>
      <c r="V55" s="5">
        <f>TEXT(D55,"yyyy-mm")</f>
        <v/>
      </c>
    </row>
    <row r="56">
      <c r="A56" s="2" t="inlineStr">
        <is>
          <t>EJ010323.TXT</t>
        </is>
      </c>
      <c r="B56" s="3" t="inlineStr">
        <is>
          <t>001044</t>
        </is>
      </c>
      <c r="C56" s="3" t="inlineStr">
        <is>
          <t>000663</t>
        </is>
      </c>
      <c r="D56" s="4" t="n">
        <v>44978</v>
      </c>
      <c r="E56" s="2" t="inlineStr">
        <is>
          <t>13:53</t>
        </is>
      </c>
      <c r="F56" s="5" t="n">
        <v>2466.67</v>
      </c>
      <c r="G56" s="5" t="n"/>
      <c r="H56" s="5" t="n"/>
      <c r="I56" s="5" t="n"/>
      <c r="J56" s="5" t="n">
        <v>493.33</v>
      </c>
      <c r="K56" s="5" t="n"/>
      <c r="L56" s="5" t="n"/>
      <c r="M56" s="5" t="n"/>
      <c r="N56" s="5" t="n"/>
      <c r="O56" s="5" t="n">
        <v>2960</v>
      </c>
      <c r="P56" s="5" t="n">
        <v>2960</v>
      </c>
      <c r="Q56" s="5" t="n"/>
      <c r="R56" s="5" t="n"/>
      <c r="S56" s="5">
        <f>SUM(F56:I56)+N56</f>
        <v/>
      </c>
      <c r="T56" s="5">
        <f>J56</f>
        <v/>
      </c>
      <c r="U56" s="6">
        <f>YEAR(D56)</f>
        <v/>
      </c>
      <c r="V56" s="5">
        <f>TEXT(D56,"yyyy-mm")</f>
        <v/>
      </c>
    </row>
    <row r="57">
      <c r="A57" s="2" t="inlineStr">
        <is>
          <t>EJ010323.TXT</t>
        </is>
      </c>
      <c r="B57" s="3" t="inlineStr">
        <is>
          <t>001045</t>
        </is>
      </c>
      <c r="C57" s="3" t="inlineStr">
        <is>
          <t>000664</t>
        </is>
      </c>
      <c r="D57" s="4" t="n">
        <v>44982</v>
      </c>
      <c r="E57" s="2" t="inlineStr">
        <is>
          <t>15:57</t>
        </is>
      </c>
      <c r="F57" s="5" t="n">
        <v>274.17</v>
      </c>
      <c r="G57" s="5" t="n"/>
      <c r="H57" s="5" t="n"/>
      <c r="I57" s="5" t="n"/>
      <c r="J57" s="5" t="n">
        <v>54.83</v>
      </c>
      <c r="K57" s="5" t="n"/>
      <c r="L57" s="5" t="n"/>
      <c r="M57" s="5" t="n"/>
      <c r="N57" s="5" t="n"/>
      <c r="O57" s="5" t="n">
        <v>329</v>
      </c>
      <c r="P57" s="5" t="n"/>
      <c r="Q57" s="5" t="n">
        <v>329</v>
      </c>
      <c r="R57" s="5" t="n"/>
      <c r="S57" s="5">
        <f>SUM(F57:I57)+N57</f>
        <v/>
      </c>
      <c r="T57" s="5">
        <f>J57</f>
        <v/>
      </c>
      <c r="U57" s="6">
        <f>YEAR(D57)</f>
        <v/>
      </c>
      <c r="V57" s="5">
        <f>TEXT(D57,"yyyy-mm")</f>
        <v/>
      </c>
    </row>
    <row r="58">
      <c r="A58" s="2" t="inlineStr">
        <is>
          <t>EJ010323.TXT</t>
        </is>
      </c>
      <c r="B58" s="3" t="inlineStr">
        <is>
          <t>001046</t>
        </is>
      </c>
      <c r="C58" s="3" t="inlineStr">
        <is>
          <t>000665</t>
        </is>
      </c>
      <c r="D58" s="4" t="n">
        <v>44982</v>
      </c>
      <c r="E58" s="2" t="inlineStr">
        <is>
          <t>15:58</t>
        </is>
      </c>
      <c r="F58" s="5" t="n">
        <v>274.17</v>
      </c>
      <c r="G58" s="5" t="n"/>
      <c r="H58" s="5" t="n"/>
      <c r="I58" s="5" t="n"/>
      <c r="J58" s="5" t="n">
        <v>54.83</v>
      </c>
      <c r="K58" s="5" t="n"/>
      <c r="L58" s="5" t="n"/>
      <c r="M58" s="5" t="n"/>
      <c r="N58" s="5" t="n"/>
      <c r="O58" s="5" t="n">
        <v>329</v>
      </c>
      <c r="P58" s="5" t="n"/>
      <c r="Q58" s="5" t="n">
        <v>329</v>
      </c>
      <c r="R58" s="5" t="n"/>
      <c r="S58" s="5">
        <f>SUM(F58:I58)+N58</f>
        <v/>
      </c>
      <c r="T58" s="5">
        <f>J58</f>
        <v/>
      </c>
      <c r="U58" s="6">
        <f>YEAR(D58)</f>
        <v/>
      </c>
      <c r="V58" s="5">
        <f>TEXT(D58,"yyyy-mm")</f>
        <v/>
      </c>
    </row>
    <row r="59">
      <c r="A59" s="2" t="inlineStr">
        <is>
          <t>EJ010423.TXT</t>
        </is>
      </c>
      <c r="B59" s="3" t="inlineStr">
        <is>
          <t>001055</t>
        </is>
      </c>
      <c r="C59" s="3" t="inlineStr">
        <is>
          <t>000666</t>
        </is>
      </c>
      <c r="D59" s="4" t="n">
        <v>44988</v>
      </c>
      <c r="E59" s="2" t="inlineStr">
        <is>
          <t>15:04</t>
        </is>
      </c>
      <c r="F59" s="5" t="n">
        <v>329.17</v>
      </c>
      <c r="G59" s="5" t="n"/>
      <c r="H59" s="5" t="n"/>
      <c r="I59" s="5" t="n"/>
      <c r="J59" s="5" t="n">
        <v>65.83</v>
      </c>
      <c r="K59" s="5" t="n"/>
      <c r="L59" s="5" t="n"/>
      <c r="M59" s="5" t="n"/>
      <c r="N59" s="5" t="n"/>
      <c r="O59" s="5" t="n">
        <v>395</v>
      </c>
      <c r="P59" s="5" t="n">
        <v>395</v>
      </c>
      <c r="Q59" s="5" t="n"/>
      <c r="R59" s="5" t="n"/>
      <c r="S59" s="5">
        <f>SUM(F59:I59)+N59</f>
        <v/>
      </c>
      <c r="T59" s="5">
        <f>J59</f>
        <v/>
      </c>
      <c r="U59" s="6">
        <f>YEAR(D59)</f>
        <v/>
      </c>
      <c r="V59" s="5">
        <f>TEXT(D59,"yyyy-mm")</f>
        <v/>
      </c>
    </row>
    <row r="60">
      <c r="A60" s="2" t="inlineStr">
        <is>
          <t>EJ010423.TXT</t>
        </is>
      </c>
      <c r="B60" s="3" t="inlineStr">
        <is>
          <t>001056</t>
        </is>
      </c>
      <c r="C60" s="3" t="inlineStr">
        <is>
          <t>000667</t>
        </is>
      </c>
      <c r="D60" s="4" t="n">
        <v>44988</v>
      </c>
      <c r="E60" s="2" t="inlineStr">
        <is>
          <t>16:02</t>
        </is>
      </c>
      <c r="F60" s="5" t="n">
        <v>274.17</v>
      </c>
      <c r="G60" s="5" t="n"/>
      <c r="H60" s="5" t="n"/>
      <c r="I60" s="5" t="n"/>
      <c r="J60" s="5" t="n">
        <v>54.83</v>
      </c>
      <c r="K60" s="5" t="n"/>
      <c r="L60" s="5" t="n"/>
      <c r="M60" s="5" t="n"/>
      <c r="N60" s="5" t="n"/>
      <c r="O60" s="5" t="n">
        <v>329</v>
      </c>
      <c r="P60" s="5" t="n">
        <v>329</v>
      </c>
      <c r="Q60" s="5" t="n"/>
      <c r="R60" s="5" t="n"/>
      <c r="S60" s="5">
        <f>SUM(F60:I60)+N60</f>
        <v/>
      </c>
      <c r="T60" s="5">
        <f>J60</f>
        <v/>
      </c>
      <c r="U60" s="6">
        <f>YEAR(D60)</f>
        <v/>
      </c>
      <c r="V60" s="5">
        <f>TEXT(D60,"yyyy-mm")</f>
        <v/>
      </c>
    </row>
    <row r="61">
      <c r="A61" s="2" t="inlineStr">
        <is>
          <t>EJ010423.TXT</t>
        </is>
      </c>
      <c r="B61" s="3" t="inlineStr">
        <is>
          <t>001057</t>
        </is>
      </c>
      <c r="C61" s="3" t="inlineStr">
        <is>
          <t>000668</t>
        </is>
      </c>
      <c r="D61" s="4" t="n">
        <v>44991</v>
      </c>
      <c r="E61" s="2" t="inlineStr">
        <is>
          <t>17:27</t>
        </is>
      </c>
      <c r="F61" s="5" t="n">
        <v>274.17</v>
      </c>
      <c r="G61" s="5" t="n"/>
      <c r="H61" s="5" t="n"/>
      <c r="I61" s="5" t="n"/>
      <c r="J61" s="5" t="n">
        <v>54.83</v>
      </c>
      <c r="K61" s="5" t="n"/>
      <c r="L61" s="5" t="n"/>
      <c r="M61" s="5" t="n"/>
      <c r="N61" s="5" t="n"/>
      <c r="O61" s="5" t="n">
        <v>329</v>
      </c>
      <c r="P61" s="5" t="n"/>
      <c r="Q61" s="5" t="n">
        <v>329</v>
      </c>
      <c r="R61" s="5" t="n"/>
      <c r="S61" s="5">
        <f>SUM(F61:I61)+N61</f>
        <v/>
      </c>
      <c r="T61" s="5">
        <f>J61</f>
        <v/>
      </c>
      <c r="U61" s="6">
        <f>YEAR(D61)</f>
        <v/>
      </c>
      <c r="V61" s="5">
        <f>TEXT(D61,"yyyy-mm")</f>
        <v/>
      </c>
    </row>
    <row r="62">
      <c r="A62" s="2" t="inlineStr">
        <is>
          <t>EJ010423.TXT</t>
        </is>
      </c>
      <c r="B62" s="3" t="inlineStr">
        <is>
          <t>001058</t>
        </is>
      </c>
      <c r="C62" s="3" t="inlineStr">
        <is>
          <t>000669</t>
        </is>
      </c>
      <c r="D62" s="4" t="n">
        <v>44993</v>
      </c>
      <c r="E62" s="2" t="inlineStr">
        <is>
          <t>10:18</t>
        </is>
      </c>
      <c r="F62" s="5" t="n">
        <v>548.33</v>
      </c>
      <c r="G62" s="5" t="n"/>
      <c r="H62" s="5" t="n"/>
      <c r="I62" s="5" t="n"/>
      <c r="J62" s="5" t="n">
        <v>109.67</v>
      </c>
      <c r="K62" s="5" t="n"/>
      <c r="L62" s="5" t="n"/>
      <c r="M62" s="5" t="n"/>
      <c r="N62" s="5" t="n"/>
      <c r="O62" s="5" t="n">
        <v>658</v>
      </c>
      <c r="P62" s="5" t="n"/>
      <c r="Q62" s="5" t="n">
        <v>658</v>
      </c>
      <c r="R62" s="5" t="n"/>
      <c r="S62" s="5">
        <f>SUM(F62:I62)+N62</f>
        <v/>
      </c>
      <c r="T62" s="5">
        <f>J62</f>
        <v/>
      </c>
      <c r="U62" s="6">
        <f>YEAR(D62)</f>
        <v/>
      </c>
      <c r="V62" s="5">
        <f>TEXT(D62,"yyyy-mm")</f>
        <v/>
      </c>
    </row>
    <row r="63">
      <c r="A63" s="2" t="inlineStr">
        <is>
          <t>EJ010423.TXT</t>
        </is>
      </c>
      <c r="B63" s="3" t="inlineStr">
        <is>
          <t>001059</t>
        </is>
      </c>
      <c r="C63" s="3" t="inlineStr">
        <is>
          <t>000670</t>
        </is>
      </c>
      <c r="D63" s="4" t="n">
        <v>44996</v>
      </c>
      <c r="E63" s="2" t="inlineStr">
        <is>
          <t>17:07</t>
        </is>
      </c>
      <c r="F63" s="5" t="n">
        <v>199.17</v>
      </c>
      <c r="G63" s="5" t="n"/>
      <c r="H63" s="5" t="n"/>
      <c r="I63" s="5" t="n"/>
      <c r="J63" s="5" t="n">
        <v>39.83</v>
      </c>
      <c r="K63" s="5" t="n"/>
      <c r="L63" s="5" t="n"/>
      <c r="M63" s="5" t="n"/>
      <c r="N63" s="5" t="n"/>
      <c r="O63" s="5" t="n">
        <v>239</v>
      </c>
      <c r="P63" s="5" t="n"/>
      <c r="Q63" s="5" t="n">
        <v>239</v>
      </c>
      <c r="R63" s="5" t="n"/>
      <c r="S63" s="5">
        <f>SUM(F63:I63)+N63</f>
        <v/>
      </c>
      <c r="T63" s="5">
        <f>J63</f>
        <v/>
      </c>
      <c r="U63" s="6">
        <f>YEAR(D63)</f>
        <v/>
      </c>
      <c r="V63" s="5">
        <f>TEXT(D63,"yyyy-mm")</f>
        <v/>
      </c>
    </row>
    <row r="64">
      <c r="A64" s="2" t="inlineStr">
        <is>
          <t>EJ010423.TXT</t>
        </is>
      </c>
      <c r="B64" s="3" t="inlineStr">
        <is>
          <t>001060</t>
        </is>
      </c>
      <c r="C64" s="3" t="inlineStr">
        <is>
          <t>000671</t>
        </is>
      </c>
      <c r="D64" s="4" t="n">
        <v>45001</v>
      </c>
      <c r="E64" s="2" t="inlineStr">
        <is>
          <t>11:14</t>
        </is>
      </c>
      <c r="F64" s="5" t="n">
        <v>548.33</v>
      </c>
      <c r="G64" s="5" t="n"/>
      <c r="H64" s="5" t="n"/>
      <c r="I64" s="5" t="n"/>
      <c r="J64" s="5" t="n">
        <v>109.67</v>
      </c>
      <c r="K64" s="5" t="n"/>
      <c r="L64" s="5" t="n"/>
      <c r="M64" s="5" t="n"/>
      <c r="N64" s="5" t="n"/>
      <c r="O64" s="5" t="n">
        <v>658</v>
      </c>
      <c r="P64" s="5" t="n">
        <v>8</v>
      </c>
      <c r="Q64" s="5" t="n">
        <v>650</v>
      </c>
      <c r="R64" s="5" t="n"/>
      <c r="S64" s="5">
        <f>SUM(F64:I64)+N64</f>
        <v/>
      </c>
      <c r="T64" s="5">
        <f>J64</f>
        <v/>
      </c>
      <c r="U64" s="6">
        <f>YEAR(D64)</f>
        <v/>
      </c>
      <c r="V64" s="5">
        <f>TEXT(D64,"yyyy-mm")</f>
        <v/>
      </c>
    </row>
    <row r="65">
      <c r="A65" s="2" t="inlineStr">
        <is>
          <t>EJ010423.TXT</t>
        </is>
      </c>
      <c r="B65" s="3" t="inlineStr">
        <is>
          <t>001062</t>
        </is>
      </c>
      <c r="C65" s="3" t="inlineStr">
        <is>
          <t>000672</t>
        </is>
      </c>
      <c r="D65" s="4" t="n">
        <v>45001</v>
      </c>
      <c r="E65" s="2" t="inlineStr">
        <is>
          <t>11:24</t>
        </is>
      </c>
      <c r="F65" s="5" t="n">
        <v>822.5</v>
      </c>
      <c r="G65" s="5" t="n"/>
      <c r="H65" s="5" t="n"/>
      <c r="I65" s="5" t="n"/>
      <c r="J65" s="5" t="n">
        <v>164.5</v>
      </c>
      <c r="K65" s="5" t="n"/>
      <c r="L65" s="5" t="n"/>
      <c r="M65" s="5" t="n"/>
      <c r="N65" s="5" t="n"/>
      <c r="O65" s="5" t="n">
        <v>987</v>
      </c>
      <c r="P65" s="5" t="n">
        <v>987</v>
      </c>
      <c r="Q65" s="5" t="n"/>
      <c r="R65" s="5" t="n"/>
      <c r="S65" s="5">
        <f>SUM(F65:I65)+N65</f>
        <v/>
      </c>
      <c r="T65" s="5">
        <f>J65</f>
        <v/>
      </c>
      <c r="U65" s="6">
        <f>YEAR(D65)</f>
        <v/>
      </c>
      <c r="V65" s="5">
        <f>TEXT(D65,"yyyy-mm")</f>
        <v/>
      </c>
    </row>
    <row r="66">
      <c r="A66" s="2" t="inlineStr">
        <is>
          <t>EJ010423.TXT</t>
        </is>
      </c>
      <c r="B66" s="3" t="inlineStr">
        <is>
          <t>001063</t>
        </is>
      </c>
      <c r="C66" s="3" t="inlineStr">
        <is>
          <t>000673</t>
        </is>
      </c>
      <c r="D66" s="4" t="n">
        <v>45002</v>
      </c>
      <c r="E66" s="2" t="inlineStr">
        <is>
          <t>17:35</t>
        </is>
      </c>
      <c r="F66" s="5" t="n">
        <v>3200</v>
      </c>
      <c r="G66" s="5" t="n"/>
      <c r="H66" s="5" t="n"/>
      <c r="I66" s="5" t="n"/>
      <c r="J66" s="5" t="n">
        <v>640</v>
      </c>
      <c r="K66" s="5" t="n"/>
      <c r="L66" s="5" t="n"/>
      <c r="M66" s="5" t="n"/>
      <c r="N66" s="5" t="n"/>
      <c r="O66" s="5" t="n">
        <v>3840</v>
      </c>
      <c r="P66" s="5" t="n">
        <v>3840</v>
      </c>
      <c r="Q66" s="5" t="n"/>
      <c r="R66" s="5" t="n"/>
      <c r="S66" s="5">
        <f>SUM(F66:I66)+N66</f>
        <v/>
      </c>
      <c r="T66" s="5">
        <f>J66</f>
        <v/>
      </c>
      <c r="U66" s="6">
        <f>YEAR(D66)</f>
        <v/>
      </c>
      <c r="V66" s="5">
        <f>TEXT(D66,"yyyy-mm")</f>
        <v/>
      </c>
    </row>
    <row r="67">
      <c r="A67" s="2" t="inlineStr">
        <is>
          <t>EJ010423.TXT</t>
        </is>
      </c>
      <c r="B67" s="3" t="inlineStr">
        <is>
          <t>001064</t>
        </is>
      </c>
      <c r="C67" s="3" t="inlineStr">
        <is>
          <t>000674</t>
        </is>
      </c>
      <c r="D67" s="4" t="n">
        <v>45003</v>
      </c>
      <c r="E67" s="2" t="inlineStr">
        <is>
          <t>14:58</t>
        </is>
      </c>
      <c r="F67" s="5" t="n">
        <v>548.33</v>
      </c>
      <c r="G67" s="5" t="n"/>
      <c r="H67" s="5" t="n"/>
      <c r="I67" s="5" t="n"/>
      <c r="J67" s="5" t="n">
        <v>109.67</v>
      </c>
      <c r="K67" s="5" t="n"/>
      <c r="L67" s="5" t="n"/>
      <c r="M67" s="5" t="n"/>
      <c r="N67" s="5" t="n"/>
      <c r="O67" s="5" t="n">
        <v>658</v>
      </c>
      <c r="P67" s="5" t="n">
        <v>58</v>
      </c>
      <c r="Q67" s="5" t="n">
        <v>600</v>
      </c>
      <c r="R67" s="5" t="n"/>
      <c r="S67" s="5">
        <f>SUM(F67:I67)+N67</f>
        <v/>
      </c>
      <c r="T67" s="5">
        <f>J67</f>
        <v/>
      </c>
      <c r="U67" s="6">
        <f>YEAR(D67)</f>
        <v/>
      </c>
      <c r="V67" s="5">
        <f>TEXT(D67,"yyyy-mm")</f>
        <v/>
      </c>
    </row>
    <row r="68">
      <c r="A68" s="2" t="inlineStr">
        <is>
          <t>EJ010423.TXT</t>
        </is>
      </c>
      <c r="B68" s="3" t="inlineStr">
        <is>
          <t>001066</t>
        </is>
      </c>
      <c r="C68" s="3" t="inlineStr">
        <is>
          <t>000675</t>
        </is>
      </c>
      <c r="D68" s="4" t="n">
        <v>45003</v>
      </c>
      <c r="E68" s="2" t="inlineStr">
        <is>
          <t>16:53</t>
        </is>
      </c>
      <c r="F68" s="5" t="n">
        <v>1770</v>
      </c>
      <c r="G68" s="5" t="n"/>
      <c r="H68" s="5" t="n"/>
      <c r="I68" s="5" t="n"/>
      <c r="J68" s="5" t="n">
        <v>354</v>
      </c>
      <c r="K68" s="5" t="n"/>
      <c r="L68" s="5" t="n"/>
      <c r="M68" s="5" t="n"/>
      <c r="N68" s="5" t="n"/>
      <c r="O68" s="5" t="n">
        <v>2124</v>
      </c>
      <c r="P68" s="5" t="n">
        <v>2124</v>
      </c>
      <c r="Q68" s="5" t="n"/>
      <c r="R68" s="5" t="n"/>
      <c r="S68" s="5">
        <f>SUM(F68:I68)+N68</f>
        <v/>
      </c>
      <c r="T68" s="5">
        <f>J68</f>
        <v/>
      </c>
      <c r="U68" s="6">
        <f>YEAR(D68)</f>
        <v/>
      </c>
      <c r="V68" s="5">
        <f>TEXT(D68,"yyyy-mm")</f>
        <v/>
      </c>
    </row>
    <row r="69">
      <c r="A69" s="2" t="inlineStr">
        <is>
          <t>EJ010423.TXT</t>
        </is>
      </c>
      <c r="B69" s="3" t="inlineStr">
        <is>
          <t>001067</t>
        </is>
      </c>
      <c r="C69" s="3" t="inlineStr">
        <is>
          <t>000676</t>
        </is>
      </c>
      <c r="D69" s="4" t="n">
        <v>45005</v>
      </c>
      <c r="E69" s="2" t="inlineStr">
        <is>
          <t>13:47</t>
        </is>
      </c>
      <c r="F69" s="5" t="n">
        <v>548.33</v>
      </c>
      <c r="G69" s="5" t="n"/>
      <c r="H69" s="5" t="n"/>
      <c r="I69" s="5" t="n"/>
      <c r="J69" s="5" t="n">
        <v>109.67</v>
      </c>
      <c r="K69" s="5" t="n"/>
      <c r="L69" s="5" t="n"/>
      <c r="M69" s="5" t="n"/>
      <c r="N69" s="5" t="n"/>
      <c r="O69" s="5" t="n">
        <v>658</v>
      </c>
      <c r="P69" s="5" t="n"/>
      <c r="Q69" s="5" t="n">
        <v>658</v>
      </c>
      <c r="R69" s="5" t="n"/>
      <c r="S69" s="5">
        <f>SUM(F69:I69)+N69</f>
        <v/>
      </c>
      <c r="T69" s="5">
        <f>J69</f>
        <v/>
      </c>
      <c r="U69" s="6">
        <f>YEAR(D69)</f>
        <v/>
      </c>
      <c r="V69" s="5">
        <f>TEXT(D69,"yyyy-mm")</f>
        <v/>
      </c>
    </row>
    <row r="70">
      <c r="A70" s="2" t="inlineStr">
        <is>
          <t>EJ010423.TXT</t>
        </is>
      </c>
      <c r="B70" s="3" t="inlineStr">
        <is>
          <t>001070</t>
        </is>
      </c>
      <c r="C70" s="3" t="inlineStr">
        <is>
          <t>000677</t>
        </is>
      </c>
      <c r="D70" s="4" t="n">
        <v>45010</v>
      </c>
      <c r="E70" s="2" t="inlineStr">
        <is>
          <t>14:47</t>
        </is>
      </c>
      <c r="F70" s="5" t="n">
        <v>797.5</v>
      </c>
      <c r="G70" s="5" t="n"/>
      <c r="H70" s="5" t="n"/>
      <c r="I70" s="5" t="n"/>
      <c r="J70" s="5" t="n">
        <v>159.5</v>
      </c>
      <c r="K70" s="5" t="n"/>
      <c r="L70" s="5" t="n"/>
      <c r="M70" s="5" t="n"/>
      <c r="N70" s="5" t="n"/>
      <c r="O70" s="5" t="n">
        <v>957</v>
      </c>
      <c r="P70" s="5" t="n"/>
      <c r="Q70" s="5" t="n">
        <v>957</v>
      </c>
      <c r="R70" s="5" t="n"/>
      <c r="S70" s="5">
        <f>SUM(F70:I70)+N70</f>
        <v/>
      </c>
      <c r="T70" s="5">
        <f>J70</f>
        <v/>
      </c>
      <c r="U70" s="6">
        <f>YEAR(D70)</f>
        <v/>
      </c>
      <c r="V70" s="5">
        <f>TEXT(D70,"yyyy-mm")</f>
        <v/>
      </c>
    </row>
    <row r="71">
      <c r="A71" s="2" t="inlineStr">
        <is>
          <t>EJ010423.TXT</t>
        </is>
      </c>
      <c r="B71" s="3" t="inlineStr">
        <is>
          <t>001071</t>
        </is>
      </c>
      <c r="C71" s="3" t="inlineStr">
        <is>
          <t>000678</t>
        </is>
      </c>
      <c r="D71" s="4" t="n">
        <v>45010</v>
      </c>
      <c r="E71" s="2" t="inlineStr">
        <is>
          <t>15:18</t>
        </is>
      </c>
      <c r="F71" s="5" t="n">
        <v>797.5</v>
      </c>
      <c r="G71" s="5" t="n"/>
      <c r="H71" s="5" t="n"/>
      <c r="I71" s="5" t="n"/>
      <c r="J71" s="5" t="n">
        <v>159.5</v>
      </c>
      <c r="K71" s="5" t="n"/>
      <c r="L71" s="5" t="n"/>
      <c r="M71" s="5" t="n"/>
      <c r="N71" s="5" t="n"/>
      <c r="O71" s="5" t="n">
        <v>957</v>
      </c>
      <c r="P71" s="5" t="n"/>
      <c r="Q71" s="5" t="n">
        <v>957</v>
      </c>
      <c r="R71" s="5" t="n"/>
      <c r="S71" s="5">
        <f>SUM(F71:I71)+N71</f>
        <v/>
      </c>
      <c r="T71" s="5">
        <f>J71</f>
        <v/>
      </c>
      <c r="U71" s="6">
        <f>YEAR(D71)</f>
        <v/>
      </c>
      <c r="V71" s="5">
        <f>TEXT(D71,"yyyy-mm")</f>
        <v/>
      </c>
    </row>
    <row r="72">
      <c r="A72" s="2" t="inlineStr">
        <is>
          <t>EJ010423.TXT</t>
        </is>
      </c>
      <c r="B72" s="3" t="inlineStr">
        <is>
          <t>001072</t>
        </is>
      </c>
      <c r="C72" s="3" t="inlineStr">
        <is>
          <t>000679</t>
        </is>
      </c>
      <c r="D72" s="4" t="n">
        <v>45010</v>
      </c>
      <c r="E72" s="2" t="inlineStr">
        <is>
          <t>15:26</t>
        </is>
      </c>
      <c r="F72" s="5" t="n">
        <v>800</v>
      </c>
      <c r="G72" s="5" t="n"/>
      <c r="H72" s="5" t="n"/>
      <c r="I72" s="5" t="n"/>
      <c r="J72" s="5" t="n">
        <v>160</v>
      </c>
      <c r="K72" s="5" t="n"/>
      <c r="L72" s="5" t="n"/>
      <c r="M72" s="5" t="n"/>
      <c r="N72" s="5" t="n"/>
      <c r="O72" s="5" t="n">
        <v>960</v>
      </c>
      <c r="P72" s="5" t="n"/>
      <c r="Q72" s="5" t="n">
        <v>960</v>
      </c>
      <c r="R72" s="5" t="n"/>
      <c r="S72" s="5">
        <f>SUM(F72:I72)+N72</f>
        <v/>
      </c>
      <c r="T72" s="5">
        <f>J72</f>
        <v/>
      </c>
      <c r="U72" s="6">
        <f>YEAR(D72)</f>
        <v/>
      </c>
      <c r="V72" s="5">
        <f>TEXT(D72,"yyyy-mm")</f>
        <v/>
      </c>
    </row>
    <row r="73">
      <c r="A73" s="2" t="inlineStr">
        <is>
          <t>EJ010423.TXT</t>
        </is>
      </c>
      <c r="B73" s="3" t="inlineStr">
        <is>
          <t>001074</t>
        </is>
      </c>
      <c r="C73" s="3" t="inlineStr">
        <is>
          <t>000680</t>
        </is>
      </c>
      <c r="D73" s="4" t="n">
        <v>45010</v>
      </c>
      <c r="E73" s="2" t="inlineStr">
        <is>
          <t>15:31</t>
        </is>
      </c>
      <c r="F73" s="5" t="n">
        <v>2400</v>
      </c>
      <c r="G73" s="5" t="n"/>
      <c r="H73" s="5" t="n"/>
      <c r="I73" s="5" t="n"/>
      <c r="J73" s="5" t="n">
        <v>480</v>
      </c>
      <c r="K73" s="5" t="n"/>
      <c r="L73" s="5" t="n"/>
      <c r="M73" s="5" t="n"/>
      <c r="N73" s="5" t="n"/>
      <c r="O73" s="5" t="n">
        <v>2880</v>
      </c>
      <c r="P73" s="5" t="n">
        <v>2880</v>
      </c>
      <c r="Q73" s="5" t="n"/>
      <c r="R73" s="5" t="n"/>
      <c r="S73" s="5">
        <f>SUM(F73:I73)+N73</f>
        <v/>
      </c>
      <c r="T73" s="5">
        <f>J73</f>
        <v/>
      </c>
      <c r="U73" s="6">
        <f>YEAR(D73)</f>
        <v/>
      </c>
      <c r="V73" s="5">
        <f>TEXT(D73,"yyyy-mm")</f>
        <v/>
      </c>
    </row>
    <row r="74">
      <c r="A74" s="2" t="inlineStr">
        <is>
          <t>EJ010423.TXT</t>
        </is>
      </c>
      <c r="B74" s="3" t="inlineStr">
        <is>
          <t>001075</t>
        </is>
      </c>
      <c r="C74" s="3" t="inlineStr">
        <is>
          <t>000681</t>
        </is>
      </c>
      <c r="D74" s="4" t="n">
        <v>45010</v>
      </c>
      <c r="E74" s="2" t="inlineStr">
        <is>
          <t>15:41</t>
        </is>
      </c>
      <c r="F74" s="5" t="n">
        <v>548.33</v>
      </c>
      <c r="G74" s="5" t="n"/>
      <c r="H74" s="5" t="n"/>
      <c r="I74" s="5" t="n"/>
      <c r="J74" s="5" t="n">
        <v>109.67</v>
      </c>
      <c r="K74" s="5" t="n"/>
      <c r="L74" s="5" t="n"/>
      <c r="M74" s="5" t="n"/>
      <c r="N74" s="5" t="n"/>
      <c r="O74" s="5" t="n">
        <v>658</v>
      </c>
      <c r="P74" s="5" t="n">
        <v>658</v>
      </c>
      <c r="Q74" s="5" t="n"/>
      <c r="R74" s="5" t="n"/>
      <c r="S74" s="5">
        <f>SUM(F74:I74)+N74</f>
        <v/>
      </c>
      <c r="T74" s="5">
        <f>J74</f>
        <v/>
      </c>
      <c r="U74" s="6">
        <f>YEAR(D74)</f>
        <v/>
      </c>
      <c r="V74" s="5">
        <f>TEXT(D74,"yyyy-mm")</f>
        <v/>
      </c>
    </row>
    <row r="75">
      <c r="A75" s="2" t="inlineStr">
        <is>
          <t>EJ010423.TXT</t>
        </is>
      </c>
      <c r="B75" s="3" t="inlineStr">
        <is>
          <t>001076</t>
        </is>
      </c>
      <c r="C75" s="3" t="inlineStr">
        <is>
          <t>000682</t>
        </is>
      </c>
      <c r="D75" s="4" t="n">
        <v>45010</v>
      </c>
      <c r="E75" s="2" t="inlineStr">
        <is>
          <t>16:05</t>
        </is>
      </c>
      <c r="F75" s="5" t="n">
        <v>797.5</v>
      </c>
      <c r="G75" s="5" t="n"/>
      <c r="H75" s="5" t="n"/>
      <c r="I75" s="5" t="n"/>
      <c r="J75" s="5" t="n">
        <v>159.5</v>
      </c>
      <c r="K75" s="5" t="n"/>
      <c r="L75" s="5" t="n"/>
      <c r="M75" s="5" t="n"/>
      <c r="N75" s="5" t="n"/>
      <c r="O75" s="5" t="n">
        <v>957</v>
      </c>
      <c r="P75" s="5" t="n"/>
      <c r="Q75" s="5" t="n">
        <v>957</v>
      </c>
      <c r="R75" s="5" t="n"/>
      <c r="S75" s="5">
        <f>SUM(F75:I75)+N75</f>
        <v/>
      </c>
      <c r="T75" s="5">
        <f>J75</f>
        <v/>
      </c>
      <c r="U75" s="6">
        <f>YEAR(D75)</f>
        <v/>
      </c>
      <c r="V75" s="5">
        <f>TEXT(D75,"yyyy-mm")</f>
        <v/>
      </c>
    </row>
    <row r="76">
      <c r="A76" s="2" t="inlineStr">
        <is>
          <t>EJ010423.TXT</t>
        </is>
      </c>
      <c r="B76" s="3" t="inlineStr">
        <is>
          <t>001077</t>
        </is>
      </c>
      <c r="C76" s="3" t="inlineStr">
        <is>
          <t>000683</t>
        </is>
      </c>
      <c r="D76" s="4" t="n">
        <v>45010</v>
      </c>
      <c r="E76" s="2" t="inlineStr">
        <is>
          <t>16:06</t>
        </is>
      </c>
      <c r="F76" s="5" t="n">
        <v>797.5</v>
      </c>
      <c r="G76" s="5" t="n"/>
      <c r="H76" s="5" t="n"/>
      <c r="I76" s="5" t="n"/>
      <c r="J76" s="5" t="n">
        <v>159.5</v>
      </c>
      <c r="K76" s="5" t="n"/>
      <c r="L76" s="5" t="n"/>
      <c r="M76" s="5" t="n"/>
      <c r="N76" s="5" t="n"/>
      <c r="O76" s="5" t="n">
        <v>957</v>
      </c>
      <c r="P76" s="5" t="n"/>
      <c r="Q76" s="5" t="n">
        <v>957</v>
      </c>
      <c r="R76" s="5" t="n"/>
      <c r="S76" s="5">
        <f>SUM(F76:I76)+N76</f>
        <v/>
      </c>
      <c r="T76" s="5">
        <f>J76</f>
        <v/>
      </c>
      <c r="U76" s="6">
        <f>YEAR(D76)</f>
        <v/>
      </c>
      <c r="V76" s="5">
        <f>TEXT(D76,"yyyy-mm")</f>
        <v/>
      </c>
    </row>
    <row r="77">
      <c r="A77" s="2" t="inlineStr">
        <is>
          <t>EJ010423.TXT</t>
        </is>
      </c>
      <c r="B77" s="3" t="inlineStr">
        <is>
          <t>001078</t>
        </is>
      </c>
      <c r="C77" s="3" t="inlineStr">
        <is>
          <t>000684</t>
        </is>
      </c>
      <c r="D77" s="4" t="n">
        <v>45010</v>
      </c>
      <c r="E77" s="2" t="inlineStr">
        <is>
          <t>16:09</t>
        </is>
      </c>
      <c r="F77" s="5" t="n">
        <v>274.17</v>
      </c>
      <c r="G77" s="5" t="n"/>
      <c r="H77" s="5" t="n"/>
      <c r="I77" s="5" t="n"/>
      <c r="J77" s="5" t="n">
        <v>54.83</v>
      </c>
      <c r="K77" s="5" t="n"/>
      <c r="L77" s="5" t="n"/>
      <c r="M77" s="5" t="n"/>
      <c r="N77" s="5" t="n"/>
      <c r="O77" s="5" t="n">
        <v>329</v>
      </c>
      <c r="P77" s="5" t="n">
        <v>329</v>
      </c>
      <c r="Q77" s="5" t="n"/>
      <c r="R77" s="5" t="n"/>
      <c r="S77" s="5">
        <f>SUM(F77:I77)+N77</f>
        <v/>
      </c>
      <c r="T77" s="5">
        <f>J77</f>
        <v/>
      </c>
      <c r="U77" s="6">
        <f>YEAR(D77)</f>
        <v/>
      </c>
      <c r="V77" s="5">
        <f>TEXT(D77,"yyyy-mm")</f>
        <v/>
      </c>
    </row>
    <row r="78">
      <c r="A78" s="2" t="inlineStr">
        <is>
          <t>EJ010423.TXT</t>
        </is>
      </c>
      <c r="B78" s="3" t="inlineStr">
        <is>
          <t>001079</t>
        </is>
      </c>
      <c r="C78" s="3" t="inlineStr">
        <is>
          <t>000685</t>
        </is>
      </c>
      <c r="D78" s="4" t="n">
        <v>45010</v>
      </c>
      <c r="E78" s="2" t="inlineStr">
        <is>
          <t>16:19</t>
        </is>
      </c>
      <c r="F78" s="5" t="n">
        <v>531.67</v>
      </c>
      <c r="G78" s="5" t="n"/>
      <c r="H78" s="5" t="n"/>
      <c r="I78" s="5" t="n"/>
      <c r="J78" s="5" t="n">
        <v>106.33</v>
      </c>
      <c r="K78" s="5" t="n"/>
      <c r="L78" s="5" t="n"/>
      <c r="M78" s="5" t="n"/>
      <c r="N78" s="5" t="n"/>
      <c r="O78" s="5" t="n">
        <v>638</v>
      </c>
      <c r="P78" s="5" t="n">
        <v>638</v>
      </c>
      <c r="Q78" s="5" t="n"/>
      <c r="R78" s="5" t="n"/>
      <c r="S78" s="5">
        <f>SUM(F78:I78)+N78</f>
        <v/>
      </c>
      <c r="T78" s="5">
        <f>J78</f>
        <v/>
      </c>
      <c r="U78" s="6">
        <f>YEAR(D78)</f>
        <v/>
      </c>
      <c r="V78" s="5">
        <f>TEXT(D78,"yyyy-mm")</f>
        <v/>
      </c>
    </row>
    <row r="79">
      <c r="A79" s="2" t="inlineStr">
        <is>
          <t>EJ010423.TXT</t>
        </is>
      </c>
      <c r="B79" s="3" t="inlineStr">
        <is>
          <t>001080</t>
        </is>
      </c>
      <c r="C79" s="3" t="inlineStr">
        <is>
          <t>000686</t>
        </is>
      </c>
      <c r="D79" s="4" t="n">
        <v>45011</v>
      </c>
      <c r="E79" s="2" t="inlineStr">
        <is>
          <t>17:15</t>
        </is>
      </c>
      <c r="F79" s="5" t="n">
        <v>797.5</v>
      </c>
      <c r="G79" s="5" t="n"/>
      <c r="H79" s="5" t="n"/>
      <c r="I79" s="5" t="n"/>
      <c r="J79" s="5" t="n">
        <v>159.5</v>
      </c>
      <c r="K79" s="5" t="n"/>
      <c r="L79" s="5" t="n"/>
      <c r="M79" s="5" t="n"/>
      <c r="N79" s="5" t="n"/>
      <c r="O79" s="5" t="n">
        <v>957</v>
      </c>
      <c r="P79" s="5" t="n"/>
      <c r="Q79" s="5" t="n">
        <v>957</v>
      </c>
      <c r="R79" s="5" t="n"/>
      <c r="S79" s="5">
        <f>SUM(F79:I79)+N79</f>
        <v/>
      </c>
      <c r="T79" s="5">
        <f>J79</f>
        <v/>
      </c>
      <c r="U79" s="6">
        <f>YEAR(D79)</f>
        <v/>
      </c>
      <c r="V79" s="5">
        <f>TEXT(D79,"yyyy-mm")</f>
        <v/>
      </c>
    </row>
    <row r="80">
      <c r="A80" s="2" t="inlineStr">
        <is>
          <t>EJ010423.TXT</t>
        </is>
      </c>
      <c r="B80" s="3" t="inlineStr">
        <is>
          <t>001081</t>
        </is>
      </c>
      <c r="C80" s="3" t="inlineStr">
        <is>
          <t>000687</t>
        </is>
      </c>
      <c r="D80" s="4" t="n">
        <v>45011</v>
      </c>
      <c r="E80" s="2" t="inlineStr">
        <is>
          <t>17:18</t>
        </is>
      </c>
      <c r="F80" s="5" t="n">
        <v>797.5</v>
      </c>
      <c r="G80" s="5" t="n"/>
      <c r="H80" s="5" t="n"/>
      <c r="I80" s="5" t="n"/>
      <c r="J80" s="5" t="n">
        <v>159.5</v>
      </c>
      <c r="K80" s="5" t="n"/>
      <c r="L80" s="5" t="n"/>
      <c r="M80" s="5" t="n"/>
      <c r="N80" s="5" t="n"/>
      <c r="O80" s="5" t="n">
        <v>957</v>
      </c>
      <c r="P80" s="5" t="n"/>
      <c r="Q80" s="5" t="n">
        <v>957</v>
      </c>
      <c r="R80" s="5" t="n"/>
      <c r="S80" s="5">
        <f>SUM(F80:I80)+N80</f>
        <v/>
      </c>
      <c r="T80" s="5">
        <f>J80</f>
        <v/>
      </c>
      <c r="U80" s="6">
        <f>YEAR(D80)</f>
        <v/>
      </c>
      <c r="V80" s="5">
        <f>TEXT(D80,"yyyy-mm")</f>
        <v/>
      </c>
    </row>
    <row r="81">
      <c r="A81" s="2" t="inlineStr">
        <is>
          <t>EJ010423.TXT</t>
        </is>
      </c>
      <c r="B81" s="3" t="inlineStr">
        <is>
          <t>001082</t>
        </is>
      </c>
      <c r="C81" s="3" t="inlineStr">
        <is>
          <t>000688</t>
        </is>
      </c>
      <c r="D81" s="4" t="n">
        <v>45013</v>
      </c>
      <c r="E81" s="2" t="inlineStr">
        <is>
          <t>09:40</t>
        </is>
      </c>
      <c r="F81" s="5" t="n">
        <v>548.33</v>
      </c>
      <c r="G81" s="5" t="n"/>
      <c r="H81" s="5" t="n"/>
      <c r="I81" s="5" t="n"/>
      <c r="J81" s="5" t="n">
        <v>109.67</v>
      </c>
      <c r="K81" s="5" t="n"/>
      <c r="L81" s="5" t="n"/>
      <c r="M81" s="5" t="n"/>
      <c r="N81" s="5" t="n"/>
      <c r="O81" s="5" t="n">
        <v>658</v>
      </c>
      <c r="P81" s="5" t="n">
        <v>658</v>
      </c>
      <c r="Q81" s="5" t="n"/>
      <c r="R81" s="5" t="n"/>
      <c r="S81" s="5">
        <f>SUM(F81:I81)+N81</f>
        <v/>
      </c>
      <c r="T81" s="5">
        <f>J81</f>
        <v/>
      </c>
      <c r="U81" s="6">
        <f>YEAR(D81)</f>
        <v/>
      </c>
      <c r="V81" s="5">
        <f>TEXT(D81,"yyyy-mm")</f>
        <v/>
      </c>
    </row>
    <row r="82">
      <c r="A82" s="2" t="inlineStr">
        <is>
          <t>EJ010423.TXT</t>
        </is>
      </c>
      <c r="B82" s="3" t="inlineStr">
        <is>
          <t>001083</t>
        </is>
      </c>
      <c r="C82" s="3" t="inlineStr">
        <is>
          <t>000689</t>
        </is>
      </c>
      <c r="D82" s="4" t="n">
        <v>45014</v>
      </c>
      <c r="E82" s="2" t="inlineStr">
        <is>
          <t>11:47</t>
        </is>
      </c>
      <c r="F82" s="5" t="n">
        <v>548.33</v>
      </c>
      <c r="G82" s="5" t="n"/>
      <c r="H82" s="5" t="n"/>
      <c r="I82" s="5" t="n"/>
      <c r="J82" s="5" t="n">
        <v>109.67</v>
      </c>
      <c r="K82" s="5" t="n"/>
      <c r="L82" s="5" t="n"/>
      <c r="M82" s="5" t="n"/>
      <c r="N82" s="5" t="n"/>
      <c r="O82" s="5" t="n">
        <v>658</v>
      </c>
      <c r="P82" s="5" t="n">
        <v>658</v>
      </c>
      <c r="Q82" s="5" t="n"/>
      <c r="R82" s="5" t="n"/>
      <c r="S82" s="5">
        <f>SUM(F82:I82)+N82</f>
        <v/>
      </c>
      <c r="T82" s="5">
        <f>J82</f>
        <v/>
      </c>
      <c r="U82" s="6">
        <f>YEAR(D82)</f>
        <v/>
      </c>
      <c r="V82" s="5">
        <f>TEXT(D82,"yyyy-mm")</f>
        <v/>
      </c>
    </row>
    <row r="83">
      <c r="A83" s="2" t="inlineStr">
        <is>
          <t>EJ010423.TXT</t>
        </is>
      </c>
      <c r="B83" s="3" t="inlineStr">
        <is>
          <t>001084</t>
        </is>
      </c>
      <c r="C83" s="3" t="inlineStr">
        <is>
          <t>000690</t>
        </is>
      </c>
      <c r="D83" s="4" t="n">
        <v>45016</v>
      </c>
      <c r="E83" s="2" t="inlineStr">
        <is>
          <t>08:58</t>
        </is>
      </c>
      <c r="F83" s="5" t="n">
        <v>1645</v>
      </c>
      <c r="G83" s="5" t="n"/>
      <c r="H83" s="5" t="n"/>
      <c r="I83" s="5" t="n"/>
      <c r="J83" s="5" t="n">
        <v>329</v>
      </c>
      <c r="K83" s="5" t="n"/>
      <c r="L83" s="5" t="n"/>
      <c r="M83" s="5" t="n"/>
      <c r="N83" s="5" t="n"/>
      <c r="O83" s="5" t="n">
        <v>1974</v>
      </c>
      <c r="P83" s="5" t="n">
        <v>1974</v>
      </c>
      <c r="Q83" s="5" t="n"/>
      <c r="R83" s="5" t="n"/>
      <c r="S83" s="5">
        <f>SUM(F83:I83)+N83</f>
        <v/>
      </c>
      <c r="T83" s="5">
        <f>J83</f>
        <v/>
      </c>
      <c r="U83" s="6">
        <f>YEAR(D83)</f>
        <v/>
      </c>
      <c r="V83" s="5">
        <f>TEXT(D83,"yyyy-mm")</f>
        <v/>
      </c>
    </row>
    <row r="84">
      <c r="A84" s="2" t="inlineStr">
        <is>
          <t>EJ020523.TXT</t>
        </is>
      </c>
      <c r="B84" s="3" t="inlineStr">
        <is>
          <t>001092</t>
        </is>
      </c>
      <c r="C84" s="3" t="inlineStr">
        <is>
          <t>000691</t>
        </is>
      </c>
      <c r="D84" s="4" t="n">
        <v>45020</v>
      </c>
      <c r="E84" s="2" t="inlineStr">
        <is>
          <t>12:37</t>
        </is>
      </c>
      <c r="F84" s="5" t="n">
        <v>398.33</v>
      </c>
      <c r="G84" s="5" t="n"/>
      <c r="H84" s="5" t="n"/>
      <c r="I84" s="5" t="n"/>
      <c r="J84" s="5" t="n">
        <v>79.67</v>
      </c>
      <c r="K84" s="5" t="n"/>
      <c r="L84" s="5" t="n"/>
      <c r="M84" s="5" t="n"/>
      <c r="N84" s="5" t="n"/>
      <c r="O84" s="5" t="n">
        <v>478</v>
      </c>
      <c r="P84" s="5" t="n">
        <v>478</v>
      </c>
      <c r="Q84" s="5" t="n"/>
      <c r="R84" s="5" t="n"/>
      <c r="S84" s="5">
        <f>SUM(F84:I84)+N84</f>
        <v/>
      </c>
      <c r="T84" s="5">
        <f>J84</f>
        <v/>
      </c>
      <c r="U84" s="6">
        <f>YEAR(D84)</f>
        <v/>
      </c>
      <c r="V84" s="5">
        <f>TEXT(D84,"yyyy-mm")</f>
        <v/>
      </c>
    </row>
    <row r="85">
      <c r="A85" s="2" t="inlineStr">
        <is>
          <t>EJ020523.TXT</t>
        </is>
      </c>
      <c r="B85" s="3" t="inlineStr">
        <is>
          <t>001098</t>
        </is>
      </c>
      <c r="C85" s="3" t="inlineStr">
        <is>
          <t>000692</t>
        </is>
      </c>
      <c r="D85" s="4" t="n">
        <v>45023</v>
      </c>
      <c r="E85" s="2" t="inlineStr">
        <is>
          <t>12:24</t>
        </is>
      </c>
      <c r="F85" s="5" t="n">
        <v>548.33</v>
      </c>
      <c r="G85" s="5" t="n"/>
      <c r="H85" s="5" t="n"/>
      <c r="I85" s="5" t="n"/>
      <c r="J85" s="5" t="n">
        <v>109.67</v>
      </c>
      <c r="K85" s="5" t="n"/>
      <c r="L85" s="5" t="n"/>
      <c r="M85" s="5" t="n"/>
      <c r="N85" s="5" t="n"/>
      <c r="O85" s="5" t="n">
        <v>658</v>
      </c>
      <c r="P85" s="5" t="n">
        <v>658</v>
      </c>
      <c r="Q85" s="5" t="n"/>
      <c r="R85" s="5" t="n"/>
      <c r="S85" s="5">
        <f>SUM(F85:I85)+N85</f>
        <v/>
      </c>
      <c r="T85" s="5">
        <f>J85</f>
        <v/>
      </c>
      <c r="U85" s="6">
        <f>YEAR(D85)</f>
        <v/>
      </c>
      <c r="V85" s="5">
        <f>TEXT(D85,"yyyy-mm")</f>
        <v/>
      </c>
    </row>
    <row r="86">
      <c r="A86" s="2" t="inlineStr">
        <is>
          <t>EJ020523.TXT</t>
        </is>
      </c>
      <c r="B86" s="3" t="inlineStr">
        <is>
          <t>001099</t>
        </is>
      </c>
      <c r="C86" s="3" t="inlineStr">
        <is>
          <t>000693</t>
        </is>
      </c>
      <c r="D86" s="4" t="n">
        <v>45028</v>
      </c>
      <c r="E86" s="2" t="inlineStr">
        <is>
          <t>12:43</t>
        </is>
      </c>
      <c r="F86" s="5" t="n">
        <v>274.17</v>
      </c>
      <c r="G86" s="5" t="n"/>
      <c r="H86" s="5" t="n"/>
      <c r="I86" s="5" t="n"/>
      <c r="J86" s="5" t="n">
        <v>54.83</v>
      </c>
      <c r="K86" s="5" t="n"/>
      <c r="L86" s="5" t="n"/>
      <c r="M86" s="5" t="n"/>
      <c r="N86" s="5" t="n"/>
      <c r="O86" s="5" t="n">
        <v>329</v>
      </c>
      <c r="P86" s="5" t="n">
        <v>329</v>
      </c>
      <c r="Q86" s="5" t="n"/>
      <c r="R86" s="5" t="n"/>
      <c r="S86" s="5">
        <f>SUM(F86:I86)+N86</f>
        <v/>
      </c>
      <c r="T86" s="5">
        <f>J86</f>
        <v/>
      </c>
      <c r="U86" s="6">
        <f>YEAR(D86)</f>
        <v/>
      </c>
      <c r="V86" s="5">
        <f>TEXT(D86,"yyyy-mm")</f>
        <v/>
      </c>
    </row>
    <row r="87">
      <c r="A87" s="2" t="inlineStr">
        <is>
          <t>EJ020523.TXT</t>
        </is>
      </c>
      <c r="B87" s="3" t="inlineStr">
        <is>
          <t>001100</t>
        </is>
      </c>
      <c r="C87" s="3" t="inlineStr">
        <is>
          <t>000694</t>
        </is>
      </c>
      <c r="D87" s="4" t="n">
        <v>45030</v>
      </c>
      <c r="E87" s="2" t="inlineStr">
        <is>
          <t>12:11</t>
        </is>
      </c>
      <c r="F87" s="5" t="n">
        <v>73.33</v>
      </c>
      <c r="G87" s="5" t="n"/>
      <c r="H87" s="5" t="n"/>
      <c r="I87" s="5" t="n"/>
      <c r="J87" s="5" t="n">
        <v>14.67</v>
      </c>
      <c r="K87" s="5" t="n"/>
      <c r="L87" s="5" t="n"/>
      <c r="M87" s="5" t="n"/>
      <c r="N87" s="5" t="n"/>
      <c r="O87" s="5" t="n">
        <v>88</v>
      </c>
      <c r="P87" s="5" t="n"/>
      <c r="Q87" s="5" t="n">
        <v>88</v>
      </c>
      <c r="R87" s="5" t="n"/>
      <c r="S87" s="5">
        <f>SUM(F87:I87)+N87</f>
        <v/>
      </c>
      <c r="T87" s="5">
        <f>J87</f>
        <v/>
      </c>
      <c r="U87" s="6">
        <f>YEAR(D87)</f>
        <v/>
      </c>
      <c r="V87" s="5">
        <f>TEXT(D87,"yyyy-mm")</f>
        <v/>
      </c>
    </row>
    <row r="88">
      <c r="A88" s="2" t="inlineStr">
        <is>
          <t>EJ020523.TXT</t>
        </is>
      </c>
      <c r="B88" s="3" t="inlineStr">
        <is>
          <t>001107</t>
        </is>
      </c>
      <c r="C88" s="3" t="inlineStr">
        <is>
          <t>000695</t>
        </is>
      </c>
      <c r="D88" s="4" t="n">
        <v>45038</v>
      </c>
      <c r="E88" s="2" t="inlineStr">
        <is>
          <t>15:55</t>
        </is>
      </c>
      <c r="F88" s="5" t="n">
        <v>548.33</v>
      </c>
      <c r="G88" s="5" t="n"/>
      <c r="H88" s="5" t="n"/>
      <c r="I88" s="5" t="n"/>
      <c r="J88" s="5" t="n">
        <v>109.67</v>
      </c>
      <c r="K88" s="5" t="n"/>
      <c r="L88" s="5" t="n"/>
      <c r="M88" s="5" t="n"/>
      <c r="N88" s="5" t="n"/>
      <c r="O88" s="5" t="n">
        <v>658</v>
      </c>
      <c r="P88" s="5" t="n">
        <v>658</v>
      </c>
      <c r="Q88" s="5" t="n"/>
      <c r="R88" s="5" t="n"/>
      <c r="S88" s="5">
        <f>SUM(F88:I88)+N88</f>
        <v/>
      </c>
      <c r="T88" s="5">
        <f>J88</f>
        <v/>
      </c>
      <c r="U88" s="6">
        <f>YEAR(D88)</f>
        <v/>
      </c>
      <c r="V88" s="5">
        <f>TEXT(D88,"yyyy-mm")</f>
        <v/>
      </c>
    </row>
    <row r="89">
      <c r="A89" s="2" t="inlineStr">
        <is>
          <t>EJ020523.TXT</t>
        </is>
      </c>
      <c r="B89" s="3" t="inlineStr">
        <is>
          <t>001109</t>
        </is>
      </c>
      <c r="C89" s="3" t="inlineStr">
        <is>
          <t>000696</t>
        </is>
      </c>
      <c r="D89" s="4" t="n">
        <v>45041</v>
      </c>
      <c r="E89" s="2" t="inlineStr">
        <is>
          <t>15:17</t>
        </is>
      </c>
      <c r="F89" s="5" t="n">
        <v>73.33</v>
      </c>
      <c r="G89" s="5" t="n"/>
      <c r="H89" s="5" t="n"/>
      <c r="I89" s="5" t="n"/>
      <c r="J89" s="5" t="n">
        <v>14.67</v>
      </c>
      <c r="K89" s="5" t="n"/>
      <c r="L89" s="5" t="n"/>
      <c r="M89" s="5" t="n"/>
      <c r="N89" s="5" t="n"/>
      <c r="O89" s="5" t="n">
        <v>88</v>
      </c>
      <c r="P89" s="5" t="n"/>
      <c r="Q89" s="5" t="n">
        <v>88</v>
      </c>
      <c r="R89" s="5" t="n"/>
      <c r="S89" s="5">
        <f>SUM(F89:I89)+N89</f>
        <v/>
      </c>
      <c r="T89" s="5">
        <f>J89</f>
        <v/>
      </c>
      <c r="U89" s="6">
        <f>YEAR(D89)</f>
        <v/>
      </c>
      <c r="V89" s="5">
        <f>TEXT(D89,"yyyy-mm")</f>
        <v/>
      </c>
    </row>
    <row r="90">
      <c r="A90" s="2" t="inlineStr">
        <is>
          <t>EJ020523.TXT</t>
        </is>
      </c>
      <c r="B90" s="3" t="inlineStr">
        <is>
          <t>001110</t>
        </is>
      </c>
      <c r="C90" s="3" t="inlineStr">
        <is>
          <t>000697</t>
        </is>
      </c>
      <c r="D90" s="4" t="n">
        <v>45041</v>
      </c>
      <c r="E90" s="2" t="inlineStr">
        <is>
          <t>15:48</t>
        </is>
      </c>
      <c r="F90" s="5" t="n">
        <v>822.5</v>
      </c>
      <c r="G90" s="5" t="n"/>
      <c r="H90" s="5" t="n"/>
      <c r="I90" s="5" t="n"/>
      <c r="J90" s="5" t="n">
        <v>164.5</v>
      </c>
      <c r="K90" s="5" t="n"/>
      <c r="L90" s="5" t="n"/>
      <c r="M90" s="5" t="n"/>
      <c r="N90" s="5" t="n"/>
      <c r="O90" s="5" t="n">
        <v>987</v>
      </c>
      <c r="P90" s="5" t="n"/>
      <c r="Q90" s="5" t="n">
        <v>987</v>
      </c>
      <c r="R90" s="5" t="n"/>
      <c r="S90" s="5">
        <f>SUM(F90:I90)+N90</f>
        <v/>
      </c>
      <c r="T90" s="5">
        <f>J90</f>
        <v/>
      </c>
      <c r="U90" s="6">
        <f>YEAR(D90)</f>
        <v/>
      </c>
      <c r="V90" s="5">
        <f>TEXT(D90,"yyyy-mm")</f>
        <v/>
      </c>
    </row>
    <row r="91">
      <c r="A91" s="2" t="inlineStr">
        <is>
          <t>EJ020523.TXT</t>
        </is>
      </c>
      <c r="B91" s="3" t="inlineStr">
        <is>
          <t>001111</t>
        </is>
      </c>
      <c r="C91" s="3" t="inlineStr">
        <is>
          <t>000698</t>
        </is>
      </c>
      <c r="D91" s="4" t="n">
        <v>45041</v>
      </c>
      <c r="E91" s="2" t="inlineStr">
        <is>
          <t>15:57</t>
        </is>
      </c>
      <c r="F91" s="5" t="n">
        <v>822.5</v>
      </c>
      <c r="G91" s="5" t="n"/>
      <c r="H91" s="5" t="n"/>
      <c r="I91" s="5" t="n"/>
      <c r="J91" s="5" t="n">
        <v>164.5</v>
      </c>
      <c r="K91" s="5" t="n"/>
      <c r="L91" s="5" t="n"/>
      <c r="M91" s="5" t="n"/>
      <c r="N91" s="5" t="n"/>
      <c r="O91" s="5" t="n">
        <v>987</v>
      </c>
      <c r="P91" s="5" t="n"/>
      <c r="Q91" s="5" t="n">
        <v>987</v>
      </c>
      <c r="R91" s="5" t="n"/>
      <c r="S91" s="5">
        <f>SUM(F91:I91)+N91</f>
        <v/>
      </c>
      <c r="T91" s="5">
        <f>J91</f>
        <v/>
      </c>
      <c r="U91" s="6">
        <f>YEAR(D91)</f>
        <v/>
      </c>
      <c r="V91" s="5">
        <f>TEXT(D91,"yyyy-mm")</f>
        <v/>
      </c>
    </row>
    <row r="92">
      <c r="A92" s="2" t="inlineStr">
        <is>
          <t>EJ020523.TXT</t>
        </is>
      </c>
      <c r="B92" s="3" t="inlineStr">
        <is>
          <t>001112</t>
        </is>
      </c>
      <c r="C92" s="3" t="inlineStr">
        <is>
          <t>000699</t>
        </is>
      </c>
      <c r="D92" s="4" t="n">
        <v>45041</v>
      </c>
      <c r="E92" s="2" t="inlineStr">
        <is>
          <t>17:02</t>
        </is>
      </c>
      <c r="F92" s="5" t="n">
        <v>5298.33</v>
      </c>
      <c r="G92" s="5" t="n"/>
      <c r="H92" s="5" t="n"/>
      <c r="I92" s="5" t="n"/>
      <c r="J92" s="5" t="n">
        <v>1059.67</v>
      </c>
      <c r="K92" s="5" t="n"/>
      <c r="L92" s="5" t="n"/>
      <c r="M92" s="5" t="n"/>
      <c r="N92" s="5" t="n"/>
      <c r="O92" s="5" t="n">
        <v>6358</v>
      </c>
      <c r="P92" s="5" t="n">
        <v>6358</v>
      </c>
      <c r="Q92" s="5" t="n"/>
      <c r="R92" s="5" t="n"/>
      <c r="S92" s="5">
        <f>SUM(F92:I92)+N92</f>
        <v/>
      </c>
      <c r="T92" s="5">
        <f>J92</f>
        <v/>
      </c>
      <c r="U92" s="6">
        <f>YEAR(D92)</f>
        <v/>
      </c>
      <c r="V92" s="5">
        <f>TEXT(D92,"yyyy-mm")</f>
        <v/>
      </c>
    </row>
    <row r="93">
      <c r="A93" s="2" t="inlineStr">
        <is>
          <t>EJ020523.TXT</t>
        </is>
      </c>
      <c r="B93" s="3" t="inlineStr">
        <is>
          <t>001114</t>
        </is>
      </c>
      <c r="C93" s="3" t="inlineStr">
        <is>
          <t>000700</t>
        </is>
      </c>
      <c r="D93" s="4" t="n">
        <v>45042</v>
      </c>
      <c r="E93" s="2" t="inlineStr">
        <is>
          <t>09:36</t>
        </is>
      </c>
      <c r="F93" s="5" t="n">
        <v>548.33</v>
      </c>
      <c r="G93" s="5" t="n"/>
      <c r="H93" s="5" t="n"/>
      <c r="I93" s="5" t="n"/>
      <c r="J93" s="5" t="n">
        <v>109.67</v>
      </c>
      <c r="K93" s="5" t="n"/>
      <c r="L93" s="5" t="n"/>
      <c r="M93" s="5" t="n"/>
      <c r="N93" s="5" t="n"/>
      <c r="O93" s="5" t="n">
        <v>658</v>
      </c>
      <c r="P93" s="5" t="n"/>
      <c r="Q93" s="5" t="n">
        <v>658</v>
      </c>
      <c r="R93" s="5" t="n"/>
      <c r="S93" s="5">
        <f>SUM(F93:I93)+N93</f>
        <v/>
      </c>
      <c r="T93" s="5">
        <f>J93</f>
        <v/>
      </c>
      <c r="U93" s="6">
        <f>YEAR(D93)</f>
        <v/>
      </c>
      <c r="V93" s="5">
        <f>TEXT(D93,"yyyy-mm")</f>
        <v/>
      </c>
    </row>
    <row r="94">
      <c r="A94" s="2" t="inlineStr">
        <is>
          <t>EJ020523.TXT</t>
        </is>
      </c>
      <c r="B94" s="3" t="inlineStr">
        <is>
          <t>001115</t>
        </is>
      </c>
      <c r="C94" s="3" t="inlineStr">
        <is>
          <t>000701</t>
        </is>
      </c>
      <c r="D94" s="4" t="n">
        <v>45042</v>
      </c>
      <c r="E94" s="2" t="inlineStr">
        <is>
          <t>09:50</t>
        </is>
      </c>
      <c r="F94" s="5" t="n">
        <v>146.67</v>
      </c>
      <c r="G94" s="5" t="n"/>
      <c r="H94" s="5" t="n"/>
      <c r="I94" s="5" t="n"/>
      <c r="J94" s="5" t="n">
        <v>29.33</v>
      </c>
      <c r="K94" s="5" t="n"/>
      <c r="L94" s="5" t="n"/>
      <c r="M94" s="5" t="n"/>
      <c r="N94" s="5" t="n"/>
      <c r="O94" s="5" t="n">
        <v>176</v>
      </c>
      <c r="P94" s="5" t="n"/>
      <c r="Q94" s="5" t="n">
        <v>176</v>
      </c>
      <c r="R94" s="5" t="n"/>
      <c r="S94" s="5">
        <f>SUM(F94:I94)+N94</f>
        <v/>
      </c>
      <c r="T94" s="5">
        <f>J94</f>
        <v/>
      </c>
      <c r="U94" s="6">
        <f>YEAR(D94)</f>
        <v/>
      </c>
      <c r="V94" s="5">
        <f>TEXT(D94,"yyyy-mm")</f>
        <v/>
      </c>
    </row>
    <row r="95">
      <c r="A95" s="2" t="inlineStr">
        <is>
          <t>EJ020523.TXT</t>
        </is>
      </c>
      <c r="B95" s="3" t="inlineStr">
        <is>
          <t>001119</t>
        </is>
      </c>
      <c r="C95" s="3" t="inlineStr">
        <is>
          <t>000702</t>
        </is>
      </c>
      <c r="D95" s="4" t="n">
        <v>45043</v>
      </c>
      <c r="E95" s="2" t="inlineStr">
        <is>
          <t>12:23</t>
        </is>
      </c>
      <c r="F95" s="5" t="n">
        <v>49.17</v>
      </c>
      <c r="G95" s="5" t="n"/>
      <c r="H95" s="5" t="n"/>
      <c r="I95" s="5" t="n"/>
      <c r="J95" s="5" t="n">
        <v>9.83</v>
      </c>
      <c r="K95" s="5" t="n"/>
      <c r="L95" s="5" t="n"/>
      <c r="M95" s="5" t="n"/>
      <c r="N95" s="5" t="n"/>
      <c r="O95" s="5" t="n">
        <v>59</v>
      </c>
      <c r="P95" s="5" t="n">
        <v>59</v>
      </c>
      <c r="Q95" s="5" t="n"/>
      <c r="R95" s="5" t="n"/>
      <c r="S95" s="5">
        <f>SUM(F95:I95)+N95</f>
        <v/>
      </c>
      <c r="T95" s="5">
        <f>J95</f>
        <v/>
      </c>
      <c r="U95" s="6">
        <f>YEAR(D95)</f>
        <v/>
      </c>
      <c r="V95" s="5">
        <f>TEXT(D95,"yyyy-mm")</f>
        <v/>
      </c>
    </row>
    <row r="96">
      <c r="A96" s="2" t="inlineStr">
        <is>
          <t>EJ020523.TXT</t>
        </is>
      </c>
      <c r="B96" s="3" t="inlineStr">
        <is>
          <t>001120</t>
        </is>
      </c>
      <c r="C96" s="3" t="inlineStr">
        <is>
          <t>000703</t>
        </is>
      </c>
      <c r="D96" s="4" t="n">
        <v>45043</v>
      </c>
      <c r="E96" s="2" t="inlineStr">
        <is>
          <t>16:00</t>
        </is>
      </c>
      <c r="F96" s="5" t="n">
        <v>615</v>
      </c>
      <c r="G96" s="5" t="n"/>
      <c r="H96" s="5" t="n"/>
      <c r="I96" s="5" t="n"/>
      <c r="J96" s="5" t="n">
        <v>123</v>
      </c>
      <c r="K96" s="5" t="n"/>
      <c r="L96" s="5" t="n"/>
      <c r="M96" s="5" t="n"/>
      <c r="N96" s="5" t="n"/>
      <c r="O96" s="5" t="n">
        <v>738</v>
      </c>
      <c r="P96" s="5" t="n">
        <v>738</v>
      </c>
      <c r="Q96" s="5" t="n"/>
      <c r="R96" s="5" t="n"/>
      <c r="S96" s="5">
        <f>SUM(F96:I96)+N96</f>
        <v/>
      </c>
      <c r="T96" s="5">
        <f>J96</f>
        <v/>
      </c>
      <c r="U96" s="6">
        <f>YEAR(D96)</f>
        <v/>
      </c>
      <c r="V96" s="5">
        <f>TEXT(D96,"yyyy-mm")</f>
        <v/>
      </c>
    </row>
    <row r="97">
      <c r="A97" s="2" t="inlineStr">
        <is>
          <t>EJ020523.TXT</t>
        </is>
      </c>
      <c r="B97" s="3" t="inlineStr">
        <is>
          <t>001122</t>
        </is>
      </c>
      <c r="C97" s="3" t="inlineStr">
        <is>
          <t>000704</t>
        </is>
      </c>
      <c r="D97" s="4" t="n">
        <v>45045</v>
      </c>
      <c r="E97" s="2" t="inlineStr">
        <is>
          <t>16:12</t>
        </is>
      </c>
      <c r="F97" s="5" t="n">
        <v>597.5</v>
      </c>
      <c r="G97" s="5" t="n"/>
      <c r="H97" s="5" t="n"/>
      <c r="I97" s="5" t="n"/>
      <c r="J97" s="5" t="n">
        <v>119.5</v>
      </c>
      <c r="K97" s="5" t="n"/>
      <c r="L97" s="5" t="n"/>
      <c r="M97" s="5" t="n"/>
      <c r="N97" s="5" t="n"/>
      <c r="O97" s="5" t="n">
        <v>717</v>
      </c>
      <c r="P97" s="5" t="n">
        <v>717</v>
      </c>
      <c r="Q97" s="5" t="n"/>
      <c r="R97" s="5" t="n"/>
      <c r="S97" s="5">
        <f>SUM(F97:I97)+N97</f>
        <v/>
      </c>
      <c r="T97" s="5">
        <f>J97</f>
        <v/>
      </c>
      <c r="U97" s="6">
        <f>YEAR(D97)</f>
        <v/>
      </c>
      <c r="V97" s="5">
        <f>TEXT(D97,"yyyy-mm")</f>
        <v/>
      </c>
    </row>
    <row r="98">
      <c r="A98" s="2" t="inlineStr">
        <is>
          <t>EJ020523.TXT</t>
        </is>
      </c>
      <c r="B98" s="3" t="inlineStr">
        <is>
          <t>001123</t>
        </is>
      </c>
      <c r="C98" s="3" t="inlineStr">
        <is>
          <t>000705</t>
        </is>
      </c>
      <c r="D98" s="4" t="n">
        <v>45045</v>
      </c>
      <c r="E98" s="2" t="inlineStr">
        <is>
          <t>16:55</t>
        </is>
      </c>
      <c r="F98" s="5" t="n">
        <v>381.67</v>
      </c>
      <c r="G98" s="5" t="n"/>
      <c r="H98" s="5" t="n"/>
      <c r="I98" s="5" t="n"/>
      <c r="J98" s="5" t="n">
        <v>76.33</v>
      </c>
      <c r="K98" s="5" t="n"/>
      <c r="L98" s="5" t="n"/>
      <c r="M98" s="5" t="n"/>
      <c r="N98" s="5" t="n"/>
      <c r="O98" s="5" t="n">
        <v>458</v>
      </c>
      <c r="P98" s="5" t="n"/>
      <c r="Q98" s="5" t="n">
        <v>458</v>
      </c>
      <c r="R98" s="5" t="n"/>
      <c r="S98" s="5">
        <f>SUM(F98:I98)+N98</f>
        <v/>
      </c>
      <c r="T98" s="5">
        <f>J98</f>
        <v/>
      </c>
      <c r="U98" s="6">
        <f>YEAR(D98)</f>
        <v/>
      </c>
      <c r="V98" s="5">
        <f>TEXT(D98,"yyyy-mm")</f>
        <v/>
      </c>
    </row>
    <row r="99">
      <c r="A99" s="2" t="inlineStr">
        <is>
          <t>EJ010623.TXT</t>
        </is>
      </c>
      <c r="B99" s="3" t="inlineStr">
        <is>
          <t>001130</t>
        </is>
      </c>
      <c r="C99" s="3" t="inlineStr">
        <is>
          <t>000706</t>
        </is>
      </c>
      <c r="D99" s="4" t="n">
        <v>45048</v>
      </c>
      <c r="E99" s="2" t="inlineStr">
        <is>
          <t>12:22</t>
        </is>
      </c>
      <c r="F99" s="5" t="n">
        <v>548.33</v>
      </c>
      <c r="G99" s="5" t="n"/>
      <c r="H99" s="5" t="n"/>
      <c r="I99" s="5" t="n"/>
      <c r="J99" s="5" t="n">
        <v>109.67</v>
      </c>
      <c r="K99" s="5" t="n"/>
      <c r="L99" s="5" t="n"/>
      <c r="M99" s="5" t="n"/>
      <c r="N99" s="5" t="n"/>
      <c r="O99" s="5" t="n">
        <v>658</v>
      </c>
      <c r="P99" s="5" t="n">
        <v>658</v>
      </c>
      <c r="Q99" s="5" t="n"/>
      <c r="R99" s="5" t="n"/>
      <c r="S99" s="5">
        <f>SUM(F99:I99)+N99</f>
        <v/>
      </c>
      <c r="T99" s="5">
        <f>J99</f>
        <v/>
      </c>
      <c r="U99" s="6">
        <f>YEAR(D99)</f>
        <v/>
      </c>
      <c r="V99" s="5">
        <f>TEXT(D99,"yyyy-mm")</f>
        <v/>
      </c>
    </row>
    <row r="100">
      <c r="A100" s="2" t="inlineStr">
        <is>
          <t>EJ010623.TXT</t>
        </is>
      </c>
      <c r="B100" s="3" t="inlineStr">
        <is>
          <t>001131</t>
        </is>
      </c>
      <c r="C100" s="3" t="inlineStr">
        <is>
          <t>000707</t>
        </is>
      </c>
      <c r="D100" s="4" t="n">
        <v>45048</v>
      </c>
      <c r="E100" s="2" t="inlineStr">
        <is>
          <t>13:04</t>
        </is>
      </c>
      <c r="F100" s="5" t="n">
        <v>581.67</v>
      </c>
      <c r="G100" s="5" t="n"/>
      <c r="H100" s="5" t="n"/>
      <c r="I100" s="5" t="n"/>
      <c r="J100" s="5" t="n">
        <v>116.33</v>
      </c>
      <c r="K100" s="5" t="n"/>
      <c r="L100" s="5" t="n"/>
      <c r="M100" s="5" t="n"/>
      <c r="N100" s="5" t="n"/>
      <c r="O100" s="5" t="n">
        <v>698</v>
      </c>
      <c r="P100" s="5" t="n">
        <v>698</v>
      </c>
      <c r="Q100" s="5" t="n"/>
      <c r="R100" s="5" t="n"/>
      <c r="S100" s="5">
        <f>SUM(F100:I100)+N100</f>
        <v/>
      </c>
      <c r="T100" s="5">
        <f>J100</f>
        <v/>
      </c>
      <c r="U100" s="6">
        <f>YEAR(D100)</f>
        <v/>
      </c>
      <c r="V100" s="5">
        <f>TEXT(D100,"yyyy-mm")</f>
        <v/>
      </c>
    </row>
    <row r="101">
      <c r="A101" s="2" t="inlineStr">
        <is>
          <t>EJ010623.TXT</t>
        </is>
      </c>
      <c r="B101" s="3" t="inlineStr">
        <is>
          <t>001132</t>
        </is>
      </c>
      <c r="C101" s="3" t="inlineStr">
        <is>
          <t>000708</t>
        </is>
      </c>
      <c r="D101" s="4" t="n">
        <v>45049</v>
      </c>
      <c r="E101" s="2" t="inlineStr">
        <is>
          <t>12:24</t>
        </is>
      </c>
      <c r="F101" s="5" t="n">
        <v>274.17</v>
      </c>
      <c r="G101" s="5" t="n"/>
      <c r="H101" s="5" t="n"/>
      <c r="I101" s="5" t="n"/>
      <c r="J101" s="5" t="n">
        <v>54.83</v>
      </c>
      <c r="K101" s="5" t="n"/>
      <c r="L101" s="5" t="n"/>
      <c r="M101" s="5" t="n"/>
      <c r="N101" s="5" t="n"/>
      <c r="O101" s="5" t="n">
        <v>329</v>
      </c>
      <c r="P101" s="5" t="n">
        <v>329</v>
      </c>
      <c r="Q101" s="5" t="n"/>
      <c r="R101" s="5" t="n"/>
      <c r="S101" s="5">
        <f>SUM(F101:I101)+N101</f>
        <v/>
      </c>
      <c r="T101" s="5">
        <f>J101</f>
        <v/>
      </c>
      <c r="U101" s="6">
        <f>YEAR(D101)</f>
        <v/>
      </c>
      <c r="V101" s="5">
        <f>TEXT(D101,"yyyy-mm")</f>
        <v/>
      </c>
    </row>
    <row r="102">
      <c r="A102" s="2" t="inlineStr">
        <is>
          <t>EJ010623.TXT</t>
        </is>
      </c>
      <c r="B102" s="3" t="inlineStr">
        <is>
          <t>001134</t>
        </is>
      </c>
      <c r="C102" s="3" t="inlineStr">
        <is>
          <t>000709</t>
        </is>
      </c>
      <c r="D102" s="4" t="n">
        <v>45050</v>
      </c>
      <c r="E102" s="2" t="inlineStr">
        <is>
          <t>14:46</t>
        </is>
      </c>
      <c r="F102" s="5" t="n">
        <v>548.33</v>
      </c>
      <c r="G102" s="5" t="n"/>
      <c r="H102" s="5" t="n"/>
      <c r="I102" s="5" t="n"/>
      <c r="J102" s="5" t="n">
        <v>109.67</v>
      </c>
      <c r="K102" s="5" t="n"/>
      <c r="L102" s="5" t="n"/>
      <c r="M102" s="5" t="n"/>
      <c r="N102" s="5" t="n"/>
      <c r="O102" s="5" t="n">
        <v>658</v>
      </c>
      <c r="P102" s="5" t="n">
        <v>658</v>
      </c>
      <c r="Q102" s="5" t="n"/>
      <c r="R102" s="5" t="n"/>
      <c r="S102" s="5">
        <f>SUM(F102:I102)+N102</f>
        <v/>
      </c>
      <c r="T102" s="5">
        <f>J102</f>
        <v/>
      </c>
      <c r="U102" s="6">
        <f>YEAR(D102)</f>
        <v/>
      </c>
      <c r="V102" s="5">
        <f>TEXT(D102,"yyyy-mm")</f>
        <v/>
      </c>
    </row>
    <row r="103">
      <c r="A103" s="2" t="inlineStr">
        <is>
          <t>EJ010623.TXT</t>
        </is>
      </c>
      <c r="B103" s="3" t="inlineStr">
        <is>
          <t>001136</t>
        </is>
      </c>
      <c r="C103" s="3" t="inlineStr">
        <is>
          <t>000710</t>
        </is>
      </c>
      <c r="D103" s="4" t="n">
        <v>45058</v>
      </c>
      <c r="E103" s="2" t="inlineStr">
        <is>
          <t>14:37</t>
        </is>
      </c>
      <c r="F103" s="5" t="n">
        <v>115</v>
      </c>
      <c r="G103" s="5" t="n"/>
      <c r="H103" s="5" t="n"/>
      <c r="I103" s="5" t="n"/>
      <c r="J103" s="5" t="n">
        <v>23</v>
      </c>
      <c r="K103" s="5" t="n"/>
      <c r="L103" s="5" t="n"/>
      <c r="M103" s="5" t="n"/>
      <c r="N103" s="5" t="n"/>
      <c r="O103" s="5" t="n">
        <v>138</v>
      </c>
      <c r="P103" s="5" t="n">
        <v>138</v>
      </c>
      <c r="Q103" s="5" t="n"/>
      <c r="R103" s="5" t="n"/>
      <c r="S103" s="5">
        <f>SUM(F103:I103)+N103</f>
        <v/>
      </c>
      <c r="T103" s="5">
        <f>J103</f>
        <v/>
      </c>
      <c r="U103" s="6">
        <f>YEAR(D103)</f>
        <v/>
      </c>
      <c r="V103" s="5">
        <f>TEXT(D103,"yyyy-mm")</f>
        <v/>
      </c>
    </row>
    <row r="104">
      <c r="A104" s="2" t="inlineStr">
        <is>
          <t>EJ010623.TXT</t>
        </is>
      </c>
      <c r="B104" s="3" t="inlineStr">
        <is>
          <t>001137</t>
        </is>
      </c>
      <c r="C104" s="3" t="inlineStr">
        <is>
          <t>000711</t>
        </is>
      </c>
      <c r="D104" s="4" t="n">
        <v>45058</v>
      </c>
      <c r="E104" s="2" t="inlineStr">
        <is>
          <t>16:20</t>
        </is>
      </c>
      <c r="F104" s="5" t="n">
        <v>1645</v>
      </c>
      <c r="G104" s="5" t="n"/>
      <c r="H104" s="5" t="n"/>
      <c r="I104" s="5" t="n"/>
      <c r="J104" s="5" t="n">
        <v>329</v>
      </c>
      <c r="K104" s="5" t="n"/>
      <c r="L104" s="5" t="n"/>
      <c r="M104" s="5" t="n"/>
      <c r="N104" s="5" t="n"/>
      <c r="O104" s="5" t="n">
        <v>1974</v>
      </c>
      <c r="P104" s="5" t="n">
        <v>1974</v>
      </c>
      <c r="Q104" s="5" t="n"/>
      <c r="R104" s="5" t="n"/>
      <c r="S104" s="5">
        <f>SUM(F104:I104)+N104</f>
        <v/>
      </c>
      <c r="T104" s="5">
        <f>J104</f>
        <v/>
      </c>
      <c r="U104" s="6">
        <f>YEAR(D104)</f>
        <v/>
      </c>
      <c r="V104" s="5">
        <f>TEXT(D104,"yyyy-mm")</f>
        <v/>
      </c>
    </row>
    <row r="105">
      <c r="A105" s="2" t="inlineStr">
        <is>
          <t>EJ010623.TXT</t>
        </is>
      </c>
      <c r="B105" s="3" t="inlineStr">
        <is>
          <t>001138</t>
        </is>
      </c>
      <c r="C105" s="3" t="inlineStr">
        <is>
          <t>000712</t>
        </is>
      </c>
      <c r="D105" s="4" t="n">
        <v>45059</v>
      </c>
      <c r="E105" s="2" t="inlineStr">
        <is>
          <t>13:45</t>
        </is>
      </c>
      <c r="F105" s="5" t="n">
        <v>548.33</v>
      </c>
      <c r="G105" s="5" t="n"/>
      <c r="H105" s="5" t="n"/>
      <c r="I105" s="5" t="n"/>
      <c r="J105" s="5" t="n">
        <v>109.67</v>
      </c>
      <c r="K105" s="5" t="n"/>
      <c r="L105" s="5" t="n"/>
      <c r="M105" s="5" t="n"/>
      <c r="N105" s="5" t="n"/>
      <c r="O105" s="5" t="n">
        <v>658</v>
      </c>
      <c r="P105" s="5" t="n">
        <v>658</v>
      </c>
      <c r="Q105" s="5" t="n"/>
      <c r="R105" s="5" t="n"/>
      <c r="S105" s="5">
        <f>SUM(F105:I105)+N105</f>
        <v/>
      </c>
      <c r="T105" s="5">
        <f>J105</f>
        <v/>
      </c>
      <c r="U105" s="6">
        <f>YEAR(D105)</f>
        <v/>
      </c>
      <c r="V105" s="5">
        <f>TEXT(D105,"yyyy-mm")</f>
        <v/>
      </c>
    </row>
    <row r="106">
      <c r="A106" s="2" t="inlineStr">
        <is>
          <t>EJ010623.TXT</t>
        </is>
      </c>
      <c r="B106" s="3" t="inlineStr">
        <is>
          <t>001139</t>
        </is>
      </c>
      <c r="C106" s="3" t="inlineStr">
        <is>
          <t>000713</t>
        </is>
      </c>
      <c r="D106" s="4" t="n">
        <v>45059</v>
      </c>
      <c r="E106" s="2" t="inlineStr">
        <is>
          <t>14:04</t>
        </is>
      </c>
      <c r="F106" s="5" t="n">
        <v>548.33</v>
      </c>
      <c r="G106" s="5" t="n"/>
      <c r="H106" s="5" t="n"/>
      <c r="I106" s="5" t="n"/>
      <c r="J106" s="5" t="n">
        <v>109.67</v>
      </c>
      <c r="K106" s="5" t="n"/>
      <c r="L106" s="5" t="n"/>
      <c r="M106" s="5" t="n"/>
      <c r="N106" s="5" t="n"/>
      <c r="O106" s="5" t="n">
        <v>658</v>
      </c>
      <c r="P106" s="5" t="n"/>
      <c r="Q106" s="5" t="n">
        <v>658</v>
      </c>
      <c r="R106" s="5" t="n"/>
      <c r="S106" s="5">
        <f>SUM(F106:I106)+N106</f>
        <v/>
      </c>
      <c r="T106" s="5">
        <f>J106</f>
        <v/>
      </c>
      <c r="U106" s="6">
        <f>YEAR(D106)</f>
        <v/>
      </c>
      <c r="V106" s="5">
        <f>TEXT(D106,"yyyy-mm")</f>
        <v/>
      </c>
    </row>
    <row r="107">
      <c r="A107" s="2" t="inlineStr">
        <is>
          <t>EJ010623.TXT</t>
        </is>
      </c>
      <c r="B107" s="3" t="inlineStr">
        <is>
          <t>001140</t>
        </is>
      </c>
      <c r="C107" s="3" t="inlineStr">
        <is>
          <t>000714</t>
        </is>
      </c>
      <c r="D107" s="4" t="n">
        <v>45059</v>
      </c>
      <c r="E107" s="2" t="inlineStr">
        <is>
          <t>14:43</t>
        </is>
      </c>
      <c r="F107" s="5" t="n">
        <v>266.67</v>
      </c>
      <c r="G107" s="5" t="n"/>
      <c r="H107" s="5" t="n"/>
      <c r="I107" s="5" t="n"/>
      <c r="J107" s="5" t="n">
        <v>53.33</v>
      </c>
      <c r="K107" s="5" t="n"/>
      <c r="L107" s="5" t="n"/>
      <c r="M107" s="5" t="n"/>
      <c r="N107" s="5" t="n"/>
      <c r="O107" s="5" t="n">
        <v>320</v>
      </c>
      <c r="P107" s="5" t="n">
        <v>320</v>
      </c>
      <c r="Q107" s="5" t="n"/>
      <c r="R107" s="5" t="n"/>
      <c r="S107" s="5">
        <f>SUM(F107:I107)+N107</f>
        <v/>
      </c>
      <c r="T107" s="5">
        <f>J107</f>
        <v/>
      </c>
      <c r="U107" s="6">
        <f>YEAR(D107)</f>
        <v/>
      </c>
      <c r="V107" s="5">
        <f>TEXT(D107,"yyyy-mm")</f>
        <v/>
      </c>
    </row>
    <row r="108">
      <c r="A108" s="2" t="inlineStr">
        <is>
          <t>EJ010623.TXT</t>
        </is>
      </c>
      <c r="B108" s="3" t="inlineStr">
        <is>
          <t>001141</t>
        </is>
      </c>
      <c r="C108" s="3" t="inlineStr">
        <is>
          <t>000715</t>
        </is>
      </c>
      <c r="D108" s="4" t="n">
        <v>45059</v>
      </c>
      <c r="E108" s="2" t="inlineStr">
        <is>
          <t>15:13</t>
        </is>
      </c>
      <c r="F108" s="5" t="n">
        <v>65.83</v>
      </c>
      <c r="G108" s="5" t="n"/>
      <c r="H108" s="5" t="n"/>
      <c r="I108" s="5" t="n"/>
      <c r="J108" s="5" t="n">
        <v>13.17</v>
      </c>
      <c r="K108" s="5" t="n"/>
      <c r="L108" s="5" t="n"/>
      <c r="M108" s="5" t="n"/>
      <c r="N108" s="5" t="n"/>
      <c r="O108" s="5" t="n">
        <v>79</v>
      </c>
      <c r="P108" s="5" t="n">
        <v>79</v>
      </c>
      <c r="Q108" s="5" t="n"/>
      <c r="R108" s="5" t="n"/>
      <c r="S108" s="5">
        <f>SUM(F108:I108)+N108</f>
        <v/>
      </c>
      <c r="T108" s="5">
        <f>J108</f>
        <v/>
      </c>
      <c r="U108" s="6">
        <f>YEAR(D108)</f>
        <v/>
      </c>
      <c r="V108" s="5">
        <f>TEXT(D108,"yyyy-mm")</f>
        <v/>
      </c>
    </row>
    <row r="109">
      <c r="A109" s="2" t="inlineStr">
        <is>
          <t>EJ010623.TXT</t>
        </is>
      </c>
      <c r="B109" s="3" t="inlineStr">
        <is>
          <t>001142</t>
        </is>
      </c>
      <c r="C109" s="3" t="inlineStr">
        <is>
          <t>000716</t>
        </is>
      </c>
      <c r="D109" s="4" t="n">
        <v>45062</v>
      </c>
      <c r="E109" s="2" t="inlineStr">
        <is>
          <t>13:26</t>
        </is>
      </c>
      <c r="F109" s="5" t="n">
        <v>548.33</v>
      </c>
      <c r="G109" s="5" t="n"/>
      <c r="H109" s="5" t="n"/>
      <c r="I109" s="5" t="n"/>
      <c r="J109" s="5" t="n">
        <v>109.67</v>
      </c>
      <c r="K109" s="5" t="n"/>
      <c r="L109" s="5" t="n"/>
      <c r="M109" s="5" t="n"/>
      <c r="N109" s="5" t="n"/>
      <c r="O109" s="5" t="n">
        <v>658</v>
      </c>
      <c r="P109" s="5" t="n"/>
      <c r="Q109" s="5" t="n">
        <v>658</v>
      </c>
      <c r="R109" s="5" t="n"/>
      <c r="S109" s="5">
        <f>SUM(F109:I109)+N109</f>
        <v/>
      </c>
      <c r="T109" s="5">
        <f>J109</f>
        <v/>
      </c>
      <c r="U109" s="6">
        <f>YEAR(D109)</f>
        <v/>
      </c>
      <c r="V109" s="5">
        <f>TEXT(D109,"yyyy-mm")</f>
        <v/>
      </c>
    </row>
    <row r="110">
      <c r="A110" s="2" t="inlineStr">
        <is>
          <t>EJ010623.TXT</t>
        </is>
      </c>
      <c r="B110" s="3" t="inlineStr">
        <is>
          <t>001144</t>
        </is>
      </c>
      <c r="C110" s="3" t="inlineStr">
        <is>
          <t>000717</t>
        </is>
      </c>
      <c r="D110" s="4" t="n">
        <v>45065</v>
      </c>
      <c r="E110" s="2" t="inlineStr">
        <is>
          <t>09:52</t>
        </is>
      </c>
      <c r="F110" s="5" t="n">
        <v>1733.33</v>
      </c>
      <c r="G110" s="5" t="n"/>
      <c r="H110" s="5" t="n"/>
      <c r="I110" s="5" t="n"/>
      <c r="J110" s="5" t="n">
        <v>346.67</v>
      </c>
      <c r="K110" s="5" t="n"/>
      <c r="L110" s="5" t="n"/>
      <c r="M110" s="5" t="n"/>
      <c r="N110" s="5" t="n"/>
      <c r="O110" s="5" t="n">
        <v>2080</v>
      </c>
      <c r="P110" s="5" t="n">
        <v>2080</v>
      </c>
      <c r="Q110" s="5" t="n"/>
      <c r="R110" s="5" t="n"/>
      <c r="S110" s="5">
        <f>SUM(F110:I110)+N110</f>
        <v/>
      </c>
      <c r="T110" s="5">
        <f>J110</f>
        <v/>
      </c>
      <c r="U110" s="6">
        <f>YEAR(D110)</f>
        <v/>
      </c>
      <c r="V110" s="5">
        <f>TEXT(D110,"yyyy-mm")</f>
        <v/>
      </c>
    </row>
    <row r="111">
      <c r="A111" s="2" t="inlineStr">
        <is>
          <t>EJ010623.TXT</t>
        </is>
      </c>
      <c r="B111" s="3" t="inlineStr">
        <is>
          <t>001145</t>
        </is>
      </c>
      <c r="C111" s="3" t="inlineStr">
        <is>
          <t>000718</t>
        </is>
      </c>
      <c r="D111" s="4" t="n">
        <v>45065</v>
      </c>
      <c r="E111" s="2" t="inlineStr">
        <is>
          <t>11:25</t>
        </is>
      </c>
      <c r="F111" s="5" t="n">
        <v>822.5</v>
      </c>
      <c r="G111" s="5" t="n"/>
      <c r="H111" s="5" t="n"/>
      <c r="I111" s="5" t="n"/>
      <c r="J111" s="5" t="n">
        <v>164.5</v>
      </c>
      <c r="K111" s="5" t="n"/>
      <c r="L111" s="5" t="n"/>
      <c r="M111" s="5" t="n"/>
      <c r="N111" s="5" t="n"/>
      <c r="O111" s="5" t="n">
        <v>987</v>
      </c>
      <c r="P111" s="5" t="n"/>
      <c r="Q111" s="5" t="n">
        <v>987</v>
      </c>
      <c r="R111" s="5" t="n"/>
      <c r="S111" s="5">
        <f>SUM(F111:I111)+N111</f>
        <v/>
      </c>
      <c r="T111" s="5">
        <f>J111</f>
        <v/>
      </c>
      <c r="U111" s="6">
        <f>YEAR(D111)</f>
        <v/>
      </c>
      <c r="V111" s="5">
        <f>TEXT(D111,"yyyy-mm")</f>
        <v/>
      </c>
    </row>
    <row r="112">
      <c r="A112" s="2" t="inlineStr">
        <is>
          <t>EJ010623.TXT</t>
        </is>
      </c>
      <c r="B112" s="3" t="inlineStr">
        <is>
          <t>001146</t>
        </is>
      </c>
      <c r="C112" s="3" t="inlineStr">
        <is>
          <t>000719</t>
        </is>
      </c>
      <c r="D112" s="4" t="n">
        <v>45065</v>
      </c>
      <c r="E112" s="2" t="inlineStr">
        <is>
          <t>15:19</t>
        </is>
      </c>
      <c r="F112" s="5" t="n">
        <v>274.17</v>
      </c>
      <c r="G112" s="5" t="n"/>
      <c r="H112" s="5" t="n"/>
      <c r="I112" s="5" t="n"/>
      <c r="J112" s="5" t="n">
        <v>54.83</v>
      </c>
      <c r="K112" s="5" t="n"/>
      <c r="L112" s="5" t="n"/>
      <c r="M112" s="5" t="n"/>
      <c r="N112" s="5" t="n"/>
      <c r="O112" s="5" t="n">
        <v>329</v>
      </c>
      <c r="P112" s="5" t="n">
        <v>329</v>
      </c>
      <c r="Q112" s="5" t="n"/>
      <c r="R112" s="5" t="n"/>
      <c r="S112" s="5">
        <f>SUM(F112:I112)+N112</f>
        <v/>
      </c>
      <c r="T112" s="5">
        <f>J112</f>
        <v/>
      </c>
      <c r="U112" s="6">
        <f>YEAR(D112)</f>
        <v/>
      </c>
      <c r="V112" s="5">
        <f>TEXT(D112,"yyyy-mm")</f>
        <v/>
      </c>
    </row>
    <row r="113">
      <c r="A113" s="2" t="inlineStr">
        <is>
          <t>EJ010623.TXT</t>
        </is>
      </c>
      <c r="B113" s="3" t="inlineStr">
        <is>
          <t>001147</t>
        </is>
      </c>
      <c r="C113" s="3" t="inlineStr">
        <is>
          <t>000720</t>
        </is>
      </c>
      <c r="D113" s="4" t="n">
        <v>45066</v>
      </c>
      <c r="E113" s="2" t="inlineStr">
        <is>
          <t>15:12</t>
        </is>
      </c>
      <c r="F113" s="5" t="n">
        <v>548.33</v>
      </c>
      <c r="G113" s="5" t="n"/>
      <c r="H113" s="5" t="n"/>
      <c r="I113" s="5" t="n"/>
      <c r="J113" s="5" t="n">
        <v>109.67</v>
      </c>
      <c r="K113" s="5" t="n"/>
      <c r="L113" s="5" t="n"/>
      <c r="M113" s="5" t="n"/>
      <c r="N113" s="5" t="n"/>
      <c r="O113" s="5" t="n">
        <v>658</v>
      </c>
      <c r="P113" s="5" t="n">
        <v>658</v>
      </c>
      <c r="Q113" s="5" t="n"/>
      <c r="R113" s="5" t="n"/>
      <c r="S113" s="5">
        <f>SUM(F113:I113)+N113</f>
        <v/>
      </c>
      <c r="T113" s="5">
        <f>J113</f>
        <v/>
      </c>
      <c r="U113" s="6">
        <f>YEAR(D113)</f>
        <v/>
      </c>
      <c r="V113" s="5">
        <f>TEXT(D113,"yyyy-mm")</f>
        <v/>
      </c>
    </row>
    <row r="114">
      <c r="A114" s="2" t="inlineStr">
        <is>
          <t>EJ010623.TXT</t>
        </is>
      </c>
      <c r="B114" s="3" t="inlineStr">
        <is>
          <t>001148</t>
        </is>
      </c>
      <c r="C114" s="3" t="inlineStr">
        <is>
          <t>000721</t>
        </is>
      </c>
      <c r="D114" s="4" t="n">
        <v>45068</v>
      </c>
      <c r="E114" s="2" t="inlineStr">
        <is>
          <t>13:01</t>
        </is>
      </c>
      <c r="F114" s="5" t="n">
        <v>82.5</v>
      </c>
      <c r="G114" s="5" t="n"/>
      <c r="H114" s="5" t="n"/>
      <c r="I114" s="5" t="n"/>
      <c r="J114" s="5" t="n">
        <v>16.5</v>
      </c>
      <c r="K114" s="5" t="n"/>
      <c r="L114" s="5" t="n"/>
      <c r="M114" s="5" t="n"/>
      <c r="N114" s="5" t="n"/>
      <c r="O114" s="5" t="n">
        <v>99</v>
      </c>
      <c r="P114" s="5" t="n">
        <v>99</v>
      </c>
      <c r="Q114" s="5" t="n"/>
      <c r="R114" s="5" t="n"/>
      <c r="S114" s="5">
        <f>SUM(F114:I114)+N114</f>
        <v/>
      </c>
      <c r="T114" s="5">
        <f>J114</f>
        <v/>
      </c>
      <c r="U114" s="6">
        <f>YEAR(D114)</f>
        <v/>
      </c>
      <c r="V114" s="5">
        <f>TEXT(D114,"yyyy-mm")</f>
        <v/>
      </c>
    </row>
    <row r="115">
      <c r="A115" s="2" t="inlineStr">
        <is>
          <t>EJ010623.TXT</t>
        </is>
      </c>
      <c r="B115" s="3" t="inlineStr">
        <is>
          <t>001149</t>
        </is>
      </c>
      <c r="C115" s="3" t="inlineStr">
        <is>
          <t>000722</t>
        </is>
      </c>
      <c r="D115" s="4" t="n">
        <v>45069</v>
      </c>
      <c r="E115" s="2" t="inlineStr">
        <is>
          <t>13:58</t>
        </is>
      </c>
      <c r="F115" s="5" t="n">
        <v>199.17</v>
      </c>
      <c r="G115" s="5" t="n"/>
      <c r="H115" s="5" t="n"/>
      <c r="I115" s="5" t="n"/>
      <c r="J115" s="5" t="n">
        <v>39.83</v>
      </c>
      <c r="K115" s="5" t="n"/>
      <c r="L115" s="5" t="n"/>
      <c r="M115" s="5" t="n"/>
      <c r="N115" s="5" t="n"/>
      <c r="O115" s="5" t="n">
        <v>239</v>
      </c>
      <c r="P115" s="5" t="n">
        <v>239</v>
      </c>
      <c r="Q115" s="5" t="n"/>
      <c r="R115" s="5" t="n"/>
      <c r="S115" s="5">
        <f>SUM(F115:I115)+N115</f>
        <v/>
      </c>
      <c r="T115" s="5">
        <f>J115</f>
        <v/>
      </c>
      <c r="U115" s="6">
        <f>YEAR(D115)</f>
        <v/>
      </c>
      <c r="V115" s="5">
        <f>TEXT(D115,"yyyy-mm")</f>
        <v/>
      </c>
    </row>
    <row r="116">
      <c r="A116" s="2" t="inlineStr">
        <is>
          <t>EJ010623.TXT</t>
        </is>
      </c>
      <c r="B116" s="3" t="inlineStr">
        <is>
          <t>001150</t>
        </is>
      </c>
      <c r="C116" s="3" t="inlineStr">
        <is>
          <t>000723</t>
        </is>
      </c>
      <c r="D116" s="4" t="n">
        <v>45073</v>
      </c>
      <c r="E116" s="2" t="inlineStr">
        <is>
          <t>13:56</t>
        </is>
      </c>
      <c r="F116" s="5" t="n">
        <v>548.33</v>
      </c>
      <c r="G116" s="5" t="n"/>
      <c r="H116" s="5" t="n"/>
      <c r="I116" s="5" t="n"/>
      <c r="J116" s="5" t="n">
        <v>109.67</v>
      </c>
      <c r="K116" s="5" t="n"/>
      <c r="L116" s="5" t="n"/>
      <c r="M116" s="5" t="n"/>
      <c r="N116" s="5" t="n"/>
      <c r="O116" s="5" t="n">
        <v>658</v>
      </c>
      <c r="P116" s="5" t="n"/>
      <c r="Q116" s="5" t="n">
        <v>658</v>
      </c>
      <c r="R116" s="5" t="n"/>
      <c r="S116" s="5">
        <f>SUM(F116:I116)+N116</f>
        <v/>
      </c>
      <c r="T116" s="5">
        <f>J116</f>
        <v/>
      </c>
      <c r="U116" s="6">
        <f>YEAR(D116)</f>
        <v/>
      </c>
      <c r="V116" s="5">
        <f>TEXT(D116,"yyyy-mm")</f>
        <v/>
      </c>
    </row>
    <row r="117">
      <c r="A117" s="2" t="inlineStr">
        <is>
          <t>EJ010623.TXT</t>
        </is>
      </c>
      <c r="B117" s="3" t="inlineStr">
        <is>
          <t>001152</t>
        </is>
      </c>
      <c r="C117" s="3" t="inlineStr">
        <is>
          <t>000724</t>
        </is>
      </c>
      <c r="D117" s="4" t="n">
        <v>45073</v>
      </c>
      <c r="E117" s="2" t="inlineStr">
        <is>
          <t>14:45</t>
        </is>
      </c>
      <c r="F117" s="5" t="n">
        <v>1769.17</v>
      </c>
      <c r="G117" s="5" t="n"/>
      <c r="H117" s="5" t="n"/>
      <c r="I117" s="5" t="n"/>
      <c r="J117" s="5" t="n">
        <v>353.83</v>
      </c>
      <c r="K117" s="5" t="n"/>
      <c r="L117" s="5" t="n"/>
      <c r="M117" s="5" t="n"/>
      <c r="N117" s="5" t="n"/>
      <c r="O117" s="5" t="n">
        <v>2123</v>
      </c>
      <c r="P117" s="5" t="n">
        <v>2123</v>
      </c>
      <c r="Q117" s="5" t="n"/>
      <c r="R117" s="5" t="n"/>
      <c r="S117" s="5">
        <f>SUM(F117:I117)+N117</f>
        <v/>
      </c>
      <c r="T117" s="5">
        <f>J117</f>
        <v/>
      </c>
      <c r="U117" s="6">
        <f>YEAR(D117)</f>
        <v/>
      </c>
      <c r="V117" s="5">
        <f>TEXT(D117,"yyyy-mm")</f>
        <v/>
      </c>
    </row>
    <row r="118">
      <c r="A118" s="2" t="inlineStr">
        <is>
          <t>EJ010623.TXT</t>
        </is>
      </c>
      <c r="B118" s="3" t="inlineStr">
        <is>
          <t>001153</t>
        </is>
      </c>
      <c r="C118" s="3" t="inlineStr">
        <is>
          <t>000725</t>
        </is>
      </c>
      <c r="D118" s="4" t="n">
        <v>45073</v>
      </c>
      <c r="E118" s="2" t="inlineStr">
        <is>
          <t>14:51</t>
        </is>
      </c>
      <c r="F118" s="5" t="n">
        <v>124.17</v>
      </c>
      <c r="G118" s="5" t="n"/>
      <c r="H118" s="5" t="n"/>
      <c r="I118" s="5" t="n"/>
      <c r="J118" s="5" t="n">
        <v>24.83</v>
      </c>
      <c r="K118" s="5" t="n"/>
      <c r="L118" s="5" t="n"/>
      <c r="M118" s="5" t="n"/>
      <c r="N118" s="5" t="n"/>
      <c r="O118" s="5" t="n">
        <v>149</v>
      </c>
      <c r="P118" s="5" t="n">
        <v>149</v>
      </c>
      <c r="Q118" s="5" t="n"/>
      <c r="R118" s="5" t="n"/>
      <c r="S118" s="5">
        <f>SUM(F118:I118)+N118</f>
        <v/>
      </c>
      <c r="T118" s="5">
        <f>J118</f>
        <v/>
      </c>
      <c r="U118" s="6">
        <f>YEAR(D118)</f>
        <v/>
      </c>
      <c r="V118" s="5">
        <f>TEXT(D118,"yyyy-mm")</f>
        <v/>
      </c>
    </row>
    <row r="119">
      <c r="A119" s="2" t="inlineStr">
        <is>
          <t>EJ010623.TXT</t>
        </is>
      </c>
      <c r="B119" s="3" t="inlineStr">
        <is>
          <t>001154</t>
        </is>
      </c>
      <c r="C119" s="3" t="inlineStr">
        <is>
          <t>000726</t>
        </is>
      </c>
      <c r="D119" s="4" t="n">
        <v>45073</v>
      </c>
      <c r="E119" s="2" t="inlineStr">
        <is>
          <t>15:50</t>
        </is>
      </c>
      <c r="F119" s="5" t="n">
        <v>548.33</v>
      </c>
      <c r="G119" s="5" t="n"/>
      <c r="H119" s="5" t="n"/>
      <c r="I119" s="5" t="n"/>
      <c r="J119" s="5" t="n">
        <v>109.67</v>
      </c>
      <c r="K119" s="5" t="n"/>
      <c r="L119" s="5" t="n"/>
      <c r="M119" s="5" t="n"/>
      <c r="N119" s="5" t="n"/>
      <c r="O119" s="5" t="n">
        <v>658</v>
      </c>
      <c r="P119" s="5" t="n">
        <v>658</v>
      </c>
      <c r="Q119" s="5" t="n"/>
      <c r="R119" s="5" t="n"/>
      <c r="S119" s="5">
        <f>SUM(F119:I119)+N119</f>
        <v/>
      </c>
      <c r="T119" s="5">
        <f>J119</f>
        <v/>
      </c>
      <c r="U119" s="6">
        <f>YEAR(D119)</f>
        <v/>
      </c>
      <c r="V119" s="5">
        <f>TEXT(D119,"yyyy-mm")</f>
        <v/>
      </c>
    </row>
    <row r="120">
      <c r="A120" s="2" t="inlineStr">
        <is>
          <t>EJ010623.TXT</t>
        </is>
      </c>
      <c r="B120" s="3" t="inlineStr">
        <is>
          <t>001155</t>
        </is>
      </c>
      <c r="C120" s="3" t="inlineStr">
        <is>
          <t>000727</t>
        </is>
      </c>
      <c r="D120" s="4" t="n">
        <v>45073</v>
      </c>
      <c r="E120" s="2" t="inlineStr">
        <is>
          <t>16:21</t>
        </is>
      </c>
      <c r="F120" s="5" t="n">
        <v>199.17</v>
      </c>
      <c r="G120" s="5" t="n"/>
      <c r="H120" s="5" t="n"/>
      <c r="I120" s="5" t="n"/>
      <c r="J120" s="5" t="n">
        <v>39.83</v>
      </c>
      <c r="K120" s="5" t="n"/>
      <c r="L120" s="5" t="n"/>
      <c r="M120" s="5" t="n"/>
      <c r="N120" s="5" t="n"/>
      <c r="O120" s="5" t="n">
        <v>239</v>
      </c>
      <c r="P120" s="5" t="n">
        <v>239</v>
      </c>
      <c r="Q120" s="5" t="n"/>
      <c r="R120" s="5" t="n"/>
      <c r="S120" s="5">
        <f>SUM(F120:I120)+N120</f>
        <v/>
      </c>
      <c r="T120" s="5">
        <f>J120</f>
        <v/>
      </c>
      <c r="U120" s="6">
        <f>YEAR(D120)</f>
        <v/>
      </c>
      <c r="V120" s="5">
        <f>TEXT(D120,"yyyy-mm")</f>
        <v/>
      </c>
    </row>
    <row r="121">
      <c r="A121" s="2" t="inlineStr">
        <is>
          <t>EJ010623.TXT</t>
        </is>
      </c>
      <c r="B121" s="3" t="inlineStr">
        <is>
          <t>001156</t>
        </is>
      </c>
      <c r="C121" s="3" t="inlineStr">
        <is>
          <t>000728</t>
        </is>
      </c>
      <c r="D121" s="4" t="n">
        <v>45075</v>
      </c>
      <c r="E121" s="2" t="inlineStr">
        <is>
          <t>12:21</t>
        </is>
      </c>
      <c r="F121" s="5" t="n">
        <v>65.83</v>
      </c>
      <c r="G121" s="5" t="n"/>
      <c r="H121" s="5" t="n"/>
      <c r="I121" s="5" t="n"/>
      <c r="J121" s="5" t="n">
        <v>13.17</v>
      </c>
      <c r="K121" s="5" t="n"/>
      <c r="L121" s="5" t="n"/>
      <c r="M121" s="5" t="n"/>
      <c r="N121" s="5" t="n"/>
      <c r="O121" s="5" t="n">
        <v>79</v>
      </c>
      <c r="P121" s="5" t="n">
        <v>79</v>
      </c>
      <c r="Q121" s="5" t="n"/>
      <c r="R121" s="5" t="n"/>
      <c r="S121" s="5">
        <f>SUM(F121:I121)+N121</f>
        <v/>
      </c>
      <c r="T121" s="5">
        <f>J121</f>
        <v/>
      </c>
      <c r="U121" s="6">
        <f>YEAR(D121)</f>
        <v/>
      </c>
      <c r="V121" s="5">
        <f>TEXT(D121,"yyyy-mm")</f>
        <v/>
      </c>
    </row>
    <row r="122">
      <c r="A122" s="2" t="inlineStr">
        <is>
          <t>EJ010623.TXT</t>
        </is>
      </c>
      <c r="B122" s="3" t="inlineStr">
        <is>
          <t>001157</t>
        </is>
      </c>
      <c r="C122" s="3" t="inlineStr">
        <is>
          <t>000729</t>
        </is>
      </c>
      <c r="D122" s="4" t="n">
        <v>45076</v>
      </c>
      <c r="E122" s="2" t="inlineStr">
        <is>
          <t>14:56</t>
        </is>
      </c>
      <c r="F122" s="5" t="n">
        <v>350</v>
      </c>
      <c r="G122" s="5" t="n"/>
      <c r="H122" s="5" t="n"/>
      <c r="I122" s="5" t="n"/>
      <c r="J122" s="5" t="n">
        <v>70</v>
      </c>
      <c r="K122" s="5" t="n"/>
      <c r="L122" s="5" t="n"/>
      <c r="M122" s="5" t="n"/>
      <c r="N122" s="5" t="n"/>
      <c r="O122" s="5" t="n">
        <v>420</v>
      </c>
      <c r="P122" s="5" t="n">
        <v>420</v>
      </c>
      <c r="Q122" s="5" t="n"/>
      <c r="R122" s="5" t="n"/>
      <c r="S122" s="5">
        <f>SUM(F122:I122)+N122</f>
        <v/>
      </c>
      <c r="T122" s="5">
        <f>J122</f>
        <v/>
      </c>
      <c r="U122" s="6">
        <f>YEAR(D122)</f>
        <v/>
      </c>
      <c r="V122" s="5">
        <f>TEXT(D122,"yyyy-mm")</f>
        <v/>
      </c>
    </row>
    <row r="123">
      <c r="A123" s="2" t="inlineStr">
        <is>
          <t>EJ010723.TXT</t>
        </is>
      </c>
      <c r="B123" s="3" t="inlineStr">
        <is>
          <t>001162</t>
        </is>
      </c>
      <c r="C123" s="3" t="inlineStr">
        <is>
          <t>000730</t>
        </is>
      </c>
      <c r="D123" s="4" t="n">
        <v>45079</v>
      </c>
      <c r="E123" s="2" t="inlineStr">
        <is>
          <t>10:37</t>
        </is>
      </c>
      <c r="F123" s="5" t="n">
        <v>3200</v>
      </c>
      <c r="G123" s="5" t="n"/>
      <c r="H123" s="5" t="n"/>
      <c r="I123" s="5" t="n"/>
      <c r="J123" s="5" t="n">
        <v>640</v>
      </c>
      <c r="K123" s="5" t="n"/>
      <c r="L123" s="5" t="n"/>
      <c r="M123" s="5" t="n"/>
      <c r="N123" s="5" t="n"/>
      <c r="O123" s="5" t="n">
        <v>3840</v>
      </c>
      <c r="P123" s="5" t="n">
        <v>3840</v>
      </c>
      <c r="Q123" s="5" t="n"/>
      <c r="R123" s="5" t="n"/>
      <c r="S123" s="5">
        <f>SUM(F123:I123)+N123</f>
        <v/>
      </c>
      <c r="T123" s="5">
        <f>J123</f>
        <v/>
      </c>
      <c r="U123" s="6">
        <f>YEAR(D123)</f>
        <v/>
      </c>
      <c r="V123" s="5">
        <f>TEXT(D123,"yyyy-mm")</f>
        <v/>
      </c>
    </row>
    <row r="124">
      <c r="A124" s="2" t="inlineStr">
        <is>
          <t>EJ010723.TXT</t>
        </is>
      </c>
      <c r="B124" s="3" t="inlineStr">
        <is>
          <t>001164</t>
        </is>
      </c>
      <c r="C124" s="3" t="inlineStr">
        <is>
          <t>000731</t>
        </is>
      </c>
      <c r="D124" s="4" t="n">
        <v>45079</v>
      </c>
      <c r="E124" s="2" t="inlineStr">
        <is>
          <t>16:54</t>
        </is>
      </c>
      <c r="F124" s="5" t="n">
        <v>274.17</v>
      </c>
      <c r="G124" s="5" t="n"/>
      <c r="H124" s="5" t="n"/>
      <c r="I124" s="5" t="n"/>
      <c r="J124" s="5" t="n">
        <v>54.83</v>
      </c>
      <c r="K124" s="5" t="n"/>
      <c r="L124" s="5" t="n"/>
      <c r="M124" s="5" t="n"/>
      <c r="N124" s="5" t="n"/>
      <c r="O124" s="5" t="n">
        <v>329</v>
      </c>
      <c r="P124" s="5" t="n">
        <v>329</v>
      </c>
      <c r="Q124" s="5" t="n"/>
      <c r="R124" s="5" t="n"/>
      <c r="S124" s="5">
        <f>SUM(F124:I124)+N124</f>
        <v/>
      </c>
      <c r="T124" s="5">
        <f>J124</f>
        <v/>
      </c>
      <c r="U124" s="6">
        <f>YEAR(D124)</f>
        <v/>
      </c>
      <c r="V124" s="5">
        <f>TEXT(D124,"yyyy-mm")</f>
        <v/>
      </c>
    </row>
    <row r="125">
      <c r="A125" s="2" t="inlineStr">
        <is>
          <t>EJ010723.TXT</t>
        </is>
      </c>
      <c r="B125" s="3" t="inlineStr">
        <is>
          <t>001165</t>
        </is>
      </c>
      <c r="C125" s="3" t="inlineStr">
        <is>
          <t>000732</t>
        </is>
      </c>
      <c r="D125" s="4" t="n">
        <v>45079</v>
      </c>
      <c r="E125" s="2" t="inlineStr">
        <is>
          <t>16:59</t>
        </is>
      </c>
      <c r="F125" s="5" t="n">
        <v>65.83</v>
      </c>
      <c r="G125" s="5" t="n"/>
      <c r="H125" s="5" t="n"/>
      <c r="I125" s="5" t="n"/>
      <c r="J125" s="5" t="n">
        <v>13.17</v>
      </c>
      <c r="K125" s="5" t="n"/>
      <c r="L125" s="5" t="n"/>
      <c r="M125" s="5" t="n"/>
      <c r="N125" s="5" t="n"/>
      <c r="O125" s="5" t="n">
        <v>79</v>
      </c>
      <c r="P125" s="5" t="n">
        <v>79</v>
      </c>
      <c r="Q125" s="5" t="n"/>
      <c r="R125" s="5" t="n"/>
      <c r="S125" s="5">
        <f>SUM(F125:I125)+N125</f>
        <v/>
      </c>
      <c r="T125" s="5">
        <f>J125</f>
        <v/>
      </c>
      <c r="U125" s="6">
        <f>YEAR(D125)</f>
        <v/>
      </c>
      <c r="V125" s="5">
        <f>TEXT(D125,"yyyy-mm")</f>
        <v/>
      </c>
    </row>
    <row r="126">
      <c r="A126" s="2" t="inlineStr">
        <is>
          <t>EJ010723.TXT</t>
        </is>
      </c>
      <c r="B126" s="3" t="inlineStr">
        <is>
          <t>001166</t>
        </is>
      </c>
      <c r="C126" s="3" t="inlineStr">
        <is>
          <t>000733</t>
        </is>
      </c>
      <c r="D126" s="4" t="n">
        <v>45080</v>
      </c>
      <c r="E126" s="2" t="inlineStr">
        <is>
          <t>13:47</t>
        </is>
      </c>
      <c r="F126" s="5" t="n">
        <v>307.5</v>
      </c>
      <c r="G126" s="5" t="n"/>
      <c r="H126" s="5" t="n"/>
      <c r="I126" s="5" t="n"/>
      <c r="J126" s="5" t="n">
        <v>61.5</v>
      </c>
      <c r="K126" s="5" t="n"/>
      <c r="L126" s="5" t="n"/>
      <c r="M126" s="5" t="n"/>
      <c r="N126" s="5" t="n"/>
      <c r="O126" s="5" t="n">
        <v>369</v>
      </c>
      <c r="P126" s="5" t="n">
        <v>369</v>
      </c>
      <c r="Q126" s="5" t="n"/>
      <c r="R126" s="5" t="n"/>
      <c r="S126" s="5">
        <f>SUM(F126:I126)+N126</f>
        <v/>
      </c>
      <c r="T126" s="5">
        <f>J126</f>
        <v/>
      </c>
      <c r="U126" s="6">
        <f>YEAR(D126)</f>
        <v/>
      </c>
      <c r="V126" s="5">
        <f>TEXT(D126,"yyyy-mm")</f>
        <v/>
      </c>
    </row>
    <row r="127">
      <c r="A127" s="2" t="inlineStr">
        <is>
          <t>EJ010723.TXT</t>
        </is>
      </c>
      <c r="B127" s="3" t="inlineStr">
        <is>
          <t>001167</t>
        </is>
      </c>
      <c r="C127" s="3" t="inlineStr">
        <is>
          <t>000734</t>
        </is>
      </c>
      <c r="D127" s="4" t="n">
        <v>45082</v>
      </c>
      <c r="E127" s="2" t="inlineStr">
        <is>
          <t>13:43</t>
        </is>
      </c>
      <c r="F127" s="5" t="n">
        <v>49.17</v>
      </c>
      <c r="G127" s="5" t="n"/>
      <c r="H127" s="5" t="n"/>
      <c r="I127" s="5" t="n"/>
      <c r="J127" s="5" t="n">
        <v>9.83</v>
      </c>
      <c r="K127" s="5" t="n"/>
      <c r="L127" s="5" t="n"/>
      <c r="M127" s="5" t="n"/>
      <c r="N127" s="5" t="n"/>
      <c r="O127" s="5" t="n">
        <v>59</v>
      </c>
      <c r="P127" s="5" t="n">
        <v>59</v>
      </c>
      <c r="Q127" s="5" t="n"/>
      <c r="R127" s="5" t="n"/>
      <c r="S127" s="5">
        <f>SUM(F127:I127)+N127</f>
        <v/>
      </c>
      <c r="T127" s="5">
        <f>J127</f>
        <v/>
      </c>
      <c r="U127" s="6">
        <f>YEAR(D127)</f>
        <v/>
      </c>
      <c r="V127" s="5">
        <f>TEXT(D127,"yyyy-mm")</f>
        <v/>
      </c>
    </row>
    <row r="128">
      <c r="A128" s="2" t="inlineStr">
        <is>
          <t>EJ010723.TXT</t>
        </is>
      </c>
      <c r="B128" s="3" t="inlineStr">
        <is>
          <t>001168</t>
        </is>
      </c>
      <c r="C128" s="3" t="inlineStr">
        <is>
          <t>000735</t>
        </is>
      </c>
      <c r="D128" s="4" t="n">
        <v>45085</v>
      </c>
      <c r="E128" s="2" t="inlineStr">
        <is>
          <t>09:45</t>
        </is>
      </c>
      <c r="F128" s="5" t="n">
        <v>822.5</v>
      </c>
      <c r="G128" s="5" t="n"/>
      <c r="H128" s="5" t="n"/>
      <c r="I128" s="5" t="n"/>
      <c r="J128" s="5" t="n">
        <v>164.5</v>
      </c>
      <c r="K128" s="5" t="n"/>
      <c r="L128" s="5" t="n"/>
      <c r="M128" s="5" t="n"/>
      <c r="N128" s="5" t="n"/>
      <c r="O128" s="5" t="n">
        <v>987</v>
      </c>
      <c r="P128" s="5" t="n">
        <v>987</v>
      </c>
      <c r="Q128" s="5" t="n"/>
      <c r="R128" s="5" t="n"/>
      <c r="S128" s="5">
        <f>SUM(F128:I128)+N128</f>
        <v/>
      </c>
      <c r="T128" s="5">
        <f>J128</f>
        <v/>
      </c>
      <c r="U128" s="6">
        <f>YEAR(D128)</f>
        <v/>
      </c>
      <c r="V128" s="5">
        <f>TEXT(D128,"yyyy-mm")</f>
        <v/>
      </c>
    </row>
    <row r="129">
      <c r="A129" s="2" t="inlineStr">
        <is>
          <t>EJ010723.TXT</t>
        </is>
      </c>
      <c r="B129" s="3" t="inlineStr">
        <is>
          <t>001169</t>
        </is>
      </c>
      <c r="C129" s="3" t="inlineStr">
        <is>
          <t>000736</t>
        </is>
      </c>
      <c r="D129" s="4" t="n">
        <v>45085</v>
      </c>
      <c r="E129" s="2" t="inlineStr">
        <is>
          <t>09:51</t>
        </is>
      </c>
      <c r="F129" s="5" t="n">
        <v>822.5</v>
      </c>
      <c r="G129" s="5" t="n"/>
      <c r="H129" s="5" t="n"/>
      <c r="I129" s="5" t="n"/>
      <c r="J129" s="5" t="n">
        <v>164.5</v>
      </c>
      <c r="K129" s="5" t="n"/>
      <c r="L129" s="5" t="n"/>
      <c r="M129" s="5" t="n"/>
      <c r="N129" s="5" t="n"/>
      <c r="O129" s="5" t="n">
        <v>987</v>
      </c>
      <c r="P129" s="5" t="n">
        <v>987</v>
      </c>
      <c r="Q129" s="5" t="n"/>
      <c r="R129" s="5" t="n"/>
      <c r="S129" s="5">
        <f>SUM(F129:I129)+N129</f>
        <v/>
      </c>
      <c r="T129" s="5">
        <f>J129</f>
        <v/>
      </c>
      <c r="U129" s="6">
        <f>YEAR(D129)</f>
        <v/>
      </c>
      <c r="V129" s="5">
        <f>TEXT(D129,"yyyy-mm")</f>
        <v/>
      </c>
    </row>
    <row r="130">
      <c r="A130" s="2" t="inlineStr">
        <is>
          <t>EJ010723.TXT</t>
        </is>
      </c>
      <c r="B130" s="3" t="inlineStr">
        <is>
          <t>001170</t>
        </is>
      </c>
      <c r="C130" s="3" t="inlineStr">
        <is>
          <t>000737</t>
        </is>
      </c>
      <c r="D130" s="4" t="n">
        <v>45085</v>
      </c>
      <c r="E130" s="2" t="inlineStr">
        <is>
          <t>14:06</t>
        </is>
      </c>
      <c r="F130" s="5" t="n">
        <v>274.17</v>
      </c>
      <c r="G130" s="5" t="n"/>
      <c r="H130" s="5" t="n"/>
      <c r="I130" s="5" t="n"/>
      <c r="J130" s="5" t="n">
        <v>54.83</v>
      </c>
      <c r="K130" s="5" t="n"/>
      <c r="L130" s="5" t="n"/>
      <c r="M130" s="5" t="n"/>
      <c r="N130" s="5" t="n"/>
      <c r="O130" s="5" t="n">
        <v>329</v>
      </c>
      <c r="P130" s="5" t="n">
        <v>329</v>
      </c>
      <c r="Q130" s="5" t="n"/>
      <c r="R130" s="5" t="n"/>
      <c r="S130" s="5">
        <f>SUM(F130:I130)+N130</f>
        <v/>
      </c>
      <c r="T130" s="5">
        <f>J130</f>
        <v/>
      </c>
      <c r="U130" s="6">
        <f>YEAR(D130)</f>
        <v/>
      </c>
      <c r="V130" s="5">
        <f>TEXT(D130,"yyyy-mm")</f>
        <v/>
      </c>
    </row>
    <row r="131">
      <c r="A131" s="2" t="inlineStr">
        <is>
          <t>EJ010723.TXT</t>
        </is>
      </c>
      <c r="B131" s="3" t="inlineStr">
        <is>
          <t>001171</t>
        </is>
      </c>
      <c r="C131" s="3" t="inlineStr">
        <is>
          <t>000738</t>
        </is>
      </c>
      <c r="D131" s="4" t="n">
        <v>45086</v>
      </c>
      <c r="E131" s="2" t="inlineStr">
        <is>
          <t>13:15</t>
        </is>
      </c>
      <c r="F131" s="5" t="n">
        <v>2.74</v>
      </c>
      <c r="G131" s="5" t="n"/>
      <c r="H131" s="5" t="n"/>
      <c r="I131" s="5" t="n"/>
      <c r="J131" s="5" t="n">
        <v>0.55</v>
      </c>
      <c r="K131" s="5" t="n"/>
      <c r="L131" s="5" t="n"/>
      <c r="M131" s="5" t="n"/>
      <c r="N131" s="5" t="n"/>
      <c r="O131" s="5" t="n">
        <v>3.29</v>
      </c>
      <c r="P131" s="5" t="n"/>
      <c r="Q131" s="5" t="n">
        <v>3.29</v>
      </c>
      <c r="R131" s="5" t="n"/>
      <c r="S131" s="5">
        <f>SUM(F131:I131)+N131</f>
        <v/>
      </c>
      <c r="T131" s="5">
        <f>J131</f>
        <v/>
      </c>
      <c r="U131" s="6">
        <f>YEAR(D131)</f>
        <v/>
      </c>
      <c r="V131" s="5">
        <f>TEXT(D131,"yyyy-mm")</f>
        <v/>
      </c>
    </row>
    <row r="132">
      <c r="A132" s="2" t="inlineStr">
        <is>
          <t>EJ010723.TXT</t>
        </is>
      </c>
      <c r="B132" s="3" t="inlineStr">
        <is>
          <t>001172</t>
        </is>
      </c>
      <c r="C132" s="3" t="inlineStr">
        <is>
          <t>000739</t>
        </is>
      </c>
      <c r="D132" s="4" t="n">
        <v>45086</v>
      </c>
      <c r="E132" s="2" t="inlineStr">
        <is>
          <t>13:16</t>
        </is>
      </c>
      <c r="F132" s="5" t="n">
        <v>274.17</v>
      </c>
      <c r="G132" s="5" t="n"/>
      <c r="H132" s="5" t="n"/>
      <c r="I132" s="5" t="n"/>
      <c r="J132" s="5" t="n">
        <v>54.83</v>
      </c>
      <c r="K132" s="5" t="n"/>
      <c r="L132" s="5" t="n"/>
      <c r="M132" s="5" t="n"/>
      <c r="N132" s="5" t="n"/>
      <c r="O132" s="5" t="n">
        <v>329</v>
      </c>
      <c r="P132" s="5" t="n"/>
      <c r="Q132" s="5" t="n">
        <v>329</v>
      </c>
      <c r="R132" s="5" t="n"/>
      <c r="S132" s="5">
        <f>SUM(F132:I132)+N132</f>
        <v/>
      </c>
      <c r="T132" s="5">
        <f>J132</f>
        <v/>
      </c>
      <c r="U132" s="6">
        <f>YEAR(D132)</f>
        <v/>
      </c>
      <c r="V132" s="5">
        <f>TEXT(D132,"yyyy-mm")</f>
        <v/>
      </c>
    </row>
    <row r="133">
      <c r="A133" s="2" t="inlineStr">
        <is>
          <t>EJ010723.TXT</t>
        </is>
      </c>
      <c r="B133" s="3" t="inlineStr">
        <is>
          <t>001174</t>
        </is>
      </c>
      <c r="C133" s="3" t="inlineStr">
        <is>
          <t>000740</t>
        </is>
      </c>
      <c r="D133" s="4" t="n">
        <v>45086</v>
      </c>
      <c r="E133" s="2" t="inlineStr">
        <is>
          <t>15:11</t>
        </is>
      </c>
      <c r="F133" s="5" t="n">
        <v>1656.65</v>
      </c>
      <c r="G133" s="5" t="n"/>
      <c r="H133" s="5" t="n"/>
      <c r="I133" s="5" t="n"/>
      <c r="J133" s="5" t="n">
        <v>331.33</v>
      </c>
      <c r="K133" s="5" t="n"/>
      <c r="L133" s="5" t="n"/>
      <c r="M133" s="5" t="n"/>
      <c r="N133" s="5" t="n"/>
      <c r="O133" s="5" t="n">
        <v>1987.98</v>
      </c>
      <c r="P133" s="5" t="n">
        <v>1987.98</v>
      </c>
      <c r="Q133" s="5" t="n"/>
      <c r="R133" s="5" t="n"/>
      <c r="S133" s="5">
        <f>SUM(F133:I133)+N133</f>
        <v/>
      </c>
      <c r="T133" s="5">
        <f>J133</f>
        <v/>
      </c>
      <c r="U133" s="6">
        <f>YEAR(D133)</f>
        <v/>
      </c>
      <c r="V133" s="5">
        <f>TEXT(D133,"yyyy-mm")</f>
        <v/>
      </c>
    </row>
    <row r="134">
      <c r="A134" s="2" t="inlineStr">
        <is>
          <t>EJ010723.TXT</t>
        </is>
      </c>
      <c r="B134" s="3" t="inlineStr">
        <is>
          <t>001175</t>
        </is>
      </c>
      <c r="C134" s="3" t="inlineStr">
        <is>
          <t>000741</t>
        </is>
      </c>
      <c r="D134" s="4" t="n">
        <v>45086</v>
      </c>
      <c r="E134" s="2" t="inlineStr">
        <is>
          <t>15:17</t>
        </is>
      </c>
      <c r="F134" s="5" t="n">
        <v>1165</v>
      </c>
      <c r="G134" s="5" t="n"/>
      <c r="H134" s="5" t="n"/>
      <c r="I134" s="5" t="n"/>
      <c r="J134" s="5" t="n">
        <v>233</v>
      </c>
      <c r="K134" s="5" t="n"/>
      <c r="L134" s="5" t="n"/>
      <c r="M134" s="5" t="n"/>
      <c r="N134" s="5" t="n"/>
      <c r="O134" s="5" t="n">
        <v>1398</v>
      </c>
      <c r="P134" s="5" t="n">
        <v>1398</v>
      </c>
      <c r="Q134" s="5" t="n"/>
      <c r="R134" s="5" t="n"/>
      <c r="S134" s="5">
        <f>SUM(F134:I134)+N134</f>
        <v/>
      </c>
      <c r="T134" s="5">
        <f>J134</f>
        <v/>
      </c>
      <c r="U134" s="6">
        <f>YEAR(D134)</f>
        <v/>
      </c>
      <c r="V134" s="5">
        <f>TEXT(D134,"yyyy-mm")</f>
        <v/>
      </c>
    </row>
    <row r="135">
      <c r="A135" s="2" t="inlineStr">
        <is>
          <t>EJ010723.TXT</t>
        </is>
      </c>
      <c r="B135" s="3" t="inlineStr">
        <is>
          <t>001176</t>
        </is>
      </c>
      <c r="C135" s="3" t="inlineStr">
        <is>
          <t>000742</t>
        </is>
      </c>
      <c r="D135" s="4" t="n">
        <v>45086</v>
      </c>
      <c r="E135" s="2" t="inlineStr">
        <is>
          <t>15:19</t>
        </is>
      </c>
      <c r="F135" s="5" t="n">
        <v>1645</v>
      </c>
      <c r="G135" s="5" t="n"/>
      <c r="H135" s="5" t="n"/>
      <c r="I135" s="5" t="n"/>
      <c r="J135" s="5" t="n">
        <v>329</v>
      </c>
      <c r="K135" s="5" t="n"/>
      <c r="L135" s="5" t="n"/>
      <c r="M135" s="5" t="n"/>
      <c r="N135" s="5" t="n"/>
      <c r="O135" s="5" t="n">
        <v>1974</v>
      </c>
      <c r="P135" s="5" t="n">
        <v>1974</v>
      </c>
      <c r="Q135" s="5" t="n"/>
      <c r="R135" s="5" t="n"/>
      <c r="S135" s="5">
        <f>SUM(F135:I135)+N135</f>
        <v/>
      </c>
      <c r="T135" s="5">
        <f>J135</f>
        <v/>
      </c>
      <c r="U135" s="6">
        <f>YEAR(D135)</f>
        <v/>
      </c>
      <c r="V135" s="5">
        <f>TEXT(D135,"yyyy-mm")</f>
        <v/>
      </c>
    </row>
    <row r="136">
      <c r="A136" s="2" t="inlineStr">
        <is>
          <t>EJ010723.TXT</t>
        </is>
      </c>
      <c r="B136" s="3" t="inlineStr">
        <is>
          <t>001177</t>
        </is>
      </c>
      <c r="C136" s="3" t="inlineStr">
        <is>
          <t>000743</t>
        </is>
      </c>
      <c r="D136" s="4" t="n">
        <v>45086</v>
      </c>
      <c r="E136" s="2" t="inlineStr">
        <is>
          <t>15:29</t>
        </is>
      </c>
      <c r="F136" s="5" t="n">
        <v>615</v>
      </c>
      <c r="G136" s="5" t="n"/>
      <c r="H136" s="5" t="n"/>
      <c r="I136" s="5" t="n"/>
      <c r="J136" s="5" t="n">
        <v>123</v>
      </c>
      <c r="K136" s="5" t="n"/>
      <c r="L136" s="5" t="n"/>
      <c r="M136" s="5" t="n"/>
      <c r="N136" s="5" t="n"/>
      <c r="O136" s="5" t="n">
        <v>738</v>
      </c>
      <c r="P136" s="5" t="n">
        <v>738</v>
      </c>
      <c r="Q136" s="5" t="n"/>
      <c r="R136" s="5" t="n"/>
      <c r="S136" s="5">
        <f>SUM(F136:I136)+N136</f>
        <v/>
      </c>
      <c r="T136" s="5">
        <f>J136</f>
        <v/>
      </c>
      <c r="U136" s="6">
        <f>YEAR(D136)</f>
        <v/>
      </c>
      <c r="V136" s="5">
        <f>TEXT(D136,"yyyy-mm")</f>
        <v/>
      </c>
    </row>
    <row r="137">
      <c r="A137" s="2" t="inlineStr">
        <is>
          <t>EJ010723.TXT</t>
        </is>
      </c>
      <c r="B137" s="3" t="inlineStr">
        <is>
          <t>001178</t>
        </is>
      </c>
      <c r="C137" s="3" t="inlineStr">
        <is>
          <t>000744</t>
        </is>
      </c>
      <c r="D137" s="4" t="n">
        <v>45090</v>
      </c>
      <c r="E137" s="2" t="inlineStr">
        <is>
          <t>13:37</t>
        </is>
      </c>
      <c r="F137" s="5" t="n">
        <v>1747.5</v>
      </c>
      <c r="G137" s="5" t="n"/>
      <c r="H137" s="5" t="n"/>
      <c r="I137" s="5" t="n"/>
      <c r="J137" s="5" t="n">
        <v>349.5</v>
      </c>
      <c r="K137" s="5" t="n"/>
      <c r="L137" s="5" t="n"/>
      <c r="M137" s="5" t="n"/>
      <c r="N137" s="5" t="n"/>
      <c r="O137" s="5" t="n">
        <v>2097</v>
      </c>
      <c r="P137" s="5" t="n">
        <v>2097</v>
      </c>
      <c r="Q137" s="5" t="n"/>
      <c r="R137" s="5" t="n"/>
      <c r="S137" s="5">
        <f>SUM(F137:I137)+N137</f>
        <v/>
      </c>
      <c r="T137" s="5">
        <f>J137</f>
        <v/>
      </c>
      <c r="U137" s="6">
        <f>YEAR(D137)</f>
        <v/>
      </c>
      <c r="V137" s="5">
        <f>TEXT(D137,"yyyy-mm")</f>
        <v/>
      </c>
    </row>
    <row r="138">
      <c r="A138" s="2" t="inlineStr">
        <is>
          <t>EJ010723.TXT</t>
        </is>
      </c>
      <c r="B138" s="3" t="inlineStr">
        <is>
          <t>001179</t>
        </is>
      </c>
      <c r="C138" s="3" t="inlineStr">
        <is>
          <t>000745</t>
        </is>
      </c>
      <c r="D138" s="4" t="n">
        <v>45091</v>
      </c>
      <c r="E138" s="2" t="inlineStr">
        <is>
          <t>14:56</t>
        </is>
      </c>
      <c r="F138" s="5" t="n">
        <v>331.67</v>
      </c>
      <c r="G138" s="5" t="n"/>
      <c r="H138" s="5" t="n"/>
      <c r="I138" s="5" t="n"/>
      <c r="J138" s="5" t="n">
        <v>66.33</v>
      </c>
      <c r="K138" s="5" t="n"/>
      <c r="L138" s="5" t="n"/>
      <c r="M138" s="5" t="n"/>
      <c r="N138" s="5" t="n"/>
      <c r="O138" s="5" t="n">
        <v>398</v>
      </c>
      <c r="P138" s="5" t="n"/>
      <c r="Q138" s="5" t="n">
        <v>398</v>
      </c>
      <c r="R138" s="5" t="n"/>
      <c r="S138" s="5">
        <f>SUM(F138:I138)+N138</f>
        <v/>
      </c>
      <c r="T138" s="5">
        <f>J138</f>
        <v/>
      </c>
      <c r="U138" s="6">
        <f>YEAR(D138)</f>
        <v/>
      </c>
      <c r="V138" s="5">
        <f>TEXT(D138,"yyyy-mm")</f>
        <v/>
      </c>
    </row>
    <row r="139">
      <c r="A139" s="2" t="inlineStr">
        <is>
          <t>EJ010723.TXT</t>
        </is>
      </c>
      <c r="B139" s="3" t="inlineStr">
        <is>
          <t>001180</t>
        </is>
      </c>
      <c r="C139" s="3" t="inlineStr">
        <is>
          <t>000746</t>
        </is>
      </c>
      <c r="D139" s="4" t="n">
        <v>45091</v>
      </c>
      <c r="E139" s="2" t="inlineStr">
        <is>
          <t>16:43</t>
        </is>
      </c>
      <c r="F139" s="5" t="n">
        <v>548.33</v>
      </c>
      <c r="G139" s="5" t="n"/>
      <c r="H139" s="5" t="n"/>
      <c r="I139" s="5" t="n"/>
      <c r="J139" s="5" t="n">
        <v>109.67</v>
      </c>
      <c r="K139" s="5" t="n"/>
      <c r="L139" s="5" t="n"/>
      <c r="M139" s="5" t="n"/>
      <c r="N139" s="5" t="n"/>
      <c r="O139" s="5" t="n">
        <v>658</v>
      </c>
      <c r="P139" s="5" t="n">
        <v>658</v>
      </c>
      <c r="Q139" s="5" t="n"/>
      <c r="R139" s="5" t="n"/>
      <c r="S139" s="5">
        <f>SUM(F139:I139)+N139</f>
        <v/>
      </c>
      <c r="T139" s="5">
        <f>J139</f>
        <v/>
      </c>
      <c r="U139" s="6">
        <f>YEAR(D139)</f>
        <v/>
      </c>
      <c r="V139" s="5">
        <f>TEXT(D139,"yyyy-mm")</f>
        <v/>
      </c>
    </row>
    <row r="140">
      <c r="A140" s="2" t="inlineStr">
        <is>
          <t>EJ010723.TXT</t>
        </is>
      </c>
      <c r="B140" s="3" t="inlineStr">
        <is>
          <t>001181</t>
        </is>
      </c>
      <c r="C140" s="3" t="inlineStr">
        <is>
          <t>000747</t>
        </is>
      </c>
      <c r="D140" s="4" t="n">
        <v>45093</v>
      </c>
      <c r="E140" s="2" t="inlineStr">
        <is>
          <t>14:32</t>
        </is>
      </c>
      <c r="F140" s="5" t="n">
        <v>548.33</v>
      </c>
      <c r="G140" s="5" t="n"/>
      <c r="H140" s="5" t="n"/>
      <c r="I140" s="5" t="n"/>
      <c r="J140" s="5" t="n">
        <v>109.67</v>
      </c>
      <c r="K140" s="5" t="n"/>
      <c r="L140" s="5" t="n"/>
      <c r="M140" s="5" t="n"/>
      <c r="N140" s="5" t="n"/>
      <c r="O140" s="5" t="n">
        <v>658</v>
      </c>
      <c r="P140" s="5" t="n">
        <v>658</v>
      </c>
      <c r="Q140" s="5" t="n"/>
      <c r="R140" s="5" t="n"/>
      <c r="S140" s="5">
        <f>SUM(F140:I140)+N140</f>
        <v/>
      </c>
      <c r="T140" s="5">
        <f>J140</f>
        <v/>
      </c>
      <c r="U140" s="6">
        <f>YEAR(D140)</f>
        <v/>
      </c>
      <c r="V140" s="5">
        <f>TEXT(D140,"yyyy-mm")</f>
        <v/>
      </c>
    </row>
    <row r="141">
      <c r="A141" s="2" t="inlineStr">
        <is>
          <t>EJ010723.TXT</t>
        </is>
      </c>
      <c r="B141" s="3" t="inlineStr">
        <is>
          <t>001182</t>
        </is>
      </c>
      <c r="C141" s="3" t="inlineStr">
        <is>
          <t>000748</t>
        </is>
      </c>
      <c r="D141" s="4" t="n">
        <v>45094</v>
      </c>
      <c r="E141" s="2" t="inlineStr">
        <is>
          <t>13:56</t>
        </is>
      </c>
      <c r="F141" s="5" t="n">
        <v>3290</v>
      </c>
      <c r="G141" s="5" t="n"/>
      <c r="H141" s="5" t="n"/>
      <c r="I141" s="5" t="n"/>
      <c r="J141" s="5" t="n">
        <v>658</v>
      </c>
      <c r="K141" s="5" t="n"/>
      <c r="L141" s="5" t="n"/>
      <c r="M141" s="5" t="n"/>
      <c r="N141" s="5" t="n"/>
      <c r="O141" s="5" t="n">
        <v>3948</v>
      </c>
      <c r="P141" s="5" t="n">
        <v>2948</v>
      </c>
      <c r="Q141" s="5" t="n">
        <v>1000</v>
      </c>
      <c r="R141" s="5" t="n"/>
      <c r="S141" s="5">
        <f>SUM(F141:I141)+N141</f>
        <v/>
      </c>
      <c r="T141" s="5">
        <f>J141</f>
        <v/>
      </c>
      <c r="U141" s="6">
        <f>YEAR(D141)</f>
        <v/>
      </c>
      <c r="V141" s="5">
        <f>TEXT(D141,"yyyy-mm")</f>
        <v/>
      </c>
    </row>
    <row r="142">
      <c r="A142" s="2" t="inlineStr">
        <is>
          <t>EJ010723.TXT</t>
        </is>
      </c>
      <c r="B142" s="3" t="inlineStr">
        <is>
          <t>001184</t>
        </is>
      </c>
      <c r="C142" s="3" t="inlineStr">
        <is>
          <t>000749</t>
        </is>
      </c>
      <c r="D142" s="4" t="n">
        <v>45096</v>
      </c>
      <c r="E142" s="2" t="inlineStr">
        <is>
          <t>12:10</t>
        </is>
      </c>
      <c r="F142" s="5" t="n">
        <v>548.33</v>
      </c>
      <c r="G142" s="5" t="n"/>
      <c r="H142" s="5" t="n"/>
      <c r="I142" s="5" t="n"/>
      <c r="J142" s="5" t="n">
        <v>109.67</v>
      </c>
      <c r="K142" s="5" t="n"/>
      <c r="L142" s="5" t="n"/>
      <c r="M142" s="5" t="n"/>
      <c r="N142" s="5" t="n"/>
      <c r="O142" s="5" t="n">
        <v>658</v>
      </c>
      <c r="P142" s="5" t="n">
        <v>658</v>
      </c>
      <c r="Q142" s="5" t="n"/>
      <c r="R142" s="5" t="n"/>
      <c r="S142" s="5">
        <f>SUM(F142:I142)+N142</f>
        <v/>
      </c>
      <c r="T142" s="5">
        <f>J142</f>
        <v/>
      </c>
      <c r="U142" s="6">
        <f>YEAR(D142)</f>
        <v/>
      </c>
      <c r="V142" s="5">
        <f>TEXT(D142,"yyyy-mm")</f>
        <v/>
      </c>
    </row>
    <row r="143">
      <c r="A143" s="2" t="inlineStr">
        <is>
          <t>EJ010723.TXT</t>
        </is>
      </c>
      <c r="B143" s="3" t="inlineStr">
        <is>
          <t>001186</t>
        </is>
      </c>
      <c r="C143" s="3" t="inlineStr">
        <is>
          <t>000750</t>
        </is>
      </c>
      <c r="D143" s="4" t="n">
        <v>45101</v>
      </c>
      <c r="E143" s="2" t="inlineStr">
        <is>
          <t>15:57</t>
        </is>
      </c>
      <c r="F143" s="5" t="n">
        <v>274.17</v>
      </c>
      <c r="G143" s="5" t="n"/>
      <c r="H143" s="5" t="n"/>
      <c r="I143" s="5" t="n"/>
      <c r="J143" s="5" t="n">
        <v>54.83</v>
      </c>
      <c r="K143" s="5" t="n"/>
      <c r="L143" s="5" t="n"/>
      <c r="M143" s="5" t="n"/>
      <c r="N143" s="5" t="n"/>
      <c r="O143" s="5" t="n">
        <v>329</v>
      </c>
      <c r="P143" s="5" t="n">
        <v>329</v>
      </c>
      <c r="Q143" s="5" t="n"/>
      <c r="R143" s="5" t="n"/>
      <c r="S143" s="5">
        <f>SUM(F143:I143)+N143</f>
        <v/>
      </c>
      <c r="T143" s="5">
        <f>J143</f>
        <v/>
      </c>
      <c r="U143" s="6">
        <f>YEAR(D143)</f>
        <v/>
      </c>
      <c r="V143" s="5">
        <f>TEXT(D143,"yyyy-mm")</f>
        <v/>
      </c>
    </row>
    <row r="144">
      <c r="A144" s="2" t="inlineStr">
        <is>
          <t>EJ010723.TXT</t>
        </is>
      </c>
      <c r="B144" s="3" t="inlineStr">
        <is>
          <t>001187</t>
        </is>
      </c>
      <c r="C144" s="3" t="inlineStr">
        <is>
          <t>000751</t>
        </is>
      </c>
      <c r="D144" s="4" t="n">
        <v>45104</v>
      </c>
      <c r="E144" s="2" t="inlineStr">
        <is>
          <t>14:36</t>
        </is>
      </c>
      <c r="F144" s="5" t="n">
        <v>1713.33</v>
      </c>
      <c r="G144" s="5" t="n"/>
      <c r="H144" s="5" t="n"/>
      <c r="I144" s="5" t="n"/>
      <c r="J144" s="5" t="n">
        <v>342.67</v>
      </c>
      <c r="K144" s="5" t="n"/>
      <c r="L144" s="5" t="n"/>
      <c r="M144" s="5" t="n"/>
      <c r="N144" s="5" t="n"/>
      <c r="O144" s="5" t="n">
        <v>2056</v>
      </c>
      <c r="P144" s="5" t="n">
        <v>2056</v>
      </c>
      <c r="Q144" s="5" t="n"/>
      <c r="R144" s="5" t="n"/>
      <c r="S144" s="5">
        <f>SUM(F144:I144)+N144</f>
        <v/>
      </c>
      <c r="T144" s="5">
        <f>J144</f>
        <v/>
      </c>
      <c r="U144" s="6">
        <f>YEAR(D144)</f>
        <v/>
      </c>
      <c r="V144" s="5">
        <f>TEXT(D144,"yyyy-mm")</f>
        <v/>
      </c>
    </row>
    <row r="145">
      <c r="A145" s="2" t="inlineStr">
        <is>
          <t>EJ010723.TXT</t>
        </is>
      </c>
      <c r="B145" s="3" t="inlineStr">
        <is>
          <t>001188</t>
        </is>
      </c>
      <c r="C145" s="3" t="inlineStr">
        <is>
          <t>000752</t>
        </is>
      </c>
      <c r="D145" s="4" t="n">
        <v>45104</v>
      </c>
      <c r="E145" s="2" t="inlineStr">
        <is>
          <t>14:46</t>
        </is>
      </c>
      <c r="F145" s="5" t="n">
        <v>1165</v>
      </c>
      <c r="G145" s="5" t="n"/>
      <c r="H145" s="5" t="n"/>
      <c r="I145" s="5" t="n"/>
      <c r="J145" s="5" t="n">
        <v>233</v>
      </c>
      <c r="K145" s="5" t="n"/>
      <c r="L145" s="5" t="n"/>
      <c r="M145" s="5" t="n"/>
      <c r="N145" s="5" t="n"/>
      <c r="O145" s="5" t="n">
        <v>1398</v>
      </c>
      <c r="P145" s="5" t="n">
        <v>1398</v>
      </c>
      <c r="Q145" s="5" t="n"/>
      <c r="R145" s="5" t="n"/>
      <c r="S145" s="5">
        <f>SUM(F145:I145)+N145</f>
        <v/>
      </c>
      <c r="T145" s="5">
        <f>J145</f>
        <v/>
      </c>
      <c r="U145" s="6">
        <f>YEAR(D145)</f>
        <v/>
      </c>
      <c r="V145" s="5">
        <f>TEXT(D145,"yyyy-mm")</f>
        <v/>
      </c>
    </row>
    <row r="146">
      <c r="A146" s="2" t="inlineStr">
        <is>
          <t>EJ010723.TXT</t>
        </is>
      </c>
      <c r="B146" s="3" t="inlineStr">
        <is>
          <t>001189</t>
        </is>
      </c>
      <c r="C146" s="3" t="inlineStr">
        <is>
          <t>000753</t>
        </is>
      </c>
      <c r="D146" s="4" t="n">
        <v>45105</v>
      </c>
      <c r="E146" s="2" t="inlineStr">
        <is>
          <t>15:03</t>
        </is>
      </c>
      <c r="F146" s="5" t="n">
        <v>2481.67</v>
      </c>
      <c r="G146" s="5" t="n"/>
      <c r="H146" s="5" t="n"/>
      <c r="I146" s="5" t="n"/>
      <c r="J146" s="5" t="n">
        <v>496.33</v>
      </c>
      <c r="K146" s="5" t="n"/>
      <c r="L146" s="5" t="n"/>
      <c r="M146" s="5" t="n"/>
      <c r="N146" s="5" t="n"/>
      <c r="O146" s="5" t="n">
        <v>2978</v>
      </c>
      <c r="P146" s="5" t="n">
        <v>2978</v>
      </c>
      <c r="Q146" s="5" t="n"/>
      <c r="R146" s="5" t="n"/>
      <c r="S146" s="5">
        <f>SUM(F146:I146)+N146</f>
        <v/>
      </c>
      <c r="T146" s="5">
        <f>J146</f>
        <v/>
      </c>
      <c r="U146" s="6">
        <f>YEAR(D146)</f>
        <v/>
      </c>
      <c r="V146" s="5">
        <f>TEXT(D146,"yyyy-mm")</f>
        <v/>
      </c>
    </row>
    <row r="147">
      <c r="A147" s="2" t="inlineStr">
        <is>
          <t>EJ010723.TXT</t>
        </is>
      </c>
      <c r="B147" s="3" t="inlineStr">
        <is>
          <t>001190</t>
        </is>
      </c>
      <c r="C147" s="3" t="inlineStr">
        <is>
          <t>000754</t>
        </is>
      </c>
      <c r="D147" s="4" t="n">
        <v>45107</v>
      </c>
      <c r="E147" s="2" t="inlineStr">
        <is>
          <t>09:08</t>
        </is>
      </c>
      <c r="F147" s="5" t="n">
        <v>274.17</v>
      </c>
      <c r="G147" s="5" t="n"/>
      <c r="H147" s="5" t="n"/>
      <c r="I147" s="5" t="n"/>
      <c r="J147" s="5" t="n">
        <v>54.83</v>
      </c>
      <c r="K147" s="5" t="n"/>
      <c r="L147" s="5" t="n"/>
      <c r="M147" s="5" t="n"/>
      <c r="N147" s="5" t="n"/>
      <c r="O147" s="5" t="n">
        <v>329</v>
      </c>
      <c r="P147" s="5" t="n">
        <v>329</v>
      </c>
      <c r="Q147" s="5" t="n"/>
      <c r="R147" s="5" t="n"/>
      <c r="S147" s="5">
        <f>SUM(F147:I147)+N147</f>
        <v/>
      </c>
      <c r="T147" s="5">
        <f>J147</f>
        <v/>
      </c>
      <c r="U147" s="6">
        <f>YEAR(D147)</f>
        <v/>
      </c>
      <c r="V147" s="5">
        <f>TEXT(D147,"yyyy-mm")</f>
        <v/>
      </c>
    </row>
    <row r="148">
      <c r="A148" s="2" t="inlineStr">
        <is>
          <t>EJ010823.TXT</t>
        </is>
      </c>
      <c r="B148" s="3" t="inlineStr">
        <is>
          <t>001194</t>
        </is>
      </c>
      <c r="C148" s="3" t="inlineStr">
        <is>
          <t>000755</t>
        </is>
      </c>
      <c r="D148" s="4" t="n">
        <v>45108</v>
      </c>
      <c r="E148" s="2" t="inlineStr">
        <is>
          <t>13:41</t>
        </is>
      </c>
      <c r="F148" s="5" t="n">
        <v>2370</v>
      </c>
      <c r="G148" s="5" t="n"/>
      <c r="H148" s="5" t="n"/>
      <c r="I148" s="5" t="n"/>
      <c r="J148" s="5" t="n">
        <v>474</v>
      </c>
      <c r="K148" s="5" t="n"/>
      <c r="L148" s="5" t="n"/>
      <c r="M148" s="5" t="n"/>
      <c r="N148" s="5" t="n"/>
      <c r="O148" s="5" t="n">
        <v>2844</v>
      </c>
      <c r="P148" s="5" t="n">
        <v>2844</v>
      </c>
      <c r="Q148" s="5" t="n"/>
      <c r="R148" s="5" t="n"/>
      <c r="S148" s="5">
        <f>SUM(F148:I148)+N148</f>
        <v/>
      </c>
      <c r="T148" s="5">
        <f>J148</f>
        <v/>
      </c>
      <c r="U148" s="6">
        <f>YEAR(D148)</f>
        <v/>
      </c>
      <c r="V148" s="5">
        <f>TEXT(D148,"yyyy-mm")</f>
        <v/>
      </c>
    </row>
    <row r="149">
      <c r="A149" s="2" t="inlineStr">
        <is>
          <t>EJ010823.TXT</t>
        </is>
      </c>
      <c r="B149" s="3" t="inlineStr">
        <is>
          <t>001195</t>
        </is>
      </c>
      <c r="C149" s="3" t="inlineStr">
        <is>
          <t>000756</t>
        </is>
      </c>
      <c r="D149" s="4" t="n">
        <v>45108</v>
      </c>
      <c r="E149" s="2" t="inlineStr">
        <is>
          <t>14:04</t>
        </is>
      </c>
      <c r="F149" s="5" t="n">
        <v>548.33</v>
      </c>
      <c r="G149" s="5" t="n"/>
      <c r="H149" s="5" t="n"/>
      <c r="I149" s="5" t="n"/>
      <c r="J149" s="5" t="n">
        <v>109.67</v>
      </c>
      <c r="K149" s="5" t="n"/>
      <c r="L149" s="5" t="n"/>
      <c r="M149" s="5" t="n"/>
      <c r="N149" s="5" t="n"/>
      <c r="O149" s="5" t="n">
        <v>658</v>
      </c>
      <c r="P149" s="5" t="n">
        <v>658</v>
      </c>
      <c r="Q149" s="5" t="n"/>
      <c r="R149" s="5" t="n"/>
      <c r="S149" s="5">
        <f>SUM(F149:I149)+N149</f>
        <v/>
      </c>
      <c r="T149" s="5">
        <f>J149</f>
        <v/>
      </c>
      <c r="U149" s="6">
        <f>YEAR(D149)</f>
        <v/>
      </c>
      <c r="V149" s="5">
        <f>TEXT(D149,"yyyy-mm")</f>
        <v/>
      </c>
    </row>
    <row r="150">
      <c r="A150" s="2" t="inlineStr">
        <is>
          <t>EJ010823.TXT</t>
        </is>
      </c>
      <c r="B150" s="3" t="inlineStr">
        <is>
          <t>001196</t>
        </is>
      </c>
      <c r="C150" s="3" t="inlineStr">
        <is>
          <t>000757</t>
        </is>
      </c>
      <c r="D150" s="4" t="n">
        <v>45108</v>
      </c>
      <c r="E150" s="2" t="inlineStr">
        <is>
          <t>14:05</t>
        </is>
      </c>
      <c r="F150" s="5" t="n">
        <v>274.17</v>
      </c>
      <c r="G150" s="5" t="n"/>
      <c r="H150" s="5" t="n"/>
      <c r="I150" s="5" t="n"/>
      <c r="J150" s="5" t="n">
        <v>54.83</v>
      </c>
      <c r="K150" s="5" t="n"/>
      <c r="L150" s="5" t="n"/>
      <c r="M150" s="5" t="n"/>
      <c r="N150" s="5" t="n"/>
      <c r="O150" s="5" t="n">
        <v>329</v>
      </c>
      <c r="P150" s="5" t="n">
        <v>329</v>
      </c>
      <c r="Q150" s="5" t="n"/>
      <c r="R150" s="5" t="n"/>
      <c r="S150" s="5">
        <f>SUM(F150:I150)+N150</f>
        <v/>
      </c>
      <c r="T150" s="5">
        <f>J150</f>
        <v/>
      </c>
      <c r="U150" s="6">
        <f>YEAR(D150)</f>
        <v/>
      </c>
      <c r="V150" s="5">
        <f>TEXT(D150,"yyyy-mm")</f>
        <v/>
      </c>
    </row>
    <row r="151">
      <c r="A151" s="2" t="inlineStr">
        <is>
          <t>EJ010823.TXT</t>
        </is>
      </c>
      <c r="B151" s="3" t="inlineStr">
        <is>
          <t>001197</t>
        </is>
      </c>
      <c r="C151" s="3" t="inlineStr">
        <is>
          <t>000758</t>
        </is>
      </c>
      <c r="D151" s="4" t="n">
        <v>45108</v>
      </c>
      <c r="E151" s="2" t="inlineStr">
        <is>
          <t>15:09</t>
        </is>
      </c>
      <c r="F151" s="5" t="n">
        <v>548.33</v>
      </c>
      <c r="G151" s="5" t="n"/>
      <c r="H151" s="5" t="n"/>
      <c r="I151" s="5" t="n"/>
      <c r="J151" s="5" t="n">
        <v>109.67</v>
      </c>
      <c r="K151" s="5" t="n"/>
      <c r="L151" s="5" t="n"/>
      <c r="M151" s="5" t="n"/>
      <c r="N151" s="5" t="n"/>
      <c r="O151" s="5" t="n">
        <v>658</v>
      </c>
      <c r="P151" s="5" t="n">
        <v>658</v>
      </c>
      <c r="Q151" s="5" t="n"/>
      <c r="R151" s="5" t="n"/>
      <c r="S151" s="5">
        <f>SUM(F151:I151)+N151</f>
        <v/>
      </c>
      <c r="T151" s="5">
        <f>J151</f>
        <v/>
      </c>
      <c r="U151" s="6">
        <f>YEAR(D151)</f>
        <v/>
      </c>
      <c r="V151" s="5">
        <f>TEXT(D151,"yyyy-mm")</f>
        <v/>
      </c>
    </row>
    <row r="152">
      <c r="A152" s="2" t="inlineStr">
        <is>
          <t>EJ010823.TXT</t>
        </is>
      </c>
      <c r="B152" s="3" t="inlineStr">
        <is>
          <t>001198</t>
        </is>
      </c>
      <c r="C152" s="3" t="inlineStr">
        <is>
          <t>000759</t>
        </is>
      </c>
      <c r="D152" s="4" t="n">
        <v>45108</v>
      </c>
      <c r="E152" s="2" t="inlineStr">
        <is>
          <t>15:10</t>
        </is>
      </c>
      <c r="F152" s="5" t="n">
        <v>395</v>
      </c>
      <c r="G152" s="5" t="n"/>
      <c r="H152" s="5" t="n"/>
      <c r="I152" s="5" t="n"/>
      <c r="J152" s="5" t="n">
        <v>79</v>
      </c>
      <c r="K152" s="5" t="n"/>
      <c r="L152" s="5" t="n"/>
      <c r="M152" s="5" t="n"/>
      <c r="N152" s="5" t="n"/>
      <c r="O152" s="5" t="n">
        <v>474</v>
      </c>
      <c r="P152" s="5" t="n">
        <v>474</v>
      </c>
      <c r="Q152" s="5" t="n"/>
      <c r="R152" s="5" t="n"/>
      <c r="S152" s="5">
        <f>SUM(F152:I152)+N152</f>
        <v/>
      </c>
      <c r="T152" s="5">
        <f>J152</f>
        <v/>
      </c>
      <c r="U152" s="6">
        <f>YEAR(D152)</f>
        <v/>
      </c>
      <c r="V152" s="5">
        <f>TEXT(D152,"yyyy-mm")</f>
        <v/>
      </c>
    </row>
    <row r="153">
      <c r="A153" s="2" t="inlineStr">
        <is>
          <t>EJ010823.TXT</t>
        </is>
      </c>
      <c r="B153" s="3" t="inlineStr">
        <is>
          <t>001202</t>
        </is>
      </c>
      <c r="C153" s="3" t="inlineStr">
        <is>
          <t>000760</t>
        </is>
      </c>
      <c r="D153" s="4" t="n">
        <v>45110</v>
      </c>
      <c r="E153" s="2" t="inlineStr">
        <is>
          <t>15:57</t>
        </is>
      </c>
      <c r="F153" s="5" t="n">
        <v>1645</v>
      </c>
      <c r="G153" s="5" t="n"/>
      <c r="H153" s="5" t="n"/>
      <c r="I153" s="5" t="n"/>
      <c r="J153" s="5" t="n">
        <v>329</v>
      </c>
      <c r="K153" s="5" t="n"/>
      <c r="L153" s="5" t="n"/>
      <c r="M153" s="5" t="n"/>
      <c r="N153" s="5" t="n"/>
      <c r="O153" s="5" t="n">
        <v>1974</v>
      </c>
      <c r="P153" s="5" t="n">
        <v>1974</v>
      </c>
      <c r="Q153" s="5" t="n"/>
      <c r="R153" s="5" t="n"/>
      <c r="S153" s="5">
        <f>SUM(F153:I153)+N153</f>
        <v/>
      </c>
      <c r="T153" s="5">
        <f>J153</f>
        <v/>
      </c>
      <c r="U153" s="6">
        <f>YEAR(D153)</f>
        <v/>
      </c>
      <c r="V153" s="5">
        <f>TEXT(D153,"yyyy-mm")</f>
        <v/>
      </c>
    </row>
    <row r="154">
      <c r="A154" s="2" t="inlineStr">
        <is>
          <t>EJ010823.TXT</t>
        </is>
      </c>
      <c r="B154" s="3" t="inlineStr">
        <is>
          <t>001203</t>
        </is>
      </c>
      <c r="C154" s="3" t="inlineStr">
        <is>
          <t>000761</t>
        </is>
      </c>
      <c r="D154" s="4" t="n">
        <v>45111</v>
      </c>
      <c r="E154" s="2" t="inlineStr">
        <is>
          <t>12:07</t>
        </is>
      </c>
      <c r="F154" s="5" t="n">
        <v>548.33</v>
      </c>
      <c r="G154" s="5" t="n"/>
      <c r="H154" s="5" t="n"/>
      <c r="I154" s="5" t="n"/>
      <c r="J154" s="5" t="n">
        <v>109.67</v>
      </c>
      <c r="K154" s="5" t="n"/>
      <c r="L154" s="5" t="n"/>
      <c r="M154" s="5" t="n"/>
      <c r="N154" s="5" t="n"/>
      <c r="O154" s="5" t="n">
        <v>658</v>
      </c>
      <c r="P154" s="5" t="n">
        <v>658</v>
      </c>
      <c r="Q154" s="5" t="n"/>
      <c r="R154" s="5" t="n"/>
      <c r="S154" s="5">
        <f>SUM(F154:I154)+N154</f>
        <v/>
      </c>
      <c r="T154" s="5">
        <f>J154</f>
        <v/>
      </c>
      <c r="U154" s="6">
        <f>YEAR(D154)</f>
        <v/>
      </c>
      <c r="V154" s="5">
        <f>TEXT(D154,"yyyy-mm")</f>
        <v/>
      </c>
    </row>
    <row r="155">
      <c r="A155" s="2" t="inlineStr">
        <is>
          <t>EJ010823.TXT</t>
        </is>
      </c>
      <c r="B155" s="3" t="inlineStr">
        <is>
          <t>001204</t>
        </is>
      </c>
      <c r="C155" s="3" t="inlineStr">
        <is>
          <t>000762</t>
        </is>
      </c>
      <c r="D155" s="4" t="n">
        <v>45112</v>
      </c>
      <c r="E155" s="2" t="inlineStr">
        <is>
          <t>15:23</t>
        </is>
      </c>
      <c r="F155" s="5" t="n">
        <v>548.33</v>
      </c>
      <c r="G155" s="5" t="n"/>
      <c r="H155" s="5" t="n"/>
      <c r="I155" s="5" t="n"/>
      <c r="J155" s="5" t="n">
        <v>109.67</v>
      </c>
      <c r="K155" s="5" t="n"/>
      <c r="L155" s="5" t="n"/>
      <c r="M155" s="5" t="n"/>
      <c r="N155" s="5" t="n"/>
      <c r="O155" s="5" t="n">
        <v>658</v>
      </c>
      <c r="P155" s="5" t="n">
        <v>658</v>
      </c>
      <c r="Q155" s="5" t="n"/>
      <c r="R155" s="5" t="n"/>
      <c r="S155" s="5">
        <f>SUM(F155:I155)+N155</f>
        <v/>
      </c>
      <c r="T155" s="5">
        <f>J155</f>
        <v/>
      </c>
      <c r="U155" s="6">
        <f>YEAR(D155)</f>
        <v/>
      </c>
      <c r="V155" s="5">
        <f>TEXT(D155,"yyyy-mm")</f>
        <v/>
      </c>
    </row>
    <row r="156">
      <c r="A156" s="2" t="inlineStr">
        <is>
          <t>EJ010823.TXT</t>
        </is>
      </c>
      <c r="B156" s="3" t="inlineStr">
        <is>
          <t>001205</t>
        </is>
      </c>
      <c r="C156" s="3" t="inlineStr">
        <is>
          <t>000763</t>
        </is>
      </c>
      <c r="D156" s="4" t="n">
        <v>45112</v>
      </c>
      <c r="E156" s="2" t="inlineStr">
        <is>
          <t>16:19</t>
        </is>
      </c>
      <c r="F156" s="5" t="n">
        <v>124.17</v>
      </c>
      <c r="G156" s="5" t="n"/>
      <c r="H156" s="5" t="n"/>
      <c r="I156" s="5" t="n"/>
      <c r="J156" s="5" t="n">
        <v>24.83</v>
      </c>
      <c r="K156" s="5" t="n"/>
      <c r="L156" s="5" t="n"/>
      <c r="M156" s="5" t="n"/>
      <c r="N156" s="5" t="n"/>
      <c r="O156" s="5" t="n">
        <v>149</v>
      </c>
      <c r="P156" s="5" t="n">
        <v>149</v>
      </c>
      <c r="Q156" s="5" t="n"/>
      <c r="R156" s="5" t="n"/>
      <c r="S156" s="5">
        <f>SUM(F156:I156)+N156</f>
        <v/>
      </c>
      <c r="T156" s="5">
        <f>J156</f>
        <v/>
      </c>
      <c r="U156" s="6">
        <f>YEAR(D156)</f>
        <v/>
      </c>
      <c r="V156" s="5">
        <f>TEXT(D156,"yyyy-mm")</f>
        <v/>
      </c>
    </row>
    <row r="157">
      <c r="A157" s="2" t="inlineStr">
        <is>
          <t>EJ010823.TXT</t>
        </is>
      </c>
      <c r="B157" s="3" t="inlineStr">
        <is>
          <t>001206</t>
        </is>
      </c>
      <c r="C157" s="3" t="inlineStr">
        <is>
          <t>000764</t>
        </is>
      </c>
      <c r="D157" s="4" t="n">
        <v>45113</v>
      </c>
      <c r="E157" s="2" t="inlineStr">
        <is>
          <t>13:21</t>
        </is>
      </c>
      <c r="F157" s="5" t="n">
        <v>1123.33</v>
      </c>
      <c r="G157" s="5" t="n"/>
      <c r="H157" s="5" t="n"/>
      <c r="I157" s="5" t="n"/>
      <c r="J157" s="5" t="n">
        <v>224.67</v>
      </c>
      <c r="K157" s="5" t="n"/>
      <c r="L157" s="5" t="n"/>
      <c r="M157" s="5" t="n"/>
      <c r="N157" s="5" t="n"/>
      <c r="O157" s="5" t="n">
        <v>1348</v>
      </c>
      <c r="P157" s="5" t="n">
        <v>1348</v>
      </c>
      <c r="Q157" s="5" t="n"/>
      <c r="R157" s="5" t="n"/>
      <c r="S157" s="5">
        <f>SUM(F157:I157)+N157</f>
        <v/>
      </c>
      <c r="T157" s="5">
        <f>J157</f>
        <v/>
      </c>
      <c r="U157" s="6">
        <f>YEAR(D157)</f>
        <v/>
      </c>
      <c r="V157" s="5">
        <f>TEXT(D157,"yyyy-mm")</f>
        <v/>
      </c>
    </row>
    <row r="158">
      <c r="A158" s="2" t="inlineStr">
        <is>
          <t>EJ010823.TXT</t>
        </is>
      </c>
      <c r="B158" s="3" t="inlineStr">
        <is>
          <t>001207</t>
        </is>
      </c>
      <c r="C158" s="3" t="inlineStr">
        <is>
          <t>000765</t>
        </is>
      </c>
      <c r="D158" s="4" t="n">
        <v>45114</v>
      </c>
      <c r="E158" s="2" t="inlineStr">
        <is>
          <t>12:06</t>
        </is>
      </c>
      <c r="F158" s="5" t="n">
        <v>274.17</v>
      </c>
      <c r="G158" s="5" t="n"/>
      <c r="H158" s="5" t="n"/>
      <c r="I158" s="5" t="n"/>
      <c r="J158" s="5" t="n">
        <v>54.83</v>
      </c>
      <c r="K158" s="5" t="n"/>
      <c r="L158" s="5" t="n"/>
      <c r="M158" s="5" t="n"/>
      <c r="N158" s="5" t="n"/>
      <c r="O158" s="5" t="n">
        <v>329</v>
      </c>
      <c r="P158" s="5" t="n">
        <v>329</v>
      </c>
      <c r="Q158" s="5" t="n"/>
      <c r="R158" s="5" t="n"/>
      <c r="S158" s="5">
        <f>SUM(F158:I158)+N158</f>
        <v/>
      </c>
      <c r="T158" s="5">
        <f>J158</f>
        <v/>
      </c>
      <c r="U158" s="6">
        <f>YEAR(D158)</f>
        <v/>
      </c>
      <c r="V158" s="5">
        <f>TEXT(D158,"yyyy-mm")</f>
        <v/>
      </c>
    </row>
    <row r="159">
      <c r="A159" s="2" t="inlineStr">
        <is>
          <t>EJ010823.TXT</t>
        </is>
      </c>
      <c r="B159" s="3" t="inlineStr">
        <is>
          <t>001208</t>
        </is>
      </c>
      <c r="C159" s="3" t="inlineStr">
        <is>
          <t>000766</t>
        </is>
      </c>
      <c r="D159" s="4" t="n">
        <v>45114</v>
      </c>
      <c r="E159" s="2" t="inlineStr">
        <is>
          <t>15:20</t>
        </is>
      </c>
      <c r="F159" s="5" t="n">
        <v>199.17</v>
      </c>
      <c r="G159" s="5" t="n"/>
      <c r="H159" s="5" t="n"/>
      <c r="I159" s="5" t="n"/>
      <c r="J159" s="5" t="n">
        <v>39.83</v>
      </c>
      <c r="K159" s="5" t="n"/>
      <c r="L159" s="5" t="n"/>
      <c r="M159" s="5" t="n"/>
      <c r="N159" s="5" t="n"/>
      <c r="O159" s="5" t="n">
        <v>239</v>
      </c>
      <c r="P159" s="5" t="n">
        <v>239</v>
      </c>
      <c r="Q159" s="5" t="n"/>
      <c r="R159" s="5" t="n"/>
      <c r="S159" s="5">
        <f>SUM(F159:I159)+N159</f>
        <v/>
      </c>
      <c r="T159" s="5">
        <f>J159</f>
        <v/>
      </c>
      <c r="U159" s="6">
        <f>YEAR(D159)</f>
        <v/>
      </c>
      <c r="V159" s="5">
        <f>TEXT(D159,"yyyy-mm")</f>
        <v/>
      </c>
    </row>
    <row r="160">
      <c r="A160" s="2" t="inlineStr">
        <is>
          <t>EJ010823.TXT</t>
        </is>
      </c>
      <c r="B160" s="3" t="inlineStr">
        <is>
          <t>001209</t>
        </is>
      </c>
      <c r="C160" s="3" t="inlineStr">
        <is>
          <t>000767</t>
        </is>
      </c>
      <c r="D160" s="4" t="n">
        <v>45114</v>
      </c>
      <c r="E160" s="2" t="inlineStr">
        <is>
          <t>16:42</t>
        </is>
      </c>
      <c r="F160" s="5" t="n">
        <v>548.33</v>
      </c>
      <c r="G160" s="5" t="n"/>
      <c r="H160" s="5" t="n"/>
      <c r="I160" s="5" t="n"/>
      <c r="J160" s="5" t="n">
        <v>109.67</v>
      </c>
      <c r="K160" s="5" t="n"/>
      <c r="L160" s="5" t="n"/>
      <c r="M160" s="5" t="n"/>
      <c r="N160" s="5" t="n"/>
      <c r="O160" s="5" t="n">
        <v>658</v>
      </c>
      <c r="P160" s="5" t="n">
        <v>658</v>
      </c>
      <c r="Q160" s="5" t="n"/>
      <c r="R160" s="5" t="n"/>
      <c r="S160" s="5">
        <f>SUM(F160:I160)+N160</f>
        <v/>
      </c>
      <c r="T160" s="5">
        <f>J160</f>
        <v/>
      </c>
      <c r="U160" s="6">
        <f>YEAR(D160)</f>
        <v/>
      </c>
      <c r="V160" s="5">
        <f>TEXT(D160,"yyyy-mm")</f>
        <v/>
      </c>
    </row>
    <row r="161">
      <c r="A161" s="2" t="inlineStr">
        <is>
          <t>EJ010823.TXT</t>
        </is>
      </c>
      <c r="B161" s="3" t="inlineStr">
        <is>
          <t>001210</t>
        </is>
      </c>
      <c r="C161" s="3" t="inlineStr">
        <is>
          <t>000768</t>
        </is>
      </c>
      <c r="D161" s="4" t="n">
        <v>45114</v>
      </c>
      <c r="E161" s="2" t="inlineStr">
        <is>
          <t>16:57</t>
        </is>
      </c>
      <c r="F161" s="5" t="n">
        <v>365.83</v>
      </c>
      <c r="G161" s="5" t="n"/>
      <c r="H161" s="5" t="n"/>
      <c r="I161" s="5" t="n"/>
      <c r="J161" s="5" t="n">
        <v>73.17</v>
      </c>
      <c r="K161" s="5" t="n"/>
      <c r="L161" s="5" t="n"/>
      <c r="M161" s="5" t="n"/>
      <c r="N161" s="5" t="n"/>
      <c r="O161" s="5" t="n">
        <v>439</v>
      </c>
      <c r="P161" s="5" t="n">
        <v>439</v>
      </c>
      <c r="Q161" s="5" t="n"/>
      <c r="R161" s="5" t="n"/>
      <c r="S161" s="5">
        <f>SUM(F161:I161)+N161</f>
        <v/>
      </c>
      <c r="T161" s="5">
        <f>J161</f>
        <v/>
      </c>
      <c r="U161" s="6">
        <f>YEAR(D161)</f>
        <v/>
      </c>
      <c r="V161" s="5">
        <f>TEXT(D161,"yyyy-mm")</f>
        <v/>
      </c>
    </row>
    <row r="162">
      <c r="A162" s="2" t="inlineStr">
        <is>
          <t>EJ010823.TXT</t>
        </is>
      </c>
      <c r="B162" s="3" t="inlineStr">
        <is>
          <t>001211</t>
        </is>
      </c>
      <c r="C162" s="3" t="inlineStr">
        <is>
          <t>000769</t>
        </is>
      </c>
      <c r="D162" s="4" t="n">
        <v>45115</v>
      </c>
      <c r="E162" s="2" t="inlineStr">
        <is>
          <t>12:46</t>
        </is>
      </c>
      <c r="F162" s="5" t="n">
        <v>199.17</v>
      </c>
      <c r="G162" s="5" t="n"/>
      <c r="H162" s="5" t="n"/>
      <c r="I162" s="5" t="n"/>
      <c r="J162" s="5" t="n">
        <v>39.83</v>
      </c>
      <c r="K162" s="5" t="n"/>
      <c r="L162" s="5" t="n"/>
      <c r="M162" s="5" t="n"/>
      <c r="N162" s="5" t="n"/>
      <c r="O162" s="5" t="n">
        <v>239</v>
      </c>
      <c r="P162" s="5" t="n"/>
      <c r="Q162" s="5" t="n">
        <v>239</v>
      </c>
      <c r="R162" s="5" t="n"/>
      <c r="S162" s="5">
        <f>SUM(F162:I162)+N162</f>
        <v/>
      </c>
      <c r="T162" s="5">
        <f>J162</f>
        <v/>
      </c>
      <c r="U162" s="6">
        <f>YEAR(D162)</f>
        <v/>
      </c>
      <c r="V162" s="5">
        <f>TEXT(D162,"yyyy-mm")</f>
        <v/>
      </c>
    </row>
    <row r="163">
      <c r="A163" s="2" t="inlineStr">
        <is>
          <t>EJ010823.TXT</t>
        </is>
      </c>
      <c r="B163" s="3" t="inlineStr">
        <is>
          <t>001212</t>
        </is>
      </c>
      <c r="C163" s="3" t="inlineStr">
        <is>
          <t>000770</t>
        </is>
      </c>
      <c r="D163" s="4" t="n">
        <v>45115</v>
      </c>
      <c r="E163" s="2" t="inlineStr">
        <is>
          <t>15:26</t>
        </is>
      </c>
      <c r="F163" s="5" t="n">
        <v>199.17</v>
      </c>
      <c r="G163" s="5" t="n"/>
      <c r="H163" s="5" t="n"/>
      <c r="I163" s="5" t="n"/>
      <c r="J163" s="5" t="n">
        <v>39.83</v>
      </c>
      <c r="K163" s="5" t="n"/>
      <c r="L163" s="5" t="n"/>
      <c r="M163" s="5" t="n"/>
      <c r="N163" s="5" t="n"/>
      <c r="O163" s="5" t="n">
        <v>239</v>
      </c>
      <c r="P163" s="5" t="n">
        <v>239</v>
      </c>
      <c r="Q163" s="5" t="n"/>
      <c r="R163" s="5" t="n"/>
      <c r="S163" s="5">
        <f>SUM(F163:I163)+N163</f>
        <v/>
      </c>
      <c r="T163" s="5">
        <f>J163</f>
        <v/>
      </c>
      <c r="U163" s="6">
        <f>YEAR(D163)</f>
        <v/>
      </c>
      <c r="V163" s="5">
        <f>TEXT(D163,"yyyy-mm")</f>
        <v/>
      </c>
    </row>
    <row r="164">
      <c r="A164" s="2" t="inlineStr">
        <is>
          <t>EJ010823.TXT</t>
        </is>
      </c>
      <c r="B164" s="3" t="inlineStr">
        <is>
          <t>001213</t>
        </is>
      </c>
      <c r="C164" s="3" t="inlineStr">
        <is>
          <t>000771</t>
        </is>
      </c>
      <c r="D164" s="4" t="n">
        <v>45119</v>
      </c>
      <c r="E164" s="2" t="inlineStr">
        <is>
          <t>11:51</t>
        </is>
      </c>
      <c r="F164" s="5" t="n">
        <v>398.33</v>
      </c>
      <c r="G164" s="5" t="n"/>
      <c r="H164" s="5" t="n"/>
      <c r="I164" s="5" t="n"/>
      <c r="J164" s="5" t="n">
        <v>79.67</v>
      </c>
      <c r="K164" s="5" t="n"/>
      <c r="L164" s="5" t="n"/>
      <c r="M164" s="5" t="n"/>
      <c r="N164" s="5" t="n"/>
      <c r="O164" s="5" t="n">
        <v>478</v>
      </c>
      <c r="P164" s="5" t="n">
        <v>478</v>
      </c>
      <c r="Q164" s="5" t="n"/>
      <c r="R164" s="5" t="n"/>
      <c r="S164" s="5">
        <f>SUM(F164:I164)+N164</f>
        <v/>
      </c>
      <c r="T164" s="5">
        <f>J164</f>
        <v/>
      </c>
      <c r="U164" s="6">
        <f>YEAR(D164)</f>
        <v/>
      </c>
      <c r="V164" s="5">
        <f>TEXT(D164,"yyyy-mm")</f>
        <v/>
      </c>
    </row>
    <row r="165">
      <c r="A165" s="2" t="inlineStr">
        <is>
          <t>EJ010823.TXT</t>
        </is>
      </c>
      <c r="B165" s="3" t="inlineStr">
        <is>
          <t>001214</t>
        </is>
      </c>
      <c r="C165" s="3" t="inlineStr">
        <is>
          <t>000772</t>
        </is>
      </c>
      <c r="D165" s="4" t="n">
        <v>45119</v>
      </c>
      <c r="E165" s="2" t="inlineStr">
        <is>
          <t>13:37</t>
        </is>
      </c>
      <c r="F165" s="5" t="n">
        <v>274.17</v>
      </c>
      <c r="G165" s="5" t="n"/>
      <c r="H165" s="5" t="n"/>
      <c r="I165" s="5" t="n"/>
      <c r="J165" s="5" t="n">
        <v>54.83</v>
      </c>
      <c r="K165" s="5" t="n"/>
      <c r="L165" s="5" t="n"/>
      <c r="M165" s="5" t="n"/>
      <c r="N165" s="5" t="n"/>
      <c r="O165" s="5" t="n">
        <v>329</v>
      </c>
      <c r="P165" s="5" t="n">
        <v>329</v>
      </c>
      <c r="Q165" s="5" t="n"/>
      <c r="R165" s="5" t="n"/>
      <c r="S165" s="5">
        <f>SUM(F165:I165)+N165</f>
        <v/>
      </c>
      <c r="T165" s="5">
        <f>J165</f>
        <v/>
      </c>
      <c r="U165" s="6">
        <f>YEAR(D165)</f>
        <v/>
      </c>
      <c r="V165" s="5">
        <f>TEXT(D165,"yyyy-mm")</f>
        <v/>
      </c>
    </row>
    <row r="166">
      <c r="A166" s="2" t="inlineStr">
        <is>
          <t>EJ010823.TXT</t>
        </is>
      </c>
      <c r="B166" s="3" t="inlineStr">
        <is>
          <t>001215</t>
        </is>
      </c>
      <c r="C166" s="3" t="inlineStr">
        <is>
          <t>000773</t>
        </is>
      </c>
      <c r="D166" s="4" t="n">
        <v>45122</v>
      </c>
      <c r="E166" s="2" t="inlineStr">
        <is>
          <t>13:55</t>
        </is>
      </c>
      <c r="F166" s="5" t="n">
        <v>274.17</v>
      </c>
      <c r="G166" s="5" t="n"/>
      <c r="H166" s="5" t="n"/>
      <c r="I166" s="5" t="n"/>
      <c r="J166" s="5" t="n">
        <v>54.83</v>
      </c>
      <c r="K166" s="5" t="n"/>
      <c r="L166" s="5" t="n"/>
      <c r="M166" s="5" t="n"/>
      <c r="N166" s="5" t="n"/>
      <c r="O166" s="5" t="n">
        <v>329</v>
      </c>
      <c r="P166" s="5" t="n">
        <v>329</v>
      </c>
      <c r="Q166" s="5" t="n"/>
      <c r="R166" s="5" t="n"/>
      <c r="S166" s="5">
        <f>SUM(F166:I166)+N166</f>
        <v/>
      </c>
      <c r="T166" s="5">
        <f>J166</f>
        <v/>
      </c>
      <c r="U166" s="6">
        <f>YEAR(D166)</f>
        <v/>
      </c>
      <c r="V166" s="5">
        <f>TEXT(D166,"yyyy-mm")</f>
        <v/>
      </c>
    </row>
    <row r="167">
      <c r="A167" s="2" t="inlineStr">
        <is>
          <t>EJ010823.TXT</t>
        </is>
      </c>
      <c r="B167" s="3" t="inlineStr">
        <is>
          <t>001216</t>
        </is>
      </c>
      <c r="C167" s="3" t="inlineStr">
        <is>
          <t>000774</t>
        </is>
      </c>
      <c r="D167" s="4" t="n">
        <v>45122</v>
      </c>
      <c r="E167" s="2" t="inlineStr">
        <is>
          <t>14:25</t>
        </is>
      </c>
      <c r="F167" s="5" t="n">
        <v>395</v>
      </c>
      <c r="G167" s="5" t="n"/>
      <c r="H167" s="5" t="n"/>
      <c r="I167" s="5" t="n"/>
      <c r="J167" s="5" t="n">
        <v>79</v>
      </c>
      <c r="K167" s="5" t="n"/>
      <c r="L167" s="5" t="n"/>
      <c r="M167" s="5" t="n"/>
      <c r="N167" s="5" t="n"/>
      <c r="O167" s="5" t="n">
        <v>474</v>
      </c>
      <c r="P167" s="5" t="n">
        <v>474</v>
      </c>
      <c r="Q167" s="5" t="n"/>
      <c r="R167" s="5" t="n"/>
      <c r="S167" s="5">
        <f>SUM(F167:I167)+N167</f>
        <v/>
      </c>
      <c r="T167" s="5">
        <f>J167</f>
        <v/>
      </c>
      <c r="U167" s="6">
        <f>YEAR(D167)</f>
        <v/>
      </c>
      <c r="V167" s="5">
        <f>TEXT(D167,"yyyy-mm")</f>
        <v/>
      </c>
    </row>
    <row r="168">
      <c r="A168" s="2" t="inlineStr">
        <is>
          <t>EJ010823.TXT</t>
        </is>
      </c>
      <c r="B168" s="3" t="inlineStr">
        <is>
          <t>001217</t>
        </is>
      </c>
      <c r="C168" s="3" t="inlineStr">
        <is>
          <t>000775</t>
        </is>
      </c>
      <c r="D168" s="4" t="n">
        <v>45122</v>
      </c>
      <c r="E168" s="2" t="inlineStr">
        <is>
          <t>15:40</t>
        </is>
      </c>
      <c r="F168" s="5" t="n">
        <v>1733.33</v>
      </c>
      <c r="G168" s="5" t="n"/>
      <c r="H168" s="5" t="n"/>
      <c r="I168" s="5" t="n"/>
      <c r="J168" s="5" t="n">
        <v>346.67</v>
      </c>
      <c r="K168" s="5" t="n"/>
      <c r="L168" s="5" t="n"/>
      <c r="M168" s="5" t="n"/>
      <c r="N168" s="5" t="n"/>
      <c r="O168" s="5" t="n">
        <v>2080</v>
      </c>
      <c r="P168" s="5" t="n">
        <v>2080</v>
      </c>
      <c r="Q168" s="5" t="n"/>
      <c r="R168" s="5" t="n"/>
      <c r="S168" s="5">
        <f>SUM(F168:I168)+N168</f>
        <v/>
      </c>
      <c r="T168" s="5">
        <f>J168</f>
        <v/>
      </c>
      <c r="U168" s="6">
        <f>YEAR(D168)</f>
        <v/>
      </c>
      <c r="V168" s="5">
        <f>TEXT(D168,"yyyy-mm")</f>
        <v/>
      </c>
    </row>
    <row r="169">
      <c r="A169" s="2" t="inlineStr">
        <is>
          <t>EJ010823.TXT</t>
        </is>
      </c>
      <c r="B169" s="3" t="inlineStr">
        <is>
          <t>001218</t>
        </is>
      </c>
      <c r="C169" s="3" t="inlineStr">
        <is>
          <t>000776</t>
        </is>
      </c>
      <c r="D169" s="4" t="n">
        <v>45122</v>
      </c>
      <c r="E169" s="2" t="inlineStr">
        <is>
          <t>15:40</t>
        </is>
      </c>
      <c r="F169" s="5" t="n">
        <v>866.67</v>
      </c>
      <c r="G169" s="5" t="n"/>
      <c r="H169" s="5" t="n"/>
      <c r="I169" s="5" t="n"/>
      <c r="J169" s="5" t="n">
        <v>173.33</v>
      </c>
      <c r="K169" s="5" t="n"/>
      <c r="L169" s="5" t="n"/>
      <c r="M169" s="5" t="n"/>
      <c r="N169" s="5" t="n"/>
      <c r="O169" s="5" t="n">
        <v>1040</v>
      </c>
      <c r="P169" s="5" t="n">
        <v>1040</v>
      </c>
      <c r="Q169" s="5" t="n"/>
      <c r="R169" s="5" t="n"/>
      <c r="S169" s="5">
        <f>SUM(F169:I169)+N169</f>
        <v/>
      </c>
      <c r="T169" s="5">
        <f>J169</f>
        <v/>
      </c>
      <c r="U169" s="6">
        <f>YEAR(D169)</f>
        <v/>
      </c>
      <c r="V169" s="5">
        <f>TEXT(D169,"yyyy-mm")</f>
        <v/>
      </c>
    </row>
    <row r="170">
      <c r="A170" s="2" t="inlineStr">
        <is>
          <t>EJ010823.TXT</t>
        </is>
      </c>
      <c r="B170" s="3" t="inlineStr">
        <is>
          <t>001219</t>
        </is>
      </c>
      <c r="C170" s="3" t="inlineStr">
        <is>
          <t>000777</t>
        </is>
      </c>
      <c r="D170" s="4" t="n">
        <v>45122</v>
      </c>
      <c r="E170" s="2" t="inlineStr">
        <is>
          <t>16:46</t>
        </is>
      </c>
      <c r="F170" s="5" t="n">
        <v>1096.67</v>
      </c>
      <c r="G170" s="5" t="n"/>
      <c r="H170" s="5" t="n"/>
      <c r="I170" s="5" t="n"/>
      <c r="J170" s="5" t="n">
        <v>219.33</v>
      </c>
      <c r="K170" s="5" t="n"/>
      <c r="L170" s="5" t="n"/>
      <c r="M170" s="5" t="n"/>
      <c r="N170" s="5" t="n"/>
      <c r="O170" s="5" t="n">
        <v>1316</v>
      </c>
      <c r="P170" s="5" t="n">
        <v>1316</v>
      </c>
      <c r="Q170" s="5" t="n"/>
      <c r="R170" s="5" t="n"/>
      <c r="S170" s="5">
        <f>SUM(F170:I170)+N170</f>
        <v/>
      </c>
      <c r="T170" s="5">
        <f>J170</f>
        <v/>
      </c>
      <c r="U170" s="6">
        <f>YEAR(D170)</f>
        <v/>
      </c>
      <c r="V170" s="5">
        <f>TEXT(D170,"yyyy-mm")</f>
        <v/>
      </c>
    </row>
    <row r="171">
      <c r="A171" s="2" t="inlineStr">
        <is>
          <t>EJ010823.TXT</t>
        </is>
      </c>
      <c r="B171" s="3" t="inlineStr">
        <is>
          <t>001220</t>
        </is>
      </c>
      <c r="C171" s="3" t="inlineStr">
        <is>
          <t>000778</t>
        </is>
      </c>
      <c r="D171" s="4" t="n">
        <v>45126</v>
      </c>
      <c r="E171" s="2" t="inlineStr">
        <is>
          <t>16:31</t>
        </is>
      </c>
      <c r="F171" s="5" t="n">
        <v>199.17</v>
      </c>
      <c r="G171" s="5" t="n"/>
      <c r="H171" s="5" t="n"/>
      <c r="I171" s="5" t="n"/>
      <c r="J171" s="5" t="n">
        <v>39.83</v>
      </c>
      <c r="K171" s="5" t="n"/>
      <c r="L171" s="5" t="n"/>
      <c r="M171" s="5" t="n"/>
      <c r="N171" s="5" t="n"/>
      <c r="O171" s="5" t="n">
        <v>239</v>
      </c>
      <c r="P171" s="5" t="n"/>
      <c r="Q171" s="5" t="n">
        <v>239</v>
      </c>
      <c r="R171" s="5" t="n"/>
      <c r="S171" s="5">
        <f>SUM(F171:I171)+N171</f>
        <v/>
      </c>
      <c r="T171" s="5">
        <f>J171</f>
        <v/>
      </c>
      <c r="U171" s="6">
        <f>YEAR(D171)</f>
        <v/>
      </c>
      <c r="V171" s="5">
        <f>TEXT(D171,"yyyy-mm")</f>
        <v/>
      </c>
    </row>
    <row r="172">
      <c r="A172" s="2" t="inlineStr">
        <is>
          <t>EJ010823.TXT</t>
        </is>
      </c>
      <c r="B172" s="3" t="inlineStr">
        <is>
          <t>001222</t>
        </is>
      </c>
      <c r="C172" s="3" t="inlineStr">
        <is>
          <t>000779</t>
        </is>
      </c>
      <c r="D172" s="4" t="n">
        <v>45127</v>
      </c>
      <c r="E172" s="2" t="inlineStr">
        <is>
          <t>09:36</t>
        </is>
      </c>
      <c r="F172" s="5" t="n">
        <v>274.17</v>
      </c>
      <c r="G172" s="5" t="n"/>
      <c r="H172" s="5" t="n"/>
      <c r="I172" s="5" t="n"/>
      <c r="J172" s="5" t="n">
        <v>54.83</v>
      </c>
      <c r="K172" s="5" t="n"/>
      <c r="L172" s="5" t="n"/>
      <c r="M172" s="5" t="n"/>
      <c r="N172" s="5" t="n"/>
      <c r="O172" s="5" t="n">
        <v>329</v>
      </c>
      <c r="P172" s="5" t="n">
        <v>329</v>
      </c>
      <c r="Q172" s="5" t="n"/>
      <c r="R172" s="5" t="n"/>
      <c r="S172" s="5">
        <f>SUM(F172:I172)+N172</f>
        <v/>
      </c>
      <c r="T172" s="5">
        <f>J172</f>
        <v/>
      </c>
      <c r="U172" s="6">
        <f>YEAR(D172)</f>
        <v/>
      </c>
      <c r="V172" s="5">
        <f>TEXT(D172,"yyyy-mm")</f>
        <v/>
      </c>
    </row>
    <row r="173">
      <c r="A173" s="2" t="inlineStr">
        <is>
          <t>EJ010823.TXT</t>
        </is>
      </c>
      <c r="B173" s="3" t="inlineStr">
        <is>
          <t>001223</t>
        </is>
      </c>
      <c r="C173" s="3" t="inlineStr">
        <is>
          <t>000780</t>
        </is>
      </c>
      <c r="D173" s="4" t="n">
        <v>45128</v>
      </c>
      <c r="E173" s="2" t="inlineStr">
        <is>
          <t>16:41</t>
        </is>
      </c>
      <c r="F173" s="5" t="n">
        <v>2830</v>
      </c>
      <c r="G173" s="5" t="n"/>
      <c r="H173" s="5" t="n"/>
      <c r="I173" s="5" t="n"/>
      <c r="J173" s="5" t="n">
        <v>566</v>
      </c>
      <c r="K173" s="5" t="n"/>
      <c r="L173" s="5" t="n"/>
      <c r="M173" s="5" t="n"/>
      <c r="N173" s="5" t="n"/>
      <c r="O173" s="5" t="n">
        <v>3396</v>
      </c>
      <c r="P173" s="5" t="n">
        <v>3396</v>
      </c>
      <c r="Q173" s="5" t="n"/>
      <c r="R173" s="5" t="n"/>
      <c r="S173" s="5">
        <f>SUM(F173:I173)+N173</f>
        <v/>
      </c>
      <c r="T173" s="5">
        <f>J173</f>
        <v/>
      </c>
      <c r="U173" s="6">
        <f>YEAR(D173)</f>
        <v/>
      </c>
      <c r="V173" s="5">
        <f>TEXT(D173,"yyyy-mm")</f>
        <v/>
      </c>
    </row>
    <row r="174">
      <c r="A174" s="2" t="inlineStr">
        <is>
          <t>EJ010823.TXT</t>
        </is>
      </c>
      <c r="B174" s="3" t="inlineStr">
        <is>
          <t>001224</t>
        </is>
      </c>
      <c r="C174" s="3" t="inlineStr">
        <is>
          <t>000781</t>
        </is>
      </c>
      <c r="D174" s="4" t="n">
        <v>45128</v>
      </c>
      <c r="E174" s="2" t="inlineStr">
        <is>
          <t>16:45</t>
        </is>
      </c>
      <c r="F174" s="5" t="n">
        <v>274.17</v>
      </c>
      <c r="G174" s="5" t="n"/>
      <c r="H174" s="5" t="n"/>
      <c r="I174" s="5" t="n"/>
      <c r="J174" s="5" t="n">
        <v>54.83</v>
      </c>
      <c r="K174" s="5" t="n"/>
      <c r="L174" s="5" t="n"/>
      <c r="M174" s="5" t="n"/>
      <c r="N174" s="5" t="n"/>
      <c r="O174" s="5" t="n">
        <v>329</v>
      </c>
      <c r="P174" s="5" t="n">
        <v>329</v>
      </c>
      <c r="Q174" s="5" t="n"/>
      <c r="R174" s="5" t="n"/>
      <c r="S174" s="5">
        <f>SUM(F174:I174)+N174</f>
        <v/>
      </c>
      <c r="T174" s="5">
        <f>J174</f>
        <v/>
      </c>
      <c r="U174" s="6">
        <f>YEAR(D174)</f>
        <v/>
      </c>
      <c r="V174" s="5">
        <f>TEXT(D174,"yyyy-mm")</f>
        <v/>
      </c>
    </row>
    <row r="175">
      <c r="A175" s="2" t="inlineStr">
        <is>
          <t>EJ010823.TXT</t>
        </is>
      </c>
      <c r="B175" s="3" t="inlineStr">
        <is>
          <t>001225</t>
        </is>
      </c>
      <c r="C175" s="3" t="inlineStr">
        <is>
          <t>000782</t>
        </is>
      </c>
      <c r="D175" s="4" t="n">
        <v>45129</v>
      </c>
      <c r="E175" s="2" t="inlineStr">
        <is>
          <t>13:27</t>
        </is>
      </c>
      <c r="F175" s="5" t="n">
        <v>733.33</v>
      </c>
      <c r="G175" s="5" t="n"/>
      <c r="H175" s="5" t="n"/>
      <c r="I175" s="5" t="n"/>
      <c r="J175" s="5" t="n">
        <v>146.67</v>
      </c>
      <c r="K175" s="5" t="n"/>
      <c r="L175" s="5" t="n"/>
      <c r="M175" s="5" t="n"/>
      <c r="N175" s="5" t="n"/>
      <c r="O175" s="5" t="n">
        <v>880</v>
      </c>
      <c r="P175" s="5" t="n">
        <v>880</v>
      </c>
      <c r="Q175" s="5" t="n"/>
      <c r="R175" s="5" t="n"/>
      <c r="S175" s="5">
        <f>SUM(F175:I175)+N175</f>
        <v/>
      </c>
      <c r="T175" s="5">
        <f>J175</f>
        <v/>
      </c>
      <c r="U175" s="6">
        <f>YEAR(D175)</f>
        <v/>
      </c>
      <c r="V175" s="5">
        <f>TEXT(D175,"yyyy-mm")</f>
        <v/>
      </c>
    </row>
    <row r="176">
      <c r="A176" s="2" t="inlineStr">
        <is>
          <t>EJ010823.TXT</t>
        </is>
      </c>
      <c r="B176" s="3" t="inlineStr">
        <is>
          <t>001226</t>
        </is>
      </c>
      <c r="C176" s="3" t="inlineStr">
        <is>
          <t>000783</t>
        </is>
      </c>
      <c r="D176" s="4" t="n">
        <v>45129</v>
      </c>
      <c r="E176" s="2" t="inlineStr">
        <is>
          <t>14:42</t>
        </is>
      </c>
      <c r="F176" s="5" t="n">
        <v>548.33</v>
      </c>
      <c r="G176" s="5" t="n"/>
      <c r="H176" s="5" t="n"/>
      <c r="I176" s="5" t="n"/>
      <c r="J176" s="5" t="n">
        <v>109.67</v>
      </c>
      <c r="K176" s="5" t="n"/>
      <c r="L176" s="5" t="n"/>
      <c r="M176" s="5" t="n"/>
      <c r="N176" s="5" t="n"/>
      <c r="O176" s="5" t="n">
        <v>658</v>
      </c>
      <c r="P176" s="5" t="n">
        <v>658</v>
      </c>
      <c r="Q176" s="5" t="n"/>
      <c r="R176" s="5" t="n"/>
      <c r="S176" s="5">
        <f>SUM(F176:I176)+N176</f>
        <v/>
      </c>
      <c r="T176" s="5">
        <f>J176</f>
        <v/>
      </c>
      <c r="U176" s="6">
        <f>YEAR(D176)</f>
        <v/>
      </c>
      <c r="V176" s="5">
        <f>TEXT(D176,"yyyy-mm")</f>
        <v/>
      </c>
    </row>
    <row r="177">
      <c r="A177" s="2" t="inlineStr">
        <is>
          <t>EJ010823.TXT</t>
        </is>
      </c>
      <c r="B177" s="3" t="inlineStr">
        <is>
          <t>001228</t>
        </is>
      </c>
      <c r="C177" s="3" t="inlineStr">
        <is>
          <t>000784</t>
        </is>
      </c>
      <c r="D177" s="4" t="n">
        <v>45132</v>
      </c>
      <c r="E177" s="2" t="inlineStr">
        <is>
          <t>13:52</t>
        </is>
      </c>
      <c r="F177" s="5" t="n">
        <v>474.17</v>
      </c>
      <c r="G177" s="5" t="n"/>
      <c r="H177" s="5" t="n"/>
      <c r="I177" s="5" t="n"/>
      <c r="J177" s="5" t="n">
        <v>94.83</v>
      </c>
      <c r="K177" s="5" t="n"/>
      <c r="L177" s="5" t="n"/>
      <c r="M177" s="5" t="n"/>
      <c r="N177" s="5" t="n"/>
      <c r="O177" s="5" t="n">
        <v>569</v>
      </c>
      <c r="P177" s="5" t="n"/>
      <c r="Q177" s="5" t="n">
        <v>569</v>
      </c>
      <c r="R177" s="5" t="n"/>
      <c r="S177" s="5">
        <f>SUM(F177:I177)+N177</f>
        <v/>
      </c>
      <c r="T177" s="5">
        <f>J177</f>
        <v/>
      </c>
      <c r="U177" s="6">
        <f>YEAR(D177)</f>
        <v/>
      </c>
      <c r="V177" s="5">
        <f>TEXT(D177,"yyyy-mm")</f>
        <v/>
      </c>
    </row>
    <row r="178">
      <c r="A178" s="2" t="inlineStr">
        <is>
          <t>EJ010823.TXT</t>
        </is>
      </c>
      <c r="B178" s="3" t="inlineStr">
        <is>
          <t>001229</t>
        </is>
      </c>
      <c r="C178" s="3" t="inlineStr">
        <is>
          <t>000785</t>
        </is>
      </c>
      <c r="D178" s="4" t="n">
        <v>45132</v>
      </c>
      <c r="E178" s="2" t="inlineStr">
        <is>
          <t>14:04</t>
        </is>
      </c>
      <c r="F178" s="5" t="n">
        <v>274.17</v>
      </c>
      <c r="G178" s="5" t="n"/>
      <c r="H178" s="5" t="n"/>
      <c r="I178" s="5" t="n"/>
      <c r="J178" s="5" t="n">
        <v>54.83</v>
      </c>
      <c r="K178" s="5" t="n"/>
      <c r="L178" s="5" t="n"/>
      <c r="M178" s="5" t="n"/>
      <c r="N178" s="5" t="n"/>
      <c r="O178" s="5" t="n">
        <v>329</v>
      </c>
      <c r="P178" s="5" t="n">
        <v>329</v>
      </c>
      <c r="Q178" s="5" t="n"/>
      <c r="R178" s="5" t="n"/>
      <c r="S178" s="5">
        <f>SUM(F178:I178)+N178</f>
        <v/>
      </c>
      <c r="T178" s="5">
        <f>J178</f>
        <v/>
      </c>
      <c r="U178" s="6">
        <f>YEAR(D178)</f>
        <v/>
      </c>
      <c r="V178" s="5">
        <f>TEXT(D178,"yyyy-mm")</f>
        <v/>
      </c>
    </row>
    <row r="179">
      <c r="A179" s="2" t="inlineStr">
        <is>
          <t>EJ010823.TXT</t>
        </is>
      </c>
      <c r="B179" s="3" t="inlineStr">
        <is>
          <t>001230</t>
        </is>
      </c>
      <c r="C179" s="3" t="inlineStr">
        <is>
          <t>000786</t>
        </is>
      </c>
      <c r="D179" s="4" t="n">
        <v>45133</v>
      </c>
      <c r="E179" s="2" t="inlineStr">
        <is>
          <t>09:34</t>
        </is>
      </c>
      <c r="F179" s="5" t="n">
        <v>582.5</v>
      </c>
      <c r="G179" s="5" t="n"/>
      <c r="H179" s="5" t="n"/>
      <c r="I179" s="5" t="n"/>
      <c r="J179" s="5" t="n">
        <v>116.5</v>
      </c>
      <c r="K179" s="5" t="n"/>
      <c r="L179" s="5" t="n"/>
      <c r="M179" s="5" t="n"/>
      <c r="N179" s="5" t="n"/>
      <c r="O179" s="5" t="n">
        <v>699</v>
      </c>
      <c r="P179" s="5" t="n">
        <v>699</v>
      </c>
      <c r="Q179" s="5" t="n"/>
      <c r="R179" s="5" t="n"/>
      <c r="S179" s="5">
        <f>SUM(F179:I179)+N179</f>
        <v/>
      </c>
      <c r="T179" s="5">
        <f>J179</f>
        <v/>
      </c>
      <c r="U179" s="6">
        <f>YEAR(D179)</f>
        <v/>
      </c>
      <c r="V179" s="5">
        <f>TEXT(D179,"yyyy-mm")</f>
        <v/>
      </c>
    </row>
    <row r="180">
      <c r="A180" s="2" t="inlineStr">
        <is>
          <t>EJ010823.TXT</t>
        </is>
      </c>
      <c r="B180" s="3" t="inlineStr">
        <is>
          <t>001234</t>
        </is>
      </c>
      <c r="C180" s="3" t="inlineStr">
        <is>
          <t>000787</t>
        </is>
      </c>
      <c r="D180" s="4" t="n">
        <v>45133</v>
      </c>
      <c r="E180" s="2" t="inlineStr">
        <is>
          <t>13:22</t>
        </is>
      </c>
      <c r="F180" s="5" t="n">
        <v>548.33</v>
      </c>
      <c r="G180" s="5" t="n"/>
      <c r="H180" s="5" t="n"/>
      <c r="I180" s="5" t="n"/>
      <c r="J180" s="5" t="n">
        <v>109.67</v>
      </c>
      <c r="K180" s="5" t="n"/>
      <c r="L180" s="5" t="n"/>
      <c r="M180" s="5" t="n"/>
      <c r="N180" s="5" t="n"/>
      <c r="O180" s="5" t="n">
        <v>658</v>
      </c>
      <c r="P180" s="5" t="n"/>
      <c r="Q180" s="5" t="n">
        <v>658</v>
      </c>
      <c r="R180" s="5" t="n"/>
      <c r="S180" s="5">
        <f>SUM(F180:I180)+N180</f>
        <v/>
      </c>
      <c r="T180" s="5">
        <f>J180</f>
        <v/>
      </c>
      <c r="U180" s="6">
        <f>YEAR(D180)</f>
        <v/>
      </c>
      <c r="V180" s="5">
        <f>TEXT(D180,"yyyy-mm")</f>
        <v/>
      </c>
    </row>
    <row r="181">
      <c r="A181" s="2" t="inlineStr">
        <is>
          <t>EJ010823.TXT</t>
        </is>
      </c>
      <c r="B181" s="3" t="inlineStr">
        <is>
          <t>001235</t>
        </is>
      </c>
      <c r="C181" s="3" t="inlineStr">
        <is>
          <t>000788</t>
        </is>
      </c>
      <c r="D181" s="4" t="n">
        <v>45134</v>
      </c>
      <c r="E181" s="2" t="inlineStr">
        <is>
          <t>15:29</t>
        </is>
      </c>
      <c r="F181" s="5" t="n">
        <v>548.33</v>
      </c>
      <c r="G181" s="5" t="n"/>
      <c r="H181" s="5" t="n"/>
      <c r="I181" s="5" t="n"/>
      <c r="J181" s="5" t="n">
        <v>109.67</v>
      </c>
      <c r="K181" s="5" t="n"/>
      <c r="L181" s="5" t="n"/>
      <c r="M181" s="5" t="n"/>
      <c r="N181" s="5" t="n"/>
      <c r="O181" s="5" t="n">
        <v>658</v>
      </c>
      <c r="P181" s="5" t="n">
        <v>658</v>
      </c>
      <c r="Q181" s="5" t="n"/>
      <c r="R181" s="5" t="n"/>
      <c r="S181" s="5">
        <f>SUM(F181:I181)+N181</f>
        <v/>
      </c>
      <c r="T181" s="5">
        <f>J181</f>
        <v/>
      </c>
      <c r="U181" s="6">
        <f>YEAR(D181)</f>
        <v/>
      </c>
      <c r="V181" s="5">
        <f>TEXT(D181,"yyyy-mm")</f>
        <v/>
      </c>
    </row>
    <row r="182">
      <c r="A182" s="2" t="inlineStr">
        <is>
          <t>EJ010823.TXT</t>
        </is>
      </c>
      <c r="B182" s="3" t="inlineStr">
        <is>
          <t>001236</t>
        </is>
      </c>
      <c r="C182" s="3" t="inlineStr">
        <is>
          <t>000789</t>
        </is>
      </c>
      <c r="D182" s="4" t="n">
        <v>45134</v>
      </c>
      <c r="E182" s="2" t="inlineStr">
        <is>
          <t>15:33</t>
        </is>
      </c>
      <c r="F182" s="5" t="n">
        <v>548.33</v>
      </c>
      <c r="G182" s="5" t="n"/>
      <c r="H182" s="5" t="n"/>
      <c r="I182" s="5" t="n"/>
      <c r="J182" s="5" t="n">
        <v>109.67</v>
      </c>
      <c r="K182" s="5" t="n"/>
      <c r="L182" s="5" t="n"/>
      <c r="M182" s="5" t="n"/>
      <c r="N182" s="5" t="n"/>
      <c r="O182" s="5" t="n">
        <v>658</v>
      </c>
      <c r="P182" s="5" t="n">
        <v>658</v>
      </c>
      <c r="Q182" s="5" t="n"/>
      <c r="R182" s="5" t="n"/>
      <c r="S182" s="5">
        <f>SUM(F182:I182)+N182</f>
        <v/>
      </c>
      <c r="T182" s="5">
        <f>J182</f>
        <v/>
      </c>
      <c r="U182" s="6">
        <f>YEAR(D182)</f>
        <v/>
      </c>
      <c r="V182" s="5">
        <f>TEXT(D182,"yyyy-mm")</f>
        <v/>
      </c>
    </row>
    <row r="183">
      <c r="A183" s="2" t="inlineStr">
        <is>
          <t>EJ010823.TXT</t>
        </is>
      </c>
      <c r="B183" s="3" t="inlineStr">
        <is>
          <t>001237</t>
        </is>
      </c>
      <c r="C183" s="3" t="inlineStr">
        <is>
          <t>000790</t>
        </is>
      </c>
      <c r="D183" s="4" t="n">
        <v>45134</v>
      </c>
      <c r="E183" s="2" t="inlineStr">
        <is>
          <t>15:35</t>
        </is>
      </c>
      <c r="F183" s="5" t="n">
        <v>548.33</v>
      </c>
      <c r="G183" s="5" t="n"/>
      <c r="H183" s="5" t="n"/>
      <c r="I183" s="5" t="n"/>
      <c r="J183" s="5" t="n">
        <v>109.67</v>
      </c>
      <c r="K183" s="5" t="n"/>
      <c r="L183" s="5" t="n"/>
      <c r="M183" s="5" t="n"/>
      <c r="N183" s="5" t="n"/>
      <c r="O183" s="5" t="n">
        <v>658</v>
      </c>
      <c r="P183" s="5" t="n">
        <v>658</v>
      </c>
      <c r="Q183" s="5" t="n"/>
      <c r="R183" s="5" t="n"/>
      <c r="S183" s="5">
        <f>SUM(F183:I183)+N183</f>
        <v/>
      </c>
      <c r="T183" s="5">
        <f>J183</f>
        <v/>
      </c>
      <c r="U183" s="6">
        <f>YEAR(D183)</f>
        <v/>
      </c>
      <c r="V183" s="5">
        <f>TEXT(D183,"yyyy-mm")</f>
        <v/>
      </c>
    </row>
    <row r="184">
      <c r="A184" s="2" t="inlineStr">
        <is>
          <t>EJ010823.TXT</t>
        </is>
      </c>
      <c r="B184" s="3" t="inlineStr">
        <is>
          <t>001238</t>
        </is>
      </c>
      <c r="C184" s="3" t="inlineStr">
        <is>
          <t>000791</t>
        </is>
      </c>
      <c r="D184" s="4" t="n">
        <v>45134</v>
      </c>
      <c r="E184" s="2" t="inlineStr">
        <is>
          <t>15:37</t>
        </is>
      </c>
      <c r="F184" s="5" t="n">
        <v>548.33</v>
      </c>
      <c r="G184" s="5" t="n"/>
      <c r="H184" s="5" t="n"/>
      <c r="I184" s="5" t="n"/>
      <c r="J184" s="5" t="n">
        <v>109.67</v>
      </c>
      <c r="K184" s="5" t="n"/>
      <c r="L184" s="5" t="n"/>
      <c r="M184" s="5" t="n"/>
      <c r="N184" s="5" t="n"/>
      <c r="O184" s="5" t="n">
        <v>658</v>
      </c>
      <c r="P184" s="5" t="n">
        <v>658</v>
      </c>
      <c r="Q184" s="5" t="n"/>
      <c r="R184" s="5" t="n"/>
      <c r="S184" s="5">
        <f>SUM(F184:I184)+N184</f>
        <v/>
      </c>
      <c r="T184" s="5">
        <f>J184</f>
        <v/>
      </c>
      <c r="U184" s="6">
        <f>YEAR(D184)</f>
        <v/>
      </c>
      <c r="V184" s="5">
        <f>TEXT(D184,"yyyy-mm")</f>
        <v/>
      </c>
    </row>
    <row r="185">
      <c r="A185" s="2" t="inlineStr">
        <is>
          <t>EJ010823.TXT</t>
        </is>
      </c>
      <c r="B185" s="3" t="inlineStr">
        <is>
          <t>001239</t>
        </is>
      </c>
      <c r="C185" s="3" t="inlineStr">
        <is>
          <t>000792</t>
        </is>
      </c>
      <c r="D185" s="4" t="n">
        <v>45136</v>
      </c>
      <c r="E185" s="2" t="inlineStr">
        <is>
          <t>14:30</t>
        </is>
      </c>
      <c r="F185" s="5" t="n">
        <v>131.67</v>
      </c>
      <c r="G185" s="5" t="n"/>
      <c r="H185" s="5" t="n"/>
      <c r="I185" s="5" t="n"/>
      <c r="J185" s="5" t="n">
        <v>26.33</v>
      </c>
      <c r="K185" s="5" t="n"/>
      <c r="L185" s="5" t="n"/>
      <c r="M185" s="5" t="n"/>
      <c r="N185" s="5" t="n"/>
      <c r="O185" s="5" t="n">
        <v>158</v>
      </c>
      <c r="P185" s="5" t="n">
        <v>158</v>
      </c>
      <c r="Q185" s="5" t="n"/>
      <c r="R185" s="5" t="n"/>
      <c r="S185" s="5">
        <f>SUM(F185:I185)+N185</f>
        <v/>
      </c>
      <c r="T185" s="5">
        <f>J185</f>
        <v/>
      </c>
      <c r="U185" s="6">
        <f>YEAR(D185)</f>
        <v/>
      </c>
      <c r="V185" s="5">
        <f>TEXT(D185,"yyyy-mm")</f>
        <v/>
      </c>
    </row>
    <row r="186">
      <c r="A186" s="2" t="inlineStr">
        <is>
          <t>EJ010823.TXT</t>
        </is>
      </c>
      <c r="B186" s="3" t="inlineStr">
        <is>
          <t>001240</t>
        </is>
      </c>
      <c r="C186" s="3" t="inlineStr">
        <is>
          <t>000793</t>
        </is>
      </c>
      <c r="D186" s="4" t="n">
        <v>45136</v>
      </c>
      <c r="E186" s="2" t="inlineStr">
        <is>
          <t>15:41</t>
        </is>
      </c>
      <c r="F186" s="5" t="n">
        <v>548.33</v>
      </c>
      <c r="G186" s="5" t="n"/>
      <c r="H186" s="5" t="n"/>
      <c r="I186" s="5" t="n"/>
      <c r="J186" s="5" t="n">
        <v>109.67</v>
      </c>
      <c r="K186" s="5" t="n"/>
      <c r="L186" s="5" t="n"/>
      <c r="M186" s="5" t="n"/>
      <c r="N186" s="5" t="n"/>
      <c r="O186" s="5" t="n">
        <v>658</v>
      </c>
      <c r="P186" s="5" t="n">
        <v>658</v>
      </c>
      <c r="Q186" s="5" t="n"/>
      <c r="R186" s="5" t="n"/>
      <c r="S186" s="5">
        <f>SUM(F186:I186)+N186</f>
        <v/>
      </c>
      <c r="T186" s="5">
        <f>J186</f>
        <v/>
      </c>
      <c r="U186" s="6">
        <f>YEAR(D186)</f>
        <v/>
      </c>
      <c r="V186" s="5">
        <f>TEXT(D186,"yyyy-mm")</f>
        <v/>
      </c>
    </row>
    <row r="187">
      <c r="A187" s="2" t="inlineStr">
        <is>
          <t>EJ010823.TXT</t>
        </is>
      </c>
      <c r="B187" s="3" t="inlineStr">
        <is>
          <t>001246</t>
        </is>
      </c>
      <c r="C187" s="3" t="inlineStr">
        <is>
          <t>000794</t>
        </is>
      </c>
      <c r="D187" s="4" t="n">
        <v>45136</v>
      </c>
      <c r="E187" s="2" t="inlineStr">
        <is>
          <t>15:56</t>
        </is>
      </c>
      <c r="F187" s="5" t="n">
        <v>548.33</v>
      </c>
      <c r="G187" s="5" t="n"/>
      <c r="H187" s="5" t="n"/>
      <c r="I187" s="5" t="n"/>
      <c r="J187" s="5" t="n">
        <v>109.67</v>
      </c>
      <c r="K187" s="5" t="n"/>
      <c r="L187" s="5" t="n"/>
      <c r="M187" s="5" t="n"/>
      <c r="N187" s="5" t="n"/>
      <c r="O187" s="5" t="n">
        <v>658</v>
      </c>
      <c r="P187" s="5" t="n">
        <v>658</v>
      </c>
      <c r="Q187" s="5" t="n"/>
      <c r="R187" s="5" t="n"/>
      <c r="S187" s="5">
        <f>SUM(F187:I187)+N187</f>
        <v/>
      </c>
      <c r="T187" s="5">
        <f>J187</f>
        <v/>
      </c>
      <c r="U187" s="6">
        <f>YEAR(D187)</f>
        <v/>
      </c>
      <c r="V187" s="5">
        <f>TEXT(D187,"yyyy-mm")</f>
        <v/>
      </c>
    </row>
    <row r="188">
      <c r="A188" s="2" t="inlineStr">
        <is>
          <t>EJ010823.TXT</t>
        </is>
      </c>
      <c r="B188" s="3" t="inlineStr">
        <is>
          <t>001249</t>
        </is>
      </c>
      <c r="C188" s="3" t="inlineStr">
        <is>
          <t>000795</t>
        </is>
      </c>
      <c r="D188" s="4" t="n">
        <v>45138</v>
      </c>
      <c r="E188" s="2" t="inlineStr">
        <is>
          <t>12:34</t>
        </is>
      </c>
      <c r="F188" s="5" t="n">
        <v>822.5</v>
      </c>
      <c r="G188" s="5" t="n"/>
      <c r="H188" s="5" t="n"/>
      <c r="I188" s="5" t="n"/>
      <c r="J188" s="5" t="n">
        <v>164.5</v>
      </c>
      <c r="K188" s="5" t="n"/>
      <c r="L188" s="5" t="n"/>
      <c r="M188" s="5" t="n"/>
      <c r="N188" s="5" t="n"/>
      <c r="O188" s="5" t="n">
        <v>987</v>
      </c>
      <c r="P188" s="5" t="n">
        <v>987</v>
      </c>
      <c r="Q188" s="5" t="n"/>
      <c r="R188" s="5" t="n"/>
      <c r="S188" s="5">
        <f>SUM(F188:I188)+N188</f>
        <v/>
      </c>
      <c r="T188" s="5">
        <f>J188</f>
        <v/>
      </c>
      <c r="U188" s="6">
        <f>YEAR(D188)</f>
        <v/>
      </c>
      <c r="V188" s="5">
        <f>TEXT(D188,"yyyy-mm")</f>
        <v/>
      </c>
    </row>
    <row r="189">
      <c r="A189" s="2" t="inlineStr">
        <is>
          <t>EJ010923.TXT</t>
        </is>
      </c>
      <c r="B189" s="3" t="inlineStr">
        <is>
          <t>001260</t>
        </is>
      </c>
      <c r="C189" s="3" t="inlineStr">
        <is>
          <t>000796</t>
        </is>
      </c>
      <c r="D189" s="4" t="n">
        <v>45140</v>
      </c>
      <c r="E189" s="2" t="inlineStr">
        <is>
          <t>10:14</t>
        </is>
      </c>
      <c r="F189" s="5" t="n">
        <v>274.17</v>
      </c>
      <c r="G189" s="5" t="n"/>
      <c r="H189" s="5" t="n"/>
      <c r="I189" s="5" t="n"/>
      <c r="J189" s="5" t="n">
        <v>54.83</v>
      </c>
      <c r="K189" s="5" t="n"/>
      <c r="L189" s="5" t="n"/>
      <c r="M189" s="5" t="n"/>
      <c r="N189" s="5" t="n"/>
      <c r="O189" s="5" t="n">
        <v>329</v>
      </c>
      <c r="P189" s="5" t="n">
        <v>329</v>
      </c>
      <c r="Q189" s="5" t="n"/>
      <c r="R189" s="5" t="n"/>
      <c r="S189" s="5">
        <f>SUM(F189:I189)+N189</f>
        <v/>
      </c>
      <c r="T189" s="5">
        <f>J189</f>
        <v/>
      </c>
      <c r="U189" s="6">
        <f>YEAR(D189)</f>
        <v/>
      </c>
      <c r="V189" s="5">
        <f>TEXT(D189,"yyyy-mm")</f>
        <v/>
      </c>
    </row>
    <row r="190">
      <c r="A190" s="2" t="inlineStr">
        <is>
          <t>EJ010923.TXT</t>
        </is>
      </c>
      <c r="B190" s="3" t="inlineStr">
        <is>
          <t>001261</t>
        </is>
      </c>
      <c r="C190" s="3" t="inlineStr">
        <is>
          <t>000797</t>
        </is>
      </c>
      <c r="D190" s="4" t="n">
        <v>45142</v>
      </c>
      <c r="E190" s="2" t="inlineStr">
        <is>
          <t>14:28</t>
        </is>
      </c>
      <c r="F190" s="5" t="n">
        <v>1096.67</v>
      </c>
      <c r="G190" s="5" t="n"/>
      <c r="H190" s="5" t="n"/>
      <c r="I190" s="5" t="n"/>
      <c r="J190" s="5" t="n">
        <v>219.33</v>
      </c>
      <c r="K190" s="5" t="n"/>
      <c r="L190" s="5" t="n"/>
      <c r="M190" s="5" t="n"/>
      <c r="N190" s="5" t="n"/>
      <c r="O190" s="5" t="n">
        <v>1316</v>
      </c>
      <c r="P190" s="5" t="n">
        <v>1316</v>
      </c>
      <c r="Q190" s="5" t="n"/>
      <c r="R190" s="5" t="n"/>
      <c r="S190" s="5">
        <f>SUM(F190:I190)+N190</f>
        <v/>
      </c>
      <c r="T190" s="5">
        <f>J190</f>
        <v/>
      </c>
      <c r="U190" s="6">
        <f>YEAR(D190)</f>
        <v/>
      </c>
      <c r="V190" s="5">
        <f>TEXT(D190,"yyyy-mm")</f>
        <v/>
      </c>
    </row>
    <row r="191">
      <c r="A191" s="2" t="inlineStr">
        <is>
          <t>EJ010923.TXT</t>
        </is>
      </c>
      <c r="B191" s="3" t="inlineStr">
        <is>
          <t>001262</t>
        </is>
      </c>
      <c r="C191" s="3" t="inlineStr">
        <is>
          <t>000798</t>
        </is>
      </c>
      <c r="D191" s="4" t="n">
        <v>45143</v>
      </c>
      <c r="E191" s="2" t="inlineStr">
        <is>
          <t>14:05</t>
        </is>
      </c>
      <c r="F191" s="5" t="n">
        <v>548.33</v>
      </c>
      <c r="G191" s="5" t="n"/>
      <c r="H191" s="5" t="n"/>
      <c r="I191" s="5" t="n"/>
      <c r="J191" s="5" t="n">
        <v>109.67</v>
      </c>
      <c r="K191" s="5" t="n"/>
      <c r="L191" s="5" t="n"/>
      <c r="M191" s="5" t="n"/>
      <c r="N191" s="5" t="n"/>
      <c r="O191" s="5" t="n">
        <v>658</v>
      </c>
      <c r="P191" s="5" t="n">
        <v>658</v>
      </c>
      <c r="Q191" s="5" t="n"/>
      <c r="R191" s="5" t="n"/>
      <c r="S191" s="5">
        <f>SUM(F191:I191)+N191</f>
        <v/>
      </c>
      <c r="T191" s="5">
        <f>J191</f>
        <v/>
      </c>
      <c r="U191" s="6">
        <f>YEAR(D191)</f>
        <v/>
      </c>
      <c r="V191" s="5">
        <f>TEXT(D191,"yyyy-mm")</f>
        <v/>
      </c>
    </row>
    <row r="192">
      <c r="A192" s="2" t="inlineStr">
        <is>
          <t>EJ010923.TXT</t>
        </is>
      </c>
      <c r="B192" s="3" t="inlineStr">
        <is>
          <t>001263</t>
        </is>
      </c>
      <c r="C192" s="3" t="inlineStr">
        <is>
          <t>000799</t>
        </is>
      </c>
      <c r="D192" s="4" t="n">
        <v>45143</v>
      </c>
      <c r="E192" s="2" t="inlineStr">
        <is>
          <t>15:38</t>
        </is>
      </c>
      <c r="F192" s="5" t="n">
        <v>1096.67</v>
      </c>
      <c r="G192" s="5" t="n"/>
      <c r="H192" s="5" t="n"/>
      <c r="I192" s="5" t="n"/>
      <c r="J192" s="5" t="n">
        <v>219.33</v>
      </c>
      <c r="K192" s="5" t="n"/>
      <c r="L192" s="5" t="n"/>
      <c r="M192" s="5" t="n"/>
      <c r="N192" s="5" t="n"/>
      <c r="O192" s="5" t="n">
        <v>1316</v>
      </c>
      <c r="P192" s="5" t="n">
        <v>1316</v>
      </c>
      <c r="Q192" s="5" t="n"/>
      <c r="R192" s="5" t="n"/>
      <c r="S192" s="5">
        <f>SUM(F192:I192)+N192</f>
        <v/>
      </c>
      <c r="T192" s="5">
        <f>J192</f>
        <v/>
      </c>
      <c r="U192" s="6">
        <f>YEAR(D192)</f>
        <v/>
      </c>
      <c r="V192" s="5">
        <f>TEXT(D192,"yyyy-mm")</f>
        <v/>
      </c>
    </row>
    <row r="193">
      <c r="A193" s="2" t="inlineStr">
        <is>
          <t>EJ010923.TXT</t>
        </is>
      </c>
      <c r="B193" s="3" t="inlineStr">
        <is>
          <t>001264</t>
        </is>
      </c>
      <c r="C193" s="3" t="inlineStr">
        <is>
          <t>000800</t>
        </is>
      </c>
      <c r="D193" s="4" t="n">
        <v>45148</v>
      </c>
      <c r="E193" s="2" t="inlineStr">
        <is>
          <t>13:03</t>
        </is>
      </c>
      <c r="F193" s="5" t="n">
        <v>175</v>
      </c>
      <c r="G193" s="5" t="n"/>
      <c r="H193" s="5" t="n"/>
      <c r="I193" s="5" t="n"/>
      <c r="J193" s="5" t="n">
        <v>35</v>
      </c>
      <c r="K193" s="5" t="n"/>
      <c r="L193" s="5" t="n"/>
      <c r="M193" s="5" t="n"/>
      <c r="N193" s="5" t="n"/>
      <c r="O193" s="5" t="n">
        <v>210</v>
      </c>
      <c r="P193" s="5" t="n"/>
      <c r="Q193" s="5" t="n">
        <v>210</v>
      </c>
      <c r="R193" s="5" t="n"/>
      <c r="S193" s="5">
        <f>SUM(F193:I193)+N193</f>
        <v/>
      </c>
      <c r="T193" s="5">
        <f>J193</f>
        <v/>
      </c>
      <c r="U193" s="6">
        <f>YEAR(D193)</f>
        <v/>
      </c>
      <c r="V193" s="5">
        <f>TEXT(D193,"yyyy-mm")</f>
        <v/>
      </c>
    </row>
    <row r="194">
      <c r="A194" s="2" t="inlineStr">
        <is>
          <t>EJ010923.TXT</t>
        </is>
      </c>
      <c r="B194" s="3" t="inlineStr">
        <is>
          <t>001265</t>
        </is>
      </c>
      <c r="C194" s="3" t="inlineStr">
        <is>
          <t>000801</t>
        </is>
      </c>
      <c r="D194" s="4" t="n">
        <v>45150</v>
      </c>
      <c r="E194" s="2" t="inlineStr">
        <is>
          <t>13:23</t>
        </is>
      </c>
      <c r="F194" s="5" t="n">
        <v>548.33</v>
      </c>
      <c r="G194" s="5" t="n"/>
      <c r="H194" s="5" t="n"/>
      <c r="I194" s="5" t="n"/>
      <c r="J194" s="5" t="n">
        <v>109.67</v>
      </c>
      <c r="K194" s="5" t="n"/>
      <c r="L194" s="5" t="n"/>
      <c r="M194" s="5" t="n"/>
      <c r="N194" s="5" t="n"/>
      <c r="O194" s="5" t="n">
        <v>658</v>
      </c>
      <c r="P194" s="5" t="n">
        <v>658</v>
      </c>
      <c r="Q194" s="5" t="n"/>
      <c r="R194" s="5" t="n"/>
      <c r="S194" s="5">
        <f>SUM(F194:I194)+N194</f>
        <v/>
      </c>
      <c r="T194" s="5">
        <f>J194</f>
        <v/>
      </c>
      <c r="U194" s="6">
        <f>YEAR(D194)</f>
        <v/>
      </c>
      <c r="V194" s="5">
        <f>TEXT(D194,"yyyy-mm")</f>
        <v/>
      </c>
    </row>
    <row r="195">
      <c r="A195" s="2" t="inlineStr">
        <is>
          <t>EJ010923.TXT</t>
        </is>
      </c>
      <c r="B195" s="3" t="inlineStr">
        <is>
          <t>001266</t>
        </is>
      </c>
      <c r="C195" s="3" t="inlineStr">
        <is>
          <t>000802</t>
        </is>
      </c>
      <c r="D195" s="4" t="n">
        <v>45150</v>
      </c>
      <c r="E195" s="2" t="inlineStr">
        <is>
          <t>14:52</t>
        </is>
      </c>
      <c r="F195" s="5" t="n">
        <v>274.17</v>
      </c>
      <c r="G195" s="5" t="n"/>
      <c r="H195" s="5" t="n"/>
      <c r="I195" s="5" t="n"/>
      <c r="J195" s="5" t="n">
        <v>54.83</v>
      </c>
      <c r="K195" s="5" t="n"/>
      <c r="L195" s="5" t="n"/>
      <c r="M195" s="5" t="n"/>
      <c r="N195" s="5" t="n"/>
      <c r="O195" s="5" t="n">
        <v>329</v>
      </c>
      <c r="P195" s="5" t="n"/>
      <c r="Q195" s="5" t="n">
        <v>329</v>
      </c>
      <c r="R195" s="5" t="n"/>
      <c r="S195" s="5">
        <f>SUM(F195:I195)+N195</f>
        <v/>
      </c>
      <c r="T195" s="5">
        <f>J195</f>
        <v/>
      </c>
      <c r="U195" s="6">
        <f>YEAR(D195)</f>
        <v/>
      </c>
      <c r="V195" s="5">
        <f>TEXT(D195,"yyyy-mm")</f>
        <v/>
      </c>
    </row>
    <row r="196">
      <c r="A196" s="2" t="inlineStr">
        <is>
          <t>EJ010923.TXT</t>
        </is>
      </c>
      <c r="B196" s="3" t="inlineStr">
        <is>
          <t>001269</t>
        </is>
      </c>
      <c r="C196" s="3" t="inlineStr">
        <is>
          <t>000803</t>
        </is>
      </c>
      <c r="D196" s="4" t="n">
        <v>45152</v>
      </c>
      <c r="E196" s="2" t="inlineStr">
        <is>
          <t>15:02</t>
        </is>
      </c>
      <c r="F196" s="5" t="n">
        <v>1645</v>
      </c>
      <c r="G196" s="5" t="n"/>
      <c r="H196" s="5" t="n"/>
      <c r="I196" s="5" t="n"/>
      <c r="J196" s="5" t="n">
        <v>329</v>
      </c>
      <c r="K196" s="5" t="n"/>
      <c r="L196" s="5" t="n"/>
      <c r="M196" s="5" t="n"/>
      <c r="N196" s="5" t="n"/>
      <c r="O196" s="5" t="n">
        <v>1974</v>
      </c>
      <c r="P196" s="5" t="n"/>
      <c r="Q196" s="5" t="n">
        <v>1974</v>
      </c>
      <c r="R196" s="5" t="n"/>
      <c r="S196" s="5">
        <f>SUM(F196:I196)+N196</f>
        <v/>
      </c>
      <c r="T196" s="5">
        <f>J196</f>
        <v/>
      </c>
      <c r="U196" s="6">
        <f>YEAR(D196)</f>
        <v/>
      </c>
      <c r="V196" s="5">
        <f>TEXT(D196,"yyyy-mm")</f>
        <v/>
      </c>
    </row>
    <row r="197">
      <c r="A197" s="2" t="inlineStr">
        <is>
          <t>EJ010923.TXT</t>
        </is>
      </c>
      <c r="B197" s="3" t="inlineStr">
        <is>
          <t>001270</t>
        </is>
      </c>
      <c r="C197" s="3" t="inlineStr">
        <is>
          <t>000804</t>
        </is>
      </c>
      <c r="D197" s="4" t="n">
        <v>45154</v>
      </c>
      <c r="E197" s="2" t="inlineStr">
        <is>
          <t>13:36</t>
        </is>
      </c>
      <c r="F197" s="5" t="n">
        <v>274.17</v>
      </c>
      <c r="G197" s="5" t="n"/>
      <c r="H197" s="5" t="n"/>
      <c r="I197" s="5" t="n"/>
      <c r="J197" s="5" t="n">
        <v>54.83</v>
      </c>
      <c r="K197" s="5" t="n"/>
      <c r="L197" s="5" t="n"/>
      <c r="M197" s="5" t="n"/>
      <c r="N197" s="5" t="n"/>
      <c r="O197" s="5" t="n">
        <v>329</v>
      </c>
      <c r="P197" s="5" t="n">
        <v>329</v>
      </c>
      <c r="Q197" s="5" t="n"/>
      <c r="R197" s="5" t="n"/>
      <c r="S197" s="5">
        <f>SUM(F197:I197)+N197</f>
        <v/>
      </c>
      <c r="T197" s="5">
        <f>J197</f>
        <v/>
      </c>
      <c r="U197" s="6">
        <f>YEAR(D197)</f>
        <v/>
      </c>
      <c r="V197" s="5">
        <f>TEXT(D197,"yyyy-mm")</f>
        <v/>
      </c>
    </row>
    <row r="198">
      <c r="A198" s="2" t="inlineStr">
        <is>
          <t>EJ010923.TXT</t>
        </is>
      </c>
      <c r="B198" s="3" t="inlineStr">
        <is>
          <t>001271</t>
        </is>
      </c>
      <c r="C198" s="3" t="inlineStr">
        <is>
          <t>000805</t>
        </is>
      </c>
      <c r="D198" s="4" t="n">
        <v>45156</v>
      </c>
      <c r="E198" s="2" t="inlineStr">
        <is>
          <t>16:41</t>
        </is>
      </c>
      <c r="F198" s="5" t="n">
        <v>73.33</v>
      </c>
      <c r="G198" s="5" t="n"/>
      <c r="H198" s="5" t="n"/>
      <c r="I198" s="5" t="n"/>
      <c r="J198" s="5" t="n">
        <v>14.67</v>
      </c>
      <c r="K198" s="5" t="n"/>
      <c r="L198" s="5" t="n"/>
      <c r="M198" s="5" t="n"/>
      <c r="N198" s="5" t="n"/>
      <c r="O198" s="5" t="n">
        <v>88</v>
      </c>
      <c r="P198" s="5" t="n"/>
      <c r="Q198" s="5" t="n">
        <v>88</v>
      </c>
      <c r="R198" s="5" t="n"/>
      <c r="S198" s="5">
        <f>SUM(F198:I198)+N198</f>
        <v/>
      </c>
      <c r="T198" s="5">
        <f>J198</f>
        <v/>
      </c>
      <c r="U198" s="6">
        <f>YEAR(D198)</f>
        <v/>
      </c>
      <c r="V198" s="5">
        <f>TEXT(D198,"yyyy-mm")</f>
        <v/>
      </c>
    </row>
    <row r="199">
      <c r="A199" s="2" t="inlineStr">
        <is>
          <t>EJ010923.TXT</t>
        </is>
      </c>
      <c r="B199" s="3" t="inlineStr">
        <is>
          <t>001272</t>
        </is>
      </c>
      <c r="C199" s="3" t="inlineStr">
        <is>
          <t>000806</t>
        </is>
      </c>
      <c r="D199" s="4" t="n">
        <v>45157</v>
      </c>
      <c r="E199" s="2" t="inlineStr">
        <is>
          <t>13:14</t>
        </is>
      </c>
      <c r="F199" s="5" t="n">
        <v>568.33</v>
      </c>
      <c r="G199" s="5" t="n"/>
      <c r="H199" s="5" t="n"/>
      <c r="I199" s="5" t="n"/>
      <c r="J199" s="5" t="n">
        <v>113.67</v>
      </c>
      <c r="K199" s="5" t="n"/>
      <c r="L199" s="5" t="n"/>
      <c r="M199" s="5" t="n"/>
      <c r="N199" s="5" t="n"/>
      <c r="O199" s="5" t="n">
        <v>682</v>
      </c>
      <c r="P199" s="5" t="n">
        <v>682</v>
      </c>
      <c r="Q199" s="5" t="n"/>
      <c r="R199" s="5" t="n"/>
      <c r="S199" s="5">
        <f>SUM(F199:I199)+N199</f>
        <v/>
      </c>
      <c r="T199" s="5">
        <f>J199</f>
        <v/>
      </c>
      <c r="U199" s="6">
        <f>YEAR(D199)</f>
        <v/>
      </c>
      <c r="V199" s="5">
        <f>TEXT(D199,"yyyy-mm")</f>
        <v/>
      </c>
    </row>
    <row r="200">
      <c r="A200" s="2" t="inlineStr">
        <is>
          <t>EJ010923.TXT</t>
        </is>
      </c>
      <c r="B200" s="3" t="inlineStr">
        <is>
          <t>001273</t>
        </is>
      </c>
      <c r="C200" s="3" t="inlineStr">
        <is>
          <t>000807</t>
        </is>
      </c>
      <c r="D200" s="4" t="n">
        <v>45157</v>
      </c>
      <c r="E200" s="2" t="inlineStr">
        <is>
          <t>16:25</t>
        </is>
      </c>
      <c r="F200" s="5" t="n">
        <v>1096.67</v>
      </c>
      <c r="G200" s="5" t="n"/>
      <c r="H200" s="5" t="n"/>
      <c r="I200" s="5" t="n"/>
      <c r="J200" s="5" t="n">
        <v>219.33</v>
      </c>
      <c r="K200" s="5" t="n"/>
      <c r="L200" s="5" t="n"/>
      <c r="M200" s="5" t="n"/>
      <c r="N200" s="5" t="n"/>
      <c r="O200" s="5" t="n">
        <v>1316</v>
      </c>
      <c r="P200" s="5" t="n">
        <v>1016</v>
      </c>
      <c r="Q200" s="5" t="n">
        <v>300</v>
      </c>
      <c r="R200" s="5" t="n"/>
      <c r="S200" s="5">
        <f>SUM(F200:I200)+N200</f>
        <v/>
      </c>
      <c r="T200" s="5">
        <f>J200</f>
        <v/>
      </c>
      <c r="U200" s="6">
        <f>YEAR(D200)</f>
        <v/>
      </c>
      <c r="V200" s="5">
        <f>TEXT(D200,"yyyy-mm")</f>
        <v/>
      </c>
    </row>
    <row r="201">
      <c r="A201" s="2" t="inlineStr">
        <is>
          <t>EJ010923.TXT</t>
        </is>
      </c>
      <c r="B201" s="3" t="inlineStr">
        <is>
          <t>001274</t>
        </is>
      </c>
      <c r="C201" s="3" t="inlineStr">
        <is>
          <t>000808</t>
        </is>
      </c>
      <c r="D201" s="4" t="n">
        <v>45157</v>
      </c>
      <c r="E201" s="2" t="inlineStr">
        <is>
          <t>16:41</t>
        </is>
      </c>
      <c r="F201" s="5" t="n">
        <v>974.17</v>
      </c>
      <c r="G201" s="5" t="n"/>
      <c r="H201" s="5" t="n"/>
      <c r="I201" s="5" t="n"/>
      <c r="J201" s="5" t="n">
        <v>194.83</v>
      </c>
      <c r="K201" s="5" t="n"/>
      <c r="L201" s="5" t="n"/>
      <c r="M201" s="5" t="n"/>
      <c r="N201" s="5" t="n"/>
      <c r="O201" s="5" t="n">
        <v>1169</v>
      </c>
      <c r="P201" s="5" t="n">
        <v>1169</v>
      </c>
      <c r="Q201" s="5" t="n"/>
      <c r="R201" s="5" t="n"/>
      <c r="S201" s="5">
        <f>SUM(F201:I201)+N201</f>
        <v/>
      </c>
      <c r="T201" s="5">
        <f>J201</f>
        <v/>
      </c>
      <c r="U201" s="6">
        <f>YEAR(D201)</f>
        <v/>
      </c>
      <c r="V201" s="5">
        <f>TEXT(D201,"yyyy-mm")</f>
        <v/>
      </c>
    </row>
    <row r="202">
      <c r="A202" s="2" t="inlineStr">
        <is>
          <t>EJ010923.TXT</t>
        </is>
      </c>
      <c r="B202" s="3" t="inlineStr">
        <is>
          <t>001275</t>
        </is>
      </c>
      <c r="C202" s="3" t="inlineStr">
        <is>
          <t>000809</t>
        </is>
      </c>
      <c r="D202" s="4" t="n">
        <v>45163</v>
      </c>
      <c r="E202" s="2" t="inlineStr">
        <is>
          <t>11:21</t>
        </is>
      </c>
      <c r="F202" s="5" t="n">
        <v>66.33</v>
      </c>
      <c r="G202" s="5" t="n"/>
      <c r="H202" s="5" t="n"/>
      <c r="I202" s="5" t="n"/>
      <c r="J202" s="5" t="n">
        <v>13.27</v>
      </c>
      <c r="K202" s="5" t="n"/>
      <c r="L202" s="5" t="n"/>
      <c r="M202" s="5" t="n"/>
      <c r="N202" s="5" t="n"/>
      <c r="O202" s="5" t="n">
        <v>79.59999999999999</v>
      </c>
      <c r="P202" s="5" t="n"/>
      <c r="Q202" s="5" t="n">
        <v>79.59999999999999</v>
      </c>
      <c r="R202" s="5" t="n"/>
      <c r="S202" s="5">
        <f>SUM(F202:I202)+N202</f>
        <v/>
      </c>
      <c r="T202" s="5">
        <f>J202</f>
        <v/>
      </c>
      <c r="U202" s="6">
        <f>YEAR(D202)</f>
        <v/>
      </c>
      <c r="V202" s="5">
        <f>TEXT(D202,"yyyy-mm")</f>
        <v/>
      </c>
    </row>
    <row r="203">
      <c r="A203" s="2" t="inlineStr">
        <is>
          <t>EJ010923.TXT</t>
        </is>
      </c>
      <c r="B203" s="3" t="inlineStr">
        <is>
          <t>001276</t>
        </is>
      </c>
      <c r="C203" s="3" t="inlineStr">
        <is>
          <t>000810</t>
        </is>
      </c>
      <c r="D203" s="4" t="n">
        <v>45166</v>
      </c>
      <c r="E203" s="2" t="inlineStr">
        <is>
          <t>14:30</t>
        </is>
      </c>
      <c r="F203" s="5" t="n">
        <v>1919.17</v>
      </c>
      <c r="G203" s="5" t="n"/>
      <c r="H203" s="5" t="n"/>
      <c r="I203" s="5" t="n"/>
      <c r="J203" s="5" t="n">
        <v>383.83</v>
      </c>
      <c r="K203" s="5" t="n"/>
      <c r="L203" s="5" t="n"/>
      <c r="M203" s="5" t="n"/>
      <c r="N203" s="5" t="n"/>
      <c r="O203" s="5" t="n">
        <v>2303</v>
      </c>
      <c r="P203" s="5" t="n">
        <v>2303</v>
      </c>
      <c r="Q203" s="5" t="n"/>
      <c r="R203" s="5" t="n"/>
      <c r="S203" s="5">
        <f>SUM(F203:I203)+N203</f>
        <v/>
      </c>
      <c r="T203" s="5">
        <f>J203</f>
        <v/>
      </c>
      <c r="U203" s="6">
        <f>YEAR(D203)</f>
        <v/>
      </c>
      <c r="V203" s="5">
        <f>TEXT(D203,"yyyy-mm")</f>
        <v/>
      </c>
    </row>
    <row r="204">
      <c r="A204" s="2" t="inlineStr">
        <is>
          <t>EJ010923.TXT</t>
        </is>
      </c>
      <c r="B204" s="3" t="inlineStr">
        <is>
          <t>001277</t>
        </is>
      </c>
      <c r="C204" s="3" t="inlineStr">
        <is>
          <t>000811</t>
        </is>
      </c>
      <c r="D204" s="4" t="n">
        <v>45166</v>
      </c>
      <c r="E204" s="2" t="inlineStr">
        <is>
          <t>15:40</t>
        </is>
      </c>
      <c r="F204" s="5" t="n">
        <v>582.5</v>
      </c>
      <c r="G204" s="5" t="n"/>
      <c r="H204" s="5" t="n"/>
      <c r="I204" s="5" t="n"/>
      <c r="J204" s="5" t="n">
        <v>116.5</v>
      </c>
      <c r="K204" s="5" t="n"/>
      <c r="L204" s="5" t="n"/>
      <c r="M204" s="5" t="n"/>
      <c r="N204" s="5" t="n"/>
      <c r="O204" s="5" t="n">
        <v>699</v>
      </c>
      <c r="P204" s="5" t="n"/>
      <c r="Q204" s="5" t="n">
        <v>699</v>
      </c>
      <c r="R204" s="5" t="n"/>
      <c r="S204" s="5">
        <f>SUM(F204:I204)+N204</f>
        <v/>
      </c>
      <c r="T204" s="5">
        <f>J204</f>
        <v/>
      </c>
      <c r="U204" s="6">
        <f>YEAR(D204)</f>
        <v/>
      </c>
      <c r="V204" s="5">
        <f>TEXT(D204,"yyyy-mm")</f>
        <v/>
      </c>
    </row>
    <row r="205">
      <c r="A205" s="2" t="inlineStr">
        <is>
          <t>EJ010923.TXT</t>
        </is>
      </c>
      <c r="B205" s="3" t="inlineStr">
        <is>
          <t>001278</t>
        </is>
      </c>
      <c r="C205" s="3" t="inlineStr">
        <is>
          <t>000812</t>
        </is>
      </c>
      <c r="D205" s="4" t="n">
        <v>45167</v>
      </c>
      <c r="E205" s="2" t="inlineStr">
        <is>
          <t>08:52</t>
        </is>
      </c>
      <c r="F205" s="5" t="n">
        <v>199.17</v>
      </c>
      <c r="G205" s="5" t="n"/>
      <c r="H205" s="5" t="n"/>
      <c r="I205" s="5" t="n"/>
      <c r="J205" s="5" t="n">
        <v>39.83</v>
      </c>
      <c r="K205" s="5" t="n"/>
      <c r="L205" s="5" t="n"/>
      <c r="M205" s="5" t="n"/>
      <c r="N205" s="5" t="n"/>
      <c r="O205" s="5" t="n">
        <v>239</v>
      </c>
      <c r="P205" s="5" t="n"/>
      <c r="Q205" s="5" t="n">
        <v>239</v>
      </c>
      <c r="R205" s="5" t="n"/>
      <c r="S205" s="5">
        <f>SUM(F205:I205)+N205</f>
        <v/>
      </c>
      <c r="T205" s="5">
        <f>J205</f>
        <v/>
      </c>
      <c r="U205" s="6">
        <f>YEAR(D205)</f>
        <v/>
      </c>
      <c r="V205" s="5">
        <f>TEXT(D205,"yyyy-mm")</f>
        <v/>
      </c>
    </row>
    <row r="206">
      <c r="A206" s="2" t="inlineStr">
        <is>
          <t>EJ021023.TXT</t>
        </is>
      </c>
      <c r="B206" s="3" t="inlineStr">
        <is>
          <t>001283</t>
        </is>
      </c>
      <c r="C206" s="3" t="inlineStr">
        <is>
          <t>000813</t>
        </is>
      </c>
      <c r="D206" s="4" t="n">
        <v>45170</v>
      </c>
      <c r="E206" s="2" t="inlineStr">
        <is>
          <t>11:29</t>
        </is>
      </c>
      <c r="F206" s="5" t="n">
        <v>248.33</v>
      </c>
      <c r="G206" s="5" t="n"/>
      <c r="H206" s="5" t="n"/>
      <c r="I206" s="5" t="n"/>
      <c r="J206" s="5" t="n">
        <v>49.67</v>
      </c>
      <c r="K206" s="5" t="n"/>
      <c r="L206" s="5" t="n"/>
      <c r="M206" s="5" t="n"/>
      <c r="N206" s="5" t="n"/>
      <c r="O206" s="5" t="n">
        <v>298</v>
      </c>
      <c r="P206" s="5" t="n">
        <v>298</v>
      </c>
      <c r="Q206" s="5" t="n"/>
      <c r="R206" s="5" t="n"/>
      <c r="S206" s="5">
        <f>SUM(F206:I206)+N206</f>
        <v/>
      </c>
      <c r="T206" s="5">
        <f>J206</f>
        <v/>
      </c>
      <c r="U206" s="6">
        <f>YEAR(D206)</f>
        <v/>
      </c>
      <c r="V206" s="5">
        <f>TEXT(D206,"yyyy-mm")</f>
        <v/>
      </c>
    </row>
    <row r="207">
      <c r="A207" s="2" t="inlineStr">
        <is>
          <t>EJ021023.TXT</t>
        </is>
      </c>
      <c r="B207" s="3" t="inlineStr">
        <is>
          <t>001284</t>
        </is>
      </c>
      <c r="C207" s="3" t="inlineStr">
        <is>
          <t>000814</t>
        </is>
      </c>
      <c r="D207" s="4" t="n">
        <v>45170</v>
      </c>
      <c r="E207" s="2" t="inlineStr">
        <is>
          <t>14:53</t>
        </is>
      </c>
      <c r="F207" s="5" t="n">
        <v>274.17</v>
      </c>
      <c r="G207" s="5" t="n"/>
      <c r="H207" s="5" t="n"/>
      <c r="I207" s="5" t="n"/>
      <c r="J207" s="5" t="n">
        <v>54.83</v>
      </c>
      <c r="K207" s="5" t="n"/>
      <c r="L207" s="5" t="n"/>
      <c r="M207" s="5" t="n"/>
      <c r="N207" s="5" t="n"/>
      <c r="O207" s="5" t="n">
        <v>329</v>
      </c>
      <c r="P207" s="5" t="n">
        <v>329</v>
      </c>
      <c r="Q207" s="5" t="n"/>
      <c r="R207" s="5" t="n"/>
      <c r="S207" s="5">
        <f>SUM(F207:I207)+N207</f>
        <v/>
      </c>
      <c r="T207" s="5">
        <f>J207</f>
        <v/>
      </c>
      <c r="U207" s="6">
        <f>YEAR(D207)</f>
        <v/>
      </c>
      <c r="V207" s="5">
        <f>TEXT(D207,"yyyy-mm")</f>
        <v/>
      </c>
    </row>
    <row r="208">
      <c r="A208" s="2" t="inlineStr">
        <is>
          <t>EJ021023.TXT</t>
        </is>
      </c>
      <c r="B208" s="3" t="inlineStr">
        <is>
          <t>001285</t>
        </is>
      </c>
      <c r="C208" s="3" t="inlineStr">
        <is>
          <t>000815</t>
        </is>
      </c>
      <c r="D208" s="4" t="n">
        <v>45170</v>
      </c>
      <c r="E208" s="2" t="inlineStr">
        <is>
          <t>14:56</t>
        </is>
      </c>
      <c r="F208" s="5" t="n">
        <v>73.33</v>
      </c>
      <c r="G208" s="5" t="n"/>
      <c r="H208" s="5" t="n"/>
      <c r="I208" s="5" t="n"/>
      <c r="J208" s="5" t="n">
        <v>14.67</v>
      </c>
      <c r="K208" s="5" t="n"/>
      <c r="L208" s="5" t="n"/>
      <c r="M208" s="5" t="n"/>
      <c r="N208" s="5" t="n"/>
      <c r="O208" s="5" t="n">
        <v>88</v>
      </c>
      <c r="P208" s="5" t="n">
        <v>88</v>
      </c>
      <c r="Q208" s="5" t="n"/>
      <c r="R208" s="5" t="n"/>
      <c r="S208" s="5">
        <f>SUM(F208:I208)+N208</f>
        <v/>
      </c>
      <c r="T208" s="5">
        <f>J208</f>
        <v/>
      </c>
      <c r="U208" s="6">
        <f>YEAR(D208)</f>
        <v/>
      </c>
      <c r="V208" s="5">
        <f>TEXT(D208,"yyyy-mm")</f>
        <v/>
      </c>
    </row>
    <row r="209">
      <c r="A209" s="2" t="inlineStr">
        <is>
          <t>EJ021023.TXT</t>
        </is>
      </c>
      <c r="B209" s="3" t="inlineStr">
        <is>
          <t>001287</t>
        </is>
      </c>
      <c r="C209" s="3" t="inlineStr">
        <is>
          <t>000816</t>
        </is>
      </c>
      <c r="D209" s="4" t="n">
        <v>45170</v>
      </c>
      <c r="E209" s="2" t="inlineStr">
        <is>
          <t>15:39</t>
        </is>
      </c>
      <c r="F209" s="5" t="n">
        <v>274.17</v>
      </c>
      <c r="G209" s="5" t="n"/>
      <c r="H209" s="5" t="n"/>
      <c r="I209" s="5" t="n"/>
      <c r="J209" s="5" t="n">
        <v>54.83</v>
      </c>
      <c r="K209" s="5" t="n"/>
      <c r="L209" s="5" t="n"/>
      <c r="M209" s="5" t="n"/>
      <c r="N209" s="5" t="n"/>
      <c r="O209" s="5" t="n">
        <v>329</v>
      </c>
      <c r="P209" s="5" t="n">
        <v>329</v>
      </c>
      <c r="Q209" s="5" t="n"/>
      <c r="R209" s="5" t="n"/>
      <c r="S209" s="5">
        <f>SUM(F209:I209)+N209</f>
        <v/>
      </c>
      <c r="T209" s="5">
        <f>J209</f>
        <v/>
      </c>
      <c r="U209" s="6">
        <f>YEAR(D209)</f>
        <v/>
      </c>
      <c r="V209" s="5">
        <f>TEXT(D209,"yyyy-mm")</f>
        <v/>
      </c>
    </row>
    <row r="210">
      <c r="A210" s="2" t="inlineStr">
        <is>
          <t>EJ021023.TXT</t>
        </is>
      </c>
      <c r="B210" s="3" t="inlineStr">
        <is>
          <t>001288</t>
        </is>
      </c>
      <c r="C210" s="3" t="inlineStr">
        <is>
          <t>000817</t>
        </is>
      </c>
      <c r="D210" s="4" t="n">
        <v>45170</v>
      </c>
      <c r="E210" s="2" t="inlineStr">
        <is>
          <t>15:39</t>
        </is>
      </c>
      <c r="F210" s="5" t="n">
        <v>572.5</v>
      </c>
      <c r="G210" s="5" t="n"/>
      <c r="H210" s="5" t="n"/>
      <c r="I210" s="5" t="n"/>
      <c r="J210" s="5" t="n">
        <v>114.5</v>
      </c>
      <c r="K210" s="5" t="n"/>
      <c r="L210" s="5" t="n"/>
      <c r="M210" s="5" t="n"/>
      <c r="N210" s="5" t="n"/>
      <c r="O210" s="5" t="n">
        <v>687</v>
      </c>
      <c r="P210" s="5" t="n">
        <v>687</v>
      </c>
      <c r="Q210" s="5" t="n"/>
      <c r="R210" s="5" t="n"/>
      <c r="S210" s="5">
        <f>SUM(F210:I210)+N210</f>
        <v/>
      </c>
      <c r="T210" s="5">
        <f>J210</f>
        <v/>
      </c>
      <c r="U210" s="6">
        <f>YEAR(D210)</f>
        <v/>
      </c>
      <c r="V210" s="5">
        <f>TEXT(D210,"yyyy-mm")</f>
        <v/>
      </c>
    </row>
    <row r="211">
      <c r="A211" s="2" t="inlineStr">
        <is>
          <t>EJ021023.TXT</t>
        </is>
      </c>
      <c r="B211" s="3" t="inlineStr">
        <is>
          <t>001289</t>
        </is>
      </c>
      <c r="C211" s="3" t="inlineStr">
        <is>
          <t>000818</t>
        </is>
      </c>
      <c r="D211" s="4" t="n">
        <v>45170</v>
      </c>
      <c r="E211" s="2" t="inlineStr">
        <is>
          <t>16:38</t>
        </is>
      </c>
      <c r="F211" s="5" t="n">
        <v>274.17</v>
      </c>
      <c r="G211" s="5" t="n"/>
      <c r="H211" s="5" t="n"/>
      <c r="I211" s="5" t="n"/>
      <c r="J211" s="5" t="n">
        <v>54.83</v>
      </c>
      <c r="K211" s="5" t="n"/>
      <c r="L211" s="5" t="n"/>
      <c r="M211" s="5" t="n"/>
      <c r="N211" s="5" t="n"/>
      <c r="O211" s="5" t="n">
        <v>329</v>
      </c>
      <c r="P211" s="5" t="n">
        <v>329</v>
      </c>
      <c r="Q211" s="5" t="n"/>
      <c r="R211" s="5" t="n"/>
      <c r="S211" s="5">
        <f>SUM(F211:I211)+N211</f>
        <v/>
      </c>
      <c r="T211" s="5">
        <f>J211</f>
        <v/>
      </c>
      <c r="U211" s="6">
        <f>YEAR(D211)</f>
        <v/>
      </c>
      <c r="V211" s="5">
        <f>TEXT(D211,"yyyy-mm")</f>
        <v/>
      </c>
    </row>
    <row r="212">
      <c r="A212" s="2" t="inlineStr">
        <is>
          <t>EJ021023.TXT</t>
        </is>
      </c>
      <c r="B212" s="3" t="inlineStr">
        <is>
          <t>001293</t>
        </is>
      </c>
      <c r="C212" s="3" t="inlineStr">
        <is>
          <t>000819</t>
        </is>
      </c>
      <c r="D212" s="4" t="n">
        <v>45173</v>
      </c>
      <c r="E212" s="2" t="inlineStr">
        <is>
          <t>14:23</t>
        </is>
      </c>
      <c r="F212" s="5" t="n">
        <v>548.33</v>
      </c>
      <c r="G212" s="5" t="n"/>
      <c r="H212" s="5" t="n"/>
      <c r="I212" s="5" t="n"/>
      <c r="J212" s="5" t="n">
        <v>109.67</v>
      </c>
      <c r="K212" s="5" t="n"/>
      <c r="L212" s="5" t="n"/>
      <c r="M212" s="5" t="n"/>
      <c r="N212" s="5" t="n"/>
      <c r="O212" s="5" t="n">
        <v>658</v>
      </c>
      <c r="P212" s="5" t="n">
        <v>658</v>
      </c>
      <c r="Q212" s="5" t="n"/>
      <c r="R212" s="5" t="n"/>
      <c r="S212" s="5">
        <f>SUM(F212:I212)+N212</f>
        <v/>
      </c>
      <c r="T212" s="5">
        <f>J212</f>
        <v/>
      </c>
      <c r="U212" s="6">
        <f>YEAR(D212)</f>
        <v/>
      </c>
      <c r="V212" s="5">
        <f>TEXT(D212,"yyyy-mm")</f>
        <v/>
      </c>
    </row>
    <row r="213">
      <c r="A213" s="2" t="inlineStr">
        <is>
          <t>EJ021023.TXT</t>
        </is>
      </c>
      <c r="B213" s="3" t="inlineStr">
        <is>
          <t>001296</t>
        </is>
      </c>
      <c r="C213" s="3" t="inlineStr">
        <is>
          <t>000820</t>
        </is>
      </c>
      <c r="D213" s="4" t="n">
        <v>45175</v>
      </c>
      <c r="E213" s="2" t="inlineStr">
        <is>
          <t>09:30</t>
        </is>
      </c>
      <c r="F213" s="5" t="n">
        <v>3200</v>
      </c>
      <c r="G213" s="5" t="n"/>
      <c r="H213" s="5" t="n"/>
      <c r="I213" s="5" t="n"/>
      <c r="J213" s="5" t="n">
        <v>640</v>
      </c>
      <c r="K213" s="5" t="n"/>
      <c r="L213" s="5" t="n"/>
      <c r="M213" s="5" t="n"/>
      <c r="N213" s="5" t="n"/>
      <c r="O213" s="5" t="n">
        <v>3840</v>
      </c>
      <c r="P213" s="5" t="n">
        <v>3840</v>
      </c>
      <c r="Q213" s="5" t="n"/>
      <c r="R213" s="5" t="n"/>
      <c r="S213" s="5">
        <f>SUM(F213:I213)+N213</f>
        <v/>
      </c>
      <c r="T213" s="5">
        <f>J213</f>
        <v/>
      </c>
      <c r="U213" s="6">
        <f>YEAR(D213)</f>
        <v/>
      </c>
      <c r="V213" s="5">
        <f>TEXT(D213,"yyyy-mm")</f>
        <v/>
      </c>
    </row>
    <row r="214">
      <c r="A214" s="2" t="inlineStr">
        <is>
          <t>EJ021023.TXT</t>
        </is>
      </c>
      <c r="B214" s="3" t="inlineStr">
        <is>
          <t>001297</t>
        </is>
      </c>
      <c r="C214" s="3" t="inlineStr">
        <is>
          <t>000821</t>
        </is>
      </c>
      <c r="D214" s="4" t="n">
        <v>45175</v>
      </c>
      <c r="E214" s="2" t="inlineStr">
        <is>
          <t>10:10</t>
        </is>
      </c>
      <c r="F214" s="5" t="n">
        <v>82.5</v>
      </c>
      <c r="G214" s="5" t="n"/>
      <c r="H214" s="5" t="n"/>
      <c r="I214" s="5" t="n"/>
      <c r="J214" s="5" t="n">
        <v>16.5</v>
      </c>
      <c r="K214" s="5" t="n"/>
      <c r="L214" s="5" t="n"/>
      <c r="M214" s="5" t="n"/>
      <c r="N214" s="5" t="n"/>
      <c r="O214" s="5" t="n">
        <v>99</v>
      </c>
      <c r="P214" s="5" t="n">
        <v>99</v>
      </c>
      <c r="Q214" s="5" t="n"/>
      <c r="R214" s="5" t="n"/>
      <c r="S214" s="5">
        <f>SUM(F214:I214)+N214</f>
        <v/>
      </c>
      <c r="T214" s="5">
        <f>J214</f>
        <v/>
      </c>
      <c r="U214" s="6">
        <f>YEAR(D214)</f>
        <v/>
      </c>
      <c r="V214" s="5">
        <f>TEXT(D214,"yyyy-mm")</f>
        <v/>
      </c>
    </row>
    <row r="215">
      <c r="A215" s="2" t="inlineStr">
        <is>
          <t>EJ021023.TXT</t>
        </is>
      </c>
      <c r="B215" s="3" t="inlineStr">
        <is>
          <t>001300</t>
        </is>
      </c>
      <c r="C215" s="3" t="inlineStr">
        <is>
          <t>000822</t>
        </is>
      </c>
      <c r="D215" s="4" t="n">
        <v>45176</v>
      </c>
      <c r="E215" s="2" t="inlineStr">
        <is>
          <t>15:54</t>
        </is>
      </c>
      <c r="F215" s="5" t="n">
        <v>124.17</v>
      </c>
      <c r="G215" s="5" t="n"/>
      <c r="H215" s="5" t="n"/>
      <c r="I215" s="5" t="n"/>
      <c r="J215" s="5" t="n">
        <v>24.83</v>
      </c>
      <c r="K215" s="5" t="n"/>
      <c r="L215" s="5" t="n"/>
      <c r="M215" s="5" t="n"/>
      <c r="N215" s="5" t="n"/>
      <c r="O215" s="5" t="n">
        <v>149</v>
      </c>
      <c r="P215" s="5" t="n">
        <v>149</v>
      </c>
      <c r="Q215" s="5" t="n"/>
      <c r="R215" s="5" t="n"/>
      <c r="S215" s="5">
        <f>SUM(F215:I215)+N215</f>
        <v/>
      </c>
      <c r="T215" s="5">
        <f>J215</f>
        <v/>
      </c>
      <c r="U215" s="6">
        <f>YEAR(D215)</f>
        <v/>
      </c>
      <c r="V215" s="5">
        <f>TEXT(D215,"yyyy-mm")</f>
        <v/>
      </c>
    </row>
    <row r="216">
      <c r="A216" s="2" t="inlineStr">
        <is>
          <t>EJ021023.TXT</t>
        </is>
      </c>
      <c r="B216" s="3" t="inlineStr">
        <is>
          <t>001301</t>
        </is>
      </c>
      <c r="C216" s="3" t="inlineStr">
        <is>
          <t>000823</t>
        </is>
      </c>
      <c r="D216" s="4" t="n">
        <v>45176</v>
      </c>
      <c r="E216" s="2" t="inlineStr">
        <is>
          <t>16:30</t>
        </is>
      </c>
      <c r="F216" s="5" t="n">
        <v>274.17</v>
      </c>
      <c r="G216" s="5" t="n"/>
      <c r="H216" s="5" t="n"/>
      <c r="I216" s="5" t="n"/>
      <c r="J216" s="5" t="n">
        <v>54.83</v>
      </c>
      <c r="K216" s="5" t="n"/>
      <c r="L216" s="5" t="n"/>
      <c r="M216" s="5" t="n"/>
      <c r="N216" s="5" t="n"/>
      <c r="O216" s="5" t="n">
        <v>329</v>
      </c>
      <c r="P216" s="5" t="n">
        <v>329</v>
      </c>
      <c r="Q216" s="5" t="n"/>
      <c r="R216" s="5" t="n"/>
      <c r="S216" s="5">
        <f>SUM(F216:I216)+N216</f>
        <v/>
      </c>
      <c r="T216" s="5">
        <f>J216</f>
        <v/>
      </c>
      <c r="U216" s="6">
        <f>YEAR(D216)</f>
        <v/>
      </c>
      <c r="V216" s="5">
        <f>TEXT(D216,"yyyy-mm")</f>
        <v/>
      </c>
    </row>
    <row r="217">
      <c r="A217" s="2" t="inlineStr">
        <is>
          <t>EJ021023.TXT</t>
        </is>
      </c>
      <c r="B217" s="3" t="inlineStr">
        <is>
          <t>001302</t>
        </is>
      </c>
      <c r="C217" s="3" t="inlineStr">
        <is>
          <t>000824</t>
        </is>
      </c>
      <c r="D217" s="4" t="n">
        <v>45178</v>
      </c>
      <c r="E217" s="2" t="inlineStr">
        <is>
          <t>15:52</t>
        </is>
      </c>
      <c r="F217" s="5" t="n">
        <v>65.83</v>
      </c>
      <c r="G217" s="5" t="n"/>
      <c r="H217" s="5" t="n"/>
      <c r="I217" s="5" t="n"/>
      <c r="J217" s="5" t="n">
        <v>13.17</v>
      </c>
      <c r="K217" s="5" t="n"/>
      <c r="L217" s="5" t="n"/>
      <c r="M217" s="5" t="n"/>
      <c r="N217" s="5" t="n"/>
      <c r="O217" s="5" t="n">
        <v>79</v>
      </c>
      <c r="P217" s="5" t="n">
        <v>79</v>
      </c>
      <c r="Q217" s="5" t="n"/>
      <c r="R217" s="5" t="n"/>
      <c r="S217" s="5">
        <f>SUM(F217:I217)+N217</f>
        <v/>
      </c>
      <c r="T217" s="5">
        <f>J217</f>
        <v/>
      </c>
      <c r="U217" s="6">
        <f>YEAR(D217)</f>
        <v/>
      </c>
      <c r="V217" s="5">
        <f>TEXT(D217,"yyyy-mm")</f>
        <v/>
      </c>
    </row>
    <row r="218">
      <c r="A218" s="2" t="inlineStr">
        <is>
          <t>EJ021023.TXT</t>
        </is>
      </c>
      <c r="B218" s="3" t="inlineStr">
        <is>
          <t>001304</t>
        </is>
      </c>
      <c r="C218" s="3" t="inlineStr">
        <is>
          <t>000825</t>
        </is>
      </c>
      <c r="D218" s="4" t="n">
        <v>45183</v>
      </c>
      <c r="E218" s="2" t="inlineStr">
        <is>
          <t>10:05</t>
        </is>
      </c>
      <c r="F218" s="5" t="n">
        <v>1096.67</v>
      </c>
      <c r="G218" s="5" t="n"/>
      <c r="H218" s="5" t="n"/>
      <c r="I218" s="5" t="n"/>
      <c r="J218" s="5" t="n">
        <v>219.33</v>
      </c>
      <c r="K218" s="5" t="n"/>
      <c r="L218" s="5" t="n"/>
      <c r="M218" s="5" t="n"/>
      <c r="N218" s="5" t="n"/>
      <c r="O218" s="5" t="n">
        <v>1316</v>
      </c>
      <c r="P218" s="5" t="n">
        <v>1316</v>
      </c>
      <c r="Q218" s="5" t="n"/>
      <c r="R218" s="5" t="n"/>
      <c r="S218" s="5">
        <f>SUM(F218:I218)+N218</f>
        <v/>
      </c>
      <c r="T218" s="5">
        <f>J218</f>
        <v/>
      </c>
      <c r="U218" s="6">
        <f>YEAR(D218)</f>
        <v/>
      </c>
      <c r="V218" s="5">
        <f>TEXT(D218,"yyyy-mm")</f>
        <v/>
      </c>
    </row>
    <row r="219">
      <c r="A219" s="2" t="inlineStr">
        <is>
          <t>EJ021023.TXT</t>
        </is>
      </c>
      <c r="B219" s="3" t="inlineStr">
        <is>
          <t>001306</t>
        </is>
      </c>
      <c r="C219" s="3" t="inlineStr">
        <is>
          <t>000826</t>
        </is>
      </c>
      <c r="D219" s="4" t="n">
        <v>45183</v>
      </c>
      <c r="E219" s="2" t="inlineStr">
        <is>
          <t>13:01</t>
        </is>
      </c>
      <c r="F219" s="5" t="n">
        <v>548.33</v>
      </c>
      <c r="G219" s="5" t="n"/>
      <c r="H219" s="5" t="n"/>
      <c r="I219" s="5" t="n"/>
      <c r="J219" s="5" t="n">
        <v>109.67</v>
      </c>
      <c r="K219" s="5" t="n"/>
      <c r="L219" s="5" t="n"/>
      <c r="M219" s="5" t="n"/>
      <c r="N219" s="5" t="n"/>
      <c r="O219" s="5" t="n">
        <v>658</v>
      </c>
      <c r="P219" s="5" t="n">
        <v>658</v>
      </c>
      <c r="Q219" s="5" t="n"/>
      <c r="R219" s="5" t="n"/>
      <c r="S219" s="5">
        <f>SUM(F219:I219)+N219</f>
        <v/>
      </c>
      <c r="T219" s="5">
        <f>J219</f>
        <v/>
      </c>
      <c r="U219" s="6">
        <f>YEAR(D219)</f>
        <v/>
      </c>
      <c r="V219" s="5">
        <f>TEXT(D219,"yyyy-mm")</f>
        <v/>
      </c>
    </row>
    <row r="220">
      <c r="A220" s="2" t="inlineStr">
        <is>
          <t>EJ021023.TXT</t>
        </is>
      </c>
      <c r="B220" s="3" t="inlineStr">
        <is>
          <t>001307</t>
        </is>
      </c>
      <c r="C220" s="3" t="inlineStr">
        <is>
          <t>000827</t>
        </is>
      </c>
      <c r="D220" s="4" t="n">
        <v>45183</v>
      </c>
      <c r="E220" s="2" t="inlineStr">
        <is>
          <t>13:02</t>
        </is>
      </c>
      <c r="F220" s="5" t="n">
        <v>1165</v>
      </c>
      <c r="G220" s="5" t="n"/>
      <c r="H220" s="5" t="n"/>
      <c r="I220" s="5" t="n"/>
      <c r="J220" s="5" t="n">
        <v>233</v>
      </c>
      <c r="K220" s="5" t="n"/>
      <c r="L220" s="5" t="n"/>
      <c r="M220" s="5" t="n"/>
      <c r="N220" s="5" t="n"/>
      <c r="O220" s="5" t="n">
        <v>1398</v>
      </c>
      <c r="P220" s="5" t="n">
        <v>1398</v>
      </c>
      <c r="Q220" s="5" t="n"/>
      <c r="R220" s="5" t="n"/>
      <c r="S220" s="5">
        <f>SUM(F220:I220)+N220</f>
        <v/>
      </c>
      <c r="T220" s="5">
        <f>J220</f>
        <v/>
      </c>
      <c r="U220" s="6">
        <f>YEAR(D220)</f>
        <v/>
      </c>
      <c r="V220" s="5">
        <f>TEXT(D220,"yyyy-mm")</f>
        <v/>
      </c>
    </row>
    <row r="221">
      <c r="A221" s="2" t="inlineStr">
        <is>
          <t>EJ021023.TXT</t>
        </is>
      </c>
      <c r="B221" s="3" t="inlineStr">
        <is>
          <t>001308</t>
        </is>
      </c>
      <c r="C221" s="3" t="inlineStr">
        <is>
          <t>000828</t>
        </is>
      </c>
      <c r="D221" s="4" t="n">
        <v>45183</v>
      </c>
      <c r="E221" s="2" t="inlineStr">
        <is>
          <t>14:25</t>
        </is>
      </c>
      <c r="F221" s="5" t="n">
        <v>274.17</v>
      </c>
      <c r="G221" s="5" t="n"/>
      <c r="H221" s="5" t="n"/>
      <c r="I221" s="5" t="n"/>
      <c r="J221" s="5" t="n">
        <v>54.83</v>
      </c>
      <c r="K221" s="5" t="n"/>
      <c r="L221" s="5" t="n"/>
      <c r="M221" s="5" t="n"/>
      <c r="N221" s="5" t="n"/>
      <c r="O221" s="5" t="n">
        <v>329</v>
      </c>
      <c r="P221" s="5" t="n"/>
      <c r="Q221" s="5" t="n">
        <v>329</v>
      </c>
      <c r="R221" s="5" t="n"/>
      <c r="S221" s="5">
        <f>SUM(F221:I221)+N221</f>
        <v/>
      </c>
      <c r="T221" s="5">
        <f>J221</f>
        <v/>
      </c>
      <c r="U221" s="6">
        <f>YEAR(D221)</f>
        <v/>
      </c>
      <c r="V221" s="5">
        <f>TEXT(D221,"yyyy-mm")</f>
        <v/>
      </c>
    </row>
    <row r="222">
      <c r="A222" s="2" t="inlineStr">
        <is>
          <t>EJ021023.TXT</t>
        </is>
      </c>
      <c r="B222" s="3" t="inlineStr">
        <is>
          <t>001310</t>
        </is>
      </c>
      <c r="C222" s="3" t="inlineStr">
        <is>
          <t>000829</t>
        </is>
      </c>
      <c r="D222" s="4" t="n">
        <v>45189</v>
      </c>
      <c r="E222" s="2" t="inlineStr">
        <is>
          <t>09:37</t>
        </is>
      </c>
      <c r="F222" s="5" t="n">
        <v>147.5</v>
      </c>
      <c r="G222" s="5" t="n"/>
      <c r="H222" s="5" t="n"/>
      <c r="I222" s="5" t="n"/>
      <c r="J222" s="5" t="n">
        <v>29.5</v>
      </c>
      <c r="K222" s="5" t="n"/>
      <c r="L222" s="5" t="n"/>
      <c r="M222" s="5" t="n"/>
      <c r="N222" s="5" t="n"/>
      <c r="O222" s="5" t="n">
        <v>177</v>
      </c>
      <c r="P222" s="5" t="n">
        <v>177</v>
      </c>
      <c r="Q222" s="5" t="n"/>
      <c r="R222" s="5" t="n"/>
      <c r="S222" s="5">
        <f>SUM(F222:I222)+N222</f>
        <v/>
      </c>
      <c r="T222" s="5">
        <f>J222</f>
        <v/>
      </c>
      <c r="U222" s="6">
        <f>YEAR(D222)</f>
        <v/>
      </c>
      <c r="V222" s="5">
        <f>TEXT(D222,"yyyy-mm")</f>
        <v/>
      </c>
    </row>
    <row r="223">
      <c r="A223" s="2" t="inlineStr">
        <is>
          <t>EJ021023.TXT</t>
        </is>
      </c>
      <c r="B223" s="3" t="inlineStr">
        <is>
          <t>001311</t>
        </is>
      </c>
      <c r="C223" s="3" t="inlineStr">
        <is>
          <t>000830</t>
        </is>
      </c>
      <c r="D223" s="4" t="n">
        <v>45189</v>
      </c>
      <c r="E223" s="2" t="inlineStr">
        <is>
          <t>12:01</t>
        </is>
      </c>
      <c r="F223" s="5" t="n">
        <v>548.33</v>
      </c>
      <c r="G223" s="5" t="n"/>
      <c r="H223" s="5" t="n"/>
      <c r="I223" s="5" t="n"/>
      <c r="J223" s="5" t="n">
        <v>109.67</v>
      </c>
      <c r="K223" s="5" t="n"/>
      <c r="L223" s="5" t="n"/>
      <c r="M223" s="5" t="n"/>
      <c r="N223" s="5" t="n"/>
      <c r="O223" s="5" t="n">
        <v>658</v>
      </c>
      <c r="P223" s="5" t="n">
        <v>658</v>
      </c>
      <c r="Q223" s="5" t="n"/>
      <c r="R223" s="5" t="n"/>
      <c r="S223" s="5">
        <f>SUM(F223:I223)+N223</f>
        <v/>
      </c>
      <c r="T223" s="5">
        <f>J223</f>
        <v/>
      </c>
      <c r="U223" s="6">
        <f>YEAR(D223)</f>
        <v/>
      </c>
      <c r="V223" s="5">
        <f>TEXT(D223,"yyyy-mm")</f>
        <v/>
      </c>
    </row>
    <row r="224">
      <c r="A224" s="2" t="inlineStr">
        <is>
          <t>EJ021023.TXT</t>
        </is>
      </c>
      <c r="B224" s="3" t="inlineStr">
        <is>
          <t>001312</t>
        </is>
      </c>
      <c r="C224" s="3" t="inlineStr">
        <is>
          <t>000831</t>
        </is>
      </c>
      <c r="D224" s="4" t="n">
        <v>45189</v>
      </c>
      <c r="E224" s="2" t="inlineStr">
        <is>
          <t>16:07</t>
        </is>
      </c>
      <c r="F224" s="5" t="n">
        <v>548.33</v>
      </c>
      <c r="G224" s="5" t="n"/>
      <c r="H224" s="5" t="n"/>
      <c r="I224" s="5" t="n"/>
      <c r="J224" s="5" t="n">
        <v>109.67</v>
      </c>
      <c r="K224" s="5" t="n"/>
      <c r="L224" s="5" t="n"/>
      <c r="M224" s="5" t="n"/>
      <c r="N224" s="5" t="n"/>
      <c r="O224" s="5" t="n">
        <v>658</v>
      </c>
      <c r="P224" s="5" t="n">
        <v>658</v>
      </c>
      <c r="Q224" s="5" t="n"/>
      <c r="R224" s="5" t="n"/>
      <c r="S224" s="5">
        <f>SUM(F224:I224)+N224</f>
        <v/>
      </c>
      <c r="T224" s="5">
        <f>J224</f>
        <v/>
      </c>
      <c r="U224" s="6">
        <f>YEAR(D224)</f>
        <v/>
      </c>
      <c r="V224" s="5">
        <f>TEXT(D224,"yyyy-mm")</f>
        <v/>
      </c>
    </row>
    <row r="225">
      <c r="A225" s="2" t="inlineStr">
        <is>
          <t>EJ021023.TXT</t>
        </is>
      </c>
      <c r="B225" s="3" t="inlineStr">
        <is>
          <t>001316</t>
        </is>
      </c>
      <c r="C225" s="3" t="inlineStr">
        <is>
          <t>000832</t>
        </is>
      </c>
      <c r="D225" s="4" t="n">
        <v>45191</v>
      </c>
      <c r="E225" s="2" t="inlineStr">
        <is>
          <t>16:08</t>
        </is>
      </c>
      <c r="F225" s="5" t="n">
        <v>548.33</v>
      </c>
      <c r="G225" s="5" t="n"/>
      <c r="H225" s="5" t="n"/>
      <c r="I225" s="5" t="n"/>
      <c r="J225" s="5" t="n">
        <v>109.67</v>
      </c>
      <c r="K225" s="5" t="n"/>
      <c r="L225" s="5" t="n"/>
      <c r="M225" s="5" t="n"/>
      <c r="N225" s="5" t="n"/>
      <c r="O225" s="5" t="n">
        <v>658</v>
      </c>
      <c r="P225" s="5" t="n">
        <v>658</v>
      </c>
      <c r="Q225" s="5" t="n"/>
      <c r="R225" s="5" t="n"/>
      <c r="S225" s="5">
        <f>SUM(F225:I225)+N225</f>
        <v/>
      </c>
      <c r="T225" s="5">
        <f>J225</f>
        <v/>
      </c>
      <c r="U225" s="6">
        <f>YEAR(D225)</f>
        <v/>
      </c>
      <c r="V225" s="5">
        <f>TEXT(D225,"yyyy-mm")</f>
        <v/>
      </c>
    </row>
    <row r="226">
      <c r="A226" s="2" t="inlineStr">
        <is>
          <t>EJ021023.TXT</t>
        </is>
      </c>
      <c r="B226" s="3" t="inlineStr">
        <is>
          <t>001319</t>
        </is>
      </c>
      <c r="C226" s="3" t="inlineStr">
        <is>
          <t>000833</t>
        </is>
      </c>
      <c r="D226" s="4" t="n">
        <v>45192</v>
      </c>
      <c r="E226" s="2" t="inlineStr">
        <is>
          <t>14:10</t>
        </is>
      </c>
      <c r="F226" s="5" t="n">
        <v>849.17</v>
      </c>
      <c r="G226" s="5" t="n"/>
      <c r="H226" s="5" t="n"/>
      <c r="I226" s="5" t="n"/>
      <c r="J226" s="5" t="n">
        <v>169.83</v>
      </c>
      <c r="K226" s="5" t="n"/>
      <c r="L226" s="5" t="n"/>
      <c r="M226" s="5" t="n"/>
      <c r="N226" s="5" t="n"/>
      <c r="O226" s="5" t="n">
        <v>1019</v>
      </c>
      <c r="P226" s="5" t="n">
        <v>1019</v>
      </c>
      <c r="Q226" s="5" t="n"/>
      <c r="R226" s="5" t="n"/>
      <c r="S226" s="5">
        <f>SUM(F226:I226)+N226</f>
        <v/>
      </c>
      <c r="T226" s="5">
        <f>J226</f>
        <v/>
      </c>
      <c r="U226" s="6">
        <f>YEAR(D226)</f>
        <v/>
      </c>
      <c r="V226" s="5">
        <f>TEXT(D226,"yyyy-mm")</f>
        <v/>
      </c>
    </row>
    <row r="227">
      <c r="A227" s="2" t="inlineStr">
        <is>
          <t>EJ021023.TXT</t>
        </is>
      </c>
      <c r="B227" s="3" t="inlineStr">
        <is>
          <t>001320</t>
        </is>
      </c>
      <c r="C227" s="3" t="inlineStr">
        <is>
          <t>000834</t>
        </is>
      </c>
      <c r="D227" s="4" t="n">
        <v>45192</v>
      </c>
      <c r="E227" s="2" t="inlineStr">
        <is>
          <t>14:11</t>
        </is>
      </c>
      <c r="F227" s="5" t="n">
        <v>2014.17</v>
      </c>
      <c r="G227" s="5" t="n"/>
      <c r="H227" s="5" t="n"/>
      <c r="I227" s="5" t="n"/>
      <c r="J227" s="5" t="n">
        <v>402.83</v>
      </c>
      <c r="K227" s="5" t="n"/>
      <c r="L227" s="5" t="n"/>
      <c r="M227" s="5" t="n"/>
      <c r="N227" s="5" t="n"/>
      <c r="O227" s="5" t="n">
        <v>2417</v>
      </c>
      <c r="P227" s="5" t="n">
        <v>2417</v>
      </c>
      <c r="Q227" s="5" t="n"/>
      <c r="R227" s="5" t="n"/>
      <c r="S227" s="5">
        <f>SUM(F227:I227)+N227</f>
        <v/>
      </c>
      <c r="T227" s="5">
        <f>J227</f>
        <v/>
      </c>
      <c r="U227" s="6">
        <f>YEAR(D227)</f>
        <v/>
      </c>
      <c r="V227" s="5">
        <f>TEXT(D227,"yyyy-mm")</f>
        <v/>
      </c>
    </row>
    <row r="228">
      <c r="A228" s="2" t="inlineStr">
        <is>
          <t>EJ021023.TXT</t>
        </is>
      </c>
      <c r="B228" s="3" t="inlineStr">
        <is>
          <t>001322</t>
        </is>
      </c>
      <c r="C228" s="3" t="inlineStr">
        <is>
          <t>000835</t>
        </is>
      </c>
      <c r="D228" s="4" t="n">
        <v>45192</v>
      </c>
      <c r="E228" s="2" t="inlineStr">
        <is>
          <t>16:41</t>
        </is>
      </c>
      <c r="F228" s="5" t="n">
        <v>597.5</v>
      </c>
      <c r="G228" s="5" t="n"/>
      <c r="H228" s="5" t="n"/>
      <c r="I228" s="5" t="n"/>
      <c r="J228" s="5" t="n">
        <v>119.5</v>
      </c>
      <c r="K228" s="5" t="n"/>
      <c r="L228" s="5" t="n"/>
      <c r="M228" s="5" t="n"/>
      <c r="N228" s="5" t="n"/>
      <c r="O228" s="5" t="n">
        <v>717</v>
      </c>
      <c r="P228" s="5" t="n">
        <v>717</v>
      </c>
      <c r="Q228" s="5" t="n"/>
      <c r="R228" s="5" t="n"/>
      <c r="S228" s="5">
        <f>SUM(F228:I228)+N228</f>
        <v/>
      </c>
      <c r="T228" s="5">
        <f>J228</f>
        <v/>
      </c>
      <c r="U228" s="6">
        <f>YEAR(D228)</f>
        <v/>
      </c>
      <c r="V228" s="5">
        <f>TEXT(D228,"yyyy-mm")</f>
        <v/>
      </c>
    </row>
    <row r="229">
      <c r="A229" s="2" t="inlineStr">
        <is>
          <t>EJ021023.TXT</t>
        </is>
      </c>
      <c r="B229" s="3" t="inlineStr">
        <is>
          <t>001323</t>
        </is>
      </c>
      <c r="C229" s="3" t="inlineStr">
        <is>
          <t>000836</t>
        </is>
      </c>
      <c r="D229" s="4" t="n">
        <v>45194</v>
      </c>
      <c r="E229" s="2" t="inlineStr">
        <is>
          <t>16:38</t>
        </is>
      </c>
      <c r="F229" s="5" t="n">
        <v>65.83</v>
      </c>
      <c r="G229" s="5" t="n"/>
      <c r="H229" s="5" t="n"/>
      <c r="I229" s="5" t="n"/>
      <c r="J229" s="5" t="n">
        <v>13.17</v>
      </c>
      <c r="K229" s="5" t="n"/>
      <c r="L229" s="5" t="n"/>
      <c r="M229" s="5" t="n"/>
      <c r="N229" s="5" t="n"/>
      <c r="O229" s="5" t="n">
        <v>79</v>
      </c>
      <c r="P229" s="5" t="n">
        <v>79</v>
      </c>
      <c r="Q229" s="5" t="n"/>
      <c r="R229" s="5" t="n"/>
      <c r="S229" s="5">
        <f>SUM(F229:I229)+N229</f>
        <v/>
      </c>
      <c r="T229" s="5">
        <f>J229</f>
        <v/>
      </c>
      <c r="U229" s="6">
        <f>YEAR(D229)</f>
        <v/>
      </c>
      <c r="V229" s="5">
        <f>TEXT(D229,"yyyy-mm")</f>
        <v/>
      </c>
    </row>
    <row r="230">
      <c r="A230" s="2" t="inlineStr">
        <is>
          <t>EJ021023.TXT</t>
        </is>
      </c>
      <c r="B230" s="3" t="inlineStr">
        <is>
          <t>001324</t>
        </is>
      </c>
      <c r="C230" s="3" t="inlineStr">
        <is>
          <t>000837</t>
        </is>
      </c>
      <c r="D230" s="4" t="n">
        <v>45195</v>
      </c>
      <c r="E230" s="2" t="inlineStr">
        <is>
          <t>15:20</t>
        </is>
      </c>
      <c r="F230" s="5" t="n">
        <v>548.33</v>
      </c>
      <c r="G230" s="5" t="n"/>
      <c r="H230" s="5" t="n"/>
      <c r="I230" s="5" t="n"/>
      <c r="J230" s="5" t="n">
        <v>109.67</v>
      </c>
      <c r="K230" s="5" t="n"/>
      <c r="L230" s="5" t="n"/>
      <c r="M230" s="5" t="n"/>
      <c r="N230" s="5" t="n"/>
      <c r="O230" s="5" t="n">
        <v>658</v>
      </c>
      <c r="P230" s="5" t="n">
        <v>658</v>
      </c>
      <c r="Q230" s="5" t="n"/>
      <c r="R230" s="5" t="n"/>
      <c r="S230" s="5">
        <f>SUM(F230:I230)+N230</f>
        <v/>
      </c>
      <c r="T230" s="5">
        <f>J230</f>
        <v/>
      </c>
      <c r="U230" s="6">
        <f>YEAR(D230)</f>
        <v/>
      </c>
      <c r="V230" s="5">
        <f>TEXT(D230,"yyyy-mm")</f>
        <v/>
      </c>
    </row>
    <row r="231">
      <c r="A231" s="2" t="inlineStr">
        <is>
          <t>EJ021023.TXT</t>
        </is>
      </c>
      <c r="B231" s="3" t="inlineStr">
        <is>
          <t>001326</t>
        </is>
      </c>
      <c r="C231" s="3" t="inlineStr">
        <is>
          <t>000838</t>
        </is>
      </c>
      <c r="D231" s="4" t="n">
        <v>45198</v>
      </c>
      <c r="E231" s="2" t="inlineStr">
        <is>
          <t>15:31</t>
        </is>
      </c>
      <c r="F231" s="5" t="n">
        <v>380.67</v>
      </c>
      <c r="G231" s="5" t="n"/>
      <c r="H231" s="5" t="n"/>
      <c r="I231" s="5" t="n"/>
      <c r="J231" s="5" t="n">
        <v>76.13</v>
      </c>
      <c r="K231" s="5" t="n"/>
      <c r="L231" s="5" t="n"/>
      <c r="M231" s="5" t="n"/>
      <c r="N231" s="5" t="n"/>
      <c r="O231" s="5" t="n">
        <v>456.8</v>
      </c>
      <c r="P231" s="5" t="n"/>
      <c r="Q231" s="5" t="n">
        <v>456.8</v>
      </c>
      <c r="R231" s="5" t="n"/>
      <c r="S231" s="5">
        <f>SUM(F231:I231)+N231</f>
        <v/>
      </c>
      <c r="T231" s="5">
        <f>J231</f>
        <v/>
      </c>
      <c r="U231" s="6">
        <f>YEAR(D231)</f>
        <v/>
      </c>
      <c r="V231" s="5">
        <f>TEXT(D231,"yyyy-mm")</f>
        <v/>
      </c>
    </row>
    <row r="232">
      <c r="A232" s="2" t="inlineStr">
        <is>
          <t>EJ021023.TXT</t>
        </is>
      </c>
      <c r="B232" s="3" t="inlineStr">
        <is>
          <t>001327</t>
        </is>
      </c>
      <c r="C232" s="3" t="inlineStr">
        <is>
          <t>000839</t>
        </is>
      </c>
      <c r="D232" s="4" t="n">
        <v>45198</v>
      </c>
      <c r="E232" s="2" t="inlineStr">
        <is>
          <t>16:46</t>
        </is>
      </c>
      <c r="F232" s="5" t="n">
        <v>33.17</v>
      </c>
      <c r="G232" s="5" t="n"/>
      <c r="H232" s="5" t="n"/>
      <c r="I232" s="5" t="n"/>
      <c r="J232" s="5" t="n">
        <v>6.63</v>
      </c>
      <c r="K232" s="5" t="n"/>
      <c r="L232" s="5" t="n"/>
      <c r="M232" s="5" t="n"/>
      <c r="N232" s="5" t="n"/>
      <c r="O232" s="5" t="n">
        <v>39.8</v>
      </c>
      <c r="P232" s="5" t="n">
        <v>39.8</v>
      </c>
      <c r="Q232" s="5" t="n"/>
      <c r="R232" s="5" t="n"/>
      <c r="S232" s="5">
        <f>SUM(F232:I232)+N232</f>
        <v/>
      </c>
      <c r="T232" s="5">
        <f>J232</f>
        <v/>
      </c>
      <c r="U232" s="6">
        <f>YEAR(D232)</f>
        <v/>
      </c>
      <c r="V232" s="5">
        <f>TEXT(D232,"yyyy-mm")</f>
        <v/>
      </c>
    </row>
    <row r="233">
      <c r="A233" s="2" t="inlineStr">
        <is>
          <t>EJ021023.TXT</t>
        </is>
      </c>
      <c r="B233" s="3" t="inlineStr">
        <is>
          <t>001328</t>
        </is>
      </c>
      <c r="C233" s="3" t="inlineStr">
        <is>
          <t>000840</t>
        </is>
      </c>
      <c r="D233" s="4" t="n">
        <v>45199</v>
      </c>
      <c r="E233" s="2" t="inlineStr">
        <is>
          <t>13:47</t>
        </is>
      </c>
      <c r="F233" s="5" t="n">
        <v>548.33</v>
      </c>
      <c r="G233" s="5" t="n"/>
      <c r="H233" s="5" t="n"/>
      <c r="I233" s="5" t="n"/>
      <c r="J233" s="5" t="n">
        <v>109.67</v>
      </c>
      <c r="K233" s="5" t="n"/>
      <c r="L233" s="5" t="n"/>
      <c r="M233" s="5" t="n"/>
      <c r="N233" s="5" t="n"/>
      <c r="O233" s="5" t="n">
        <v>658</v>
      </c>
      <c r="P233" s="5" t="n">
        <v>658</v>
      </c>
      <c r="Q233" s="5" t="n"/>
      <c r="R233" s="5" t="n"/>
      <c r="S233" s="5">
        <f>SUM(F233:I233)+N233</f>
        <v/>
      </c>
      <c r="T233" s="5">
        <f>J233</f>
        <v/>
      </c>
      <c r="U233" s="6">
        <f>YEAR(D233)</f>
        <v/>
      </c>
      <c r="V233" s="5">
        <f>TEXT(D233,"yyyy-mm")</f>
        <v/>
      </c>
    </row>
    <row r="234">
      <c r="A234" s="2" t="inlineStr">
        <is>
          <t>EJ021023.TXT</t>
        </is>
      </c>
      <c r="B234" s="3" t="inlineStr">
        <is>
          <t>001329</t>
        </is>
      </c>
      <c r="C234" s="3" t="inlineStr">
        <is>
          <t>000841</t>
        </is>
      </c>
      <c r="D234" s="4" t="n">
        <v>45199</v>
      </c>
      <c r="E234" s="2" t="inlineStr">
        <is>
          <t>13:47</t>
        </is>
      </c>
      <c r="F234" s="5" t="n">
        <v>274.17</v>
      </c>
      <c r="G234" s="5" t="n"/>
      <c r="H234" s="5" t="n"/>
      <c r="I234" s="5" t="n"/>
      <c r="J234" s="5" t="n">
        <v>54.83</v>
      </c>
      <c r="K234" s="5" t="n"/>
      <c r="L234" s="5" t="n"/>
      <c r="M234" s="5" t="n"/>
      <c r="N234" s="5" t="n"/>
      <c r="O234" s="5" t="n">
        <v>329</v>
      </c>
      <c r="P234" s="5" t="n">
        <v>329</v>
      </c>
      <c r="Q234" s="5" t="n"/>
      <c r="R234" s="5" t="n"/>
      <c r="S234" s="5">
        <f>SUM(F234:I234)+N234</f>
        <v/>
      </c>
      <c r="T234" s="5">
        <f>J234</f>
        <v/>
      </c>
      <c r="U234" s="6">
        <f>YEAR(D234)</f>
        <v/>
      </c>
      <c r="V234" s="5">
        <f>TEXT(D234,"yyyy-mm")</f>
        <v/>
      </c>
    </row>
    <row r="235">
      <c r="A235" s="2" t="inlineStr">
        <is>
          <t>EJ021023.TXT</t>
        </is>
      </c>
      <c r="B235" s="3" t="inlineStr">
        <is>
          <t>001330</t>
        </is>
      </c>
      <c r="C235" s="3" t="inlineStr">
        <is>
          <t>000842</t>
        </is>
      </c>
      <c r="D235" s="4" t="n">
        <v>45199</v>
      </c>
      <c r="E235" s="2" t="inlineStr">
        <is>
          <t>16:09</t>
        </is>
      </c>
      <c r="F235" s="5" t="n">
        <v>274.17</v>
      </c>
      <c r="G235" s="5" t="n"/>
      <c r="H235" s="5" t="n"/>
      <c r="I235" s="5" t="n"/>
      <c r="J235" s="5" t="n">
        <v>54.83</v>
      </c>
      <c r="K235" s="5" t="n"/>
      <c r="L235" s="5" t="n"/>
      <c r="M235" s="5" t="n"/>
      <c r="N235" s="5" t="n"/>
      <c r="O235" s="5" t="n">
        <v>329</v>
      </c>
      <c r="P235" s="5" t="n">
        <v>329</v>
      </c>
      <c r="Q235" s="5" t="n"/>
      <c r="R235" s="5" t="n"/>
      <c r="S235" s="5">
        <f>SUM(F235:I235)+N235</f>
        <v/>
      </c>
      <c r="T235" s="5">
        <f>J235</f>
        <v/>
      </c>
      <c r="U235" s="6">
        <f>YEAR(D235)</f>
        <v/>
      </c>
      <c r="V235" s="5">
        <f>TEXT(D235,"yyyy-mm")</f>
        <v/>
      </c>
    </row>
    <row r="236">
      <c r="A236" s="2" t="inlineStr">
        <is>
          <t>EJ021023.TXT</t>
        </is>
      </c>
      <c r="B236" s="3" t="inlineStr">
        <is>
          <t>001331</t>
        </is>
      </c>
      <c r="C236" s="3" t="inlineStr">
        <is>
          <t>000843</t>
        </is>
      </c>
      <c r="D236" s="4" t="n">
        <v>45201</v>
      </c>
      <c r="E236" s="2" t="inlineStr">
        <is>
          <t>09:01</t>
        </is>
      </c>
      <c r="F236" s="5" t="n">
        <v>329.17</v>
      </c>
      <c r="G236" s="5" t="n"/>
      <c r="H236" s="5" t="n"/>
      <c r="I236" s="5" t="n"/>
      <c r="J236" s="5" t="n">
        <v>65.83</v>
      </c>
      <c r="K236" s="5" t="n"/>
      <c r="L236" s="5" t="n"/>
      <c r="M236" s="5" t="n"/>
      <c r="N236" s="5" t="n"/>
      <c r="O236" s="5" t="n">
        <v>395</v>
      </c>
      <c r="P236" s="5" t="n">
        <v>395</v>
      </c>
      <c r="Q236" s="5" t="n"/>
      <c r="R236" s="5" t="n"/>
      <c r="S236" s="5">
        <f>SUM(F236:I236)+N236</f>
        <v/>
      </c>
      <c r="T236" s="5">
        <f>J236</f>
        <v/>
      </c>
      <c r="U236" s="6">
        <f>YEAR(D236)</f>
        <v/>
      </c>
      <c r="V236" s="5">
        <f>TEXT(D236,"yyyy-mm")</f>
        <v/>
      </c>
    </row>
    <row r="237">
      <c r="A237" s="2" t="inlineStr">
        <is>
          <t>EJ021123.TXT</t>
        </is>
      </c>
      <c r="B237" s="3" t="inlineStr">
        <is>
          <t>001340</t>
        </is>
      </c>
      <c r="C237" s="3" t="inlineStr">
        <is>
          <t>000844</t>
        </is>
      </c>
      <c r="D237" s="4" t="n">
        <v>45202</v>
      </c>
      <c r="E237" s="2" t="inlineStr">
        <is>
          <t>12:25</t>
        </is>
      </c>
      <c r="F237" s="5" t="n">
        <v>548.33</v>
      </c>
      <c r="G237" s="5" t="n"/>
      <c r="H237" s="5" t="n"/>
      <c r="I237" s="5" t="n"/>
      <c r="J237" s="5" t="n">
        <v>109.67</v>
      </c>
      <c r="K237" s="5" t="n"/>
      <c r="L237" s="5" t="n"/>
      <c r="M237" s="5" t="n"/>
      <c r="N237" s="5" t="n"/>
      <c r="O237" s="5" t="n">
        <v>658</v>
      </c>
      <c r="P237" s="5" t="n">
        <v>658</v>
      </c>
      <c r="Q237" s="5" t="n"/>
      <c r="R237" s="5" t="n"/>
      <c r="S237" s="5">
        <f>SUM(F237:I237)+N237</f>
        <v/>
      </c>
      <c r="T237" s="5">
        <f>J237</f>
        <v/>
      </c>
      <c r="U237" s="6">
        <f>YEAR(D237)</f>
        <v/>
      </c>
      <c r="V237" s="5">
        <f>TEXT(D237,"yyyy-mm")</f>
        <v/>
      </c>
    </row>
    <row r="238">
      <c r="A238" s="2" t="inlineStr">
        <is>
          <t>EJ021123.TXT</t>
        </is>
      </c>
      <c r="B238" s="3" t="inlineStr">
        <is>
          <t>001342</t>
        </is>
      </c>
      <c r="C238" s="3" t="inlineStr">
        <is>
          <t>000845</t>
        </is>
      </c>
      <c r="D238" s="4" t="n">
        <v>45202</v>
      </c>
      <c r="E238" s="2" t="inlineStr">
        <is>
          <t>14:17</t>
        </is>
      </c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>
        <v>0</v>
      </c>
      <c r="P238" s="5" t="n"/>
      <c r="Q238" s="5" t="n">
        <v>0</v>
      </c>
      <c r="R238" s="5" t="n"/>
      <c r="S238" s="5">
        <f>SUM(F238:I238)+N238</f>
        <v/>
      </c>
      <c r="T238" s="5">
        <f>J238</f>
        <v/>
      </c>
      <c r="U238" s="6">
        <f>YEAR(D238)</f>
        <v/>
      </c>
      <c r="V238" s="5">
        <f>TEXT(D238,"yyyy-mm")</f>
        <v/>
      </c>
    </row>
    <row r="239">
      <c r="A239" s="2" t="inlineStr">
        <is>
          <t>EJ021123.TXT</t>
        </is>
      </c>
      <c r="B239" s="3" t="inlineStr">
        <is>
          <t>001343</t>
        </is>
      </c>
      <c r="C239" s="3" t="inlineStr">
        <is>
          <t>000846</t>
        </is>
      </c>
      <c r="D239" s="4" t="n">
        <v>45202</v>
      </c>
      <c r="E239" s="2" t="inlineStr">
        <is>
          <t>14:53</t>
        </is>
      </c>
      <c r="F239" s="5" t="n">
        <v>548.33</v>
      </c>
      <c r="G239" s="5" t="n"/>
      <c r="H239" s="5" t="n"/>
      <c r="I239" s="5" t="n"/>
      <c r="J239" s="5" t="n">
        <v>109.67</v>
      </c>
      <c r="K239" s="5" t="n"/>
      <c r="L239" s="5" t="n"/>
      <c r="M239" s="5" t="n"/>
      <c r="N239" s="5" t="n"/>
      <c r="O239" s="5" t="n">
        <v>658</v>
      </c>
      <c r="P239" s="5" t="n">
        <v>658</v>
      </c>
      <c r="Q239" s="5" t="n"/>
      <c r="R239" s="5" t="n"/>
      <c r="S239" s="5">
        <f>SUM(F239:I239)+N239</f>
        <v/>
      </c>
      <c r="T239" s="5">
        <f>J239</f>
        <v/>
      </c>
      <c r="U239" s="6">
        <f>YEAR(D239)</f>
        <v/>
      </c>
      <c r="V239" s="5">
        <f>TEXT(D239,"yyyy-mm")</f>
        <v/>
      </c>
    </row>
    <row r="240">
      <c r="A240" s="2" t="inlineStr">
        <is>
          <t>EJ021123.TXT</t>
        </is>
      </c>
      <c r="B240" s="3" t="inlineStr">
        <is>
          <t>001344</t>
        </is>
      </c>
      <c r="C240" s="3" t="inlineStr">
        <is>
          <t>000847</t>
        </is>
      </c>
      <c r="D240" s="4" t="n">
        <v>45202</v>
      </c>
      <c r="E240" s="2" t="inlineStr">
        <is>
          <t>15:05</t>
        </is>
      </c>
      <c r="F240" s="5" t="n">
        <v>548.33</v>
      </c>
      <c r="G240" s="5" t="n"/>
      <c r="H240" s="5" t="n"/>
      <c r="I240" s="5" t="n"/>
      <c r="J240" s="5" t="n">
        <v>109.67</v>
      </c>
      <c r="K240" s="5" t="n"/>
      <c r="L240" s="5" t="n"/>
      <c r="M240" s="5" t="n"/>
      <c r="N240" s="5" t="n"/>
      <c r="O240" s="5" t="n">
        <v>658</v>
      </c>
      <c r="P240" s="5" t="n">
        <v>658</v>
      </c>
      <c r="Q240" s="5" t="n"/>
      <c r="R240" s="5" t="n"/>
      <c r="S240" s="5">
        <f>SUM(F240:I240)+N240</f>
        <v/>
      </c>
      <c r="T240" s="5">
        <f>J240</f>
        <v/>
      </c>
      <c r="U240" s="6">
        <f>YEAR(D240)</f>
        <v/>
      </c>
      <c r="V240" s="5">
        <f>TEXT(D240,"yyyy-mm")</f>
        <v/>
      </c>
    </row>
    <row r="241">
      <c r="A241" s="2" t="inlineStr">
        <is>
          <t>EJ021123.TXT</t>
        </is>
      </c>
      <c r="B241" s="3" t="inlineStr">
        <is>
          <t>001345</t>
        </is>
      </c>
      <c r="C241" s="3" t="inlineStr">
        <is>
          <t>000848</t>
        </is>
      </c>
      <c r="D241" s="4" t="n">
        <v>45203</v>
      </c>
      <c r="E241" s="2" t="inlineStr">
        <is>
          <t>13:44</t>
        </is>
      </c>
      <c r="F241" s="5" t="n">
        <v>274.17</v>
      </c>
      <c r="G241" s="5" t="n"/>
      <c r="H241" s="5" t="n"/>
      <c r="I241" s="5" t="n"/>
      <c r="J241" s="5" t="n">
        <v>54.83</v>
      </c>
      <c r="K241" s="5" t="n"/>
      <c r="L241" s="5" t="n"/>
      <c r="M241" s="5" t="n"/>
      <c r="N241" s="5" t="n"/>
      <c r="O241" s="5" t="n">
        <v>329</v>
      </c>
      <c r="P241" s="5" t="n"/>
      <c r="Q241" s="5" t="n">
        <v>329</v>
      </c>
      <c r="R241" s="5" t="n"/>
      <c r="S241" s="5">
        <f>SUM(F241:I241)+N241</f>
        <v/>
      </c>
      <c r="T241" s="5">
        <f>J241</f>
        <v/>
      </c>
      <c r="U241" s="6">
        <f>YEAR(D241)</f>
        <v/>
      </c>
      <c r="V241" s="5">
        <f>TEXT(D241,"yyyy-mm")</f>
        <v/>
      </c>
    </row>
    <row r="242">
      <c r="A242" s="2" t="inlineStr">
        <is>
          <t>EJ021123.TXT</t>
        </is>
      </c>
      <c r="B242" s="3" t="inlineStr">
        <is>
          <t>001346</t>
        </is>
      </c>
      <c r="C242" s="3" t="inlineStr">
        <is>
          <t>000849</t>
        </is>
      </c>
      <c r="D242" s="4" t="n">
        <v>45204</v>
      </c>
      <c r="E242" s="2" t="inlineStr">
        <is>
          <t>12:26</t>
        </is>
      </c>
      <c r="F242" s="5" t="n">
        <v>274.17</v>
      </c>
      <c r="G242" s="5" t="n"/>
      <c r="H242" s="5" t="n"/>
      <c r="I242" s="5" t="n"/>
      <c r="J242" s="5" t="n">
        <v>54.83</v>
      </c>
      <c r="K242" s="5" t="n"/>
      <c r="L242" s="5" t="n"/>
      <c r="M242" s="5" t="n"/>
      <c r="N242" s="5" t="n"/>
      <c r="O242" s="5" t="n">
        <v>329</v>
      </c>
      <c r="P242" s="5" t="n"/>
      <c r="Q242" s="5" t="n">
        <v>329</v>
      </c>
      <c r="R242" s="5" t="n"/>
      <c r="S242" s="5">
        <f>SUM(F242:I242)+N242</f>
        <v/>
      </c>
      <c r="T242" s="5">
        <f>J242</f>
        <v/>
      </c>
      <c r="U242" s="6">
        <f>YEAR(D242)</f>
        <v/>
      </c>
      <c r="V242" s="5">
        <f>TEXT(D242,"yyyy-mm")</f>
        <v/>
      </c>
    </row>
    <row r="243">
      <c r="A243" s="2" t="inlineStr">
        <is>
          <t>EJ021123.TXT</t>
        </is>
      </c>
      <c r="B243" s="3" t="inlineStr">
        <is>
          <t>001347</t>
        </is>
      </c>
      <c r="C243" s="3" t="inlineStr">
        <is>
          <t>000850</t>
        </is>
      </c>
      <c r="D243" s="4" t="n">
        <v>45204</v>
      </c>
      <c r="E243" s="2" t="inlineStr">
        <is>
          <t>13:53</t>
        </is>
      </c>
      <c r="F243" s="5" t="n">
        <v>548.33</v>
      </c>
      <c r="G243" s="5" t="n"/>
      <c r="H243" s="5" t="n"/>
      <c r="I243" s="5" t="n"/>
      <c r="J243" s="5" t="n">
        <v>109.67</v>
      </c>
      <c r="K243" s="5" t="n"/>
      <c r="L243" s="5" t="n"/>
      <c r="M243" s="5" t="n"/>
      <c r="N243" s="5" t="n"/>
      <c r="O243" s="5" t="n">
        <v>658</v>
      </c>
      <c r="P243" s="5" t="n">
        <v>658</v>
      </c>
      <c r="Q243" s="5" t="n"/>
      <c r="R243" s="5" t="n"/>
      <c r="S243" s="5">
        <f>SUM(F243:I243)+N243</f>
        <v/>
      </c>
      <c r="T243" s="5">
        <f>J243</f>
        <v/>
      </c>
      <c r="U243" s="6">
        <f>YEAR(D243)</f>
        <v/>
      </c>
      <c r="V243" s="5">
        <f>TEXT(D243,"yyyy-mm")</f>
        <v/>
      </c>
    </row>
    <row r="244">
      <c r="A244" s="2" t="inlineStr">
        <is>
          <t>EJ021123.TXT</t>
        </is>
      </c>
      <c r="B244" s="3" t="inlineStr">
        <is>
          <t>001348</t>
        </is>
      </c>
      <c r="C244" s="3" t="inlineStr">
        <is>
          <t>000851</t>
        </is>
      </c>
      <c r="D244" s="4" t="n">
        <v>45205</v>
      </c>
      <c r="E244" s="2" t="inlineStr">
        <is>
          <t>12:13</t>
        </is>
      </c>
      <c r="F244" s="5" t="n">
        <v>274.17</v>
      </c>
      <c r="G244" s="5" t="n"/>
      <c r="H244" s="5" t="n"/>
      <c r="I244" s="5" t="n"/>
      <c r="J244" s="5" t="n">
        <v>54.83</v>
      </c>
      <c r="K244" s="5" t="n"/>
      <c r="L244" s="5" t="n"/>
      <c r="M244" s="5" t="n"/>
      <c r="N244" s="5" t="n"/>
      <c r="O244" s="5" t="n">
        <v>329</v>
      </c>
      <c r="P244" s="5" t="n">
        <v>329</v>
      </c>
      <c r="Q244" s="5" t="n"/>
      <c r="R244" s="5" t="n"/>
      <c r="S244" s="5">
        <f>SUM(F244:I244)+N244</f>
        <v/>
      </c>
      <c r="T244" s="5">
        <f>J244</f>
        <v/>
      </c>
      <c r="U244" s="6">
        <f>YEAR(D244)</f>
        <v/>
      </c>
      <c r="V244" s="5">
        <f>TEXT(D244,"yyyy-mm")</f>
        <v/>
      </c>
    </row>
    <row r="245">
      <c r="A245" s="2" t="inlineStr">
        <is>
          <t>EJ021123.TXT</t>
        </is>
      </c>
      <c r="B245" s="3" t="inlineStr">
        <is>
          <t>001349</t>
        </is>
      </c>
      <c r="C245" s="3" t="inlineStr">
        <is>
          <t>000852</t>
        </is>
      </c>
      <c r="D245" s="4" t="n">
        <v>45205</v>
      </c>
      <c r="E245" s="2" t="inlineStr">
        <is>
          <t>14:10</t>
        </is>
      </c>
      <c r="F245" s="5" t="n">
        <v>866.67</v>
      </c>
      <c r="G245" s="5" t="n"/>
      <c r="H245" s="5" t="n"/>
      <c r="I245" s="5" t="n"/>
      <c r="J245" s="5" t="n">
        <v>173.33</v>
      </c>
      <c r="K245" s="5" t="n"/>
      <c r="L245" s="5" t="n"/>
      <c r="M245" s="5" t="n"/>
      <c r="N245" s="5" t="n"/>
      <c r="O245" s="5" t="n">
        <v>1040</v>
      </c>
      <c r="P245" s="5" t="n">
        <v>1040</v>
      </c>
      <c r="Q245" s="5" t="n"/>
      <c r="R245" s="5" t="n"/>
      <c r="S245" s="5">
        <f>SUM(F245:I245)+N245</f>
        <v/>
      </c>
      <c r="T245" s="5">
        <f>J245</f>
        <v/>
      </c>
      <c r="U245" s="6">
        <f>YEAR(D245)</f>
        <v/>
      </c>
      <c r="V245" s="5">
        <f>TEXT(D245,"yyyy-mm")</f>
        <v/>
      </c>
    </row>
    <row r="246">
      <c r="A246" s="2" t="inlineStr">
        <is>
          <t>EJ021123.TXT</t>
        </is>
      </c>
      <c r="B246" s="3" t="inlineStr">
        <is>
          <t>001350</t>
        </is>
      </c>
      <c r="C246" s="3" t="inlineStr">
        <is>
          <t>000853</t>
        </is>
      </c>
      <c r="D246" s="4" t="n">
        <v>45205</v>
      </c>
      <c r="E246" s="2" t="inlineStr">
        <is>
          <t>15:09</t>
        </is>
      </c>
      <c r="F246" s="5" t="n">
        <v>1165</v>
      </c>
      <c r="G246" s="5" t="n"/>
      <c r="H246" s="5" t="n"/>
      <c r="I246" s="5" t="n"/>
      <c r="J246" s="5" t="n">
        <v>233</v>
      </c>
      <c r="K246" s="5" t="n"/>
      <c r="L246" s="5" t="n"/>
      <c r="M246" s="5" t="n"/>
      <c r="N246" s="5" t="n"/>
      <c r="O246" s="5" t="n">
        <v>1398</v>
      </c>
      <c r="P246" s="5" t="n">
        <v>1398</v>
      </c>
      <c r="Q246" s="5" t="n"/>
      <c r="R246" s="5" t="n"/>
      <c r="S246" s="5">
        <f>SUM(F246:I246)+N246</f>
        <v/>
      </c>
      <c r="T246" s="5">
        <f>J246</f>
        <v/>
      </c>
      <c r="U246" s="6">
        <f>YEAR(D246)</f>
        <v/>
      </c>
      <c r="V246" s="5">
        <f>TEXT(D246,"yyyy-mm")</f>
        <v/>
      </c>
    </row>
    <row r="247">
      <c r="A247" s="2" t="inlineStr">
        <is>
          <t>EJ021123.TXT</t>
        </is>
      </c>
      <c r="B247" s="3" t="inlineStr">
        <is>
          <t>001351</t>
        </is>
      </c>
      <c r="C247" s="3" t="inlineStr">
        <is>
          <t>000854</t>
        </is>
      </c>
      <c r="D247" s="4" t="n">
        <v>45208</v>
      </c>
      <c r="E247" s="2" t="inlineStr">
        <is>
          <t>12:41</t>
        </is>
      </c>
      <c r="F247" s="5" t="n">
        <v>1096.67</v>
      </c>
      <c r="G247" s="5" t="n"/>
      <c r="H247" s="5" t="n"/>
      <c r="I247" s="5" t="n"/>
      <c r="J247" s="5" t="n">
        <v>219.33</v>
      </c>
      <c r="K247" s="5" t="n"/>
      <c r="L247" s="5" t="n"/>
      <c r="M247" s="5" t="n"/>
      <c r="N247" s="5" t="n"/>
      <c r="O247" s="5" t="n">
        <v>1316</v>
      </c>
      <c r="P247" s="5" t="n">
        <v>1316</v>
      </c>
      <c r="Q247" s="5" t="n"/>
      <c r="R247" s="5" t="n"/>
      <c r="S247" s="5">
        <f>SUM(F247:I247)+N247</f>
        <v/>
      </c>
      <c r="T247" s="5">
        <f>J247</f>
        <v/>
      </c>
      <c r="U247" s="6">
        <f>YEAR(D247)</f>
        <v/>
      </c>
      <c r="V247" s="5">
        <f>TEXT(D247,"yyyy-mm")</f>
        <v/>
      </c>
    </row>
    <row r="248">
      <c r="A248" s="2" t="inlineStr">
        <is>
          <t>EJ021123.TXT</t>
        </is>
      </c>
      <c r="B248" s="3" t="inlineStr">
        <is>
          <t>001352</t>
        </is>
      </c>
      <c r="C248" s="3" t="inlineStr">
        <is>
          <t>000855</t>
        </is>
      </c>
      <c r="D248" s="4" t="n">
        <v>45208</v>
      </c>
      <c r="E248" s="2" t="inlineStr">
        <is>
          <t>14:55</t>
        </is>
      </c>
      <c r="F248" s="5" t="n">
        <v>548.33</v>
      </c>
      <c r="G248" s="5" t="n"/>
      <c r="H248" s="5" t="n"/>
      <c r="I248" s="5" t="n"/>
      <c r="J248" s="5" t="n">
        <v>109.67</v>
      </c>
      <c r="K248" s="5" t="n"/>
      <c r="L248" s="5" t="n"/>
      <c r="M248" s="5" t="n"/>
      <c r="N248" s="5" t="n"/>
      <c r="O248" s="5" t="n">
        <v>658</v>
      </c>
      <c r="P248" s="5" t="n">
        <v>658</v>
      </c>
      <c r="Q248" s="5" t="n"/>
      <c r="R248" s="5" t="n"/>
      <c r="S248" s="5">
        <f>SUM(F248:I248)+N248</f>
        <v/>
      </c>
      <c r="T248" s="5">
        <f>J248</f>
        <v/>
      </c>
      <c r="U248" s="6">
        <f>YEAR(D248)</f>
        <v/>
      </c>
      <c r="V248" s="5">
        <f>TEXT(D248,"yyyy-mm")</f>
        <v/>
      </c>
    </row>
    <row r="249">
      <c r="A249" s="2" t="inlineStr">
        <is>
          <t>EJ021123.TXT</t>
        </is>
      </c>
      <c r="B249" s="3" t="inlineStr">
        <is>
          <t>001355</t>
        </is>
      </c>
      <c r="C249" s="3" t="inlineStr">
        <is>
          <t>000856</t>
        </is>
      </c>
      <c r="D249" s="4" t="n">
        <v>45211</v>
      </c>
      <c r="E249" s="2" t="inlineStr">
        <is>
          <t>15:56</t>
        </is>
      </c>
      <c r="F249" s="5" t="n">
        <v>522.5</v>
      </c>
      <c r="G249" s="5" t="n"/>
      <c r="H249" s="5" t="n"/>
      <c r="I249" s="5" t="n"/>
      <c r="J249" s="5" t="n">
        <v>104.5</v>
      </c>
      <c r="K249" s="5" t="n"/>
      <c r="L249" s="5" t="n"/>
      <c r="M249" s="5" t="n"/>
      <c r="N249" s="5" t="n"/>
      <c r="O249" s="5" t="n">
        <v>627</v>
      </c>
      <c r="P249" s="5" t="n">
        <v>627</v>
      </c>
      <c r="Q249" s="5" t="n"/>
      <c r="R249" s="5" t="n"/>
      <c r="S249" s="5">
        <f>SUM(F249:I249)+N249</f>
        <v/>
      </c>
      <c r="T249" s="5">
        <f>J249</f>
        <v/>
      </c>
      <c r="U249" s="6">
        <f>YEAR(D249)</f>
        <v/>
      </c>
      <c r="V249" s="5">
        <f>TEXT(D249,"yyyy-mm")</f>
        <v/>
      </c>
    </row>
    <row r="250">
      <c r="A250" s="2" t="inlineStr">
        <is>
          <t>EJ021123.TXT</t>
        </is>
      </c>
      <c r="B250" s="3" t="inlineStr">
        <is>
          <t>001356</t>
        </is>
      </c>
      <c r="C250" s="3" t="inlineStr">
        <is>
          <t>000857</t>
        </is>
      </c>
      <c r="D250" s="4" t="n">
        <v>45212</v>
      </c>
      <c r="E250" s="2" t="inlineStr">
        <is>
          <t>12:23</t>
        </is>
      </c>
      <c r="F250" s="5" t="n">
        <v>274.17</v>
      </c>
      <c r="G250" s="5" t="n"/>
      <c r="H250" s="5" t="n"/>
      <c r="I250" s="5" t="n"/>
      <c r="J250" s="5" t="n">
        <v>54.83</v>
      </c>
      <c r="K250" s="5" t="n"/>
      <c r="L250" s="5" t="n"/>
      <c r="M250" s="5" t="n"/>
      <c r="N250" s="5" t="n"/>
      <c r="O250" s="5" t="n">
        <v>329</v>
      </c>
      <c r="P250" s="5" t="n">
        <v>329</v>
      </c>
      <c r="Q250" s="5" t="n"/>
      <c r="R250" s="5" t="n"/>
      <c r="S250" s="5">
        <f>SUM(F250:I250)+N250</f>
        <v/>
      </c>
      <c r="T250" s="5">
        <f>J250</f>
        <v/>
      </c>
      <c r="U250" s="6">
        <f>YEAR(D250)</f>
        <v/>
      </c>
      <c r="V250" s="5">
        <f>TEXT(D250,"yyyy-mm")</f>
        <v/>
      </c>
    </row>
    <row r="251">
      <c r="A251" s="2" t="inlineStr">
        <is>
          <t>EJ021123.TXT</t>
        </is>
      </c>
      <c r="B251" s="3" t="inlineStr">
        <is>
          <t>001357</t>
        </is>
      </c>
      <c r="C251" s="3" t="inlineStr">
        <is>
          <t>000858</t>
        </is>
      </c>
      <c r="D251" s="4" t="n">
        <v>45213</v>
      </c>
      <c r="E251" s="2" t="inlineStr">
        <is>
          <t>14:43</t>
        </is>
      </c>
      <c r="F251" s="5" t="n">
        <v>548.33</v>
      </c>
      <c r="G251" s="5" t="n"/>
      <c r="H251" s="5" t="n"/>
      <c r="I251" s="5" t="n"/>
      <c r="J251" s="5" t="n">
        <v>109.67</v>
      </c>
      <c r="K251" s="5" t="n"/>
      <c r="L251" s="5" t="n"/>
      <c r="M251" s="5" t="n"/>
      <c r="N251" s="5" t="n"/>
      <c r="O251" s="5" t="n">
        <v>658</v>
      </c>
      <c r="P251" s="5" t="n">
        <v>658</v>
      </c>
      <c r="Q251" s="5" t="n"/>
      <c r="R251" s="5" t="n"/>
      <c r="S251" s="5">
        <f>SUM(F251:I251)+N251</f>
        <v/>
      </c>
      <c r="T251" s="5">
        <f>J251</f>
        <v/>
      </c>
      <c r="U251" s="6">
        <f>YEAR(D251)</f>
        <v/>
      </c>
      <c r="V251" s="5">
        <f>TEXT(D251,"yyyy-mm")</f>
        <v/>
      </c>
    </row>
    <row r="252">
      <c r="A252" s="2" t="inlineStr">
        <is>
          <t>EJ021123.TXT</t>
        </is>
      </c>
      <c r="B252" s="3" t="inlineStr">
        <is>
          <t>001358</t>
        </is>
      </c>
      <c r="C252" s="3" t="inlineStr">
        <is>
          <t>000859</t>
        </is>
      </c>
      <c r="D252" s="4" t="n">
        <v>45215</v>
      </c>
      <c r="E252" s="2" t="inlineStr">
        <is>
          <t>16:08</t>
        </is>
      </c>
      <c r="F252" s="5" t="n">
        <v>548.33</v>
      </c>
      <c r="G252" s="5" t="n"/>
      <c r="H252" s="5" t="n"/>
      <c r="I252" s="5" t="n"/>
      <c r="J252" s="5" t="n">
        <v>109.67</v>
      </c>
      <c r="K252" s="5" t="n"/>
      <c r="L252" s="5" t="n"/>
      <c r="M252" s="5" t="n"/>
      <c r="N252" s="5" t="n"/>
      <c r="O252" s="5" t="n">
        <v>658</v>
      </c>
      <c r="P252" s="5" t="n">
        <v>658</v>
      </c>
      <c r="Q252" s="5" t="n"/>
      <c r="R252" s="5" t="n"/>
      <c r="S252" s="5">
        <f>SUM(F252:I252)+N252</f>
        <v/>
      </c>
      <c r="T252" s="5">
        <f>J252</f>
        <v/>
      </c>
      <c r="U252" s="6">
        <f>YEAR(D252)</f>
        <v/>
      </c>
      <c r="V252" s="5">
        <f>TEXT(D252,"yyyy-mm")</f>
        <v/>
      </c>
    </row>
    <row r="253">
      <c r="A253" s="2" t="inlineStr">
        <is>
          <t>EJ021123.TXT</t>
        </is>
      </c>
      <c r="B253" s="3" t="inlineStr">
        <is>
          <t>001359</t>
        </is>
      </c>
      <c r="C253" s="3" t="inlineStr">
        <is>
          <t>000860</t>
        </is>
      </c>
      <c r="D253" s="4" t="n">
        <v>45216</v>
      </c>
      <c r="E253" s="2" t="inlineStr">
        <is>
          <t>11:15</t>
        </is>
      </c>
      <c r="F253" s="5" t="n">
        <v>3241.67</v>
      </c>
      <c r="G253" s="5" t="n"/>
      <c r="H253" s="5" t="n"/>
      <c r="I253" s="5" t="n"/>
      <c r="J253" s="5" t="n">
        <v>648.33</v>
      </c>
      <c r="K253" s="5" t="n"/>
      <c r="L253" s="5" t="n"/>
      <c r="M253" s="5" t="n"/>
      <c r="N253" s="5" t="n"/>
      <c r="O253" s="5" t="n">
        <v>3890</v>
      </c>
      <c r="P253" s="5" t="n">
        <v>3890</v>
      </c>
      <c r="Q253" s="5" t="n"/>
      <c r="R253" s="5" t="n"/>
      <c r="S253" s="5">
        <f>SUM(F253:I253)+N253</f>
        <v/>
      </c>
      <c r="T253" s="5">
        <f>J253</f>
        <v/>
      </c>
      <c r="U253" s="6">
        <f>YEAR(D253)</f>
        <v/>
      </c>
      <c r="V253" s="5">
        <f>TEXT(D253,"yyyy-mm")</f>
        <v/>
      </c>
    </row>
    <row r="254">
      <c r="A254" s="2" t="inlineStr">
        <is>
          <t>EJ021123.TXT</t>
        </is>
      </c>
      <c r="B254" s="3" t="inlineStr">
        <is>
          <t>001360</t>
        </is>
      </c>
      <c r="C254" s="3" t="inlineStr">
        <is>
          <t>000861</t>
        </is>
      </c>
      <c r="D254" s="4" t="n">
        <v>45217</v>
      </c>
      <c r="E254" s="2" t="inlineStr">
        <is>
          <t>16:43</t>
        </is>
      </c>
      <c r="F254" s="5" t="n">
        <v>266.67</v>
      </c>
      <c r="G254" s="5" t="n"/>
      <c r="H254" s="5" t="n"/>
      <c r="I254" s="5" t="n"/>
      <c r="J254" s="5" t="n">
        <v>53.33</v>
      </c>
      <c r="K254" s="5" t="n"/>
      <c r="L254" s="5" t="n"/>
      <c r="M254" s="5" t="n"/>
      <c r="N254" s="5" t="n"/>
      <c r="O254" s="5" t="n">
        <v>320</v>
      </c>
      <c r="P254" s="5" t="n"/>
      <c r="Q254" s="5" t="n">
        <v>320</v>
      </c>
      <c r="R254" s="5" t="n"/>
      <c r="S254" s="5">
        <f>SUM(F254:I254)+N254</f>
        <v/>
      </c>
      <c r="T254" s="5">
        <f>J254</f>
        <v/>
      </c>
      <c r="U254" s="6">
        <f>YEAR(D254)</f>
        <v/>
      </c>
      <c r="V254" s="5">
        <f>TEXT(D254,"yyyy-mm")</f>
        <v/>
      </c>
    </row>
    <row r="255">
      <c r="A255" s="2" t="inlineStr">
        <is>
          <t>EJ021123.TXT</t>
        </is>
      </c>
      <c r="B255" s="3" t="inlineStr">
        <is>
          <t>001361</t>
        </is>
      </c>
      <c r="C255" s="3" t="inlineStr">
        <is>
          <t>000862</t>
        </is>
      </c>
      <c r="D255" s="4" t="n">
        <v>45218</v>
      </c>
      <c r="E255" s="2" t="inlineStr">
        <is>
          <t>12:41</t>
        </is>
      </c>
      <c r="F255" s="5" t="n">
        <v>225</v>
      </c>
      <c r="G255" s="5" t="n"/>
      <c r="H255" s="5" t="n"/>
      <c r="I255" s="5" t="n"/>
      <c r="J255" s="5" t="n">
        <v>45</v>
      </c>
      <c r="K255" s="5" t="n"/>
      <c r="L255" s="5" t="n"/>
      <c r="M255" s="5" t="n"/>
      <c r="N255" s="5" t="n"/>
      <c r="O255" s="5" t="n">
        <v>270</v>
      </c>
      <c r="P255" s="5" t="n"/>
      <c r="Q255" s="5" t="n">
        <v>270</v>
      </c>
      <c r="R255" s="5" t="n"/>
      <c r="S255" s="5">
        <f>SUM(F255:I255)+N255</f>
        <v/>
      </c>
      <c r="T255" s="5">
        <f>J255</f>
        <v/>
      </c>
      <c r="U255" s="6">
        <f>YEAR(D255)</f>
        <v/>
      </c>
      <c r="V255" s="5">
        <f>TEXT(D255,"yyyy-mm")</f>
        <v/>
      </c>
    </row>
    <row r="256">
      <c r="A256" s="2" t="inlineStr">
        <is>
          <t>EJ021123.TXT</t>
        </is>
      </c>
      <c r="B256" s="3" t="inlineStr">
        <is>
          <t>001362</t>
        </is>
      </c>
      <c r="C256" s="3" t="inlineStr">
        <is>
          <t>000863</t>
        </is>
      </c>
      <c r="D256" s="4" t="n">
        <v>45218</v>
      </c>
      <c r="E256" s="2" t="inlineStr">
        <is>
          <t>16:53</t>
        </is>
      </c>
      <c r="F256" s="5" t="n">
        <v>274.17</v>
      </c>
      <c r="G256" s="5" t="n"/>
      <c r="H256" s="5" t="n"/>
      <c r="I256" s="5" t="n"/>
      <c r="J256" s="5" t="n">
        <v>54.83</v>
      </c>
      <c r="K256" s="5" t="n"/>
      <c r="L256" s="5" t="n"/>
      <c r="M256" s="5" t="n"/>
      <c r="N256" s="5" t="n"/>
      <c r="O256" s="5" t="n">
        <v>329</v>
      </c>
      <c r="P256" s="5" t="n">
        <v>329</v>
      </c>
      <c r="Q256" s="5" t="n"/>
      <c r="R256" s="5" t="n"/>
      <c r="S256" s="5">
        <f>SUM(F256:I256)+N256</f>
        <v/>
      </c>
      <c r="T256" s="5">
        <f>J256</f>
        <v/>
      </c>
      <c r="U256" s="6">
        <f>YEAR(D256)</f>
        <v/>
      </c>
      <c r="V256" s="5">
        <f>TEXT(D256,"yyyy-mm")</f>
        <v/>
      </c>
    </row>
    <row r="257">
      <c r="A257" s="2" t="inlineStr">
        <is>
          <t>EJ021123.TXT</t>
        </is>
      </c>
      <c r="B257" s="3" t="inlineStr">
        <is>
          <t>001363</t>
        </is>
      </c>
      <c r="C257" s="3" t="inlineStr">
        <is>
          <t>000864</t>
        </is>
      </c>
      <c r="D257" s="4" t="n">
        <v>45220</v>
      </c>
      <c r="E257" s="2" t="inlineStr">
        <is>
          <t>13:40</t>
        </is>
      </c>
      <c r="F257" s="5" t="n">
        <v>672.5</v>
      </c>
      <c r="G257" s="5" t="n"/>
      <c r="H257" s="5" t="n"/>
      <c r="I257" s="5" t="n"/>
      <c r="J257" s="5" t="n">
        <v>134.5</v>
      </c>
      <c r="K257" s="5" t="n"/>
      <c r="L257" s="5" t="n"/>
      <c r="M257" s="5" t="n"/>
      <c r="N257" s="5" t="n"/>
      <c r="O257" s="5" t="n">
        <v>807</v>
      </c>
      <c r="P257" s="5" t="n"/>
      <c r="Q257" s="5" t="n">
        <v>807</v>
      </c>
      <c r="R257" s="5" t="n"/>
      <c r="S257" s="5">
        <f>SUM(F257:I257)+N257</f>
        <v/>
      </c>
      <c r="T257" s="5">
        <f>J257</f>
        <v/>
      </c>
      <c r="U257" s="6">
        <f>YEAR(D257)</f>
        <v/>
      </c>
      <c r="V257" s="5">
        <f>TEXT(D257,"yyyy-mm")</f>
        <v/>
      </c>
    </row>
    <row r="258">
      <c r="A258" s="2" t="inlineStr">
        <is>
          <t>EJ021123.TXT</t>
        </is>
      </c>
      <c r="B258" s="3" t="inlineStr">
        <is>
          <t>001366</t>
        </is>
      </c>
      <c r="C258" s="3" t="inlineStr">
        <is>
          <t>000865</t>
        </is>
      </c>
      <c r="D258" s="4" t="n">
        <v>45222</v>
      </c>
      <c r="E258" s="2" t="inlineStr">
        <is>
          <t>12:31</t>
        </is>
      </c>
      <c r="F258" s="5" t="n">
        <v>274.17</v>
      </c>
      <c r="G258" s="5" t="n"/>
      <c r="H258" s="5" t="n"/>
      <c r="I258" s="5" t="n"/>
      <c r="J258" s="5" t="n">
        <v>54.83</v>
      </c>
      <c r="K258" s="5" t="n"/>
      <c r="L258" s="5" t="n"/>
      <c r="M258" s="5" t="n"/>
      <c r="N258" s="5" t="n"/>
      <c r="O258" s="5" t="n">
        <v>329</v>
      </c>
      <c r="P258" s="5" t="n"/>
      <c r="Q258" s="5" t="n">
        <v>329</v>
      </c>
      <c r="R258" s="5" t="n"/>
      <c r="S258" s="5">
        <f>SUM(F258:I258)+N258</f>
        <v/>
      </c>
      <c r="T258" s="5">
        <f>J258</f>
        <v/>
      </c>
      <c r="U258" s="6">
        <f>YEAR(D258)</f>
        <v/>
      </c>
      <c r="V258" s="5">
        <f>TEXT(D258,"yyyy-mm")</f>
        <v/>
      </c>
    </row>
    <row r="259">
      <c r="A259" s="2" t="inlineStr">
        <is>
          <t>EJ021123.TXT</t>
        </is>
      </c>
      <c r="B259" s="3" t="inlineStr">
        <is>
          <t>001369</t>
        </is>
      </c>
      <c r="C259" s="3" t="inlineStr">
        <is>
          <t>000866</t>
        </is>
      </c>
      <c r="D259" s="4" t="n">
        <v>45223</v>
      </c>
      <c r="E259" s="2" t="inlineStr">
        <is>
          <t>12:41</t>
        </is>
      </c>
      <c r="F259" s="5" t="n">
        <v>465</v>
      </c>
      <c r="G259" s="5" t="n"/>
      <c r="H259" s="5" t="n"/>
      <c r="I259" s="5" t="n"/>
      <c r="J259" s="5" t="n">
        <v>93</v>
      </c>
      <c r="K259" s="5" t="n"/>
      <c r="L259" s="5" t="n"/>
      <c r="M259" s="5" t="n"/>
      <c r="N259" s="5" t="n"/>
      <c r="O259" s="5" t="n">
        <v>558</v>
      </c>
      <c r="P259" s="5" t="n"/>
      <c r="Q259" s="5" t="n">
        <v>558</v>
      </c>
      <c r="R259" s="5" t="n"/>
      <c r="S259" s="5">
        <f>SUM(F259:I259)+N259</f>
        <v/>
      </c>
      <c r="T259" s="5">
        <f>J259</f>
        <v/>
      </c>
      <c r="U259" s="6">
        <f>YEAR(D259)</f>
        <v/>
      </c>
      <c r="V259" s="5">
        <f>TEXT(D259,"yyyy-mm")</f>
        <v/>
      </c>
    </row>
    <row r="260">
      <c r="A260" s="2" t="inlineStr">
        <is>
          <t>EJ021123.TXT</t>
        </is>
      </c>
      <c r="B260" s="3" t="inlineStr">
        <is>
          <t>001370</t>
        </is>
      </c>
      <c r="C260" s="3" t="inlineStr">
        <is>
          <t>000867</t>
        </is>
      </c>
      <c r="D260" s="4" t="n">
        <v>45224</v>
      </c>
      <c r="E260" s="2" t="inlineStr">
        <is>
          <t>14:51</t>
        </is>
      </c>
      <c r="F260" s="5" t="n">
        <v>2766.67</v>
      </c>
      <c r="G260" s="5" t="n"/>
      <c r="H260" s="5" t="n"/>
      <c r="I260" s="5" t="n"/>
      <c r="J260" s="5" t="n">
        <v>553.33</v>
      </c>
      <c r="K260" s="5" t="n"/>
      <c r="L260" s="5" t="n"/>
      <c r="M260" s="5" t="n"/>
      <c r="N260" s="5" t="n"/>
      <c r="O260" s="5" t="n">
        <v>3320</v>
      </c>
      <c r="P260" s="5" t="n">
        <v>3320</v>
      </c>
      <c r="Q260" s="5" t="n"/>
      <c r="R260" s="5" t="n"/>
      <c r="S260" s="5">
        <f>SUM(F260:I260)+N260</f>
        <v/>
      </c>
      <c r="T260" s="5">
        <f>J260</f>
        <v/>
      </c>
      <c r="U260" s="6">
        <f>YEAR(D260)</f>
        <v/>
      </c>
      <c r="V260" s="5">
        <f>TEXT(D260,"yyyy-mm")</f>
        <v/>
      </c>
    </row>
    <row r="261">
      <c r="A261" s="2" t="inlineStr">
        <is>
          <t>EJ021123.TXT</t>
        </is>
      </c>
      <c r="B261" s="3" t="inlineStr">
        <is>
          <t>001371</t>
        </is>
      </c>
      <c r="C261" s="3" t="inlineStr">
        <is>
          <t>000868</t>
        </is>
      </c>
      <c r="D261" s="4" t="n">
        <v>45224</v>
      </c>
      <c r="E261" s="2" t="inlineStr">
        <is>
          <t>16:43</t>
        </is>
      </c>
      <c r="F261" s="5" t="n">
        <v>548.33</v>
      </c>
      <c r="G261" s="5" t="n"/>
      <c r="H261" s="5" t="n"/>
      <c r="I261" s="5" t="n"/>
      <c r="J261" s="5" t="n">
        <v>109.67</v>
      </c>
      <c r="K261" s="5" t="n"/>
      <c r="L261" s="5" t="n"/>
      <c r="M261" s="5" t="n"/>
      <c r="N261" s="5" t="n"/>
      <c r="O261" s="5" t="n">
        <v>658</v>
      </c>
      <c r="P261" s="5" t="n">
        <v>658</v>
      </c>
      <c r="Q261" s="5" t="n"/>
      <c r="R261" s="5" t="n"/>
      <c r="S261" s="5">
        <f>SUM(F261:I261)+N261</f>
        <v/>
      </c>
      <c r="T261" s="5">
        <f>J261</f>
        <v/>
      </c>
      <c r="U261" s="6">
        <f>YEAR(D261)</f>
        <v/>
      </c>
      <c r="V261" s="5">
        <f>TEXT(D261,"yyyy-mm")</f>
        <v/>
      </c>
    </row>
    <row r="262">
      <c r="A262" s="2" t="inlineStr">
        <is>
          <t>EJ021123.TXT</t>
        </is>
      </c>
      <c r="B262" s="3" t="inlineStr">
        <is>
          <t>001375</t>
        </is>
      </c>
      <c r="C262" s="3" t="inlineStr">
        <is>
          <t>000869</t>
        </is>
      </c>
      <c r="D262" s="4" t="n">
        <v>45225</v>
      </c>
      <c r="E262" s="2" t="inlineStr">
        <is>
          <t>13:00</t>
        </is>
      </c>
      <c r="F262" s="5" t="n">
        <v>533.33</v>
      </c>
      <c r="G262" s="5" t="n"/>
      <c r="H262" s="5" t="n"/>
      <c r="I262" s="5" t="n"/>
      <c r="J262" s="5" t="n">
        <v>106.67</v>
      </c>
      <c r="K262" s="5" t="n"/>
      <c r="L262" s="5" t="n"/>
      <c r="M262" s="5" t="n"/>
      <c r="N262" s="5" t="n"/>
      <c r="O262" s="5" t="n">
        <v>640</v>
      </c>
      <c r="P262" s="5" t="n">
        <v>640</v>
      </c>
      <c r="Q262" s="5" t="n"/>
      <c r="R262" s="5" t="n"/>
      <c r="S262" s="5">
        <f>SUM(F262:I262)+N262</f>
        <v/>
      </c>
      <c r="T262" s="5">
        <f>J262</f>
        <v/>
      </c>
      <c r="U262" s="6">
        <f>YEAR(D262)</f>
        <v/>
      </c>
      <c r="V262" s="5">
        <f>TEXT(D262,"yyyy-mm")</f>
        <v/>
      </c>
    </row>
    <row r="263">
      <c r="A263" s="2" t="inlineStr">
        <is>
          <t>EJ021123.TXT</t>
        </is>
      </c>
      <c r="B263" s="3" t="inlineStr">
        <is>
          <t>001376</t>
        </is>
      </c>
      <c r="C263" s="3" t="inlineStr">
        <is>
          <t>000870</t>
        </is>
      </c>
      <c r="D263" s="4" t="n">
        <v>45225</v>
      </c>
      <c r="E263" s="2" t="inlineStr">
        <is>
          <t>15:20</t>
        </is>
      </c>
      <c r="F263" s="5" t="n">
        <v>548.33</v>
      </c>
      <c r="G263" s="5" t="n"/>
      <c r="H263" s="5" t="n"/>
      <c r="I263" s="5" t="n"/>
      <c r="J263" s="5" t="n">
        <v>109.67</v>
      </c>
      <c r="K263" s="5" t="n"/>
      <c r="L263" s="5" t="n"/>
      <c r="M263" s="5" t="n"/>
      <c r="N263" s="5" t="n"/>
      <c r="O263" s="5" t="n">
        <v>658</v>
      </c>
      <c r="P263" s="5" t="n">
        <v>658</v>
      </c>
      <c r="Q263" s="5" t="n"/>
      <c r="R263" s="5" t="n"/>
      <c r="S263" s="5">
        <f>SUM(F263:I263)+N263</f>
        <v/>
      </c>
      <c r="T263" s="5">
        <f>J263</f>
        <v/>
      </c>
      <c r="U263" s="6">
        <f>YEAR(D263)</f>
        <v/>
      </c>
      <c r="V263" s="5">
        <f>TEXT(D263,"yyyy-mm")</f>
        <v/>
      </c>
    </row>
    <row r="264">
      <c r="A264" s="2" t="inlineStr">
        <is>
          <t>EJ021123.TXT</t>
        </is>
      </c>
      <c r="B264" s="3" t="inlineStr">
        <is>
          <t>001377</t>
        </is>
      </c>
      <c r="C264" s="3" t="inlineStr">
        <is>
          <t>000871</t>
        </is>
      </c>
      <c r="D264" s="4" t="n">
        <v>45227</v>
      </c>
      <c r="E264" s="2" t="inlineStr">
        <is>
          <t>15:47</t>
        </is>
      </c>
      <c r="F264" s="5" t="n">
        <v>199.17</v>
      </c>
      <c r="G264" s="5" t="n"/>
      <c r="H264" s="5" t="n"/>
      <c r="I264" s="5" t="n"/>
      <c r="J264" s="5" t="n">
        <v>39.83</v>
      </c>
      <c r="K264" s="5" t="n"/>
      <c r="L264" s="5" t="n"/>
      <c r="M264" s="5" t="n"/>
      <c r="N264" s="5" t="n"/>
      <c r="O264" s="5" t="n">
        <v>239</v>
      </c>
      <c r="P264" s="5" t="n">
        <v>239</v>
      </c>
      <c r="Q264" s="5" t="n"/>
      <c r="R264" s="5" t="n"/>
      <c r="S264" s="5">
        <f>SUM(F264:I264)+N264</f>
        <v/>
      </c>
      <c r="T264" s="5">
        <f>J264</f>
        <v/>
      </c>
      <c r="U264" s="6">
        <f>YEAR(D264)</f>
        <v/>
      </c>
      <c r="V264" s="5">
        <f>TEXT(D264,"yyyy-mm")</f>
        <v/>
      </c>
    </row>
    <row r="265">
      <c r="A265" s="2" t="inlineStr">
        <is>
          <t>EJ061223.TXT</t>
        </is>
      </c>
      <c r="B265" s="3" t="inlineStr">
        <is>
          <t>001383</t>
        </is>
      </c>
      <c r="C265" s="3" t="inlineStr">
        <is>
          <t>000872</t>
        </is>
      </c>
      <c r="D265" s="4" t="n">
        <v>45232</v>
      </c>
      <c r="E265" s="2" t="inlineStr">
        <is>
          <t>16:46</t>
        </is>
      </c>
      <c r="F265" s="5" t="n">
        <v>533.33</v>
      </c>
      <c r="G265" s="5" t="n"/>
      <c r="H265" s="5" t="n"/>
      <c r="I265" s="5" t="n"/>
      <c r="J265" s="5" t="n">
        <v>106.67</v>
      </c>
      <c r="K265" s="5" t="n"/>
      <c r="L265" s="5" t="n"/>
      <c r="M265" s="5" t="n"/>
      <c r="N265" s="5" t="n"/>
      <c r="O265" s="5" t="n">
        <v>640</v>
      </c>
      <c r="P265" s="5" t="n">
        <v>640</v>
      </c>
      <c r="Q265" s="5" t="n"/>
      <c r="R265" s="5" t="n"/>
      <c r="S265" s="5">
        <f>SUM(F265:I265)+N265</f>
        <v/>
      </c>
      <c r="T265" s="5">
        <f>J265</f>
        <v/>
      </c>
      <c r="U265" s="6">
        <f>YEAR(D265)</f>
        <v/>
      </c>
      <c r="V265" s="5">
        <f>TEXT(D265,"yyyy-mm")</f>
        <v/>
      </c>
    </row>
    <row r="266">
      <c r="A266" s="2" t="inlineStr">
        <is>
          <t>EJ061223.TXT</t>
        </is>
      </c>
      <c r="B266" s="3" t="inlineStr">
        <is>
          <t>001384</t>
        </is>
      </c>
      <c r="C266" s="3" t="inlineStr">
        <is>
          <t>000873</t>
        </is>
      </c>
      <c r="D266" s="4" t="n">
        <v>45236</v>
      </c>
      <c r="E266" s="2" t="inlineStr">
        <is>
          <t>13:11</t>
        </is>
      </c>
      <c r="F266" s="5" t="n">
        <v>658.33</v>
      </c>
      <c r="G266" s="5" t="n"/>
      <c r="H266" s="5" t="n"/>
      <c r="I266" s="5" t="n"/>
      <c r="J266" s="5" t="n">
        <v>131.67</v>
      </c>
      <c r="K266" s="5" t="n"/>
      <c r="L266" s="5" t="n"/>
      <c r="M266" s="5" t="n"/>
      <c r="N266" s="5" t="n"/>
      <c r="O266" s="5" t="n">
        <v>790</v>
      </c>
      <c r="P266" s="5" t="n">
        <v>790</v>
      </c>
      <c r="Q266" s="5" t="n"/>
      <c r="R266" s="5" t="n"/>
      <c r="S266" s="5">
        <f>SUM(F266:I266)+N266</f>
        <v/>
      </c>
      <c r="T266" s="5">
        <f>J266</f>
        <v/>
      </c>
      <c r="U266" s="6">
        <f>YEAR(D266)</f>
        <v/>
      </c>
      <c r="V266" s="5">
        <f>TEXT(D266,"yyyy-mm")</f>
        <v/>
      </c>
    </row>
    <row r="267">
      <c r="A267" s="2" t="inlineStr">
        <is>
          <t>EJ061223.TXT</t>
        </is>
      </c>
      <c r="B267" s="3" t="inlineStr">
        <is>
          <t>001385</t>
        </is>
      </c>
      <c r="C267" s="3" t="inlineStr">
        <is>
          <t>000874</t>
        </is>
      </c>
      <c r="D267" s="4" t="n">
        <v>45236</v>
      </c>
      <c r="E267" s="2" t="inlineStr">
        <is>
          <t>13:29</t>
        </is>
      </c>
      <c r="F267" s="5" t="n">
        <v>54.17</v>
      </c>
      <c r="G267" s="5" t="n"/>
      <c r="H267" s="5" t="n"/>
      <c r="I267" s="5" t="n"/>
      <c r="J267" s="5" t="n">
        <v>10.83</v>
      </c>
      <c r="K267" s="5" t="n"/>
      <c r="L267" s="5" t="n"/>
      <c r="M267" s="5" t="n"/>
      <c r="N267" s="5" t="n"/>
      <c r="O267" s="5" t="n">
        <v>65</v>
      </c>
      <c r="P267" s="5" t="n">
        <v>65</v>
      </c>
      <c r="Q267" s="5" t="n"/>
      <c r="R267" s="5" t="n"/>
      <c r="S267" s="5">
        <f>SUM(F267:I267)+N267</f>
        <v/>
      </c>
      <c r="T267" s="5">
        <f>J267</f>
        <v/>
      </c>
      <c r="U267" s="6">
        <f>YEAR(D267)</f>
        <v/>
      </c>
      <c r="V267" s="5">
        <f>TEXT(D267,"yyyy-mm")</f>
        <v/>
      </c>
    </row>
    <row r="268">
      <c r="A268" s="2" t="inlineStr">
        <is>
          <t>EJ061223.TXT</t>
        </is>
      </c>
      <c r="B268" s="3" t="inlineStr">
        <is>
          <t>001386</t>
        </is>
      </c>
      <c r="C268" s="3" t="inlineStr">
        <is>
          <t>000875</t>
        </is>
      </c>
      <c r="D268" s="4" t="n">
        <v>45237</v>
      </c>
      <c r="E268" s="2" t="inlineStr">
        <is>
          <t>11:11</t>
        </is>
      </c>
      <c r="F268" s="5" t="n">
        <v>548.33</v>
      </c>
      <c r="G268" s="5" t="n"/>
      <c r="H268" s="5" t="n"/>
      <c r="I268" s="5" t="n"/>
      <c r="J268" s="5" t="n">
        <v>109.67</v>
      </c>
      <c r="K268" s="5" t="n"/>
      <c r="L268" s="5" t="n"/>
      <c r="M268" s="5" t="n"/>
      <c r="N268" s="5" t="n"/>
      <c r="O268" s="5" t="n">
        <v>658</v>
      </c>
      <c r="P268" s="5" t="n">
        <v>128</v>
      </c>
      <c r="Q268" s="5" t="n">
        <v>530</v>
      </c>
      <c r="R268" s="5" t="n"/>
      <c r="S268" s="5">
        <f>SUM(F268:I268)+N268</f>
        <v/>
      </c>
      <c r="T268" s="5">
        <f>J268</f>
        <v/>
      </c>
      <c r="U268" s="6">
        <f>YEAR(D268)</f>
        <v/>
      </c>
      <c r="V268" s="5">
        <f>TEXT(D268,"yyyy-mm")</f>
        <v/>
      </c>
    </row>
    <row r="269">
      <c r="A269" s="2" t="inlineStr">
        <is>
          <t>EJ061223.TXT</t>
        </is>
      </c>
      <c r="B269" s="3" t="inlineStr">
        <is>
          <t>001387</t>
        </is>
      </c>
      <c r="C269" s="3" t="inlineStr">
        <is>
          <t>000876</t>
        </is>
      </c>
      <c r="D269" s="4" t="n">
        <v>45237</v>
      </c>
      <c r="E269" s="2" t="inlineStr">
        <is>
          <t>11:56</t>
        </is>
      </c>
      <c r="F269" s="5" t="n">
        <v>165</v>
      </c>
      <c r="G269" s="5" t="n"/>
      <c r="H269" s="5" t="n"/>
      <c r="I269" s="5" t="n"/>
      <c r="J269" s="5" t="n">
        <v>33</v>
      </c>
      <c r="K269" s="5" t="n"/>
      <c r="L269" s="5" t="n"/>
      <c r="M269" s="5" t="n"/>
      <c r="N269" s="5" t="n"/>
      <c r="O269" s="5" t="n">
        <v>198</v>
      </c>
      <c r="P269" s="5" t="n"/>
      <c r="Q269" s="5" t="n">
        <v>198</v>
      </c>
      <c r="R269" s="5" t="n"/>
      <c r="S269" s="5">
        <f>SUM(F269:I269)+N269</f>
        <v/>
      </c>
      <c r="T269" s="5">
        <f>J269</f>
        <v/>
      </c>
      <c r="U269" s="6">
        <f>YEAR(D269)</f>
        <v/>
      </c>
      <c r="V269" s="5">
        <f>TEXT(D269,"yyyy-mm")</f>
        <v/>
      </c>
    </row>
    <row r="270">
      <c r="A270" s="2" t="inlineStr">
        <is>
          <t>EJ061223.TXT</t>
        </is>
      </c>
      <c r="B270" s="3" t="inlineStr">
        <is>
          <t>001393</t>
        </is>
      </c>
      <c r="C270" s="3" t="inlineStr">
        <is>
          <t>000877</t>
        </is>
      </c>
      <c r="D270" s="4" t="n">
        <v>45240</v>
      </c>
      <c r="E270" s="2" t="inlineStr">
        <is>
          <t>15:31</t>
        </is>
      </c>
      <c r="F270" s="5" t="n">
        <v>688.29</v>
      </c>
      <c r="G270" s="5" t="n"/>
      <c r="H270" s="5" t="n"/>
      <c r="I270" s="5" t="n"/>
      <c r="J270" s="5" t="n">
        <v>137.66</v>
      </c>
      <c r="K270" s="5" t="n"/>
      <c r="L270" s="5" t="n"/>
      <c r="M270" s="5" t="n"/>
      <c r="N270" s="5" t="n"/>
      <c r="O270" s="5" t="n">
        <v>825.95</v>
      </c>
      <c r="P270" s="5" t="n"/>
      <c r="Q270" s="5" t="n">
        <v>825.95</v>
      </c>
      <c r="R270" s="5" t="n"/>
      <c r="S270" s="5">
        <f>SUM(F270:I270)+N270</f>
        <v/>
      </c>
      <c r="T270" s="5">
        <f>J270</f>
        <v/>
      </c>
      <c r="U270" s="6">
        <f>YEAR(D270)</f>
        <v/>
      </c>
      <c r="V270" s="5">
        <f>TEXT(D270,"yyyy-mm")</f>
        <v/>
      </c>
    </row>
    <row r="271">
      <c r="A271" s="2" t="inlineStr">
        <is>
          <t>EJ061223.TXT</t>
        </is>
      </c>
      <c r="B271" s="3" t="inlineStr">
        <is>
          <t>001394</t>
        </is>
      </c>
      <c r="C271" s="3" t="inlineStr">
        <is>
          <t>000878</t>
        </is>
      </c>
      <c r="D271" s="4" t="n">
        <v>45240</v>
      </c>
      <c r="E271" s="2" t="inlineStr">
        <is>
          <t>15:31</t>
        </is>
      </c>
      <c r="F271" s="5" t="n">
        <v>1179.17</v>
      </c>
      <c r="G271" s="5" t="n"/>
      <c r="H271" s="5" t="n"/>
      <c r="I271" s="5" t="n"/>
      <c r="J271" s="5" t="n">
        <v>235.83</v>
      </c>
      <c r="K271" s="5" t="n"/>
      <c r="L271" s="5" t="n"/>
      <c r="M271" s="5" t="n"/>
      <c r="N271" s="5" t="n"/>
      <c r="O271" s="5" t="n">
        <v>1415</v>
      </c>
      <c r="P271" s="5" t="n"/>
      <c r="Q271" s="5" t="n">
        <v>1415</v>
      </c>
      <c r="R271" s="5" t="n"/>
      <c r="S271" s="5">
        <f>SUM(F271:I271)+N271</f>
        <v/>
      </c>
      <c r="T271" s="5">
        <f>J271</f>
        <v/>
      </c>
      <c r="U271" s="6">
        <f>YEAR(D271)</f>
        <v/>
      </c>
      <c r="V271" s="5">
        <f>TEXT(D271,"yyyy-mm")</f>
        <v/>
      </c>
    </row>
    <row r="272">
      <c r="A272" s="2" t="inlineStr">
        <is>
          <t>EJ061223.TXT</t>
        </is>
      </c>
      <c r="B272" s="3" t="inlineStr">
        <is>
          <t>001395</t>
        </is>
      </c>
      <c r="C272" s="3" t="inlineStr">
        <is>
          <t>000879</t>
        </is>
      </c>
      <c r="D272" s="4" t="n">
        <v>45240</v>
      </c>
      <c r="E272" s="2" t="inlineStr">
        <is>
          <t>15:32</t>
        </is>
      </c>
      <c r="F272" s="5" t="n">
        <v>1179.17</v>
      </c>
      <c r="G272" s="5" t="n"/>
      <c r="H272" s="5" t="n"/>
      <c r="I272" s="5" t="n"/>
      <c r="J272" s="5" t="n">
        <v>235.83</v>
      </c>
      <c r="K272" s="5" t="n"/>
      <c r="L272" s="5" t="n"/>
      <c r="M272" s="5" t="n"/>
      <c r="N272" s="5" t="n"/>
      <c r="O272" s="5" t="n">
        <v>1415</v>
      </c>
      <c r="P272" s="5" t="n"/>
      <c r="Q272" s="5" t="n">
        <v>1415</v>
      </c>
      <c r="R272" s="5" t="n"/>
      <c r="S272" s="5">
        <f>SUM(F272:I272)+N272</f>
        <v/>
      </c>
      <c r="T272" s="5">
        <f>J272</f>
        <v/>
      </c>
      <c r="U272" s="6">
        <f>YEAR(D272)</f>
        <v/>
      </c>
      <c r="V272" s="5">
        <f>TEXT(D272,"yyyy-mm")</f>
        <v/>
      </c>
    </row>
    <row r="273">
      <c r="A273" s="2" t="inlineStr">
        <is>
          <t>EJ061223.TXT</t>
        </is>
      </c>
      <c r="B273" s="3" t="inlineStr">
        <is>
          <t>001396</t>
        </is>
      </c>
      <c r="C273" s="3" t="inlineStr">
        <is>
          <t>000880</t>
        </is>
      </c>
      <c r="D273" s="4" t="n">
        <v>45240</v>
      </c>
      <c r="E273" s="2" t="inlineStr">
        <is>
          <t>15:32</t>
        </is>
      </c>
      <c r="F273" s="5" t="n">
        <v>1179.17</v>
      </c>
      <c r="G273" s="5" t="n"/>
      <c r="H273" s="5" t="n"/>
      <c r="I273" s="5" t="n"/>
      <c r="J273" s="5" t="n">
        <v>235.83</v>
      </c>
      <c r="K273" s="5" t="n"/>
      <c r="L273" s="5" t="n"/>
      <c r="M273" s="5" t="n"/>
      <c r="N273" s="5" t="n"/>
      <c r="O273" s="5" t="n">
        <v>1415</v>
      </c>
      <c r="P273" s="5" t="n"/>
      <c r="Q273" s="5" t="n">
        <v>1415</v>
      </c>
      <c r="R273" s="5" t="n"/>
      <c r="S273" s="5">
        <f>SUM(F273:I273)+N273</f>
        <v/>
      </c>
      <c r="T273" s="5">
        <f>J273</f>
        <v/>
      </c>
      <c r="U273" s="6">
        <f>YEAR(D273)</f>
        <v/>
      </c>
      <c r="V273" s="5">
        <f>TEXT(D273,"yyyy-mm")</f>
        <v/>
      </c>
    </row>
    <row r="274">
      <c r="A274" s="2" t="inlineStr">
        <is>
          <t>EJ061223.TXT</t>
        </is>
      </c>
      <c r="B274" s="3" t="inlineStr">
        <is>
          <t>001397</t>
        </is>
      </c>
      <c r="C274" s="3" t="inlineStr">
        <is>
          <t>000881</t>
        </is>
      </c>
      <c r="D274" s="4" t="n">
        <v>45240</v>
      </c>
      <c r="E274" s="2" t="inlineStr">
        <is>
          <t>15:33</t>
        </is>
      </c>
      <c r="F274" s="5" t="n">
        <v>657.5</v>
      </c>
      <c r="G274" s="5" t="n"/>
      <c r="H274" s="5" t="n"/>
      <c r="I274" s="5" t="n"/>
      <c r="J274" s="5" t="n">
        <v>131.5</v>
      </c>
      <c r="K274" s="5" t="n"/>
      <c r="L274" s="5" t="n"/>
      <c r="M274" s="5" t="n"/>
      <c r="N274" s="5" t="n"/>
      <c r="O274" s="5" t="n">
        <v>789</v>
      </c>
      <c r="P274" s="5" t="n"/>
      <c r="Q274" s="5" t="n">
        <v>789</v>
      </c>
      <c r="R274" s="5" t="n"/>
      <c r="S274" s="5">
        <f>SUM(F274:I274)+N274</f>
        <v/>
      </c>
      <c r="T274" s="5">
        <f>J274</f>
        <v/>
      </c>
      <c r="U274" s="6">
        <f>YEAR(D274)</f>
        <v/>
      </c>
      <c r="V274" s="5">
        <f>TEXT(D274,"yyyy-mm")</f>
        <v/>
      </c>
    </row>
    <row r="275">
      <c r="A275" s="2" t="inlineStr">
        <is>
          <t>EJ061223.TXT</t>
        </is>
      </c>
      <c r="B275" s="3" t="inlineStr">
        <is>
          <t>001398</t>
        </is>
      </c>
      <c r="C275" s="3" t="inlineStr">
        <is>
          <t>000882</t>
        </is>
      </c>
      <c r="D275" s="4" t="n">
        <v>45240</v>
      </c>
      <c r="E275" s="2" t="inlineStr">
        <is>
          <t>15:33</t>
        </is>
      </c>
      <c r="F275" s="5" t="n">
        <v>521.67</v>
      </c>
      <c r="G275" s="5" t="n"/>
      <c r="H275" s="5" t="n"/>
      <c r="I275" s="5" t="n"/>
      <c r="J275" s="5" t="n">
        <v>104.33</v>
      </c>
      <c r="K275" s="5" t="n"/>
      <c r="L275" s="5" t="n"/>
      <c r="M275" s="5" t="n"/>
      <c r="N275" s="5" t="n"/>
      <c r="O275" s="5" t="n">
        <v>626</v>
      </c>
      <c r="P275" s="5" t="n"/>
      <c r="Q275" s="5" t="n">
        <v>626</v>
      </c>
      <c r="R275" s="5" t="n"/>
      <c r="S275" s="5">
        <f>SUM(F275:I275)+N275</f>
        <v/>
      </c>
      <c r="T275" s="5">
        <f>J275</f>
        <v/>
      </c>
      <c r="U275" s="6">
        <f>YEAR(D275)</f>
        <v/>
      </c>
      <c r="V275" s="5">
        <f>TEXT(D275,"yyyy-mm")</f>
        <v/>
      </c>
    </row>
    <row r="276">
      <c r="A276" s="2" t="inlineStr">
        <is>
          <t>EJ061223.TXT</t>
        </is>
      </c>
      <c r="B276" s="3" t="inlineStr">
        <is>
          <t>001399</t>
        </is>
      </c>
      <c r="C276" s="3" t="inlineStr">
        <is>
          <t>000883</t>
        </is>
      </c>
      <c r="D276" s="4" t="n">
        <v>45240</v>
      </c>
      <c r="E276" s="2" t="inlineStr">
        <is>
          <t>15:33</t>
        </is>
      </c>
      <c r="F276" s="5" t="n">
        <v>690.83</v>
      </c>
      <c r="G276" s="5" t="n"/>
      <c r="H276" s="5" t="n"/>
      <c r="I276" s="5" t="n"/>
      <c r="J276" s="5" t="n">
        <v>138.17</v>
      </c>
      <c r="K276" s="5" t="n"/>
      <c r="L276" s="5" t="n"/>
      <c r="M276" s="5" t="n"/>
      <c r="N276" s="5" t="n"/>
      <c r="O276" s="5" t="n">
        <v>829</v>
      </c>
      <c r="P276" s="5" t="n"/>
      <c r="Q276" s="5" t="n">
        <v>829</v>
      </c>
      <c r="R276" s="5" t="n"/>
      <c r="S276" s="5">
        <f>SUM(F276:I276)+N276</f>
        <v/>
      </c>
      <c r="T276" s="5">
        <f>J276</f>
        <v/>
      </c>
      <c r="U276" s="6">
        <f>YEAR(D276)</f>
        <v/>
      </c>
      <c r="V276" s="5">
        <f>TEXT(D276,"yyyy-mm")</f>
        <v/>
      </c>
    </row>
    <row r="277">
      <c r="A277" s="2" t="inlineStr">
        <is>
          <t>EJ061223.TXT</t>
        </is>
      </c>
      <c r="B277" s="3" t="inlineStr">
        <is>
          <t>001400</t>
        </is>
      </c>
      <c r="C277" s="3" t="inlineStr">
        <is>
          <t>000884</t>
        </is>
      </c>
      <c r="D277" s="4" t="n">
        <v>45240</v>
      </c>
      <c r="E277" s="2" t="inlineStr">
        <is>
          <t>15:33</t>
        </is>
      </c>
      <c r="F277" s="5" t="n">
        <v>488.33</v>
      </c>
      <c r="G277" s="5" t="n"/>
      <c r="H277" s="5" t="n"/>
      <c r="I277" s="5" t="n"/>
      <c r="J277" s="5" t="n">
        <v>97.67</v>
      </c>
      <c r="K277" s="5" t="n"/>
      <c r="L277" s="5" t="n"/>
      <c r="M277" s="5" t="n"/>
      <c r="N277" s="5" t="n"/>
      <c r="O277" s="5" t="n">
        <v>586</v>
      </c>
      <c r="P277" s="5" t="n"/>
      <c r="Q277" s="5" t="n">
        <v>586</v>
      </c>
      <c r="R277" s="5" t="n"/>
      <c r="S277" s="5">
        <f>SUM(F277:I277)+N277</f>
        <v/>
      </c>
      <c r="T277" s="5">
        <f>J277</f>
        <v/>
      </c>
      <c r="U277" s="6">
        <f>YEAR(D277)</f>
        <v/>
      </c>
      <c r="V277" s="5">
        <f>TEXT(D277,"yyyy-mm")</f>
        <v/>
      </c>
    </row>
    <row r="278">
      <c r="A278" s="2" t="inlineStr">
        <is>
          <t>EJ061223.TXT</t>
        </is>
      </c>
      <c r="B278" s="3" t="inlineStr">
        <is>
          <t>001402</t>
        </is>
      </c>
      <c r="C278" s="3" t="inlineStr">
        <is>
          <t>000885</t>
        </is>
      </c>
      <c r="D278" s="4" t="n">
        <v>45243</v>
      </c>
      <c r="E278" s="2" t="inlineStr">
        <is>
          <t>11:59</t>
        </is>
      </c>
      <c r="F278" s="5" t="n">
        <v>548.33</v>
      </c>
      <c r="G278" s="5" t="n"/>
      <c r="H278" s="5" t="n"/>
      <c r="I278" s="5" t="n"/>
      <c r="J278" s="5" t="n">
        <v>109.67</v>
      </c>
      <c r="K278" s="5" t="n"/>
      <c r="L278" s="5" t="n"/>
      <c r="M278" s="5" t="n"/>
      <c r="N278" s="5" t="n"/>
      <c r="O278" s="5" t="n">
        <v>658</v>
      </c>
      <c r="P278" s="5" t="n"/>
      <c r="Q278" s="5" t="n">
        <v>658</v>
      </c>
      <c r="R278" s="5" t="n"/>
      <c r="S278" s="5">
        <f>SUM(F278:I278)+N278</f>
        <v/>
      </c>
      <c r="T278" s="5">
        <f>J278</f>
        <v/>
      </c>
      <c r="U278" s="6">
        <f>YEAR(D278)</f>
        <v/>
      </c>
      <c r="V278" s="5">
        <f>TEXT(D278,"yyyy-mm")</f>
        <v/>
      </c>
    </row>
    <row r="279">
      <c r="A279" s="2" t="inlineStr">
        <is>
          <t>EJ061223.TXT</t>
        </is>
      </c>
      <c r="B279" s="3" t="inlineStr">
        <is>
          <t>001403</t>
        </is>
      </c>
      <c r="C279" s="3" t="inlineStr">
        <is>
          <t>000886</t>
        </is>
      </c>
      <c r="D279" s="4" t="n">
        <v>45244</v>
      </c>
      <c r="E279" s="2" t="inlineStr">
        <is>
          <t>11:32</t>
        </is>
      </c>
      <c r="F279" s="5" t="n">
        <v>566.67</v>
      </c>
      <c r="G279" s="5" t="n"/>
      <c r="H279" s="5" t="n"/>
      <c r="I279" s="5" t="n"/>
      <c r="J279" s="5" t="n">
        <v>113.33</v>
      </c>
      <c r="K279" s="5" t="n"/>
      <c r="L279" s="5" t="n"/>
      <c r="M279" s="5" t="n"/>
      <c r="N279" s="5" t="n"/>
      <c r="O279" s="5" t="n">
        <v>680</v>
      </c>
      <c r="P279" s="5" t="n"/>
      <c r="Q279" s="5" t="n">
        <v>680</v>
      </c>
      <c r="R279" s="5" t="n"/>
      <c r="S279" s="5">
        <f>SUM(F279:I279)+N279</f>
        <v/>
      </c>
      <c r="T279" s="5">
        <f>J279</f>
        <v/>
      </c>
      <c r="U279" s="6">
        <f>YEAR(D279)</f>
        <v/>
      </c>
      <c r="V279" s="5">
        <f>TEXT(D279,"yyyy-mm")</f>
        <v/>
      </c>
    </row>
    <row r="280">
      <c r="A280" s="2" t="inlineStr">
        <is>
          <t>EJ061223.TXT</t>
        </is>
      </c>
      <c r="B280" s="3" t="inlineStr">
        <is>
          <t>001404</t>
        </is>
      </c>
      <c r="C280" s="3" t="inlineStr">
        <is>
          <t>000887</t>
        </is>
      </c>
      <c r="D280" s="4" t="n">
        <v>45246</v>
      </c>
      <c r="E280" s="2" t="inlineStr">
        <is>
          <t>16:39</t>
        </is>
      </c>
      <c r="F280" s="5" t="n">
        <v>548.33</v>
      </c>
      <c r="G280" s="5" t="n"/>
      <c r="H280" s="5" t="n"/>
      <c r="I280" s="5" t="n"/>
      <c r="J280" s="5" t="n">
        <v>109.67</v>
      </c>
      <c r="K280" s="5" t="n"/>
      <c r="L280" s="5" t="n"/>
      <c r="M280" s="5" t="n"/>
      <c r="N280" s="5" t="n"/>
      <c r="O280" s="5" t="n">
        <v>658</v>
      </c>
      <c r="P280" s="5" t="n"/>
      <c r="Q280" s="5" t="n">
        <v>658</v>
      </c>
      <c r="R280" s="5" t="n"/>
      <c r="S280" s="5">
        <f>SUM(F280:I280)+N280</f>
        <v/>
      </c>
      <c r="T280" s="5">
        <f>J280</f>
        <v/>
      </c>
      <c r="U280" s="6">
        <f>YEAR(D280)</f>
        <v/>
      </c>
      <c r="V280" s="5">
        <f>TEXT(D280,"yyyy-mm")</f>
        <v/>
      </c>
    </row>
    <row r="281">
      <c r="A281" s="2" t="inlineStr">
        <is>
          <t>EJ061223.TXT</t>
        </is>
      </c>
      <c r="B281" s="3" t="inlineStr">
        <is>
          <t>001405</t>
        </is>
      </c>
      <c r="C281" s="3" t="inlineStr">
        <is>
          <t>000888</t>
        </is>
      </c>
      <c r="D281" s="4" t="n">
        <v>45246</v>
      </c>
      <c r="E281" s="2" t="inlineStr">
        <is>
          <t>16:39</t>
        </is>
      </c>
      <c r="F281" s="5" t="n">
        <v>285</v>
      </c>
      <c r="G281" s="5" t="n"/>
      <c r="H281" s="5" t="n"/>
      <c r="I281" s="5" t="n"/>
      <c r="J281" s="5" t="n">
        <v>57</v>
      </c>
      <c r="K281" s="5" t="n"/>
      <c r="L281" s="5" t="n"/>
      <c r="M281" s="5" t="n"/>
      <c r="N281" s="5" t="n"/>
      <c r="O281" s="5" t="n">
        <v>342</v>
      </c>
      <c r="P281" s="5" t="n"/>
      <c r="Q281" s="5" t="n">
        <v>342</v>
      </c>
      <c r="R281" s="5" t="n"/>
      <c r="S281" s="5">
        <f>SUM(F281:I281)+N281</f>
        <v/>
      </c>
      <c r="T281" s="5">
        <f>J281</f>
        <v/>
      </c>
      <c r="U281" s="6">
        <f>YEAR(D281)</f>
        <v/>
      </c>
      <c r="V281" s="5">
        <f>TEXT(D281,"yyyy-mm")</f>
        <v/>
      </c>
    </row>
    <row r="282">
      <c r="A282" s="2" t="inlineStr">
        <is>
          <t>EJ061223.TXT</t>
        </is>
      </c>
      <c r="B282" s="3" t="inlineStr">
        <is>
          <t>001406</t>
        </is>
      </c>
      <c r="C282" s="3" t="inlineStr">
        <is>
          <t>000889</t>
        </is>
      </c>
      <c r="D282" s="4" t="n">
        <v>45246</v>
      </c>
      <c r="E282" s="2" t="inlineStr">
        <is>
          <t>16:40</t>
        </is>
      </c>
      <c r="F282" s="5" t="n">
        <v>811.67</v>
      </c>
      <c r="G282" s="5" t="n"/>
      <c r="H282" s="5" t="n"/>
      <c r="I282" s="5" t="n"/>
      <c r="J282" s="5" t="n">
        <v>162.33</v>
      </c>
      <c r="K282" s="5" t="n"/>
      <c r="L282" s="5" t="n"/>
      <c r="M282" s="5" t="n"/>
      <c r="N282" s="5" t="n"/>
      <c r="O282" s="5" t="n">
        <v>974</v>
      </c>
      <c r="P282" s="5" t="n">
        <v>974</v>
      </c>
      <c r="Q282" s="5" t="n"/>
      <c r="R282" s="5" t="n"/>
      <c r="S282" s="5">
        <f>SUM(F282:I282)+N282</f>
        <v/>
      </c>
      <c r="T282" s="5">
        <f>J282</f>
        <v/>
      </c>
      <c r="U282" s="6">
        <f>YEAR(D282)</f>
        <v/>
      </c>
      <c r="V282" s="5">
        <f>TEXT(D282,"yyyy-mm")</f>
        <v/>
      </c>
    </row>
    <row r="283">
      <c r="A283" s="2" t="inlineStr">
        <is>
          <t>EJ061223.TXT</t>
        </is>
      </c>
      <c r="B283" s="3" t="inlineStr">
        <is>
          <t>001407</t>
        </is>
      </c>
      <c r="C283" s="3" t="inlineStr">
        <is>
          <t>000890</t>
        </is>
      </c>
      <c r="D283" s="4" t="n">
        <v>45247</v>
      </c>
      <c r="E283" s="2" t="inlineStr">
        <is>
          <t>10:45</t>
        </is>
      </c>
      <c r="F283" s="5" t="n">
        <v>136.67</v>
      </c>
      <c r="G283" s="5" t="n"/>
      <c r="H283" s="5" t="n"/>
      <c r="I283" s="5" t="n"/>
      <c r="J283" s="5" t="n">
        <v>27.33</v>
      </c>
      <c r="K283" s="5" t="n"/>
      <c r="L283" s="5" t="n"/>
      <c r="M283" s="5" t="n"/>
      <c r="N283" s="5" t="n"/>
      <c r="O283" s="5" t="n">
        <v>164</v>
      </c>
      <c r="P283" s="5" t="n">
        <v>164</v>
      </c>
      <c r="Q283" s="5" t="n"/>
      <c r="R283" s="5" t="n"/>
      <c r="S283" s="5">
        <f>SUM(F283:I283)+N283</f>
        <v/>
      </c>
      <c r="T283" s="5">
        <f>J283</f>
        <v/>
      </c>
      <c r="U283" s="6">
        <f>YEAR(D283)</f>
        <v/>
      </c>
      <c r="V283" s="5">
        <f>TEXT(D283,"yyyy-mm")</f>
        <v/>
      </c>
    </row>
    <row r="284">
      <c r="A284" s="2" t="inlineStr">
        <is>
          <t>EJ061223.TXT</t>
        </is>
      </c>
      <c r="B284" s="3" t="inlineStr">
        <is>
          <t>001408</t>
        </is>
      </c>
      <c r="C284" s="3" t="inlineStr">
        <is>
          <t>000891</t>
        </is>
      </c>
      <c r="D284" s="4" t="n">
        <v>45251</v>
      </c>
      <c r="E284" s="2" t="inlineStr">
        <is>
          <t>14:34</t>
        </is>
      </c>
      <c r="F284" s="5" t="n">
        <v>440</v>
      </c>
      <c r="G284" s="5" t="n"/>
      <c r="H284" s="5" t="n"/>
      <c r="I284" s="5" t="n"/>
      <c r="J284" s="5" t="n">
        <v>88</v>
      </c>
      <c r="K284" s="5" t="n"/>
      <c r="L284" s="5" t="n"/>
      <c r="M284" s="5" t="n"/>
      <c r="N284" s="5" t="n"/>
      <c r="O284" s="5" t="n">
        <v>528</v>
      </c>
      <c r="P284" s="5" t="n">
        <v>528</v>
      </c>
      <c r="Q284" s="5" t="n"/>
      <c r="R284" s="5" t="n"/>
      <c r="S284" s="5">
        <f>SUM(F284:I284)+N284</f>
        <v/>
      </c>
      <c r="T284" s="5">
        <f>J284</f>
        <v/>
      </c>
      <c r="U284" s="6">
        <f>YEAR(D284)</f>
        <v/>
      </c>
      <c r="V284" s="5">
        <f>TEXT(D284,"yyyy-mm")</f>
        <v/>
      </c>
    </row>
    <row r="285">
      <c r="A285" s="2" t="inlineStr">
        <is>
          <t>EJ061223.TXT</t>
        </is>
      </c>
      <c r="B285" s="3" t="inlineStr">
        <is>
          <t>001409</t>
        </is>
      </c>
      <c r="C285" s="3" t="inlineStr">
        <is>
          <t>000892</t>
        </is>
      </c>
      <c r="D285" s="4" t="n">
        <v>45253</v>
      </c>
      <c r="E285" s="2" t="inlineStr">
        <is>
          <t>15:35</t>
        </is>
      </c>
      <c r="F285" s="5" t="n">
        <v>1645</v>
      </c>
      <c r="G285" s="5" t="n"/>
      <c r="H285" s="5" t="n"/>
      <c r="I285" s="5" t="n"/>
      <c r="J285" s="5" t="n">
        <v>329</v>
      </c>
      <c r="K285" s="5" t="n"/>
      <c r="L285" s="5" t="n"/>
      <c r="M285" s="5" t="n"/>
      <c r="N285" s="5" t="n"/>
      <c r="O285" s="5" t="n">
        <v>1974</v>
      </c>
      <c r="P285" s="5" t="n">
        <v>1974</v>
      </c>
      <c r="Q285" s="5" t="n"/>
      <c r="R285" s="5" t="n"/>
      <c r="S285" s="5">
        <f>SUM(F285:I285)+N285</f>
        <v/>
      </c>
      <c r="T285" s="5">
        <f>J285</f>
        <v/>
      </c>
      <c r="U285" s="6">
        <f>YEAR(D285)</f>
        <v/>
      </c>
      <c r="V285" s="5">
        <f>TEXT(D285,"yyyy-mm")</f>
        <v/>
      </c>
    </row>
    <row r="286">
      <c r="A286" s="2" t="inlineStr">
        <is>
          <t>EJ061223.TXT</t>
        </is>
      </c>
      <c r="B286" s="3" t="inlineStr">
        <is>
          <t>001410</t>
        </is>
      </c>
      <c r="C286" s="3" t="inlineStr">
        <is>
          <t>000893</t>
        </is>
      </c>
      <c r="D286" s="4" t="n">
        <v>45257</v>
      </c>
      <c r="E286" s="2" t="inlineStr">
        <is>
          <t>12:36</t>
        </is>
      </c>
      <c r="F286" s="5" t="n">
        <v>548.33</v>
      </c>
      <c r="G286" s="5" t="n"/>
      <c r="H286" s="5" t="n"/>
      <c r="I286" s="5" t="n"/>
      <c r="J286" s="5" t="n">
        <v>109.67</v>
      </c>
      <c r="K286" s="5" t="n"/>
      <c r="L286" s="5" t="n"/>
      <c r="M286" s="5" t="n"/>
      <c r="N286" s="5" t="n"/>
      <c r="O286" s="5" t="n">
        <v>658</v>
      </c>
      <c r="P286" s="5" t="n">
        <v>658</v>
      </c>
      <c r="Q286" s="5" t="n"/>
      <c r="R286" s="5" t="n"/>
      <c r="S286" s="5">
        <f>SUM(F286:I286)+N286</f>
        <v/>
      </c>
      <c r="T286" s="5">
        <f>J286</f>
        <v/>
      </c>
      <c r="U286" s="6">
        <f>YEAR(D286)</f>
        <v/>
      </c>
      <c r="V286" s="5">
        <f>TEXT(D286,"yyyy-mm")</f>
        <v/>
      </c>
    </row>
    <row r="287">
      <c r="A287" s="2" t="inlineStr">
        <is>
          <t>EJ061223.TXT</t>
        </is>
      </c>
      <c r="B287" s="3" t="inlineStr">
        <is>
          <t>001411</t>
        </is>
      </c>
      <c r="C287" s="3" t="inlineStr">
        <is>
          <t>000894</t>
        </is>
      </c>
      <c r="D287" s="4" t="n">
        <v>45257</v>
      </c>
      <c r="E287" s="2" t="inlineStr">
        <is>
          <t>14:15</t>
        </is>
      </c>
      <c r="F287" s="5" t="n">
        <v>516.67</v>
      </c>
      <c r="G287" s="5" t="n"/>
      <c r="H287" s="5" t="n"/>
      <c r="I287" s="5" t="n"/>
      <c r="J287" s="5" t="n">
        <v>103.33</v>
      </c>
      <c r="K287" s="5" t="n"/>
      <c r="L287" s="5" t="n"/>
      <c r="M287" s="5" t="n"/>
      <c r="N287" s="5" t="n"/>
      <c r="O287" s="5" t="n">
        <v>620</v>
      </c>
      <c r="P287" s="5" t="n"/>
      <c r="Q287" s="5" t="n">
        <v>620</v>
      </c>
      <c r="R287" s="5" t="n"/>
      <c r="S287" s="5">
        <f>SUM(F287:I287)+N287</f>
        <v/>
      </c>
      <c r="T287" s="5">
        <f>J287</f>
        <v/>
      </c>
      <c r="U287" s="6">
        <f>YEAR(D287)</f>
        <v/>
      </c>
      <c r="V287" s="5">
        <f>TEXT(D287,"yyyy-mm")</f>
        <v/>
      </c>
    </row>
    <row r="288">
      <c r="A288" s="2" t="inlineStr">
        <is>
          <t>EJ061223.TXT</t>
        </is>
      </c>
      <c r="B288" s="3" t="inlineStr">
        <is>
          <t>001412</t>
        </is>
      </c>
      <c r="C288" s="3" t="inlineStr">
        <is>
          <t>000895</t>
        </is>
      </c>
      <c r="D288" s="4" t="n">
        <v>45257</v>
      </c>
      <c r="E288" s="2" t="inlineStr">
        <is>
          <t>14:20</t>
        </is>
      </c>
      <c r="F288" s="5" t="n">
        <v>516.67</v>
      </c>
      <c r="G288" s="5" t="n"/>
      <c r="H288" s="5" t="n"/>
      <c r="I288" s="5" t="n"/>
      <c r="J288" s="5" t="n">
        <v>103.33</v>
      </c>
      <c r="K288" s="5" t="n"/>
      <c r="L288" s="5" t="n"/>
      <c r="M288" s="5" t="n"/>
      <c r="N288" s="5" t="n"/>
      <c r="O288" s="5" t="n">
        <v>620</v>
      </c>
      <c r="P288" s="5" t="n"/>
      <c r="Q288" s="5" t="n">
        <v>620</v>
      </c>
      <c r="R288" s="5" t="n"/>
      <c r="S288" s="5">
        <f>SUM(F288:I288)+N288</f>
        <v/>
      </c>
      <c r="T288" s="5">
        <f>J288</f>
        <v/>
      </c>
      <c r="U288" s="6">
        <f>YEAR(D288)</f>
        <v/>
      </c>
      <c r="V288" s="5">
        <f>TEXT(D288,"yyyy-mm")</f>
        <v/>
      </c>
    </row>
    <row r="289">
      <c r="A289" s="2" t="inlineStr">
        <is>
          <t>EJ061223.TXT</t>
        </is>
      </c>
      <c r="B289" s="3" t="inlineStr">
        <is>
          <t>001413</t>
        </is>
      </c>
      <c r="C289" s="3" t="inlineStr">
        <is>
          <t>000896</t>
        </is>
      </c>
      <c r="D289" s="4" t="n">
        <v>45258</v>
      </c>
      <c r="E289" s="2" t="inlineStr">
        <is>
          <t>11:32</t>
        </is>
      </c>
      <c r="F289" s="5" t="n">
        <v>822.5</v>
      </c>
      <c r="G289" s="5" t="n"/>
      <c r="H289" s="5" t="n"/>
      <c r="I289" s="5" t="n"/>
      <c r="J289" s="5" t="n">
        <v>164.5</v>
      </c>
      <c r="K289" s="5" t="n"/>
      <c r="L289" s="5" t="n"/>
      <c r="M289" s="5" t="n"/>
      <c r="N289" s="5" t="n"/>
      <c r="O289" s="5" t="n">
        <v>987</v>
      </c>
      <c r="P289" s="5" t="n">
        <v>987</v>
      </c>
      <c r="Q289" s="5" t="n"/>
      <c r="R289" s="5" t="n"/>
      <c r="S289" s="5">
        <f>SUM(F289:I289)+N289</f>
        <v/>
      </c>
      <c r="T289" s="5">
        <f>J289</f>
        <v/>
      </c>
      <c r="U289" s="6">
        <f>YEAR(D289)</f>
        <v/>
      </c>
      <c r="V289" s="5">
        <f>TEXT(D289,"yyyy-mm")</f>
        <v/>
      </c>
    </row>
    <row r="290">
      <c r="A290" s="2" t="inlineStr">
        <is>
          <t>EJ061223.TXT</t>
        </is>
      </c>
      <c r="B290" s="3" t="inlineStr">
        <is>
          <t>001414</t>
        </is>
      </c>
      <c r="C290" s="3" t="inlineStr">
        <is>
          <t>000897</t>
        </is>
      </c>
      <c r="D290" s="4" t="n">
        <v>45258</v>
      </c>
      <c r="E290" s="2" t="inlineStr">
        <is>
          <t>13:38</t>
        </is>
      </c>
      <c r="F290" s="5" t="n">
        <v>548.33</v>
      </c>
      <c r="G290" s="5" t="n"/>
      <c r="H290" s="5" t="n"/>
      <c r="I290" s="5" t="n"/>
      <c r="J290" s="5" t="n">
        <v>109.67</v>
      </c>
      <c r="K290" s="5" t="n"/>
      <c r="L290" s="5" t="n"/>
      <c r="M290" s="5" t="n"/>
      <c r="N290" s="5" t="n"/>
      <c r="O290" s="5" t="n">
        <v>658</v>
      </c>
      <c r="P290" s="5" t="n">
        <v>658</v>
      </c>
      <c r="Q290" s="5" t="n"/>
      <c r="R290" s="5" t="n"/>
      <c r="S290" s="5">
        <f>SUM(F290:I290)+N290</f>
        <v/>
      </c>
      <c r="T290" s="5">
        <f>J290</f>
        <v/>
      </c>
      <c r="U290" s="6">
        <f>YEAR(D290)</f>
        <v/>
      </c>
      <c r="V290" s="5">
        <f>TEXT(D290,"yyyy-mm")</f>
        <v/>
      </c>
    </row>
    <row r="291">
      <c r="A291" s="2" t="inlineStr">
        <is>
          <t>EJ061223.TXT</t>
        </is>
      </c>
      <c r="B291" s="3" t="inlineStr">
        <is>
          <t>001415</t>
        </is>
      </c>
      <c r="C291" s="3" t="inlineStr">
        <is>
          <t>000898</t>
        </is>
      </c>
      <c r="D291" s="4" t="n">
        <v>45259</v>
      </c>
      <c r="E291" s="2" t="inlineStr">
        <is>
          <t>10:27</t>
        </is>
      </c>
      <c r="F291" s="5" t="n">
        <v>548.33</v>
      </c>
      <c r="G291" s="5" t="n"/>
      <c r="H291" s="5" t="n"/>
      <c r="I291" s="5" t="n"/>
      <c r="J291" s="5" t="n">
        <v>109.67</v>
      </c>
      <c r="K291" s="5" t="n"/>
      <c r="L291" s="5" t="n"/>
      <c r="M291" s="5" t="n"/>
      <c r="N291" s="5" t="n"/>
      <c r="O291" s="5" t="n">
        <v>658</v>
      </c>
      <c r="P291" s="5" t="n">
        <v>658</v>
      </c>
      <c r="Q291" s="5" t="n"/>
      <c r="R291" s="5" t="n"/>
      <c r="S291" s="5">
        <f>SUM(F291:I291)+N291</f>
        <v/>
      </c>
      <c r="T291" s="5">
        <f>J291</f>
        <v/>
      </c>
      <c r="U291" s="6">
        <f>YEAR(D291)</f>
        <v/>
      </c>
      <c r="V291" s="5">
        <f>TEXT(D291,"yyyy-mm")</f>
        <v/>
      </c>
    </row>
    <row r="292">
      <c r="A292" s="2" t="inlineStr">
        <is>
          <t>EJ061223.TXT</t>
        </is>
      </c>
      <c r="B292" s="3" t="inlineStr">
        <is>
          <t>001416</t>
        </is>
      </c>
      <c r="C292" s="3" t="inlineStr">
        <is>
          <t>000899</t>
        </is>
      </c>
      <c r="D292" s="4" t="n">
        <v>45260</v>
      </c>
      <c r="E292" s="2" t="inlineStr">
        <is>
          <t>15:53</t>
        </is>
      </c>
      <c r="F292" s="5" t="n">
        <v>739.17</v>
      </c>
      <c r="G292" s="5" t="n"/>
      <c r="H292" s="5" t="n"/>
      <c r="I292" s="5" t="n"/>
      <c r="J292" s="5" t="n">
        <v>147.83</v>
      </c>
      <c r="K292" s="5" t="n"/>
      <c r="L292" s="5" t="n"/>
      <c r="M292" s="5" t="n"/>
      <c r="N292" s="5" t="n"/>
      <c r="O292" s="5" t="n">
        <v>887</v>
      </c>
      <c r="P292" s="5" t="n">
        <v>887</v>
      </c>
      <c r="Q292" s="5" t="n"/>
      <c r="R292" s="5" t="n"/>
      <c r="S292" s="5">
        <f>SUM(F292:I292)+N292</f>
        <v/>
      </c>
      <c r="T292" s="5">
        <f>J292</f>
        <v/>
      </c>
      <c r="U292" s="6">
        <f>YEAR(D292)</f>
        <v/>
      </c>
      <c r="V292" s="5">
        <f>TEXT(D292,"yyyy-mm")</f>
        <v/>
      </c>
    </row>
    <row r="293">
      <c r="A293" s="2" t="inlineStr">
        <is>
          <t>EJ061223.TXT</t>
        </is>
      </c>
      <c r="B293" s="3" t="inlineStr">
        <is>
          <t>001417</t>
        </is>
      </c>
      <c r="C293" s="3" t="inlineStr">
        <is>
          <t>000900</t>
        </is>
      </c>
      <c r="D293" s="4" t="n">
        <v>45261</v>
      </c>
      <c r="E293" s="2" t="inlineStr">
        <is>
          <t>12:25</t>
        </is>
      </c>
      <c r="F293" s="5" t="n">
        <v>531.67</v>
      </c>
      <c r="G293" s="5" t="n"/>
      <c r="H293" s="5" t="n"/>
      <c r="I293" s="5" t="n"/>
      <c r="J293" s="5" t="n">
        <v>106.33</v>
      </c>
      <c r="K293" s="5" t="n"/>
      <c r="L293" s="5" t="n"/>
      <c r="M293" s="5" t="n"/>
      <c r="N293" s="5" t="n"/>
      <c r="O293" s="5" t="n">
        <v>638</v>
      </c>
      <c r="P293" s="5" t="n"/>
      <c r="Q293" s="5" t="n">
        <v>638</v>
      </c>
      <c r="R293" s="5" t="n"/>
      <c r="S293" s="5">
        <f>SUM(F293:I293)+N293</f>
        <v/>
      </c>
      <c r="T293" s="5">
        <f>J293</f>
        <v/>
      </c>
      <c r="U293" s="6">
        <f>YEAR(D293)</f>
        <v/>
      </c>
      <c r="V293" s="5">
        <f>TEXT(D293,"yyyy-mm")</f>
        <v/>
      </c>
    </row>
    <row r="294">
      <c r="A294" s="2" t="inlineStr">
        <is>
          <t>EJ061223.TXT</t>
        </is>
      </c>
      <c r="B294" s="3" t="inlineStr">
        <is>
          <t>001418</t>
        </is>
      </c>
      <c r="C294" s="3" t="inlineStr">
        <is>
          <t>000901</t>
        </is>
      </c>
      <c r="D294" s="4" t="n">
        <v>45261</v>
      </c>
      <c r="E294" s="2" t="inlineStr">
        <is>
          <t>15:48</t>
        </is>
      </c>
      <c r="F294" s="5" t="n">
        <v>1096.67</v>
      </c>
      <c r="G294" s="5" t="n"/>
      <c r="H294" s="5" t="n"/>
      <c r="I294" s="5" t="n"/>
      <c r="J294" s="5" t="n">
        <v>219.33</v>
      </c>
      <c r="K294" s="5" t="n"/>
      <c r="L294" s="5" t="n"/>
      <c r="M294" s="5" t="n"/>
      <c r="N294" s="5" t="n"/>
      <c r="O294" s="5" t="n">
        <v>1316</v>
      </c>
      <c r="P294" s="5" t="n">
        <v>1316</v>
      </c>
      <c r="Q294" s="5" t="n"/>
      <c r="R294" s="5" t="n"/>
      <c r="S294" s="5">
        <f>SUM(F294:I294)+N294</f>
        <v/>
      </c>
      <c r="T294" s="5">
        <f>J294</f>
        <v/>
      </c>
      <c r="U294" s="6">
        <f>YEAR(D294)</f>
        <v/>
      </c>
      <c r="V294" s="5">
        <f>TEXT(D294,"yyyy-mm")</f>
        <v/>
      </c>
    </row>
    <row r="295">
      <c r="A295" s="2" t="inlineStr">
        <is>
          <t>EJ061223.TXT</t>
        </is>
      </c>
      <c r="B295" s="3" t="inlineStr">
        <is>
          <t>001419</t>
        </is>
      </c>
      <c r="C295" s="3" t="inlineStr">
        <is>
          <t>000902</t>
        </is>
      </c>
      <c r="D295" s="4" t="n">
        <v>45262</v>
      </c>
      <c r="E295" s="2" t="inlineStr">
        <is>
          <t>16:22</t>
        </is>
      </c>
      <c r="F295" s="5" t="n">
        <v>190.83</v>
      </c>
      <c r="G295" s="5" t="n"/>
      <c r="H295" s="5" t="n"/>
      <c r="I295" s="5" t="n"/>
      <c r="J295" s="5" t="n">
        <v>38.17</v>
      </c>
      <c r="K295" s="5" t="n"/>
      <c r="L295" s="5" t="n"/>
      <c r="M295" s="5" t="n"/>
      <c r="N295" s="5" t="n"/>
      <c r="O295" s="5" t="n">
        <v>229</v>
      </c>
      <c r="P295" s="5" t="n">
        <v>229</v>
      </c>
      <c r="Q295" s="5" t="n"/>
      <c r="R295" s="5" t="n"/>
      <c r="S295" s="5">
        <f>SUM(F295:I295)+N295</f>
        <v/>
      </c>
      <c r="T295" s="5">
        <f>J295</f>
        <v/>
      </c>
      <c r="U295" s="6">
        <f>YEAR(D295)</f>
        <v/>
      </c>
      <c r="V295" s="5">
        <f>TEXT(D295,"yyyy-mm")</f>
        <v/>
      </c>
    </row>
    <row r="296">
      <c r="A296" s="2" t="inlineStr">
        <is>
          <t>EJ061223.TXT</t>
        </is>
      </c>
      <c r="B296" s="3" t="inlineStr">
        <is>
          <t>001420</t>
        </is>
      </c>
      <c r="C296" s="3" t="inlineStr">
        <is>
          <t>000903</t>
        </is>
      </c>
      <c r="D296" s="4" t="n">
        <v>45266</v>
      </c>
      <c r="E296" s="2" t="inlineStr">
        <is>
          <t>14:10</t>
        </is>
      </c>
      <c r="F296" s="5" t="n">
        <v>1595</v>
      </c>
      <c r="G296" s="5" t="n"/>
      <c r="H296" s="5" t="n"/>
      <c r="I296" s="5" t="n"/>
      <c r="J296" s="5" t="n">
        <v>319</v>
      </c>
      <c r="K296" s="5" t="n"/>
      <c r="L296" s="5" t="n"/>
      <c r="M296" s="5" t="n"/>
      <c r="N296" s="5" t="n"/>
      <c r="O296" s="5" t="n">
        <v>1914</v>
      </c>
      <c r="P296" s="5" t="n">
        <v>1914</v>
      </c>
      <c r="Q296" s="5" t="n"/>
      <c r="R296" s="5" t="n"/>
      <c r="S296" s="5">
        <f>SUM(F296:I296)+N296</f>
        <v/>
      </c>
      <c r="T296" s="5">
        <f>J296</f>
        <v/>
      </c>
      <c r="U296" s="6">
        <f>YEAR(D296)</f>
        <v/>
      </c>
      <c r="V296" s="5">
        <f>TEXT(D296,"yyyy-mm")</f>
        <v/>
      </c>
    </row>
    <row r="297">
      <c r="A297" s="2" t="inlineStr">
        <is>
          <t>EJ050124.TXT</t>
        </is>
      </c>
      <c r="B297" s="3" t="inlineStr">
        <is>
          <t>001428</t>
        </is>
      </c>
      <c r="C297" s="3" t="inlineStr">
        <is>
          <t>000904</t>
        </is>
      </c>
      <c r="D297" s="4" t="n">
        <v>45268</v>
      </c>
      <c r="E297" s="2" t="inlineStr">
        <is>
          <t>14:17</t>
        </is>
      </c>
      <c r="F297" s="5" t="n">
        <v>-465</v>
      </c>
      <c r="G297" s="5" t="n"/>
      <c r="H297" s="5" t="n"/>
      <c r="I297" s="5" t="n"/>
      <c r="J297" s="5" t="n">
        <v>-93</v>
      </c>
      <c r="K297" s="5" t="n"/>
      <c r="L297" s="5" t="n"/>
      <c r="M297" s="5" t="n"/>
      <c r="N297" s="5" t="n"/>
      <c r="O297" s="5" t="n">
        <v>-558</v>
      </c>
      <c r="P297" s="5" t="n">
        <v>-558</v>
      </c>
      <c r="Q297" s="5" t="n"/>
      <c r="R297" s="5" t="n"/>
      <c r="S297" s="5">
        <f>SUM(F297:I297)+N297</f>
        <v/>
      </c>
      <c r="T297" s="5">
        <f>J297</f>
        <v/>
      </c>
      <c r="U297" s="6">
        <f>YEAR(D297)</f>
        <v/>
      </c>
      <c r="V297" s="5">
        <f>TEXT(D297,"yyyy-mm")</f>
        <v/>
      </c>
    </row>
    <row r="298">
      <c r="A298" s="2" t="inlineStr">
        <is>
          <t>EJ050124.TXT</t>
        </is>
      </c>
      <c r="B298" s="3" t="inlineStr">
        <is>
          <t>001429</t>
        </is>
      </c>
      <c r="C298" s="3" t="inlineStr">
        <is>
          <t>000905</t>
        </is>
      </c>
      <c r="D298" s="4" t="n">
        <v>45269</v>
      </c>
      <c r="E298" s="2" t="inlineStr">
        <is>
          <t>16:52</t>
        </is>
      </c>
      <c r="F298" s="5" t="n">
        <v>-597.5</v>
      </c>
      <c r="G298" s="5" t="n"/>
      <c r="H298" s="5" t="n"/>
      <c r="I298" s="5" t="n"/>
      <c r="J298" s="5" t="n">
        <v>-119.5</v>
      </c>
      <c r="K298" s="5" t="n"/>
      <c r="L298" s="5" t="n"/>
      <c r="M298" s="5" t="n"/>
      <c r="N298" s="5" t="n"/>
      <c r="O298" s="5" t="n">
        <v>-717</v>
      </c>
      <c r="P298" s="5" t="n">
        <v>-717</v>
      </c>
      <c r="Q298" s="5" t="n"/>
      <c r="R298" s="5" t="n"/>
      <c r="S298" s="5">
        <f>SUM(F298:I298)+N298</f>
        <v/>
      </c>
      <c r="T298" s="5">
        <f>J298</f>
        <v/>
      </c>
      <c r="U298" s="6">
        <f>YEAR(D298)</f>
        <v/>
      </c>
      <c r="V298" s="5">
        <f>TEXT(D298,"yyyy-mm")</f>
        <v/>
      </c>
    </row>
    <row r="299">
      <c r="A299" s="2" t="inlineStr">
        <is>
          <t>EJ050124.TXT</t>
        </is>
      </c>
      <c r="B299" s="3" t="inlineStr">
        <is>
          <t>001430</t>
        </is>
      </c>
      <c r="C299" s="3" t="inlineStr">
        <is>
          <t>000906</t>
        </is>
      </c>
      <c r="D299" s="4" t="n">
        <v>45271</v>
      </c>
      <c r="E299" s="2" t="inlineStr">
        <is>
          <t>15:32</t>
        </is>
      </c>
      <c r="F299" s="5" t="n">
        <v>-1096.67</v>
      </c>
      <c r="G299" s="5" t="n"/>
      <c r="H299" s="5" t="n"/>
      <c r="I299" s="5" t="n"/>
      <c r="J299" s="5" t="n">
        <v>-219.33</v>
      </c>
      <c r="K299" s="5" t="n"/>
      <c r="L299" s="5" t="n"/>
      <c r="M299" s="5" t="n"/>
      <c r="N299" s="5" t="n"/>
      <c r="O299" s="5" t="n">
        <v>-1316</v>
      </c>
      <c r="P299" s="5" t="n">
        <v>-1316</v>
      </c>
      <c r="Q299" s="5" t="n"/>
      <c r="R299" s="5" t="n"/>
      <c r="S299" s="5">
        <f>SUM(F299:I299)+N299</f>
        <v/>
      </c>
      <c r="T299" s="5">
        <f>J299</f>
        <v/>
      </c>
      <c r="U299" s="6">
        <f>YEAR(D299)</f>
        <v/>
      </c>
      <c r="V299" s="5">
        <f>TEXT(D299,"yyyy-mm")</f>
        <v/>
      </c>
    </row>
    <row r="300">
      <c r="A300" s="2" t="inlineStr">
        <is>
          <t>EJ050124.TXT</t>
        </is>
      </c>
      <c r="B300" s="3" t="inlineStr">
        <is>
          <t>001431</t>
        </is>
      </c>
      <c r="C300" s="3" t="inlineStr">
        <is>
          <t>000907</t>
        </is>
      </c>
      <c r="D300" s="4" t="n">
        <v>45272</v>
      </c>
      <c r="E300" s="2" t="inlineStr">
        <is>
          <t>17:06</t>
        </is>
      </c>
      <c r="F300" s="5" t="n">
        <v>-274.17</v>
      </c>
      <c r="G300" s="5" t="n"/>
      <c r="H300" s="5" t="n"/>
      <c r="I300" s="5" t="n"/>
      <c r="J300" s="5" t="n">
        <v>-54.83</v>
      </c>
      <c r="K300" s="5" t="n"/>
      <c r="L300" s="5" t="n"/>
      <c r="M300" s="5" t="n"/>
      <c r="N300" s="5" t="n"/>
      <c r="O300" s="5" t="n">
        <v>-329</v>
      </c>
      <c r="P300" s="5" t="n"/>
      <c r="Q300" s="5" t="n">
        <v>-329</v>
      </c>
      <c r="R300" s="5" t="n"/>
      <c r="S300" s="5">
        <f>SUM(F300:I300)+N300</f>
        <v/>
      </c>
      <c r="T300" s="5">
        <f>J300</f>
        <v/>
      </c>
      <c r="U300" s="6">
        <f>YEAR(D300)</f>
        <v/>
      </c>
      <c r="V300" s="5">
        <f>TEXT(D300,"yyyy-mm")</f>
        <v/>
      </c>
    </row>
    <row r="301">
      <c r="A301" s="2" t="inlineStr">
        <is>
          <t>EJ050124.TXT</t>
        </is>
      </c>
      <c r="B301" s="3" t="inlineStr">
        <is>
          <t>001432</t>
        </is>
      </c>
      <c r="C301" s="3" t="inlineStr">
        <is>
          <t>000908</t>
        </is>
      </c>
      <c r="D301" s="4" t="n">
        <v>45274</v>
      </c>
      <c r="E301" s="2" t="inlineStr">
        <is>
          <t>14:45</t>
        </is>
      </c>
      <c r="F301" s="5" t="n">
        <v>-797.5</v>
      </c>
      <c r="G301" s="5" t="n"/>
      <c r="H301" s="5" t="n"/>
      <c r="I301" s="5" t="n"/>
      <c r="J301" s="5" t="n">
        <v>-159.5</v>
      </c>
      <c r="K301" s="5" t="n"/>
      <c r="L301" s="5" t="n"/>
      <c r="M301" s="5" t="n"/>
      <c r="N301" s="5" t="n"/>
      <c r="O301" s="5" t="n">
        <v>-957</v>
      </c>
      <c r="P301" s="5" t="n"/>
      <c r="Q301" s="5" t="n">
        <v>-957</v>
      </c>
      <c r="R301" s="5" t="n"/>
      <c r="S301" s="5">
        <f>SUM(F301:I301)+N301</f>
        <v/>
      </c>
      <c r="T301" s="5">
        <f>J301</f>
        <v/>
      </c>
      <c r="U301" s="6">
        <f>YEAR(D301)</f>
        <v/>
      </c>
      <c r="V301" s="5">
        <f>TEXT(D301,"yyyy-mm")</f>
        <v/>
      </c>
    </row>
    <row r="302">
      <c r="A302" s="2" t="inlineStr">
        <is>
          <t>EJ050124.TXT</t>
        </is>
      </c>
      <c r="B302" s="3" t="inlineStr">
        <is>
          <t>001433</t>
        </is>
      </c>
      <c r="C302" s="3" t="inlineStr">
        <is>
          <t>000909</t>
        </is>
      </c>
      <c r="D302" s="4" t="n">
        <v>45274</v>
      </c>
      <c r="E302" s="2" t="inlineStr">
        <is>
          <t>16:07</t>
        </is>
      </c>
      <c r="F302" s="5" t="n">
        <v>-124.17</v>
      </c>
      <c r="G302" s="5" t="n"/>
      <c r="H302" s="5" t="n"/>
      <c r="I302" s="5" t="n"/>
      <c r="J302" s="5" t="n">
        <v>-24.83</v>
      </c>
      <c r="K302" s="5" t="n"/>
      <c r="L302" s="5" t="n"/>
      <c r="M302" s="5" t="n"/>
      <c r="N302" s="5" t="n"/>
      <c r="O302" s="5" t="n">
        <v>-149</v>
      </c>
      <c r="P302" s="5" t="n"/>
      <c r="Q302" s="5" t="n">
        <v>-149</v>
      </c>
      <c r="R302" s="5" t="n"/>
      <c r="S302" s="5">
        <f>SUM(F302:I302)+N302</f>
        <v/>
      </c>
      <c r="T302" s="5">
        <f>J302</f>
        <v/>
      </c>
      <c r="U302" s="6">
        <f>YEAR(D302)</f>
        <v/>
      </c>
      <c r="V302" s="5">
        <f>TEXT(D302,"yyyy-mm")</f>
        <v/>
      </c>
    </row>
    <row r="303">
      <c r="A303" s="2" t="inlineStr">
        <is>
          <t>EJ050124.TXT</t>
        </is>
      </c>
      <c r="B303" s="3" t="inlineStr">
        <is>
          <t>001434</t>
        </is>
      </c>
      <c r="C303" s="3" t="inlineStr">
        <is>
          <t>000910</t>
        </is>
      </c>
      <c r="D303" s="4" t="n">
        <v>45275</v>
      </c>
      <c r="E303" s="2" t="inlineStr">
        <is>
          <t>11:02</t>
        </is>
      </c>
      <c r="F303" s="5" t="n">
        <v>-797.5</v>
      </c>
      <c r="G303" s="5" t="n"/>
      <c r="H303" s="5" t="n"/>
      <c r="I303" s="5" t="n"/>
      <c r="J303" s="5" t="n">
        <v>-159.5</v>
      </c>
      <c r="K303" s="5" t="n"/>
      <c r="L303" s="5" t="n"/>
      <c r="M303" s="5" t="n"/>
      <c r="N303" s="5" t="n"/>
      <c r="O303" s="5" t="n">
        <v>-957</v>
      </c>
      <c r="P303" s="5" t="n">
        <v>-957</v>
      </c>
      <c r="Q303" s="5" t="n"/>
      <c r="R303" s="5" t="n"/>
      <c r="S303" s="5">
        <f>SUM(F303:I303)+N303</f>
        <v/>
      </c>
      <c r="T303" s="5">
        <f>J303</f>
        <v/>
      </c>
      <c r="U303" s="6">
        <f>YEAR(D303)</f>
        <v/>
      </c>
      <c r="V303" s="5">
        <f>TEXT(D303,"yyyy-mm")</f>
        <v/>
      </c>
    </row>
    <row r="304">
      <c r="A304" s="2" t="inlineStr">
        <is>
          <t>EJ050124.TXT</t>
        </is>
      </c>
      <c r="B304" s="3" t="inlineStr">
        <is>
          <t>001435</t>
        </is>
      </c>
      <c r="C304" s="3" t="inlineStr">
        <is>
          <t>000911</t>
        </is>
      </c>
      <c r="D304" s="4" t="n">
        <v>45275</v>
      </c>
      <c r="E304" s="2" t="inlineStr">
        <is>
          <t>17:21</t>
        </is>
      </c>
      <c r="F304" s="5" t="n">
        <v>-548.33</v>
      </c>
      <c r="G304" s="5" t="n"/>
      <c r="H304" s="5" t="n"/>
      <c r="I304" s="5" t="n"/>
      <c r="J304" s="5" t="n">
        <v>-109.67</v>
      </c>
      <c r="K304" s="5" t="n"/>
      <c r="L304" s="5" t="n"/>
      <c r="M304" s="5" t="n"/>
      <c r="N304" s="5" t="n"/>
      <c r="O304" s="5" t="n">
        <v>-658</v>
      </c>
      <c r="P304" s="5" t="n">
        <v>-658</v>
      </c>
      <c r="Q304" s="5" t="n"/>
      <c r="R304" s="5" t="n"/>
      <c r="S304" s="5">
        <f>SUM(F304:I304)+N304</f>
        <v/>
      </c>
      <c r="T304" s="5">
        <f>J304</f>
        <v/>
      </c>
      <c r="U304" s="6">
        <f>YEAR(D304)</f>
        <v/>
      </c>
      <c r="V304" s="5">
        <f>TEXT(D304,"yyyy-mm")</f>
        <v/>
      </c>
    </row>
    <row r="305">
      <c r="A305" s="2" t="inlineStr">
        <is>
          <t>EJ050124.TXT</t>
        </is>
      </c>
      <c r="B305" s="3" t="inlineStr">
        <is>
          <t>001436</t>
        </is>
      </c>
      <c r="C305" s="3" t="inlineStr">
        <is>
          <t>000912</t>
        </is>
      </c>
      <c r="D305" s="4" t="n">
        <v>45276</v>
      </c>
      <c r="E305" s="2" t="inlineStr">
        <is>
          <t>15:24</t>
        </is>
      </c>
      <c r="F305" s="5" t="n">
        <v>-548.33</v>
      </c>
      <c r="G305" s="5" t="n"/>
      <c r="H305" s="5" t="n"/>
      <c r="I305" s="5" t="n"/>
      <c r="J305" s="5" t="n">
        <v>-109.67</v>
      </c>
      <c r="K305" s="5" t="n"/>
      <c r="L305" s="5" t="n"/>
      <c r="M305" s="5" t="n"/>
      <c r="N305" s="5" t="n"/>
      <c r="O305" s="5" t="n">
        <v>-658</v>
      </c>
      <c r="P305" s="5" t="n"/>
      <c r="Q305" s="5" t="n">
        <v>-658</v>
      </c>
      <c r="R305" s="5" t="n"/>
      <c r="S305" s="5">
        <f>SUM(F305:I305)+N305</f>
        <v/>
      </c>
      <c r="T305" s="5">
        <f>J305</f>
        <v/>
      </c>
      <c r="U305" s="6">
        <f>YEAR(D305)</f>
        <v/>
      </c>
      <c r="V305" s="5">
        <f>TEXT(D305,"yyyy-mm")</f>
        <v/>
      </c>
    </row>
    <row r="306">
      <c r="A306" s="2" t="inlineStr">
        <is>
          <t>EJ050124.TXT</t>
        </is>
      </c>
      <c r="B306" s="3" t="inlineStr">
        <is>
          <t>001437</t>
        </is>
      </c>
      <c r="C306" s="3" t="inlineStr">
        <is>
          <t>000913</t>
        </is>
      </c>
      <c r="D306" s="4" t="n">
        <v>45276</v>
      </c>
      <c r="E306" s="2" t="inlineStr">
        <is>
          <t>17:07</t>
        </is>
      </c>
      <c r="F306" s="5" t="n">
        <v>-82.5</v>
      </c>
      <c r="G306" s="5" t="n"/>
      <c r="H306" s="5" t="n"/>
      <c r="I306" s="5" t="n"/>
      <c r="J306" s="5" t="n">
        <v>-16.5</v>
      </c>
      <c r="K306" s="5" t="n"/>
      <c r="L306" s="5" t="n"/>
      <c r="M306" s="5" t="n"/>
      <c r="N306" s="5" t="n"/>
      <c r="O306" s="5" t="n">
        <v>-99</v>
      </c>
      <c r="P306" s="5" t="n">
        <v>-99</v>
      </c>
      <c r="Q306" s="5" t="n"/>
      <c r="R306" s="5" t="n"/>
      <c r="S306" s="5">
        <f>SUM(F306:I306)+N306</f>
        <v/>
      </c>
      <c r="T306" s="5">
        <f>J306</f>
        <v/>
      </c>
      <c r="U306" s="6">
        <f>YEAR(D306)</f>
        <v/>
      </c>
      <c r="V306" s="5">
        <f>TEXT(D306,"yyyy-mm")</f>
        <v/>
      </c>
    </row>
    <row r="307">
      <c r="A307" s="2" t="inlineStr">
        <is>
          <t>EJ050124.TXT</t>
        </is>
      </c>
      <c r="B307" s="3" t="inlineStr">
        <is>
          <t>001438</t>
        </is>
      </c>
      <c r="C307" s="3" t="inlineStr">
        <is>
          <t>000914</t>
        </is>
      </c>
      <c r="D307" s="4" t="n">
        <v>45278</v>
      </c>
      <c r="E307" s="2" t="inlineStr">
        <is>
          <t>11:34</t>
        </is>
      </c>
      <c r="F307" s="5" t="n">
        <v>-274.17</v>
      </c>
      <c r="G307" s="5" t="n"/>
      <c r="H307" s="5" t="n"/>
      <c r="I307" s="5" t="n"/>
      <c r="J307" s="5" t="n">
        <v>-54.83</v>
      </c>
      <c r="K307" s="5" t="n"/>
      <c r="L307" s="5" t="n"/>
      <c r="M307" s="5" t="n"/>
      <c r="N307" s="5" t="n"/>
      <c r="O307" s="5" t="n">
        <v>-329</v>
      </c>
      <c r="P307" s="5" t="n">
        <v>-329</v>
      </c>
      <c r="Q307" s="5" t="n"/>
      <c r="R307" s="5" t="n"/>
      <c r="S307" s="5">
        <f>SUM(F307:I307)+N307</f>
        <v/>
      </c>
      <c r="T307" s="5">
        <f>J307</f>
        <v/>
      </c>
      <c r="U307" s="6">
        <f>YEAR(D307)</f>
        <v/>
      </c>
      <c r="V307" s="5">
        <f>TEXT(D307,"yyyy-mm")</f>
        <v/>
      </c>
    </row>
    <row r="308">
      <c r="A308" s="2" t="inlineStr">
        <is>
          <t>EJ050124.TXT</t>
        </is>
      </c>
      <c r="B308" s="3" t="inlineStr">
        <is>
          <t>001439</t>
        </is>
      </c>
      <c r="C308" s="3" t="inlineStr">
        <is>
          <t>000915</t>
        </is>
      </c>
      <c r="D308" s="4" t="n">
        <v>45278</v>
      </c>
      <c r="E308" s="2" t="inlineStr">
        <is>
          <t>11:36</t>
        </is>
      </c>
      <c r="F308" s="5" t="n">
        <v>-274.17</v>
      </c>
      <c r="G308" s="5" t="n"/>
      <c r="H308" s="5" t="n"/>
      <c r="I308" s="5" t="n"/>
      <c r="J308" s="5" t="n">
        <v>-54.83</v>
      </c>
      <c r="K308" s="5" t="n"/>
      <c r="L308" s="5" t="n"/>
      <c r="M308" s="5" t="n"/>
      <c r="N308" s="5" t="n"/>
      <c r="O308" s="5" t="n">
        <v>-329</v>
      </c>
      <c r="P308" s="5" t="n">
        <v>-329</v>
      </c>
      <c r="Q308" s="5" t="n"/>
      <c r="R308" s="5" t="n"/>
      <c r="S308" s="5">
        <f>SUM(F308:I308)+N308</f>
        <v/>
      </c>
      <c r="T308" s="5">
        <f>J308</f>
        <v/>
      </c>
      <c r="U308" s="6">
        <f>YEAR(D308)</f>
        <v/>
      </c>
      <c r="V308" s="5">
        <f>TEXT(D308,"yyyy-mm")</f>
        <v/>
      </c>
    </row>
    <row r="309">
      <c r="A309" s="2" t="inlineStr">
        <is>
          <t>EJ050124.TXT</t>
        </is>
      </c>
      <c r="B309" s="3" t="inlineStr">
        <is>
          <t>001440</t>
        </is>
      </c>
      <c r="C309" s="3" t="inlineStr">
        <is>
          <t>000916</t>
        </is>
      </c>
      <c r="D309" s="4" t="n">
        <v>45279</v>
      </c>
      <c r="E309" s="2" t="inlineStr">
        <is>
          <t>16:04</t>
        </is>
      </c>
      <c r="F309" s="5" t="n">
        <v>-37.5</v>
      </c>
      <c r="G309" s="5" t="n"/>
      <c r="H309" s="5" t="n"/>
      <c r="I309" s="5" t="n"/>
      <c r="J309" s="5" t="n">
        <v>-7.5</v>
      </c>
      <c r="K309" s="5" t="n"/>
      <c r="L309" s="5" t="n"/>
      <c r="M309" s="5" t="n"/>
      <c r="N309" s="5" t="n"/>
      <c r="O309" s="5" t="n">
        <v>-45</v>
      </c>
      <c r="P309" s="5" t="n">
        <v>-45</v>
      </c>
      <c r="Q309" s="5" t="n"/>
      <c r="R309" s="5" t="n"/>
      <c r="S309" s="5">
        <f>SUM(F309:I309)+N309</f>
        <v/>
      </c>
      <c r="T309" s="5">
        <f>J309</f>
        <v/>
      </c>
      <c r="U309" s="6">
        <f>YEAR(D309)</f>
        <v/>
      </c>
      <c r="V309" s="5">
        <f>TEXT(D309,"yyyy-mm")</f>
        <v/>
      </c>
    </row>
    <row r="310">
      <c r="A310" s="2" t="inlineStr">
        <is>
          <t>EJ050124.TXT</t>
        </is>
      </c>
      <c r="B310" s="3" t="inlineStr">
        <is>
          <t>001441</t>
        </is>
      </c>
      <c r="C310" s="3" t="inlineStr">
        <is>
          <t>000917</t>
        </is>
      </c>
      <c r="D310" s="4" t="n">
        <v>45280</v>
      </c>
      <c r="E310" s="2" t="inlineStr">
        <is>
          <t>12:42</t>
        </is>
      </c>
      <c r="F310" s="5" t="n">
        <v>-274.17</v>
      </c>
      <c r="G310" s="5" t="n"/>
      <c r="H310" s="5" t="n"/>
      <c r="I310" s="5" t="n"/>
      <c r="J310" s="5" t="n">
        <v>-54.83</v>
      </c>
      <c r="K310" s="5" t="n"/>
      <c r="L310" s="5" t="n"/>
      <c r="M310" s="5" t="n"/>
      <c r="N310" s="5" t="n"/>
      <c r="O310" s="5" t="n">
        <v>-329</v>
      </c>
      <c r="P310" s="5" t="n">
        <v>-329</v>
      </c>
      <c r="Q310" s="5" t="n"/>
      <c r="R310" s="5" t="n"/>
      <c r="S310" s="5">
        <f>SUM(F310:I310)+N310</f>
        <v/>
      </c>
      <c r="T310" s="5">
        <f>J310</f>
        <v/>
      </c>
      <c r="U310" s="6">
        <f>YEAR(D310)</f>
        <v/>
      </c>
      <c r="V310" s="5">
        <f>TEXT(D310,"yyyy-mm")</f>
        <v/>
      </c>
    </row>
    <row r="311">
      <c r="A311" s="2" t="inlineStr">
        <is>
          <t>EJ050124.TXT</t>
        </is>
      </c>
      <c r="B311" s="3" t="inlineStr">
        <is>
          <t>001442</t>
        </is>
      </c>
      <c r="C311" s="3" t="inlineStr">
        <is>
          <t>000918</t>
        </is>
      </c>
      <c r="D311" s="4" t="n">
        <v>45280</v>
      </c>
      <c r="E311" s="2" t="inlineStr">
        <is>
          <t>12:50</t>
        </is>
      </c>
      <c r="F311" s="5" t="n">
        <v>-350</v>
      </c>
      <c r="G311" s="5" t="n"/>
      <c r="H311" s="5" t="n"/>
      <c r="I311" s="5" t="n"/>
      <c r="J311" s="5" t="n">
        <v>-70</v>
      </c>
      <c r="K311" s="5" t="n"/>
      <c r="L311" s="5" t="n"/>
      <c r="M311" s="5" t="n"/>
      <c r="N311" s="5" t="n"/>
      <c r="O311" s="5" t="n">
        <v>-420</v>
      </c>
      <c r="P311" s="5" t="n">
        <v>-420</v>
      </c>
      <c r="Q311" s="5" t="n"/>
      <c r="R311" s="5" t="n"/>
      <c r="S311" s="5">
        <f>SUM(F311:I311)+N311</f>
        <v/>
      </c>
      <c r="T311" s="5">
        <f>J311</f>
        <v/>
      </c>
      <c r="U311" s="6">
        <f>YEAR(D311)</f>
        <v/>
      </c>
      <c r="V311" s="5">
        <f>TEXT(D311,"yyyy-mm")</f>
        <v/>
      </c>
    </row>
    <row r="312">
      <c r="A312" s="2" t="inlineStr">
        <is>
          <t>EJ050124.TXT</t>
        </is>
      </c>
      <c r="B312" s="3" t="inlineStr">
        <is>
          <t>001443</t>
        </is>
      </c>
      <c r="C312" s="3" t="inlineStr">
        <is>
          <t>000919</t>
        </is>
      </c>
      <c r="D312" s="4" t="n">
        <v>45280</v>
      </c>
      <c r="E312" s="2" t="inlineStr">
        <is>
          <t>14:22</t>
        </is>
      </c>
      <c r="F312" s="5" t="n">
        <v>-54.17</v>
      </c>
      <c r="G312" s="5" t="n"/>
      <c r="H312" s="5" t="n"/>
      <c r="I312" s="5" t="n"/>
      <c r="J312" s="5" t="n">
        <v>-10.83</v>
      </c>
      <c r="K312" s="5" t="n"/>
      <c r="L312" s="5" t="n"/>
      <c r="M312" s="5" t="n"/>
      <c r="N312" s="5" t="n"/>
      <c r="O312" s="5" t="n">
        <v>-65</v>
      </c>
      <c r="P312" s="5" t="n">
        <v>-65</v>
      </c>
      <c r="Q312" s="5" t="n"/>
      <c r="R312" s="5" t="n"/>
      <c r="S312" s="5">
        <f>SUM(F312:I312)+N312</f>
        <v/>
      </c>
      <c r="T312" s="5">
        <f>J312</f>
        <v/>
      </c>
      <c r="U312" s="6">
        <f>YEAR(D312)</f>
        <v/>
      </c>
      <c r="V312" s="5">
        <f>TEXT(D312,"yyyy-mm")</f>
        <v/>
      </c>
    </row>
    <row r="313">
      <c r="A313" s="2" t="inlineStr">
        <is>
          <t>EJ050124.TXT</t>
        </is>
      </c>
      <c r="B313" s="3" t="inlineStr">
        <is>
          <t>001444</t>
        </is>
      </c>
      <c r="C313" s="3" t="inlineStr">
        <is>
          <t>000920</t>
        </is>
      </c>
      <c r="D313" s="4" t="n">
        <v>45280</v>
      </c>
      <c r="E313" s="2" t="inlineStr">
        <is>
          <t>16:51</t>
        </is>
      </c>
      <c r="F313" s="5" t="n">
        <v>-274.17</v>
      </c>
      <c r="G313" s="5" t="n"/>
      <c r="H313" s="5" t="n"/>
      <c r="I313" s="5" t="n"/>
      <c r="J313" s="5" t="n">
        <v>-54.83</v>
      </c>
      <c r="K313" s="5" t="n"/>
      <c r="L313" s="5" t="n"/>
      <c r="M313" s="5" t="n"/>
      <c r="N313" s="5" t="n"/>
      <c r="O313" s="5" t="n">
        <v>-329</v>
      </c>
      <c r="P313" s="5" t="n"/>
      <c r="Q313" s="5" t="n">
        <v>-329</v>
      </c>
      <c r="R313" s="5" t="n"/>
      <c r="S313" s="5">
        <f>SUM(F313:I313)+N313</f>
        <v/>
      </c>
      <c r="T313" s="5">
        <f>J313</f>
        <v/>
      </c>
      <c r="U313" s="6">
        <f>YEAR(D313)</f>
        <v/>
      </c>
      <c r="V313" s="5">
        <f>TEXT(D313,"yyyy-mm")</f>
        <v/>
      </c>
    </row>
    <row r="314">
      <c r="A314" s="2" t="inlineStr">
        <is>
          <t>EJ050124.TXT</t>
        </is>
      </c>
      <c r="B314" s="3" t="inlineStr">
        <is>
          <t>001445</t>
        </is>
      </c>
      <c r="C314" s="3" t="inlineStr">
        <is>
          <t>000921</t>
        </is>
      </c>
      <c r="D314" s="4" t="n">
        <v>45281</v>
      </c>
      <c r="E314" s="2" t="inlineStr">
        <is>
          <t>14:26</t>
        </is>
      </c>
      <c r="F314" s="5" t="n">
        <v>-548.33</v>
      </c>
      <c r="G314" s="5" t="n"/>
      <c r="H314" s="5" t="n"/>
      <c r="I314" s="5" t="n"/>
      <c r="J314" s="5" t="n">
        <v>-109.67</v>
      </c>
      <c r="K314" s="5" t="n"/>
      <c r="L314" s="5" t="n"/>
      <c r="M314" s="5" t="n"/>
      <c r="N314" s="5" t="n"/>
      <c r="O314" s="5" t="n">
        <v>-658</v>
      </c>
      <c r="P314" s="5" t="n"/>
      <c r="Q314" s="5" t="n">
        <v>-658</v>
      </c>
      <c r="R314" s="5" t="n"/>
      <c r="S314" s="5">
        <f>SUM(F314:I314)+N314</f>
        <v/>
      </c>
      <c r="T314" s="5">
        <f>J314</f>
        <v/>
      </c>
      <c r="U314" s="6">
        <f>YEAR(D314)</f>
        <v/>
      </c>
      <c r="V314" s="5">
        <f>TEXT(D314,"yyyy-mm")</f>
        <v/>
      </c>
    </row>
    <row r="315">
      <c r="A315" s="2" t="inlineStr">
        <is>
          <t>EJ050124.TXT</t>
        </is>
      </c>
      <c r="B315" s="3" t="inlineStr">
        <is>
          <t>001446</t>
        </is>
      </c>
      <c r="C315" s="3" t="inlineStr">
        <is>
          <t>000922</t>
        </is>
      </c>
      <c r="D315" s="4" t="n">
        <v>45281</v>
      </c>
      <c r="E315" s="2" t="inlineStr">
        <is>
          <t>14:27</t>
        </is>
      </c>
      <c r="F315" s="5" t="n">
        <v>-548.33</v>
      </c>
      <c r="G315" s="5" t="n"/>
      <c r="H315" s="5" t="n"/>
      <c r="I315" s="5" t="n"/>
      <c r="J315" s="5" t="n">
        <v>-109.67</v>
      </c>
      <c r="K315" s="5" t="n"/>
      <c r="L315" s="5" t="n"/>
      <c r="M315" s="5" t="n"/>
      <c r="N315" s="5" t="n"/>
      <c r="O315" s="5" t="n">
        <v>-658</v>
      </c>
      <c r="P315" s="5" t="n"/>
      <c r="Q315" s="5" t="n">
        <v>-658</v>
      </c>
      <c r="R315" s="5" t="n"/>
      <c r="S315" s="5">
        <f>SUM(F315:I315)+N315</f>
        <v/>
      </c>
      <c r="T315" s="5">
        <f>J315</f>
        <v/>
      </c>
      <c r="U315" s="6">
        <f>YEAR(D315)</f>
        <v/>
      </c>
      <c r="V315" s="5">
        <f>TEXT(D315,"yyyy-mm")</f>
        <v/>
      </c>
    </row>
    <row r="316">
      <c r="A316" s="2" t="inlineStr">
        <is>
          <t>EJ050124.TXT</t>
        </is>
      </c>
      <c r="B316" s="3" t="inlineStr">
        <is>
          <t>001447</t>
        </is>
      </c>
      <c r="C316" s="3" t="inlineStr">
        <is>
          <t>000923</t>
        </is>
      </c>
      <c r="D316" s="4" t="n">
        <v>45282</v>
      </c>
      <c r="E316" s="2" t="inlineStr">
        <is>
          <t>11:26</t>
        </is>
      </c>
      <c r="F316" s="5" t="n">
        <v>-548.33</v>
      </c>
      <c r="G316" s="5" t="n"/>
      <c r="H316" s="5" t="n"/>
      <c r="I316" s="5" t="n"/>
      <c r="J316" s="5" t="n">
        <v>-109.67</v>
      </c>
      <c r="K316" s="5" t="n"/>
      <c r="L316" s="5" t="n"/>
      <c r="M316" s="5" t="n"/>
      <c r="N316" s="5" t="n"/>
      <c r="O316" s="5" t="n">
        <v>-658</v>
      </c>
      <c r="P316" s="5" t="n"/>
      <c r="Q316" s="5" t="n">
        <v>-658</v>
      </c>
      <c r="R316" s="5" t="n"/>
      <c r="S316" s="5">
        <f>SUM(F316:I316)+N316</f>
        <v/>
      </c>
      <c r="T316" s="5">
        <f>J316</f>
        <v/>
      </c>
      <c r="U316" s="6">
        <f>YEAR(D316)</f>
        <v/>
      </c>
      <c r="V316" s="5">
        <f>TEXT(D316,"yyyy-mm")</f>
        <v/>
      </c>
    </row>
    <row r="317">
      <c r="A317" s="2" t="inlineStr">
        <is>
          <t>EJ050124.TXT</t>
        </is>
      </c>
      <c r="B317" s="3" t="inlineStr">
        <is>
          <t>001448</t>
        </is>
      </c>
      <c r="C317" s="3" t="inlineStr">
        <is>
          <t>000924</t>
        </is>
      </c>
      <c r="D317" s="4" t="n">
        <v>45282</v>
      </c>
      <c r="E317" s="2" t="inlineStr">
        <is>
          <t>15:41</t>
        </is>
      </c>
      <c r="F317" s="5" t="n">
        <v>-1645</v>
      </c>
      <c r="G317" s="5" t="n"/>
      <c r="H317" s="5" t="n"/>
      <c r="I317" s="5" t="n"/>
      <c r="J317" s="5" t="n">
        <v>-329</v>
      </c>
      <c r="K317" s="5" t="n"/>
      <c r="L317" s="5" t="n"/>
      <c r="M317" s="5" t="n"/>
      <c r="N317" s="5" t="n"/>
      <c r="O317" s="5" t="n">
        <v>-1974</v>
      </c>
      <c r="P317" s="5" t="n">
        <v>-1974</v>
      </c>
      <c r="Q317" s="5" t="n"/>
      <c r="R317" s="5" t="n"/>
      <c r="S317" s="5">
        <f>SUM(F317:I317)+N317</f>
        <v/>
      </c>
      <c r="T317" s="5">
        <f>J317</f>
        <v/>
      </c>
      <c r="U317" s="6">
        <f>YEAR(D317)</f>
        <v/>
      </c>
      <c r="V317" s="5">
        <f>TEXT(D317,"yyyy-mm")</f>
        <v/>
      </c>
    </row>
    <row r="318">
      <c r="A318" s="2" t="inlineStr">
        <is>
          <t>EJ050124.TXT</t>
        </is>
      </c>
      <c r="B318" s="3" t="inlineStr">
        <is>
          <t>001449</t>
        </is>
      </c>
      <c r="C318" s="3" t="inlineStr">
        <is>
          <t>000925</t>
        </is>
      </c>
      <c r="D318" s="4" t="n">
        <v>45282</v>
      </c>
      <c r="E318" s="2" t="inlineStr">
        <is>
          <t>15:57</t>
        </is>
      </c>
      <c r="F318" s="5" t="n">
        <v>-274.17</v>
      </c>
      <c r="G318" s="5" t="n"/>
      <c r="H318" s="5" t="n"/>
      <c r="I318" s="5" t="n"/>
      <c r="J318" s="5" t="n">
        <v>-54.83</v>
      </c>
      <c r="K318" s="5" t="n"/>
      <c r="L318" s="5" t="n"/>
      <c r="M318" s="5" t="n"/>
      <c r="N318" s="5" t="n"/>
      <c r="O318" s="5" t="n">
        <v>-329</v>
      </c>
      <c r="P318" s="5" t="n">
        <v>-329</v>
      </c>
      <c r="Q318" s="5" t="n"/>
      <c r="R318" s="5" t="n"/>
      <c r="S318" s="5">
        <f>SUM(F318:I318)+N318</f>
        <v/>
      </c>
      <c r="T318" s="5">
        <f>J318</f>
        <v/>
      </c>
      <c r="U318" s="6">
        <f>YEAR(D318)</f>
        <v/>
      </c>
      <c r="V318" s="5">
        <f>TEXT(D318,"yyyy-mm")</f>
        <v/>
      </c>
    </row>
    <row r="319">
      <c r="A319" s="2" t="inlineStr">
        <is>
          <t>EJ050124.TXT</t>
        </is>
      </c>
      <c r="B319" s="3" t="inlineStr">
        <is>
          <t>001450</t>
        </is>
      </c>
      <c r="C319" s="3" t="inlineStr">
        <is>
          <t>000926</t>
        </is>
      </c>
      <c r="D319" s="4" t="n">
        <v>45282</v>
      </c>
      <c r="E319" s="2" t="inlineStr">
        <is>
          <t>16:42</t>
        </is>
      </c>
      <c r="F319" s="5" t="n">
        <v>-37.5</v>
      </c>
      <c r="G319" s="5" t="n"/>
      <c r="H319" s="5" t="n"/>
      <c r="I319" s="5" t="n"/>
      <c r="J319" s="5" t="n">
        <v>-7.5</v>
      </c>
      <c r="K319" s="5" t="n"/>
      <c r="L319" s="5" t="n"/>
      <c r="M319" s="5" t="n"/>
      <c r="N319" s="5" t="n"/>
      <c r="O319" s="5" t="n">
        <v>-45</v>
      </c>
      <c r="P319" s="5" t="n"/>
      <c r="Q319" s="5" t="n">
        <v>-45</v>
      </c>
      <c r="R319" s="5" t="n"/>
      <c r="S319" s="5">
        <f>SUM(F319:I319)+N319</f>
        <v/>
      </c>
      <c r="T319" s="5">
        <f>J319</f>
        <v/>
      </c>
      <c r="U319" s="6">
        <f>YEAR(D319)</f>
        <v/>
      </c>
      <c r="V319" s="5">
        <f>TEXT(D319,"yyyy-mm")</f>
        <v/>
      </c>
    </row>
    <row r="320">
      <c r="A320" s="2" t="inlineStr">
        <is>
          <t>EJ050124.TXT</t>
        </is>
      </c>
      <c r="B320" s="3" t="inlineStr">
        <is>
          <t>001451</t>
        </is>
      </c>
      <c r="C320" s="3" t="inlineStr">
        <is>
          <t>000927</t>
        </is>
      </c>
      <c r="D320" s="4" t="n">
        <v>45286</v>
      </c>
      <c r="E320" s="2" t="inlineStr">
        <is>
          <t>15:13</t>
        </is>
      </c>
      <c r="F320" s="5" t="n">
        <v>-822.5</v>
      </c>
      <c r="G320" s="5" t="n"/>
      <c r="H320" s="5" t="n"/>
      <c r="I320" s="5" t="n"/>
      <c r="J320" s="5" t="n">
        <v>-164.5</v>
      </c>
      <c r="K320" s="5" t="n"/>
      <c r="L320" s="5" t="n"/>
      <c r="M320" s="5" t="n"/>
      <c r="N320" s="5" t="n"/>
      <c r="O320" s="5" t="n">
        <v>-987</v>
      </c>
      <c r="P320" s="5" t="n"/>
      <c r="Q320" s="5" t="n">
        <v>-987</v>
      </c>
      <c r="R320" s="5" t="n"/>
      <c r="S320" s="5">
        <f>SUM(F320:I320)+N320</f>
        <v/>
      </c>
      <c r="T320" s="5">
        <f>J320</f>
        <v/>
      </c>
      <c r="U320" s="6">
        <f>YEAR(D320)</f>
        <v/>
      </c>
      <c r="V320" s="5">
        <f>TEXT(D320,"yyyy-mm")</f>
        <v/>
      </c>
    </row>
    <row r="321">
      <c r="A321" s="2" t="inlineStr">
        <is>
          <t>EJ050124.TXT</t>
        </is>
      </c>
      <c r="B321" s="3" t="inlineStr">
        <is>
          <t>001452</t>
        </is>
      </c>
      <c r="C321" s="3" t="inlineStr">
        <is>
          <t>000928</t>
        </is>
      </c>
      <c r="D321" s="4" t="n">
        <v>45286</v>
      </c>
      <c r="E321" s="2" t="inlineStr">
        <is>
          <t>15:13</t>
        </is>
      </c>
      <c r="F321" s="5" t="n">
        <v>-274.17</v>
      </c>
      <c r="G321" s="5" t="n"/>
      <c r="H321" s="5" t="n"/>
      <c r="I321" s="5" t="n"/>
      <c r="J321" s="5" t="n">
        <v>-54.83</v>
      </c>
      <c r="K321" s="5" t="n"/>
      <c r="L321" s="5" t="n"/>
      <c r="M321" s="5" t="n"/>
      <c r="N321" s="5" t="n"/>
      <c r="O321" s="5" t="n">
        <v>-329</v>
      </c>
      <c r="P321" s="5" t="n"/>
      <c r="Q321" s="5" t="n">
        <v>-329</v>
      </c>
      <c r="R321" s="5" t="n"/>
      <c r="S321" s="5">
        <f>SUM(F321:I321)+N321</f>
        <v/>
      </c>
      <c r="T321" s="5">
        <f>J321</f>
        <v/>
      </c>
      <c r="U321" s="6">
        <f>YEAR(D321)</f>
        <v/>
      </c>
      <c r="V321" s="5">
        <f>TEXT(D321,"yyyy-mm")</f>
        <v/>
      </c>
    </row>
    <row r="322">
      <c r="A322" s="2" t="inlineStr">
        <is>
          <t>EJ050124.TXT</t>
        </is>
      </c>
      <c r="B322" s="3" t="inlineStr">
        <is>
          <t>001453</t>
        </is>
      </c>
      <c r="C322" s="3" t="inlineStr">
        <is>
          <t>000929</t>
        </is>
      </c>
      <c r="D322" s="4" t="n">
        <v>45286</v>
      </c>
      <c r="E322" s="2" t="inlineStr">
        <is>
          <t>15:16</t>
        </is>
      </c>
      <c r="F322" s="5" t="n">
        <v>-248.33</v>
      </c>
      <c r="G322" s="5" t="n"/>
      <c r="H322" s="5" t="n"/>
      <c r="I322" s="5" t="n"/>
      <c r="J322" s="5" t="n">
        <v>-49.67</v>
      </c>
      <c r="K322" s="5" t="n"/>
      <c r="L322" s="5" t="n"/>
      <c r="M322" s="5" t="n"/>
      <c r="N322" s="5" t="n"/>
      <c r="O322" s="5" t="n">
        <v>-298</v>
      </c>
      <c r="P322" s="5" t="n"/>
      <c r="Q322" s="5" t="n">
        <v>-298</v>
      </c>
      <c r="R322" s="5" t="n"/>
      <c r="S322" s="5">
        <f>SUM(F322:I322)+N322</f>
        <v/>
      </c>
      <c r="T322" s="5">
        <f>J322</f>
        <v/>
      </c>
      <c r="U322" s="6">
        <f>YEAR(D322)</f>
        <v/>
      </c>
      <c r="V322" s="5">
        <f>TEXT(D322,"yyyy-mm")</f>
        <v/>
      </c>
    </row>
    <row r="323">
      <c r="A323" s="2" t="inlineStr">
        <is>
          <t>EJ050124.TXT</t>
        </is>
      </c>
      <c r="B323" s="3" t="inlineStr">
        <is>
          <t>001454</t>
        </is>
      </c>
      <c r="C323" s="3" t="inlineStr">
        <is>
          <t>000930</t>
        </is>
      </c>
      <c r="D323" s="4" t="n">
        <v>45287</v>
      </c>
      <c r="E323" s="2" t="inlineStr">
        <is>
          <t>15:07</t>
        </is>
      </c>
      <c r="F323" s="5" t="n">
        <v>-548.33</v>
      </c>
      <c r="G323" s="5" t="n"/>
      <c r="H323" s="5" t="n"/>
      <c r="I323" s="5" t="n"/>
      <c r="J323" s="5" t="n">
        <v>-109.67</v>
      </c>
      <c r="K323" s="5" t="n"/>
      <c r="L323" s="5" t="n"/>
      <c r="M323" s="5" t="n"/>
      <c r="N323" s="5" t="n"/>
      <c r="O323" s="5" t="n">
        <v>-658</v>
      </c>
      <c r="P323" s="5" t="n"/>
      <c r="Q323" s="5" t="n">
        <v>-658</v>
      </c>
      <c r="R323" s="5" t="n"/>
      <c r="S323" s="5">
        <f>SUM(F323:I323)+N323</f>
        <v/>
      </c>
      <c r="T323" s="5">
        <f>J323</f>
        <v/>
      </c>
      <c r="U323" s="6">
        <f>YEAR(D323)</f>
        <v/>
      </c>
      <c r="V323" s="5">
        <f>TEXT(D323,"yyyy-mm")</f>
        <v/>
      </c>
    </row>
    <row r="324">
      <c r="A324" s="2" t="inlineStr">
        <is>
          <t>EJ050124.TXT</t>
        </is>
      </c>
      <c r="B324" s="3" t="inlineStr">
        <is>
          <t>001456</t>
        </is>
      </c>
      <c r="C324" s="3" t="inlineStr">
        <is>
          <t>000931</t>
        </is>
      </c>
      <c r="D324" s="4" t="n">
        <v>45289</v>
      </c>
      <c r="E324" s="2" t="inlineStr">
        <is>
          <t>10:55</t>
        </is>
      </c>
      <c r="F324" s="5" t="n">
        <v>-548.33</v>
      </c>
      <c r="G324" s="5" t="n"/>
      <c r="H324" s="5" t="n"/>
      <c r="I324" s="5" t="n"/>
      <c r="J324" s="5" t="n">
        <v>-109.67</v>
      </c>
      <c r="K324" s="5" t="n"/>
      <c r="L324" s="5" t="n"/>
      <c r="M324" s="5" t="n"/>
      <c r="N324" s="5" t="n"/>
      <c r="O324" s="5" t="n">
        <v>-658</v>
      </c>
      <c r="P324" s="5" t="n"/>
      <c r="Q324" s="5" t="n">
        <v>-658</v>
      </c>
      <c r="R324" s="5" t="n"/>
      <c r="S324" s="5">
        <f>SUM(F324:I324)+N324</f>
        <v/>
      </c>
      <c r="T324" s="5">
        <f>J324</f>
        <v/>
      </c>
      <c r="U324" s="6">
        <f>YEAR(D324)</f>
        <v/>
      </c>
      <c r="V324" s="5">
        <f>TEXT(D324,"yyyy-mm")</f>
        <v/>
      </c>
    </row>
    <row r="325">
      <c r="A325" s="2" t="inlineStr">
        <is>
          <t>EJ050124.TXT</t>
        </is>
      </c>
      <c r="B325" s="3" t="inlineStr">
        <is>
          <t>001457</t>
        </is>
      </c>
      <c r="C325" s="3" t="inlineStr">
        <is>
          <t>000932</t>
        </is>
      </c>
      <c r="D325" s="4" t="n">
        <v>45289</v>
      </c>
      <c r="E325" s="2" t="inlineStr">
        <is>
          <t>13:19</t>
        </is>
      </c>
      <c r="F325" s="5" t="n">
        <v>-548.33</v>
      </c>
      <c r="G325" s="5" t="n"/>
      <c r="H325" s="5" t="n"/>
      <c r="I325" s="5" t="n"/>
      <c r="J325" s="5" t="n">
        <v>-109.67</v>
      </c>
      <c r="K325" s="5" t="n"/>
      <c r="L325" s="5" t="n"/>
      <c r="M325" s="5" t="n"/>
      <c r="N325" s="5" t="n"/>
      <c r="O325" s="5" t="n">
        <v>-658</v>
      </c>
      <c r="P325" s="5" t="n"/>
      <c r="Q325" s="5" t="n">
        <v>-658</v>
      </c>
      <c r="R325" s="5" t="n"/>
      <c r="S325" s="5">
        <f>SUM(F325:I325)+N325</f>
        <v/>
      </c>
      <c r="T325" s="5">
        <f>J325</f>
        <v/>
      </c>
      <c r="U325" s="6">
        <f>YEAR(D325)</f>
        <v/>
      </c>
      <c r="V325" s="5">
        <f>TEXT(D325,"yyyy-mm")</f>
        <v/>
      </c>
    </row>
    <row r="326">
      <c r="A326" s="2" t="inlineStr">
        <is>
          <t>EJ050124.TXT</t>
        </is>
      </c>
      <c r="B326" s="3" t="inlineStr">
        <is>
          <t>001458</t>
        </is>
      </c>
      <c r="C326" s="3" t="inlineStr">
        <is>
          <t>000933</t>
        </is>
      </c>
      <c r="D326" s="4" t="n">
        <v>45289</v>
      </c>
      <c r="E326" s="2" t="inlineStr">
        <is>
          <t>13:31</t>
        </is>
      </c>
      <c r="F326" s="5" t="n">
        <v>-566.67</v>
      </c>
      <c r="G326" s="5" t="n"/>
      <c r="H326" s="5" t="n"/>
      <c r="I326" s="5" t="n"/>
      <c r="J326" s="5" t="n">
        <v>-113.33</v>
      </c>
      <c r="K326" s="5" t="n"/>
      <c r="L326" s="5" t="n"/>
      <c r="M326" s="5" t="n"/>
      <c r="N326" s="5" t="n"/>
      <c r="O326" s="5" t="n">
        <v>-680</v>
      </c>
      <c r="P326" s="5" t="n"/>
      <c r="Q326" s="5" t="n">
        <v>-680</v>
      </c>
      <c r="R326" s="5" t="n"/>
      <c r="S326" s="5">
        <f>SUM(F326:I326)+N326</f>
        <v/>
      </c>
      <c r="T326" s="5">
        <f>J326</f>
        <v/>
      </c>
      <c r="U326" s="6">
        <f>YEAR(D326)</f>
        <v/>
      </c>
      <c r="V326" s="5">
        <f>TEXT(D326,"yyyy-mm")</f>
        <v/>
      </c>
    </row>
    <row r="327">
      <c r="A327" s="2" t="inlineStr">
        <is>
          <t>EJ050124.TXT</t>
        </is>
      </c>
      <c r="B327" s="3" t="inlineStr">
        <is>
          <t>001459</t>
        </is>
      </c>
      <c r="C327" s="3" t="inlineStr">
        <is>
          <t>000934</t>
        </is>
      </c>
      <c r="D327" s="4" t="n">
        <v>45290</v>
      </c>
      <c r="E327" s="2" t="inlineStr">
        <is>
          <t>14:35</t>
        </is>
      </c>
      <c r="F327" s="5" t="n">
        <v>-199.17</v>
      </c>
      <c r="G327" s="5" t="n"/>
      <c r="H327" s="5" t="n"/>
      <c r="I327" s="5" t="n"/>
      <c r="J327" s="5" t="n">
        <v>-39.83</v>
      </c>
      <c r="K327" s="5" t="n"/>
      <c r="L327" s="5" t="n"/>
      <c r="M327" s="5" t="n"/>
      <c r="N327" s="5" t="n"/>
      <c r="O327" s="5" t="n">
        <v>-239</v>
      </c>
      <c r="P327" s="5" t="n"/>
      <c r="Q327" s="5" t="n">
        <v>-239</v>
      </c>
      <c r="R327" s="5" t="n"/>
      <c r="S327" s="5">
        <f>SUM(F327:I327)+N327</f>
        <v/>
      </c>
      <c r="T327" s="5">
        <f>J327</f>
        <v/>
      </c>
      <c r="U327" s="6">
        <f>YEAR(D327)</f>
        <v/>
      </c>
      <c r="V327" s="5">
        <f>TEXT(D327,"yyyy-mm")</f>
        <v/>
      </c>
    </row>
    <row r="328">
      <c r="A328" s="2" t="inlineStr">
        <is>
          <t>EJ050124.TXT</t>
        </is>
      </c>
      <c r="B328" s="3" t="inlineStr">
        <is>
          <t>001460</t>
        </is>
      </c>
      <c r="C328" s="3" t="inlineStr">
        <is>
          <t>000935</t>
        </is>
      </c>
      <c r="D328" s="4" t="n">
        <v>45290</v>
      </c>
      <c r="E328" s="2" t="inlineStr">
        <is>
          <t>15:43</t>
        </is>
      </c>
      <c r="F328" s="5" t="n">
        <v>-548.33</v>
      </c>
      <c r="G328" s="5" t="n"/>
      <c r="H328" s="5" t="n"/>
      <c r="I328" s="5" t="n"/>
      <c r="J328" s="5" t="n">
        <v>-109.67</v>
      </c>
      <c r="K328" s="5" t="n"/>
      <c r="L328" s="5" t="n"/>
      <c r="M328" s="5" t="n"/>
      <c r="N328" s="5" t="n"/>
      <c r="O328" s="5" t="n">
        <v>-658</v>
      </c>
      <c r="P328" s="5" t="n"/>
      <c r="Q328" s="5" t="n">
        <v>-658</v>
      </c>
      <c r="R328" s="5" t="n"/>
      <c r="S328" s="5">
        <f>SUM(F328:I328)+N328</f>
        <v/>
      </c>
      <c r="T328" s="5">
        <f>J328</f>
        <v/>
      </c>
      <c r="U328" s="6">
        <f>YEAR(D328)</f>
        <v/>
      </c>
      <c r="V328" s="5">
        <f>TEXT(D328,"yyyy-mm")</f>
        <v/>
      </c>
    </row>
    <row r="329">
      <c r="A329" s="2" t="inlineStr">
        <is>
          <t>EJ050124.TXT</t>
        </is>
      </c>
      <c r="B329" s="3" t="inlineStr">
        <is>
          <t>001461</t>
        </is>
      </c>
      <c r="C329" s="3" t="inlineStr">
        <is>
          <t>000936</t>
        </is>
      </c>
      <c r="D329" s="4" t="n">
        <v>45290</v>
      </c>
      <c r="E329" s="2" t="inlineStr">
        <is>
          <t>17:01</t>
        </is>
      </c>
      <c r="F329" s="5" t="n">
        <v>-797.5</v>
      </c>
      <c r="G329" s="5" t="n"/>
      <c r="H329" s="5" t="n"/>
      <c r="I329" s="5" t="n"/>
      <c r="J329" s="5" t="n">
        <v>-159.5</v>
      </c>
      <c r="K329" s="5" t="n"/>
      <c r="L329" s="5" t="n"/>
      <c r="M329" s="5" t="n"/>
      <c r="N329" s="5" t="n"/>
      <c r="O329" s="5" t="n">
        <v>-957</v>
      </c>
      <c r="P329" s="5" t="n"/>
      <c r="Q329" s="5" t="n">
        <v>-957</v>
      </c>
      <c r="R329" s="5" t="n"/>
      <c r="S329" s="5">
        <f>SUM(F329:I329)+N329</f>
        <v/>
      </c>
      <c r="T329" s="5">
        <f>J329</f>
        <v/>
      </c>
      <c r="U329" s="6">
        <f>YEAR(D329)</f>
        <v/>
      </c>
      <c r="V329" s="5">
        <f>TEXT(D329,"yyyy-mm")</f>
        <v/>
      </c>
    </row>
    <row r="330">
      <c r="A330" s="2" t="inlineStr">
        <is>
          <t>EJ050124.TXT</t>
        </is>
      </c>
      <c r="B330" s="3" t="inlineStr">
        <is>
          <t>001462</t>
        </is>
      </c>
      <c r="C330" s="3" t="inlineStr">
        <is>
          <t>000937</t>
        </is>
      </c>
      <c r="D330" s="4" t="n">
        <v>45290</v>
      </c>
      <c r="E330" s="2" t="inlineStr">
        <is>
          <t>17:02</t>
        </is>
      </c>
      <c r="F330" s="5" t="n">
        <v>-797.5</v>
      </c>
      <c r="G330" s="5" t="n"/>
      <c r="H330" s="5" t="n"/>
      <c r="I330" s="5" t="n"/>
      <c r="J330" s="5" t="n">
        <v>-159.5</v>
      </c>
      <c r="K330" s="5" t="n"/>
      <c r="L330" s="5" t="n"/>
      <c r="M330" s="5" t="n"/>
      <c r="N330" s="5" t="n"/>
      <c r="O330" s="5" t="n">
        <v>-957</v>
      </c>
      <c r="P330" s="5" t="n"/>
      <c r="Q330" s="5" t="n">
        <v>-957</v>
      </c>
      <c r="R330" s="5" t="n"/>
      <c r="S330" s="5">
        <f>SUM(F330:I330)+N330</f>
        <v/>
      </c>
      <c r="T330" s="5">
        <f>J330</f>
        <v/>
      </c>
      <c r="U330" s="6">
        <f>YEAR(D330)</f>
        <v/>
      </c>
      <c r="V330" s="5">
        <f>TEXT(D330,"yyyy-mm")</f>
        <v/>
      </c>
    </row>
    <row r="331">
      <c r="A331" s="2" t="inlineStr">
        <is>
          <t>EJ050124.TXT</t>
        </is>
      </c>
      <c r="B331" s="3" t="inlineStr">
        <is>
          <t>001465</t>
        </is>
      </c>
      <c r="C331" s="3" t="inlineStr">
        <is>
          <t>000938</t>
        </is>
      </c>
      <c r="D331" s="4" t="n">
        <v>45295</v>
      </c>
      <c r="E331" s="2" t="inlineStr">
        <is>
          <t>17:15</t>
        </is>
      </c>
      <c r="F331" s="5" t="n">
        <v>-146.67</v>
      </c>
      <c r="G331" s="5" t="n"/>
      <c r="H331" s="5" t="n"/>
      <c r="I331" s="5" t="n"/>
      <c r="J331" s="5" t="n">
        <v>-29.33</v>
      </c>
      <c r="K331" s="5" t="n"/>
      <c r="L331" s="5" t="n"/>
      <c r="M331" s="5" t="n"/>
      <c r="N331" s="5" t="n"/>
      <c r="O331" s="5" t="n">
        <v>-176</v>
      </c>
      <c r="P331" s="5" t="n">
        <v>-176</v>
      </c>
      <c r="Q331" s="5" t="n"/>
      <c r="R331" s="5" t="n"/>
      <c r="S331" s="5">
        <f>SUM(F331:I331)+N331</f>
        <v/>
      </c>
      <c r="T331" s="5">
        <f>J331</f>
        <v/>
      </c>
      <c r="U331" s="6">
        <f>YEAR(D331)</f>
        <v/>
      </c>
      <c r="V331" s="5">
        <f>TEXT(D331,"yyyy-mm")</f>
        <v/>
      </c>
    </row>
    <row r="332">
      <c r="A332" s="2" t="inlineStr">
        <is>
          <t>EJ010224.TXT</t>
        </is>
      </c>
      <c r="B332" s="3" t="inlineStr">
        <is>
          <t>001473</t>
        </is>
      </c>
      <c r="C332" s="3" t="inlineStr">
        <is>
          <t>000939</t>
        </is>
      </c>
      <c r="D332" s="4" t="n">
        <v>45297</v>
      </c>
      <c r="E332" s="2" t="inlineStr">
        <is>
          <t>14:08</t>
        </is>
      </c>
      <c r="F332" s="5" t="n">
        <v>274.17</v>
      </c>
      <c r="G332" s="5" t="n"/>
      <c r="H332" s="5" t="n"/>
      <c r="I332" s="5" t="n"/>
      <c r="J332" s="5" t="n">
        <v>54.83</v>
      </c>
      <c r="K332" s="5" t="n"/>
      <c r="L332" s="5" t="n"/>
      <c r="M332" s="5" t="n"/>
      <c r="N332" s="5" t="n"/>
      <c r="O332" s="5" t="n">
        <v>329</v>
      </c>
      <c r="P332" s="5" t="n"/>
      <c r="Q332" s="5" t="n">
        <v>329</v>
      </c>
      <c r="R332" s="5" t="n"/>
      <c r="S332" s="5">
        <f>SUM(F332:I332)+N332</f>
        <v/>
      </c>
      <c r="T332" s="5">
        <f>J332</f>
        <v/>
      </c>
      <c r="U332" s="6">
        <f>YEAR(D332)</f>
        <v/>
      </c>
      <c r="V332" s="5">
        <f>TEXT(D332,"yyyy-mm")</f>
        <v/>
      </c>
    </row>
    <row r="333">
      <c r="A333" s="2" t="inlineStr">
        <is>
          <t>EJ010224.TXT</t>
        </is>
      </c>
      <c r="B333" s="3" t="inlineStr">
        <is>
          <t>001475</t>
        </is>
      </c>
      <c r="C333" s="3" t="inlineStr">
        <is>
          <t>000940</t>
        </is>
      </c>
      <c r="D333" s="4" t="n">
        <v>45300</v>
      </c>
      <c r="E333" s="2" t="inlineStr">
        <is>
          <t>11:25</t>
        </is>
      </c>
      <c r="F333" s="5" t="n">
        <v>124.17</v>
      </c>
      <c r="G333" s="5" t="n"/>
      <c r="H333" s="5" t="n"/>
      <c r="I333" s="5" t="n"/>
      <c r="J333" s="5" t="n">
        <v>24.83</v>
      </c>
      <c r="K333" s="5" t="n"/>
      <c r="L333" s="5" t="n"/>
      <c r="M333" s="5" t="n"/>
      <c r="N333" s="5" t="n"/>
      <c r="O333" s="5" t="n">
        <v>149</v>
      </c>
      <c r="P333" s="5" t="n">
        <v>149</v>
      </c>
      <c r="Q333" s="5" t="n"/>
      <c r="R333" s="5" t="n"/>
      <c r="S333" s="5">
        <f>SUM(F333:I333)+N333</f>
        <v/>
      </c>
      <c r="T333" s="5">
        <f>J333</f>
        <v/>
      </c>
      <c r="U333" s="6">
        <f>YEAR(D333)</f>
        <v/>
      </c>
      <c r="V333" s="5">
        <f>TEXT(D333,"yyyy-mm")</f>
        <v/>
      </c>
    </row>
    <row r="334">
      <c r="A334" s="2" t="inlineStr">
        <is>
          <t>EJ010224.TXT</t>
        </is>
      </c>
      <c r="B334" s="3" t="inlineStr">
        <is>
          <t>001476</t>
        </is>
      </c>
      <c r="C334" s="3" t="inlineStr">
        <is>
          <t>000941</t>
        </is>
      </c>
      <c r="D334" s="4" t="n">
        <v>45300</v>
      </c>
      <c r="E334" s="2" t="inlineStr">
        <is>
          <t>12:16</t>
        </is>
      </c>
      <c r="F334" s="5" t="n">
        <v>548.33</v>
      </c>
      <c r="G334" s="5" t="n"/>
      <c r="H334" s="5" t="n"/>
      <c r="I334" s="5" t="n"/>
      <c r="J334" s="5" t="n">
        <v>109.67</v>
      </c>
      <c r="K334" s="5" t="n"/>
      <c r="L334" s="5" t="n"/>
      <c r="M334" s="5" t="n"/>
      <c r="N334" s="5" t="n"/>
      <c r="O334" s="5" t="n">
        <v>658</v>
      </c>
      <c r="P334" s="5" t="n">
        <v>658</v>
      </c>
      <c r="Q334" s="5" t="n"/>
      <c r="R334" s="5" t="n"/>
      <c r="S334" s="5">
        <f>SUM(F334:I334)+N334</f>
        <v/>
      </c>
      <c r="T334" s="5">
        <f>J334</f>
        <v/>
      </c>
      <c r="U334" s="6">
        <f>YEAR(D334)</f>
        <v/>
      </c>
      <c r="V334" s="5">
        <f>TEXT(D334,"yyyy-mm")</f>
        <v/>
      </c>
    </row>
    <row r="335">
      <c r="A335" s="2" t="inlineStr">
        <is>
          <t>EJ010224.TXT</t>
        </is>
      </c>
      <c r="B335" s="3" t="inlineStr">
        <is>
          <t>001477</t>
        </is>
      </c>
      <c r="C335" s="3" t="inlineStr">
        <is>
          <t>000942</t>
        </is>
      </c>
      <c r="D335" s="4" t="n">
        <v>45302</v>
      </c>
      <c r="E335" s="2" t="inlineStr">
        <is>
          <t>13:05</t>
        </is>
      </c>
      <c r="F335" s="5" t="n">
        <v>1913.33</v>
      </c>
      <c r="G335" s="5" t="n"/>
      <c r="H335" s="5" t="n"/>
      <c r="I335" s="5" t="n"/>
      <c r="J335" s="5" t="n">
        <v>382.67</v>
      </c>
      <c r="K335" s="5" t="n"/>
      <c r="L335" s="5" t="n"/>
      <c r="M335" s="5" t="n"/>
      <c r="N335" s="5" t="n"/>
      <c r="O335" s="5" t="n">
        <v>2296</v>
      </c>
      <c r="P335" s="5" t="n">
        <v>2296</v>
      </c>
      <c r="Q335" s="5" t="n"/>
      <c r="R335" s="5" t="n"/>
      <c r="S335" s="5">
        <f>SUM(F335:I335)+N335</f>
        <v/>
      </c>
      <c r="T335" s="5">
        <f>J335</f>
        <v/>
      </c>
      <c r="U335" s="6">
        <f>YEAR(D335)</f>
        <v/>
      </c>
      <c r="V335" s="5">
        <f>TEXT(D335,"yyyy-mm")</f>
        <v/>
      </c>
    </row>
    <row r="336">
      <c r="A336" s="2" t="inlineStr">
        <is>
          <t>EJ010224.TXT</t>
        </is>
      </c>
      <c r="B336" s="3" t="inlineStr">
        <is>
          <t>001478</t>
        </is>
      </c>
      <c r="C336" s="3" t="inlineStr">
        <is>
          <t>000943</t>
        </is>
      </c>
      <c r="D336" s="4" t="n">
        <v>45302</v>
      </c>
      <c r="E336" s="2" t="inlineStr">
        <is>
          <t>13:46</t>
        </is>
      </c>
      <c r="F336" s="5" t="n">
        <v>1296.67</v>
      </c>
      <c r="G336" s="5" t="n"/>
      <c r="H336" s="5" t="n"/>
      <c r="I336" s="5" t="n"/>
      <c r="J336" s="5" t="n">
        <v>259.33</v>
      </c>
      <c r="K336" s="5" t="n"/>
      <c r="L336" s="5" t="n"/>
      <c r="M336" s="5" t="n"/>
      <c r="N336" s="5" t="n"/>
      <c r="O336" s="5" t="n">
        <v>1556</v>
      </c>
      <c r="P336" s="5" t="n">
        <v>1556</v>
      </c>
      <c r="Q336" s="5" t="n"/>
      <c r="R336" s="5" t="n"/>
      <c r="S336" s="5">
        <f>SUM(F336:I336)+N336</f>
        <v/>
      </c>
      <c r="T336" s="5">
        <f>J336</f>
        <v/>
      </c>
      <c r="U336" s="6">
        <f>YEAR(D336)</f>
        <v/>
      </c>
      <c r="V336" s="5">
        <f>TEXT(D336,"yyyy-mm")</f>
        <v/>
      </c>
    </row>
    <row r="337">
      <c r="A337" s="2" t="inlineStr">
        <is>
          <t>EJ010224.TXT</t>
        </is>
      </c>
      <c r="B337" s="3" t="inlineStr">
        <is>
          <t>001479</t>
        </is>
      </c>
      <c r="C337" s="3" t="inlineStr">
        <is>
          <t>000944</t>
        </is>
      </c>
      <c r="D337" s="4" t="n">
        <v>45302</v>
      </c>
      <c r="E337" s="2" t="inlineStr">
        <is>
          <t>15:37</t>
        </is>
      </c>
      <c r="F337" s="5" t="n">
        <v>29.08</v>
      </c>
      <c r="G337" s="5" t="n"/>
      <c r="H337" s="5" t="n"/>
      <c r="I337" s="5" t="n"/>
      <c r="J337" s="5" t="n">
        <v>5.82</v>
      </c>
      <c r="K337" s="5" t="n"/>
      <c r="L337" s="5" t="n"/>
      <c r="M337" s="5" t="n"/>
      <c r="N337" s="5" t="n"/>
      <c r="O337" s="5" t="n">
        <v>34.9</v>
      </c>
      <c r="P337" s="5" t="n">
        <v>34.9</v>
      </c>
      <c r="Q337" s="5" t="n"/>
      <c r="R337" s="5" t="n"/>
      <c r="S337" s="5">
        <f>SUM(F337:I337)+N337</f>
        <v/>
      </c>
      <c r="T337" s="5">
        <f>J337</f>
        <v/>
      </c>
      <c r="U337" s="6">
        <f>YEAR(D337)</f>
        <v/>
      </c>
      <c r="V337" s="5">
        <f>TEXT(D337,"yyyy-mm")</f>
        <v/>
      </c>
    </row>
    <row r="338">
      <c r="A338" s="2" t="inlineStr">
        <is>
          <t>EJ010224.TXT</t>
        </is>
      </c>
      <c r="B338" s="3" t="inlineStr">
        <is>
          <t>001480</t>
        </is>
      </c>
      <c r="C338" s="3" t="inlineStr">
        <is>
          <t>000945</t>
        </is>
      </c>
      <c r="D338" s="4" t="n">
        <v>45303</v>
      </c>
      <c r="E338" s="2" t="inlineStr">
        <is>
          <t>16:31</t>
        </is>
      </c>
      <c r="F338" s="5" t="n">
        <v>90.83</v>
      </c>
      <c r="G338" s="5" t="n"/>
      <c r="H338" s="5" t="n"/>
      <c r="I338" s="5" t="n"/>
      <c r="J338" s="5" t="n">
        <v>18.17</v>
      </c>
      <c r="K338" s="5" t="n"/>
      <c r="L338" s="5" t="n"/>
      <c r="M338" s="5" t="n"/>
      <c r="N338" s="5" t="n"/>
      <c r="O338" s="5" t="n">
        <v>109</v>
      </c>
      <c r="P338" s="5" t="n"/>
      <c r="Q338" s="5" t="n">
        <v>109</v>
      </c>
      <c r="R338" s="5" t="n"/>
      <c r="S338" s="5">
        <f>SUM(F338:I338)+N338</f>
        <v/>
      </c>
      <c r="T338" s="5">
        <f>J338</f>
        <v/>
      </c>
      <c r="U338" s="6">
        <f>YEAR(D338)</f>
        <v/>
      </c>
      <c r="V338" s="5">
        <f>TEXT(D338,"yyyy-mm")</f>
        <v/>
      </c>
    </row>
    <row r="339">
      <c r="A339" s="2" t="inlineStr">
        <is>
          <t>EJ010224.TXT</t>
        </is>
      </c>
      <c r="B339" s="3" t="inlineStr">
        <is>
          <t>001481</t>
        </is>
      </c>
      <c r="C339" s="3" t="inlineStr">
        <is>
          <t>000946</t>
        </is>
      </c>
      <c r="D339" s="4" t="n">
        <v>45303</v>
      </c>
      <c r="E339" s="2" t="inlineStr">
        <is>
          <t>17:05</t>
        </is>
      </c>
      <c r="F339" s="5" t="n">
        <v>548.33</v>
      </c>
      <c r="G339" s="5" t="n"/>
      <c r="H339" s="5" t="n"/>
      <c r="I339" s="5" t="n"/>
      <c r="J339" s="5" t="n">
        <v>109.67</v>
      </c>
      <c r="K339" s="5" t="n"/>
      <c r="L339" s="5" t="n"/>
      <c r="M339" s="5" t="n"/>
      <c r="N339" s="5" t="n"/>
      <c r="O339" s="5" t="n">
        <v>658</v>
      </c>
      <c r="P339" s="5" t="n">
        <v>658</v>
      </c>
      <c r="Q339" s="5" t="n"/>
      <c r="R339" s="5" t="n"/>
      <c r="S339" s="5">
        <f>SUM(F339:I339)+N339</f>
        <v/>
      </c>
      <c r="T339" s="5">
        <f>J339</f>
        <v/>
      </c>
      <c r="U339" s="6">
        <f>YEAR(D339)</f>
        <v/>
      </c>
      <c r="V339" s="5">
        <f>TEXT(D339,"yyyy-mm")</f>
        <v/>
      </c>
    </row>
    <row r="340">
      <c r="A340" s="2" t="inlineStr">
        <is>
          <t>EJ010224.TXT</t>
        </is>
      </c>
      <c r="B340" s="3" t="inlineStr">
        <is>
          <t>001482</t>
        </is>
      </c>
      <c r="C340" s="3" t="inlineStr">
        <is>
          <t>000947</t>
        </is>
      </c>
      <c r="D340" s="4" t="n">
        <v>45303</v>
      </c>
      <c r="E340" s="2" t="inlineStr">
        <is>
          <t>17:14</t>
        </is>
      </c>
      <c r="F340" s="5" t="n">
        <v>548.33</v>
      </c>
      <c r="G340" s="5" t="n"/>
      <c r="H340" s="5" t="n"/>
      <c r="I340" s="5" t="n"/>
      <c r="J340" s="5" t="n">
        <v>109.67</v>
      </c>
      <c r="K340" s="5" t="n"/>
      <c r="L340" s="5" t="n"/>
      <c r="M340" s="5" t="n"/>
      <c r="N340" s="5" t="n"/>
      <c r="O340" s="5" t="n">
        <v>658</v>
      </c>
      <c r="P340" s="5" t="n">
        <v>658</v>
      </c>
      <c r="Q340" s="5" t="n"/>
      <c r="R340" s="5" t="n"/>
      <c r="S340" s="5">
        <f>SUM(F340:I340)+N340</f>
        <v/>
      </c>
      <c r="T340" s="5">
        <f>J340</f>
        <v/>
      </c>
      <c r="U340" s="6">
        <f>YEAR(D340)</f>
        <v/>
      </c>
      <c r="V340" s="5">
        <f>TEXT(D340,"yyyy-mm")</f>
        <v/>
      </c>
    </row>
    <row r="341">
      <c r="A341" s="2" t="inlineStr">
        <is>
          <t>EJ010224.TXT</t>
        </is>
      </c>
      <c r="B341" s="3" t="inlineStr">
        <is>
          <t>001484</t>
        </is>
      </c>
      <c r="C341" s="3" t="inlineStr">
        <is>
          <t>000948</t>
        </is>
      </c>
      <c r="D341" s="4" t="n">
        <v>45309</v>
      </c>
      <c r="E341" s="2" t="inlineStr">
        <is>
          <t>14:04</t>
        </is>
      </c>
      <c r="F341" s="5" t="n">
        <v>1732.5</v>
      </c>
      <c r="G341" s="5" t="n"/>
      <c r="H341" s="5" t="n"/>
      <c r="I341" s="5" t="n"/>
      <c r="J341" s="5" t="n">
        <v>346.5</v>
      </c>
      <c r="K341" s="5" t="n"/>
      <c r="L341" s="5" t="n"/>
      <c r="M341" s="5" t="n"/>
      <c r="N341" s="5" t="n"/>
      <c r="O341" s="5" t="n">
        <v>2079</v>
      </c>
      <c r="P341" s="5" t="n">
        <v>2079</v>
      </c>
      <c r="Q341" s="5" t="n"/>
      <c r="R341" s="5" t="n"/>
      <c r="S341" s="5">
        <f>SUM(F341:I341)+N341</f>
        <v/>
      </c>
      <c r="T341" s="5">
        <f>J341</f>
        <v/>
      </c>
      <c r="U341" s="6">
        <f>YEAR(D341)</f>
        <v/>
      </c>
      <c r="V341" s="5">
        <f>TEXT(D341,"yyyy-mm")</f>
        <v/>
      </c>
    </row>
    <row r="342">
      <c r="A342" s="2" t="inlineStr">
        <is>
          <t>EJ010224.TXT</t>
        </is>
      </c>
      <c r="B342" s="3" t="inlineStr">
        <is>
          <t>001485</t>
        </is>
      </c>
      <c r="C342" s="3" t="inlineStr">
        <is>
          <t>000949</t>
        </is>
      </c>
      <c r="D342" s="4" t="n">
        <v>45310</v>
      </c>
      <c r="E342" s="2" t="inlineStr">
        <is>
          <t>12:41</t>
        </is>
      </c>
      <c r="F342" s="5" t="n">
        <v>3200</v>
      </c>
      <c r="G342" s="5" t="n"/>
      <c r="H342" s="5" t="n"/>
      <c r="I342" s="5" t="n"/>
      <c r="J342" s="5" t="n">
        <v>640</v>
      </c>
      <c r="K342" s="5" t="n"/>
      <c r="L342" s="5" t="n"/>
      <c r="M342" s="5" t="n"/>
      <c r="N342" s="5" t="n"/>
      <c r="O342" s="5" t="n">
        <v>3840</v>
      </c>
      <c r="P342" s="5" t="n">
        <v>3840</v>
      </c>
      <c r="Q342" s="5" t="n"/>
      <c r="R342" s="5" t="n"/>
      <c r="S342" s="5">
        <f>SUM(F342:I342)+N342</f>
        <v/>
      </c>
      <c r="T342" s="5">
        <f>J342</f>
        <v/>
      </c>
      <c r="U342" s="6">
        <f>YEAR(D342)</f>
        <v/>
      </c>
      <c r="V342" s="5">
        <f>TEXT(D342,"yyyy-mm")</f>
        <v/>
      </c>
    </row>
    <row r="343">
      <c r="A343" s="2" t="inlineStr">
        <is>
          <t>EJ010224.TXT</t>
        </is>
      </c>
      <c r="B343" s="3" t="inlineStr">
        <is>
          <t>001486</t>
        </is>
      </c>
      <c r="C343" s="3" t="inlineStr">
        <is>
          <t>000950</t>
        </is>
      </c>
      <c r="D343" s="4" t="n">
        <v>45310</v>
      </c>
      <c r="E343" s="2" t="inlineStr">
        <is>
          <t>12:41</t>
        </is>
      </c>
      <c r="F343" s="5" t="n">
        <v>1066.67</v>
      </c>
      <c r="G343" s="5" t="n"/>
      <c r="H343" s="5" t="n"/>
      <c r="I343" s="5" t="n"/>
      <c r="J343" s="5" t="n">
        <v>213.33</v>
      </c>
      <c r="K343" s="5" t="n"/>
      <c r="L343" s="5" t="n"/>
      <c r="M343" s="5" t="n"/>
      <c r="N343" s="5" t="n"/>
      <c r="O343" s="5" t="n">
        <v>1280</v>
      </c>
      <c r="P343" s="5" t="n">
        <v>1280</v>
      </c>
      <c r="Q343" s="5" t="n"/>
      <c r="R343" s="5" t="n"/>
      <c r="S343" s="5">
        <f>SUM(F343:I343)+N343</f>
        <v/>
      </c>
      <c r="T343" s="5">
        <f>J343</f>
        <v/>
      </c>
      <c r="U343" s="6">
        <f>YEAR(D343)</f>
        <v/>
      </c>
      <c r="V343" s="5">
        <f>TEXT(D343,"yyyy-mm")</f>
        <v/>
      </c>
    </row>
    <row r="344">
      <c r="A344" s="2" t="inlineStr">
        <is>
          <t>EJ010224.TXT</t>
        </is>
      </c>
      <c r="B344" s="3" t="inlineStr">
        <is>
          <t>001487</t>
        </is>
      </c>
      <c r="C344" s="3" t="inlineStr">
        <is>
          <t>000951</t>
        </is>
      </c>
      <c r="D344" s="4" t="n">
        <v>45310</v>
      </c>
      <c r="E344" s="2" t="inlineStr">
        <is>
          <t>13:59</t>
        </is>
      </c>
      <c r="F344" s="5" t="n">
        <v>57.5</v>
      </c>
      <c r="G344" s="5" t="n"/>
      <c r="H344" s="5" t="n"/>
      <c r="I344" s="5" t="n"/>
      <c r="J344" s="5" t="n">
        <v>11.5</v>
      </c>
      <c r="K344" s="5" t="n"/>
      <c r="L344" s="5" t="n"/>
      <c r="M344" s="5" t="n"/>
      <c r="N344" s="5" t="n"/>
      <c r="O344" s="5" t="n">
        <v>69</v>
      </c>
      <c r="P344" s="5" t="n">
        <v>69</v>
      </c>
      <c r="Q344" s="5" t="n"/>
      <c r="R344" s="5" t="n"/>
      <c r="S344" s="5">
        <f>SUM(F344:I344)+N344</f>
        <v/>
      </c>
      <c r="T344" s="5">
        <f>J344</f>
        <v/>
      </c>
      <c r="U344" s="6">
        <f>YEAR(D344)</f>
        <v/>
      </c>
      <c r="V344" s="5">
        <f>TEXT(D344,"yyyy-mm")</f>
        <v/>
      </c>
    </row>
    <row r="345">
      <c r="A345" s="2" t="inlineStr">
        <is>
          <t>EJ010224.TXT</t>
        </is>
      </c>
      <c r="B345" s="3" t="inlineStr">
        <is>
          <t>001488</t>
        </is>
      </c>
      <c r="C345" s="3" t="inlineStr">
        <is>
          <t>000952</t>
        </is>
      </c>
      <c r="D345" s="4" t="n">
        <v>45311</v>
      </c>
      <c r="E345" s="2" t="inlineStr">
        <is>
          <t>14:59</t>
        </is>
      </c>
      <c r="F345" s="5" t="n">
        <v>548.33</v>
      </c>
      <c r="G345" s="5" t="n"/>
      <c r="H345" s="5" t="n"/>
      <c r="I345" s="5" t="n"/>
      <c r="J345" s="5" t="n">
        <v>109.67</v>
      </c>
      <c r="K345" s="5" t="n"/>
      <c r="L345" s="5" t="n"/>
      <c r="M345" s="5" t="n"/>
      <c r="N345" s="5" t="n"/>
      <c r="O345" s="5" t="n">
        <v>658</v>
      </c>
      <c r="P345" s="5" t="n">
        <v>658</v>
      </c>
      <c r="Q345" s="5" t="n"/>
      <c r="R345" s="5" t="n"/>
      <c r="S345" s="5">
        <f>SUM(F345:I345)+N345</f>
        <v/>
      </c>
      <c r="T345" s="5">
        <f>J345</f>
        <v/>
      </c>
      <c r="U345" s="6">
        <f>YEAR(D345)</f>
        <v/>
      </c>
      <c r="V345" s="5">
        <f>TEXT(D345,"yyyy-mm")</f>
        <v/>
      </c>
    </row>
    <row r="346">
      <c r="A346" s="2" t="inlineStr">
        <is>
          <t>EJ010224.TXT</t>
        </is>
      </c>
      <c r="B346" s="3" t="inlineStr">
        <is>
          <t>001489</t>
        </is>
      </c>
      <c r="C346" s="3" t="inlineStr">
        <is>
          <t>000953</t>
        </is>
      </c>
      <c r="D346" s="4" t="n">
        <v>45311</v>
      </c>
      <c r="E346" s="2" t="inlineStr">
        <is>
          <t>15:19</t>
        </is>
      </c>
      <c r="F346" s="5" t="n">
        <v>82.5</v>
      </c>
      <c r="G346" s="5" t="n"/>
      <c r="H346" s="5" t="n"/>
      <c r="I346" s="5" t="n"/>
      <c r="J346" s="5" t="n">
        <v>16.5</v>
      </c>
      <c r="K346" s="5" t="n"/>
      <c r="L346" s="5" t="n"/>
      <c r="M346" s="5" t="n"/>
      <c r="N346" s="5" t="n"/>
      <c r="O346" s="5" t="n">
        <v>99</v>
      </c>
      <c r="P346" s="5" t="n">
        <v>99</v>
      </c>
      <c r="Q346" s="5" t="n"/>
      <c r="R346" s="5" t="n"/>
      <c r="S346" s="5">
        <f>SUM(F346:I346)+N346</f>
        <v/>
      </c>
      <c r="T346" s="5">
        <f>J346</f>
        <v/>
      </c>
      <c r="U346" s="6">
        <f>YEAR(D346)</f>
        <v/>
      </c>
      <c r="V346" s="5">
        <f>TEXT(D346,"yyyy-mm")</f>
        <v/>
      </c>
    </row>
    <row r="347">
      <c r="A347" s="2" t="inlineStr">
        <is>
          <t>EJ010224.TXT</t>
        </is>
      </c>
      <c r="B347" s="3" t="inlineStr">
        <is>
          <t>001490</t>
        </is>
      </c>
      <c r="C347" s="3" t="inlineStr">
        <is>
          <t>000954</t>
        </is>
      </c>
      <c r="D347" s="4" t="n">
        <v>45311</v>
      </c>
      <c r="E347" s="2" t="inlineStr">
        <is>
          <t>17:16</t>
        </is>
      </c>
      <c r="F347" s="5" t="n">
        <v>274.17</v>
      </c>
      <c r="G347" s="5" t="n"/>
      <c r="H347" s="5" t="n"/>
      <c r="I347" s="5" t="n"/>
      <c r="J347" s="5" t="n">
        <v>54.83</v>
      </c>
      <c r="K347" s="5" t="n"/>
      <c r="L347" s="5" t="n"/>
      <c r="M347" s="5" t="n"/>
      <c r="N347" s="5" t="n"/>
      <c r="O347" s="5" t="n">
        <v>329</v>
      </c>
      <c r="P347" s="5" t="n">
        <v>329</v>
      </c>
      <c r="Q347" s="5" t="n"/>
      <c r="R347" s="5" t="n"/>
      <c r="S347" s="5">
        <f>SUM(F347:I347)+N347</f>
        <v/>
      </c>
      <c r="T347" s="5">
        <f>J347</f>
        <v/>
      </c>
      <c r="U347" s="6">
        <f>YEAR(D347)</f>
        <v/>
      </c>
      <c r="V347" s="5">
        <f>TEXT(D347,"yyyy-mm")</f>
        <v/>
      </c>
    </row>
    <row r="348">
      <c r="A348" s="2" t="inlineStr">
        <is>
          <t>EJ010224.TXT</t>
        </is>
      </c>
      <c r="B348" s="3" t="inlineStr">
        <is>
          <t>001491</t>
        </is>
      </c>
      <c r="C348" s="3" t="inlineStr">
        <is>
          <t>000955</t>
        </is>
      </c>
      <c r="D348" s="4" t="n">
        <v>45314</v>
      </c>
      <c r="E348" s="2" t="inlineStr">
        <is>
          <t>14:49</t>
        </is>
      </c>
      <c r="F348" s="5" t="n">
        <v>124.17</v>
      </c>
      <c r="G348" s="5" t="n"/>
      <c r="H348" s="5" t="n"/>
      <c r="I348" s="5" t="n"/>
      <c r="J348" s="5" t="n">
        <v>24.83</v>
      </c>
      <c r="K348" s="5" t="n"/>
      <c r="L348" s="5" t="n"/>
      <c r="M348" s="5" t="n"/>
      <c r="N348" s="5" t="n"/>
      <c r="O348" s="5" t="n">
        <v>149</v>
      </c>
      <c r="P348" s="5" t="n">
        <v>94</v>
      </c>
      <c r="Q348" s="5" t="n">
        <v>55</v>
      </c>
      <c r="R348" s="5" t="n"/>
      <c r="S348" s="5">
        <f>SUM(F348:I348)+N348</f>
        <v/>
      </c>
      <c r="T348" s="5">
        <f>J348</f>
        <v/>
      </c>
      <c r="U348" s="6">
        <f>YEAR(D348)</f>
        <v/>
      </c>
      <c r="V348" s="5">
        <f>TEXT(D348,"yyyy-mm")</f>
        <v/>
      </c>
    </row>
    <row r="349">
      <c r="A349" s="2" t="inlineStr">
        <is>
          <t>EJ010224.TXT</t>
        </is>
      </c>
      <c r="B349" s="3" t="inlineStr">
        <is>
          <t>001492</t>
        </is>
      </c>
      <c r="C349" s="3" t="inlineStr">
        <is>
          <t>000956</t>
        </is>
      </c>
      <c r="D349" s="4" t="n">
        <v>45317</v>
      </c>
      <c r="E349" s="2" t="inlineStr">
        <is>
          <t>16:10</t>
        </is>
      </c>
      <c r="F349" s="5" t="n">
        <v>822.5</v>
      </c>
      <c r="G349" s="5" t="n"/>
      <c r="H349" s="5" t="n"/>
      <c r="I349" s="5" t="n"/>
      <c r="J349" s="5" t="n">
        <v>164.5</v>
      </c>
      <c r="K349" s="5" t="n"/>
      <c r="L349" s="5" t="n"/>
      <c r="M349" s="5" t="n"/>
      <c r="N349" s="5" t="n"/>
      <c r="O349" s="5" t="n">
        <v>987</v>
      </c>
      <c r="P349" s="5" t="n">
        <v>987</v>
      </c>
      <c r="Q349" s="5" t="n"/>
      <c r="R349" s="5" t="n"/>
      <c r="S349" s="5">
        <f>SUM(F349:I349)+N349</f>
        <v/>
      </c>
      <c r="T349" s="5">
        <f>J349</f>
        <v/>
      </c>
      <c r="U349" s="6">
        <f>YEAR(D349)</f>
        <v/>
      </c>
      <c r="V349" s="5">
        <f>TEXT(D349,"yyyy-mm")</f>
        <v/>
      </c>
    </row>
    <row r="350">
      <c r="A350" s="2" t="inlineStr">
        <is>
          <t>EJ010224.TXT</t>
        </is>
      </c>
      <c r="B350" s="3" t="inlineStr">
        <is>
          <t>001493</t>
        </is>
      </c>
      <c r="C350" s="3" t="inlineStr">
        <is>
          <t>000957</t>
        </is>
      </c>
      <c r="D350" s="4" t="n">
        <v>45318</v>
      </c>
      <c r="E350" s="2" t="inlineStr">
        <is>
          <t>14:32</t>
        </is>
      </c>
      <c r="F350" s="5" t="n">
        <v>1096.67</v>
      </c>
      <c r="G350" s="5" t="n"/>
      <c r="H350" s="5" t="n"/>
      <c r="I350" s="5" t="n"/>
      <c r="J350" s="5" t="n">
        <v>219.33</v>
      </c>
      <c r="K350" s="5" t="n"/>
      <c r="L350" s="5" t="n"/>
      <c r="M350" s="5" t="n"/>
      <c r="N350" s="5" t="n"/>
      <c r="O350" s="5" t="n">
        <v>1316</v>
      </c>
      <c r="P350" s="5" t="n">
        <v>1316</v>
      </c>
      <c r="Q350" s="5" t="n"/>
      <c r="R350" s="5" t="n"/>
      <c r="S350" s="5">
        <f>SUM(F350:I350)+N350</f>
        <v/>
      </c>
      <c r="T350" s="5">
        <f>J350</f>
        <v/>
      </c>
      <c r="U350" s="6">
        <f>YEAR(D350)</f>
        <v/>
      </c>
      <c r="V350" s="5">
        <f>TEXT(D350,"yyyy-mm")</f>
        <v/>
      </c>
    </row>
    <row r="351">
      <c r="A351" s="2" t="inlineStr">
        <is>
          <t>EJ010224.TXT</t>
        </is>
      </c>
      <c r="B351" s="3" t="inlineStr">
        <is>
          <t>001494</t>
        </is>
      </c>
      <c r="C351" s="3" t="inlineStr">
        <is>
          <t>000958</t>
        </is>
      </c>
      <c r="D351" s="4" t="n">
        <v>45318</v>
      </c>
      <c r="E351" s="2" t="inlineStr">
        <is>
          <t>16:20</t>
        </is>
      </c>
      <c r="F351" s="5" t="n">
        <v>274.17</v>
      </c>
      <c r="G351" s="5" t="n"/>
      <c r="H351" s="5" t="n"/>
      <c r="I351" s="5" t="n"/>
      <c r="J351" s="5" t="n">
        <v>54.83</v>
      </c>
      <c r="K351" s="5" t="n"/>
      <c r="L351" s="5" t="n"/>
      <c r="M351" s="5" t="n"/>
      <c r="N351" s="5" t="n"/>
      <c r="O351" s="5" t="n">
        <v>329</v>
      </c>
      <c r="P351" s="5" t="n">
        <v>329</v>
      </c>
      <c r="Q351" s="5" t="n"/>
      <c r="R351" s="5" t="n"/>
      <c r="S351" s="5">
        <f>SUM(F351:I351)+N351</f>
        <v/>
      </c>
      <c r="T351" s="5">
        <f>J351</f>
        <v/>
      </c>
      <c r="U351" s="6">
        <f>YEAR(D351)</f>
        <v/>
      </c>
      <c r="V351" s="5">
        <f>TEXT(D351,"yyyy-mm")</f>
        <v/>
      </c>
    </row>
    <row r="352">
      <c r="A352" s="2" t="inlineStr">
        <is>
          <t>EJ010224.TXT</t>
        </is>
      </c>
      <c r="B352" s="3" t="inlineStr">
        <is>
          <t>001495</t>
        </is>
      </c>
      <c r="C352" s="3" t="inlineStr">
        <is>
          <t>000959</t>
        </is>
      </c>
      <c r="D352" s="4" t="n">
        <v>45318</v>
      </c>
      <c r="E352" s="2" t="inlineStr">
        <is>
          <t>16:59</t>
        </is>
      </c>
      <c r="F352" s="5" t="n">
        <v>548.33</v>
      </c>
      <c r="G352" s="5" t="n"/>
      <c r="H352" s="5" t="n"/>
      <c r="I352" s="5" t="n"/>
      <c r="J352" s="5" t="n">
        <v>109.67</v>
      </c>
      <c r="K352" s="5" t="n"/>
      <c r="L352" s="5" t="n"/>
      <c r="M352" s="5" t="n"/>
      <c r="N352" s="5" t="n"/>
      <c r="O352" s="5" t="n">
        <v>658</v>
      </c>
      <c r="P352" s="5" t="n">
        <v>658</v>
      </c>
      <c r="Q352" s="5" t="n"/>
      <c r="R352" s="5" t="n"/>
      <c r="S352" s="5">
        <f>SUM(F352:I352)+N352</f>
        <v/>
      </c>
      <c r="T352" s="5">
        <f>J352</f>
        <v/>
      </c>
      <c r="U352" s="6">
        <f>YEAR(D352)</f>
        <v/>
      </c>
      <c r="V352" s="5">
        <f>TEXT(D352,"yyyy-mm")</f>
        <v/>
      </c>
    </row>
    <row r="353">
      <c r="A353" s="2" t="inlineStr">
        <is>
          <t>EJ010224.TXT</t>
        </is>
      </c>
      <c r="B353" s="3" t="inlineStr">
        <is>
          <t>001496</t>
        </is>
      </c>
      <c r="C353" s="3" t="inlineStr">
        <is>
          <t>000960</t>
        </is>
      </c>
      <c r="D353" s="4" t="n">
        <v>45318</v>
      </c>
      <c r="E353" s="2" t="inlineStr">
        <is>
          <t>17:17</t>
        </is>
      </c>
      <c r="F353" s="5" t="n">
        <v>603.33</v>
      </c>
      <c r="G353" s="5" t="n"/>
      <c r="H353" s="5" t="n"/>
      <c r="I353" s="5" t="n"/>
      <c r="J353" s="5" t="n">
        <v>120.67</v>
      </c>
      <c r="K353" s="5" t="n"/>
      <c r="L353" s="5" t="n"/>
      <c r="M353" s="5" t="n"/>
      <c r="N353" s="5" t="n"/>
      <c r="O353" s="5" t="n">
        <v>724</v>
      </c>
      <c r="P353" s="5" t="n">
        <v>724</v>
      </c>
      <c r="Q353" s="5" t="n"/>
      <c r="R353" s="5" t="n"/>
      <c r="S353" s="5">
        <f>SUM(F353:I353)+N353</f>
        <v/>
      </c>
      <c r="T353" s="5">
        <f>J353</f>
        <v/>
      </c>
      <c r="U353" s="6">
        <f>YEAR(D353)</f>
        <v/>
      </c>
      <c r="V353" s="5">
        <f>TEXT(D353,"yyyy-mm")</f>
        <v/>
      </c>
    </row>
    <row r="354">
      <c r="A354" s="2" t="inlineStr">
        <is>
          <t>EJ010224.TXT</t>
        </is>
      </c>
      <c r="B354" s="3" t="inlineStr">
        <is>
          <t>001497</t>
        </is>
      </c>
      <c r="C354" s="3" t="inlineStr">
        <is>
          <t>000961</t>
        </is>
      </c>
      <c r="D354" s="4" t="n">
        <v>45318</v>
      </c>
      <c r="E354" s="2" t="inlineStr">
        <is>
          <t>17:23</t>
        </is>
      </c>
      <c r="F354" s="5" t="n">
        <v>91.5</v>
      </c>
      <c r="G354" s="5" t="n"/>
      <c r="H354" s="5" t="n"/>
      <c r="I354" s="5" t="n"/>
      <c r="J354" s="5" t="n">
        <v>18.3</v>
      </c>
      <c r="K354" s="5" t="n"/>
      <c r="L354" s="5" t="n"/>
      <c r="M354" s="5" t="n"/>
      <c r="N354" s="5" t="n"/>
      <c r="O354" s="5" t="n">
        <v>109.8</v>
      </c>
      <c r="P354" s="5" t="n">
        <v>109.8</v>
      </c>
      <c r="Q354" s="5" t="n"/>
      <c r="R354" s="5" t="n"/>
      <c r="S354" s="5">
        <f>SUM(F354:I354)+N354</f>
        <v/>
      </c>
      <c r="T354" s="5">
        <f>J354</f>
        <v/>
      </c>
      <c r="U354" s="6">
        <f>YEAR(D354)</f>
        <v/>
      </c>
      <c r="V354" s="5">
        <f>TEXT(D354,"yyyy-mm")</f>
        <v/>
      </c>
    </row>
    <row r="355">
      <c r="A355" s="2" t="inlineStr">
        <is>
          <t>EJ010224.TXT</t>
        </is>
      </c>
      <c r="B355" s="3" t="inlineStr">
        <is>
          <t>001498</t>
        </is>
      </c>
      <c r="C355" s="3" t="inlineStr">
        <is>
          <t>000962</t>
        </is>
      </c>
      <c r="D355" s="4" t="n">
        <v>45320</v>
      </c>
      <c r="E355" s="2" t="inlineStr">
        <is>
          <t>14:52</t>
        </is>
      </c>
      <c r="F355" s="5" t="n">
        <v>73.33</v>
      </c>
      <c r="G355" s="5" t="n"/>
      <c r="H355" s="5" t="n"/>
      <c r="I355" s="5" t="n"/>
      <c r="J355" s="5" t="n">
        <v>14.67</v>
      </c>
      <c r="K355" s="5" t="n"/>
      <c r="L355" s="5" t="n"/>
      <c r="M355" s="5" t="n"/>
      <c r="N355" s="5" t="n"/>
      <c r="O355" s="5" t="n">
        <v>88</v>
      </c>
      <c r="P355" s="5" t="n">
        <v>88</v>
      </c>
      <c r="Q355" s="5" t="n"/>
      <c r="R355" s="5" t="n"/>
      <c r="S355" s="5">
        <f>SUM(F355:I355)+N355</f>
        <v/>
      </c>
      <c r="T355" s="5">
        <f>J355</f>
        <v/>
      </c>
      <c r="U355" s="6">
        <f>YEAR(D355)</f>
        <v/>
      </c>
      <c r="V355" s="5">
        <f>TEXT(D355,"yyyy-mm")</f>
        <v/>
      </c>
    </row>
    <row r="356">
      <c r="A356" s="2" t="inlineStr">
        <is>
          <t>EJ010224.TXT</t>
        </is>
      </c>
      <c r="B356" s="3" t="inlineStr">
        <is>
          <t>001499</t>
        </is>
      </c>
      <c r="C356" s="3" t="inlineStr">
        <is>
          <t>000963</t>
        </is>
      </c>
      <c r="D356" s="4" t="n">
        <v>45321</v>
      </c>
      <c r="E356" s="2" t="inlineStr">
        <is>
          <t>15:29</t>
        </is>
      </c>
      <c r="F356" s="5" t="n">
        <v>548.33</v>
      </c>
      <c r="G356" s="5" t="n"/>
      <c r="H356" s="5" t="n"/>
      <c r="I356" s="5" t="n"/>
      <c r="J356" s="5" t="n">
        <v>109.67</v>
      </c>
      <c r="K356" s="5" t="n"/>
      <c r="L356" s="5" t="n"/>
      <c r="M356" s="5" t="n"/>
      <c r="N356" s="5" t="n"/>
      <c r="O356" s="5" t="n">
        <v>658</v>
      </c>
      <c r="P356" s="5" t="n">
        <v>658</v>
      </c>
      <c r="Q356" s="5" t="n"/>
      <c r="R356" s="5" t="n"/>
      <c r="S356" s="5">
        <f>SUM(F356:I356)+N356</f>
        <v/>
      </c>
      <c r="T356" s="5">
        <f>J356</f>
        <v/>
      </c>
      <c r="U356" s="6">
        <f>YEAR(D356)</f>
        <v/>
      </c>
      <c r="V356" s="5">
        <f>TEXT(D356,"yyyy-mm")</f>
        <v/>
      </c>
    </row>
    <row r="357">
      <c r="A357" s="2" t="inlineStr">
        <is>
          <t>EJ010224.TXT</t>
        </is>
      </c>
      <c r="B357" s="3" t="inlineStr">
        <is>
          <t>001500</t>
        </is>
      </c>
      <c r="C357" s="3" t="inlineStr">
        <is>
          <t>000964</t>
        </is>
      </c>
      <c r="D357" s="4" t="n">
        <v>45321</v>
      </c>
      <c r="E357" s="2" t="inlineStr">
        <is>
          <t>17:41</t>
        </is>
      </c>
      <c r="F357" s="5" t="n">
        <v>548.33</v>
      </c>
      <c r="G357" s="5" t="n"/>
      <c r="H357" s="5" t="n"/>
      <c r="I357" s="5" t="n"/>
      <c r="J357" s="5" t="n">
        <v>109.67</v>
      </c>
      <c r="K357" s="5" t="n"/>
      <c r="L357" s="5" t="n"/>
      <c r="M357" s="5" t="n"/>
      <c r="N357" s="5" t="n"/>
      <c r="O357" s="5" t="n">
        <v>658</v>
      </c>
      <c r="P357" s="5" t="n">
        <v>658</v>
      </c>
      <c r="Q357" s="5" t="n"/>
      <c r="R357" s="5" t="n"/>
      <c r="S357" s="5">
        <f>SUM(F357:I357)+N357</f>
        <v/>
      </c>
      <c r="T357" s="5">
        <f>J357</f>
        <v/>
      </c>
      <c r="U357" s="6">
        <f>YEAR(D357)</f>
        <v/>
      </c>
      <c r="V357" s="5">
        <f>TEXT(D357,"yyyy-mm")</f>
        <v/>
      </c>
    </row>
    <row r="358">
      <c r="A358" s="2" t="inlineStr">
        <is>
          <t>EJ010224.TXT</t>
        </is>
      </c>
      <c r="B358" s="3" t="inlineStr">
        <is>
          <t>001503</t>
        </is>
      </c>
      <c r="C358" s="3" t="inlineStr">
        <is>
          <t>000965</t>
        </is>
      </c>
      <c r="D358" s="4" t="n">
        <v>45322</v>
      </c>
      <c r="E358" s="2" t="inlineStr">
        <is>
          <t>11:00</t>
        </is>
      </c>
      <c r="F358" s="5" t="n">
        <v>175</v>
      </c>
      <c r="G358" s="5" t="n"/>
      <c r="H358" s="5" t="n"/>
      <c r="I358" s="5" t="n"/>
      <c r="J358" s="5" t="n">
        <v>35</v>
      </c>
      <c r="K358" s="5" t="n"/>
      <c r="L358" s="5" t="n"/>
      <c r="M358" s="5" t="n"/>
      <c r="N358" s="5" t="n"/>
      <c r="O358" s="5" t="n">
        <v>210</v>
      </c>
      <c r="P358" s="5" t="n"/>
      <c r="Q358" s="5" t="n">
        <v>210</v>
      </c>
      <c r="R358" s="5" t="n"/>
      <c r="S358" s="5">
        <f>SUM(F358:I358)+N358</f>
        <v/>
      </c>
      <c r="T358" s="5">
        <f>J358</f>
        <v/>
      </c>
      <c r="U358" s="6">
        <f>YEAR(D358)</f>
        <v/>
      </c>
      <c r="V358" s="5">
        <f>TEXT(D358,"yyyy-mm")</f>
        <v/>
      </c>
    </row>
    <row r="359">
      <c r="A359" s="2" t="inlineStr">
        <is>
          <t>EJ010324.TXT</t>
        </is>
      </c>
      <c r="B359" s="3" t="inlineStr">
        <is>
          <t>001509</t>
        </is>
      </c>
      <c r="C359" s="3" t="inlineStr">
        <is>
          <t>000966</t>
        </is>
      </c>
      <c r="D359" s="4" t="n">
        <v>45323</v>
      </c>
      <c r="E359" s="2" t="inlineStr">
        <is>
          <t>11:10</t>
        </is>
      </c>
      <c r="F359" s="5" t="n">
        <v>1645</v>
      </c>
      <c r="G359" s="5" t="n"/>
      <c r="H359" s="5" t="n"/>
      <c r="I359" s="5" t="n"/>
      <c r="J359" s="5" t="n">
        <v>329</v>
      </c>
      <c r="K359" s="5" t="n"/>
      <c r="L359" s="5" t="n"/>
      <c r="M359" s="5" t="n"/>
      <c r="N359" s="5" t="n"/>
      <c r="O359" s="5" t="n">
        <v>1974</v>
      </c>
      <c r="P359" s="5" t="n">
        <v>1974</v>
      </c>
      <c r="Q359" s="5" t="n"/>
      <c r="R359" s="5" t="n"/>
      <c r="S359" s="5">
        <f>SUM(F359:I359)+N359</f>
        <v/>
      </c>
      <c r="T359" s="5">
        <f>J359</f>
        <v/>
      </c>
      <c r="U359" s="6">
        <f>YEAR(D359)</f>
        <v/>
      </c>
      <c r="V359" s="5">
        <f>TEXT(D359,"yyyy-mm")</f>
        <v/>
      </c>
    </row>
    <row r="360">
      <c r="A360" s="2" t="inlineStr">
        <is>
          <t>EJ010324.TXT</t>
        </is>
      </c>
      <c r="B360" s="3" t="inlineStr">
        <is>
          <t>001510</t>
        </is>
      </c>
      <c r="C360" s="3" t="inlineStr">
        <is>
          <t>000967</t>
        </is>
      </c>
      <c r="D360" s="4" t="n">
        <v>45323</v>
      </c>
      <c r="E360" s="2" t="inlineStr">
        <is>
          <t>14:37</t>
        </is>
      </c>
      <c r="F360" s="5" t="n">
        <v>199.17</v>
      </c>
      <c r="G360" s="5" t="n"/>
      <c r="H360" s="5" t="n"/>
      <c r="I360" s="5" t="n"/>
      <c r="J360" s="5" t="n">
        <v>39.83</v>
      </c>
      <c r="K360" s="5" t="n"/>
      <c r="L360" s="5" t="n"/>
      <c r="M360" s="5" t="n"/>
      <c r="N360" s="5" t="n"/>
      <c r="O360" s="5" t="n">
        <v>239</v>
      </c>
      <c r="P360" s="5" t="n"/>
      <c r="Q360" s="5" t="n">
        <v>239</v>
      </c>
      <c r="R360" s="5" t="n"/>
      <c r="S360" s="5">
        <f>SUM(F360:I360)+N360</f>
        <v/>
      </c>
      <c r="T360" s="5">
        <f>J360</f>
        <v/>
      </c>
      <c r="U360" s="6">
        <f>YEAR(D360)</f>
        <v/>
      </c>
      <c r="V360" s="5">
        <f>TEXT(D360,"yyyy-mm")</f>
        <v/>
      </c>
    </row>
    <row r="361">
      <c r="A361" s="2" t="inlineStr">
        <is>
          <t>EJ010324.TXT</t>
        </is>
      </c>
      <c r="B361" s="3" t="inlineStr">
        <is>
          <t>001511</t>
        </is>
      </c>
      <c r="C361" s="3" t="inlineStr">
        <is>
          <t>000968</t>
        </is>
      </c>
      <c r="D361" s="4" t="n">
        <v>45323</v>
      </c>
      <c r="E361" s="2" t="inlineStr">
        <is>
          <t>16:17</t>
        </is>
      </c>
      <c r="F361" s="5" t="n">
        <v>531.67</v>
      </c>
      <c r="G361" s="5" t="n"/>
      <c r="H361" s="5" t="n"/>
      <c r="I361" s="5" t="n"/>
      <c r="J361" s="5" t="n">
        <v>106.33</v>
      </c>
      <c r="K361" s="5" t="n"/>
      <c r="L361" s="5" t="n"/>
      <c r="M361" s="5" t="n"/>
      <c r="N361" s="5" t="n"/>
      <c r="O361" s="5" t="n">
        <v>638</v>
      </c>
      <c r="P361" s="5" t="n">
        <v>638</v>
      </c>
      <c r="Q361" s="5" t="n"/>
      <c r="R361" s="5" t="n"/>
      <c r="S361" s="5">
        <f>SUM(F361:I361)+N361</f>
        <v/>
      </c>
      <c r="T361" s="5">
        <f>J361</f>
        <v/>
      </c>
      <c r="U361" s="6">
        <f>YEAR(D361)</f>
        <v/>
      </c>
      <c r="V361" s="5">
        <f>TEXT(D361,"yyyy-mm")</f>
        <v/>
      </c>
    </row>
    <row r="362">
      <c r="A362" s="2" t="inlineStr">
        <is>
          <t>EJ010324.TXT</t>
        </is>
      </c>
      <c r="B362" s="3" t="inlineStr">
        <is>
          <t>001515</t>
        </is>
      </c>
      <c r="C362" s="3" t="inlineStr">
        <is>
          <t>000969</t>
        </is>
      </c>
      <c r="D362" s="4" t="n">
        <v>45324</v>
      </c>
      <c r="E362" s="2" t="inlineStr">
        <is>
          <t>16:46</t>
        </is>
      </c>
      <c r="F362" s="5" t="n">
        <v>190.83</v>
      </c>
      <c r="G362" s="5" t="n"/>
      <c r="H362" s="5" t="n"/>
      <c r="I362" s="5" t="n"/>
      <c r="J362" s="5" t="n">
        <v>38.17</v>
      </c>
      <c r="K362" s="5" t="n"/>
      <c r="L362" s="5" t="n"/>
      <c r="M362" s="5" t="n"/>
      <c r="N362" s="5" t="n"/>
      <c r="O362" s="5" t="n">
        <v>229</v>
      </c>
      <c r="P362" s="5" t="n">
        <v>229</v>
      </c>
      <c r="Q362" s="5" t="n"/>
      <c r="R362" s="5" t="n"/>
      <c r="S362" s="5">
        <f>SUM(F362:I362)+N362</f>
        <v/>
      </c>
      <c r="T362" s="5">
        <f>J362</f>
        <v/>
      </c>
      <c r="U362" s="6">
        <f>YEAR(D362)</f>
        <v/>
      </c>
      <c r="V362" s="5">
        <f>TEXT(D362,"yyyy-mm")</f>
        <v/>
      </c>
    </row>
    <row r="363">
      <c r="A363" s="2" t="inlineStr">
        <is>
          <t>EJ010324.TXT</t>
        </is>
      </c>
      <c r="B363" s="3" t="inlineStr">
        <is>
          <t>001516</t>
        </is>
      </c>
      <c r="C363" s="3" t="inlineStr">
        <is>
          <t>000970</t>
        </is>
      </c>
      <c r="D363" s="4" t="n">
        <v>45325</v>
      </c>
      <c r="E363" s="2" t="inlineStr">
        <is>
          <t>15:24</t>
        </is>
      </c>
      <c r="F363" s="5" t="n">
        <v>274.17</v>
      </c>
      <c r="G363" s="5" t="n"/>
      <c r="H363" s="5" t="n"/>
      <c r="I363" s="5" t="n"/>
      <c r="J363" s="5" t="n">
        <v>54.83</v>
      </c>
      <c r="K363" s="5" t="n"/>
      <c r="L363" s="5" t="n"/>
      <c r="M363" s="5" t="n"/>
      <c r="N363" s="5" t="n"/>
      <c r="O363" s="5" t="n">
        <v>329</v>
      </c>
      <c r="P363" s="5" t="n">
        <v>329</v>
      </c>
      <c r="Q363" s="5" t="n"/>
      <c r="R363" s="5" t="n"/>
      <c r="S363" s="5">
        <f>SUM(F363:I363)+N363</f>
        <v/>
      </c>
      <c r="T363" s="5">
        <f>J363</f>
        <v/>
      </c>
      <c r="U363" s="6">
        <f>YEAR(D363)</f>
        <v/>
      </c>
      <c r="V363" s="5">
        <f>TEXT(D363,"yyyy-mm")</f>
        <v/>
      </c>
    </row>
    <row r="364">
      <c r="A364" s="2" t="inlineStr">
        <is>
          <t>EJ010324.TXT</t>
        </is>
      </c>
      <c r="B364" s="3" t="inlineStr">
        <is>
          <t>001517</t>
        </is>
      </c>
      <c r="C364" s="3" t="inlineStr">
        <is>
          <t>000971</t>
        </is>
      </c>
      <c r="D364" s="4" t="n">
        <v>45325</v>
      </c>
      <c r="E364" s="2" t="inlineStr">
        <is>
          <t>17:34</t>
        </is>
      </c>
      <c r="F364" s="5" t="n">
        <v>329.17</v>
      </c>
      <c r="G364" s="5" t="n"/>
      <c r="H364" s="5" t="n"/>
      <c r="I364" s="5" t="n"/>
      <c r="J364" s="5" t="n">
        <v>65.83</v>
      </c>
      <c r="K364" s="5" t="n"/>
      <c r="L364" s="5" t="n"/>
      <c r="M364" s="5" t="n"/>
      <c r="N364" s="5" t="n"/>
      <c r="O364" s="5" t="n">
        <v>395</v>
      </c>
      <c r="P364" s="5" t="n"/>
      <c r="Q364" s="5" t="n">
        <v>395</v>
      </c>
      <c r="R364" s="5" t="n"/>
      <c r="S364" s="5">
        <f>SUM(F364:I364)+N364</f>
        <v/>
      </c>
      <c r="T364" s="5">
        <f>J364</f>
        <v/>
      </c>
      <c r="U364" s="6">
        <f>YEAR(D364)</f>
        <v/>
      </c>
      <c r="V364" s="5">
        <f>TEXT(D364,"yyyy-mm")</f>
        <v/>
      </c>
    </row>
    <row r="365">
      <c r="A365" s="2" t="inlineStr">
        <is>
          <t>EJ010324.TXT</t>
        </is>
      </c>
      <c r="B365" s="3" t="inlineStr">
        <is>
          <t>001518</t>
        </is>
      </c>
      <c r="C365" s="3" t="inlineStr">
        <is>
          <t>000972</t>
        </is>
      </c>
      <c r="D365" s="4" t="n">
        <v>45327</v>
      </c>
      <c r="E365" s="2" t="inlineStr">
        <is>
          <t>12:32</t>
        </is>
      </c>
      <c r="F365" s="5" t="n">
        <v>199.17</v>
      </c>
      <c r="G365" s="5" t="n"/>
      <c r="H365" s="5" t="n"/>
      <c r="I365" s="5" t="n"/>
      <c r="J365" s="5" t="n">
        <v>39.83</v>
      </c>
      <c r="K365" s="5" t="n"/>
      <c r="L365" s="5" t="n"/>
      <c r="M365" s="5" t="n"/>
      <c r="N365" s="5" t="n"/>
      <c r="O365" s="5" t="n">
        <v>239</v>
      </c>
      <c r="P365" s="5" t="n">
        <v>239</v>
      </c>
      <c r="Q365" s="5" t="n"/>
      <c r="R365" s="5" t="n"/>
      <c r="S365" s="5">
        <f>SUM(F365:I365)+N365</f>
        <v/>
      </c>
      <c r="T365" s="5">
        <f>J365</f>
        <v/>
      </c>
      <c r="U365" s="6">
        <f>YEAR(D365)</f>
        <v/>
      </c>
      <c r="V365" s="5">
        <f>TEXT(D365,"yyyy-mm")</f>
        <v/>
      </c>
    </row>
    <row r="366">
      <c r="A366" s="2" t="inlineStr">
        <is>
          <t>EJ010324.TXT</t>
        </is>
      </c>
      <c r="B366" s="3" t="inlineStr">
        <is>
          <t>001520</t>
        </is>
      </c>
      <c r="C366" s="3" t="inlineStr">
        <is>
          <t>000973</t>
        </is>
      </c>
      <c r="D366" s="4" t="n">
        <v>45327</v>
      </c>
      <c r="E366" s="2" t="inlineStr">
        <is>
          <t>12:40</t>
        </is>
      </c>
      <c r="F366" s="5" t="n">
        <v>199.17</v>
      </c>
      <c r="G366" s="5" t="n"/>
      <c r="H366" s="5" t="n"/>
      <c r="I366" s="5" t="n"/>
      <c r="J366" s="5" t="n">
        <v>39.83</v>
      </c>
      <c r="K366" s="5" t="n"/>
      <c r="L366" s="5" t="n"/>
      <c r="M366" s="5" t="n"/>
      <c r="N366" s="5" t="n"/>
      <c r="O366" s="5" t="n">
        <v>239</v>
      </c>
      <c r="P366" s="5" t="n">
        <v>239</v>
      </c>
      <c r="Q366" s="5" t="n"/>
      <c r="R366" s="5" t="n"/>
      <c r="S366" s="5">
        <f>SUM(F366:I366)+N366</f>
        <v/>
      </c>
      <c r="T366" s="5">
        <f>J366</f>
        <v/>
      </c>
      <c r="U366" s="6">
        <f>YEAR(D366)</f>
        <v/>
      </c>
      <c r="V366" s="5">
        <f>TEXT(D366,"yyyy-mm")</f>
        <v/>
      </c>
    </row>
    <row r="367">
      <c r="A367" s="2" t="inlineStr">
        <is>
          <t>EJ010324.TXT</t>
        </is>
      </c>
      <c r="B367" s="3" t="inlineStr">
        <is>
          <t>001523</t>
        </is>
      </c>
      <c r="C367" s="3" t="inlineStr">
        <is>
          <t>000974</t>
        </is>
      </c>
      <c r="D367" s="4" t="n">
        <v>45328</v>
      </c>
      <c r="E367" s="2" t="inlineStr">
        <is>
          <t>12:54</t>
        </is>
      </c>
      <c r="F367" s="5" t="n">
        <v>274.17</v>
      </c>
      <c r="G367" s="5" t="n"/>
      <c r="H367" s="5" t="n"/>
      <c r="I367" s="5" t="n"/>
      <c r="J367" s="5" t="n">
        <v>54.83</v>
      </c>
      <c r="K367" s="5" t="n"/>
      <c r="L367" s="5" t="n"/>
      <c r="M367" s="5" t="n"/>
      <c r="N367" s="5" t="n"/>
      <c r="O367" s="5" t="n">
        <v>329</v>
      </c>
      <c r="P367" s="5" t="n">
        <v>329</v>
      </c>
      <c r="Q367" s="5" t="n"/>
      <c r="R367" s="5" t="n"/>
      <c r="S367" s="5">
        <f>SUM(F367:I367)+N367</f>
        <v/>
      </c>
      <c r="T367" s="5">
        <f>J367</f>
        <v/>
      </c>
      <c r="U367" s="6">
        <f>YEAR(D367)</f>
        <v/>
      </c>
      <c r="V367" s="5">
        <f>TEXT(D367,"yyyy-mm")</f>
        <v/>
      </c>
    </row>
    <row r="368">
      <c r="A368" s="2" t="inlineStr">
        <is>
          <t>EJ010324.TXT</t>
        </is>
      </c>
      <c r="B368" s="3" t="inlineStr">
        <is>
          <t>001524</t>
        </is>
      </c>
      <c r="C368" s="3" t="inlineStr">
        <is>
          <t>000975</t>
        </is>
      </c>
      <c r="D368" s="4" t="n">
        <v>45328</v>
      </c>
      <c r="E368" s="2" t="inlineStr">
        <is>
          <t>13:36</t>
        </is>
      </c>
      <c r="F368" s="5" t="n">
        <v>190.83</v>
      </c>
      <c r="G368" s="5" t="n"/>
      <c r="H368" s="5" t="n"/>
      <c r="I368" s="5" t="n"/>
      <c r="J368" s="5" t="n">
        <v>38.17</v>
      </c>
      <c r="K368" s="5" t="n"/>
      <c r="L368" s="5" t="n"/>
      <c r="M368" s="5" t="n"/>
      <c r="N368" s="5" t="n"/>
      <c r="O368" s="5" t="n">
        <v>229</v>
      </c>
      <c r="P368" s="5" t="n">
        <v>229</v>
      </c>
      <c r="Q368" s="5" t="n"/>
      <c r="R368" s="5" t="n"/>
      <c r="S368" s="5">
        <f>SUM(F368:I368)+N368</f>
        <v/>
      </c>
      <c r="T368" s="5">
        <f>J368</f>
        <v/>
      </c>
      <c r="U368" s="6">
        <f>YEAR(D368)</f>
        <v/>
      </c>
      <c r="V368" s="5">
        <f>TEXT(D368,"yyyy-mm")</f>
        <v/>
      </c>
    </row>
    <row r="369">
      <c r="A369" s="2" t="inlineStr">
        <is>
          <t>EJ010324.TXT</t>
        </is>
      </c>
      <c r="B369" s="3" t="inlineStr">
        <is>
          <t>001525</t>
        </is>
      </c>
      <c r="C369" s="3" t="inlineStr">
        <is>
          <t>000976</t>
        </is>
      </c>
      <c r="D369" s="4" t="n">
        <v>45328</v>
      </c>
      <c r="E369" s="2" t="inlineStr">
        <is>
          <t>16:24</t>
        </is>
      </c>
      <c r="F369" s="5" t="n">
        <v>1645</v>
      </c>
      <c r="G369" s="5" t="n"/>
      <c r="H369" s="5" t="n"/>
      <c r="I369" s="5" t="n"/>
      <c r="J369" s="5" t="n">
        <v>329</v>
      </c>
      <c r="K369" s="5" t="n"/>
      <c r="L369" s="5" t="n"/>
      <c r="M369" s="5" t="n"/>
      <c r="N369" s="5" t="n"/>
      <c r="O369" s="5" t="n">
        <v>1974</v>
      </c>
      <c r="P369" s="5" t="n">
        <v>1974</v>
      </c>
      <c r="Q369" s="5" t="n"/>
      <c r="R369" s="5" t="n"/>
      <c r="S369" s="5">
        <f>SUM(F369:I369)+N369</f>
        <v/>
      </c>
      <c r="T369" s="5">
        <f>J369</f>
        <v/>
      </c>
      <c r="U369" s="6">
        <f>YEAR(D369)</f>
        <v/>
      </c>
      <c r="V369" s="5">
        <f>TEXT(D369,"yyyy-mm")</f>
        <v/>
      </c>
    </row>
    <row r="370">
      <c r="A370" s="2" t="inlineStr">
        <is>
          <t>EJ010324.TXT</t>
        </is>
      </c>
      <c r="B370" s="3" t="inlineStr">
        <is>
          <t>001526</t>
        </is>
      </c>
      <c r="C370" s="3" t="inlineStr">
        <is>
          <t>000977</t>
        </is>
      </c>
      <c r="D370" s="4" t="n">
        <v>45328</v>
      </c>
      <c r="E370" s="2" t="inlineStr">
        <is>
          <t>16:55</t>
        </is>
      </c>
      <c r="F370" s="5" t="n">
        <v>274.17</v>
      </c>
      <c r="G370" s="5" t="n"/>
      <c r="H370" s="5" t="n"/>
      <c r="I370" s="5" t="n"/>
      <c r="J370" s="5" t="n">
        <v>54.83</v>
      </c>
      <c r="K370" s="5" t="n"/>
      <c r="L370" s="5" t="n"/>
      <c r="M370" s="5" t="n"/>
      <c r="N370" s="5" t="n"/>
      <c r="O370" s="5" t="n">
        <v>329</v>
      </c>
      <c r="P370" s="5" t="n">
        <v>329</v>
      </c>
      <c r="Q370" s="5" t="n"/>
      <c r="R370" s="5" t="n"/>
      <c r="S370" s="5">
        <f>SUM(F370:I370)+N370</f>
        <v/>
      </c>
      <c r="T370" s="5">
        <f>J370</f>
        <v/>
      </c>
      <c r="U370" s="6">
        <f>YEAR(D370)</f>
        <v/>
      </c>
      <c r="V370" s="5">
        <f>TEXT(D370,"yyyy-mm")</f>
        <v/>
      </c>
    </row>
    <row r="371">
      <c r="A371" s="2" t="inlineStr">
        <is>
          <t>EJ010324.TXT</t>
        </is>
      </c>
      <c r="B371" s="3" t="inlineStr">
        <is>
          <t>001527</t>
        </is>
      </c>
      <c r="C371" s="3" t="inlineStr">
        <is>
          <t>000978</t>
        </is>
      </c>
      <c r="D371" s="4" t="n">
        <v>45329</v>
      </c>
      <c r="E371" s="2" t="inlineStr">
        <is>
          <t>10:37</t>
        </is>
      </c>
      <c r="F371" s="5" t="n">
        <v>190.83</v>
      </c>
      <c r="G371" s="5" t="n"/>
      <c r="H371" s="5" t="n"/>
      <c r="I371" s="5" t="n"/>
      <c r="J371" s="5" t="n">
        <v>38.17</v>
      </c>
      <c r="K371" s="5" t="n"/>
      <c r="L371" s="5" t="n"/>
      <c r="M371" s="5" t="n"/>
      <c r="N371" s="5" t="n"/>
      <c r="O371" s="5" t="n">
        <v>229</v>
      </c>
      <c r="P371" s="5" t="n"/>
      <c r="Q371" s="5" t="n">
        <v>229</v>
      </c>
      <c r="R371" s="5" t="n"/>
      <c r="S371" s="5">
        <f>SUM(F371:I371)+N371</f>
        <v/>
      </c>
      <c r="T371" s="5">
        <f>J371</f>
        <v/>
      </c>
      <c r="U371" s="6">
        <f>YEAR(D371)</f>
        <v/>
      </c>
      <c r="V371" s="5">
        <f>TEXT(D371,"yyyy-mm")</f>
        <v/>
      </c>
    </row>
    <row r="372">
      <c r="A372" s="2" t="inlineStr">
        <is>
          <t>EJ010324.TXT</t>
        </is>
      </c>
      <c r="B372" s="3" t="inlineStr">
        <is>
          <t>001528</t>
        </is>
      </c>
      <c r="C372" s="3" t="inlineStr">
        <is>
          <t>000979</t>
        </is>
      </c>
      <c r="D372" s="4" t="n">
        <v>45329</v>
      </c>
      <c r="E372" s="2" t="inlineStr">
        <is>
          <t>12:29</t>
        </is>
      </c>
      <c r="F372" s="5" t="n">
        <v>548.33</v>
      </c>
      <c r="G372" s="5" t="n"/>
      <c r="H372" s="5" t="n"/>
      <c r="I372" s="5" t="n"/>
      <c r="J372" s="5" t="n">
        <v>109.67</v>
      </c>
      <c r="K372" s="5" t="n"/>
      <c r="L372" s="5" t="n"/>
      <c r="M372" s="5" t="n"/>
      <c r="N372" s="5" t="n"/>
      <c r="O372" s="5" t="n">
        <v>658</v>
      </c>
      <c r="P372" s="5" t="n">
        <v>658</v>
      </c>
      <c r="Q372" s="5" t="n"/>
      <c r="R372" s="5" t="n"/>
      <c r="S372" s="5">
        <f>SUM(F372:I372)+N372</f>
        <v/>
      </c>
      <c r="T372" s="5">
        <f>J372</f>
        <v/>
      </c>
      <c r="U372" s="6">
        <f>YEAR(D372)</f>
        <v/>
      </c>
      <c r="V372" s="5">
        <f>TEXT(D372,"yyyy-mm")</f>
        <v/>
      </c>
    </row>
    <row r="373">
      <c r="A373" s="2" t="inlineStr">
        <is>
          <t>EJ010324.TXT</t>
        </is>
      </c>
      <c r="B373" s="3" t="inlineStr">
        <is>
          <t>001529</t>
        </is>
      </c>
      <c r="C373" s="3" t="inlineStr">
        <is>
          <t>000980</t>
        </is>
      </c>
      <c r="D373" s="4" t="n">
        <v>45329</v>
      </c>
      <c r="E373" s="2" t="inlineStr">
        <is>
          <t>15:20</t>
        </is>
      </c>
      <c r="F373" s="5" t="n">
        <v>548.33</v>
      </c>
      <c r="G373" s="5" t="n"/>
      <c r="H373" s="5" t="n"/>
      <c r="I373" s="5" t="n"/>
      <c r="J373" s="5" t="n">
        <v>109.67</v>
      </c>
      <c r="K373" s="5" t="n"/>
      <c r="L373" s="5" t="n"/>
      <c r="M373" s="5" t="n"/>
      <c r="N373" s="5" t="n"/>
      <c r="O373" s="5" t="n">
        <v>658</v>
      </c>
      <c r="P373" s="5" t="n"/>
      <c r="Q373" s="5" t="n">
        <v>658</v>
      </c>
      <c r="R373" s="5" t="n"/>
      <c r="S373" s="5">
        <f>SUM(F373:I373)+N373</f>
        <v/>
      </c>
      <c r="T373" s="5">
        <f>J373</f>
        <v/>
      </c>
      <c r="U373" s="6">
        <f>YEAR(D373)</f>
        <v/>
      </c>
      <c r="V373" s="5">
        <f>TEXT(D373,"yyyy-mm")</f>
        <v/>
      </c>
    </row>
    <row r="374">
      <c r="A374" s="2" t="inlineStr">
        <is>
          <t>EJ010324.TXT</t>
        </is>
      </c>
      <c r="B374" s="3" t="inlineStr">
        <is>
          <t>001530</t>
        </is>
      </c>
      <c r="C374" s="3" t="inlineStr">
        <is>
          <t>000981</t>
        </is>
      </c>
      <c r="D374" s="4" t="n">
        <v>45329</v>
      </c>
      <c r="E374" s="2" t="inlineStr">
        <is>
          <t>15:56</t>
        </is>
      </c>
      <c r="F374" s="5" t="n">
        <v>3505.83</v>
      </c>
      <c r="G374" s="5" t="n"/>
      <c r="H374" s="5" t="n"/>
      <c r="I374" s="5" t="n"/>
      <c r="J374" s="5" t="n">
        <v>701.17</v>
      </c>
      <c r="K374" s="5" t="n"/>
      <c r="L374" s="5" t="n"/>
      <c r="M374" s="5" t="n"/>
      <c r="N374" s="5" t="n"/>
      <c r="O374" s="5" t="n">
        <v>4207</v>
      </c>
      <c r="P374" s="5" t="n">
        <v>4207</v>
      </c>
      <c r="Q374" s="5" t="n"/>
      <c r="R374" s="5" t="n"/>
      <c r="S374" s="5">
        <f>SUM(F374:I374)+N374</f>
        <v/>
      </c>
      <c r="T374" s="5">
        <f>J374</f>
        <v/>
      </c>
      <c r="U374" s="6">
        <f>YEAR(D374)</f>
        <v/>
      </c>
      <c r="V374" s="5">
        <f>TEXT(D374,"yyyy-mm")</f>
        <v/>
      </c>
    </row>
    <row r="375">
      <c r="A375" s="2" t="inlineStr">
        <is>
          <t>EJ010324.TXT</t>
        </is>
      </c>
      <c r="B375" s="3" t="inlineStr">
        <is>
          <t>001532</t>
        </is>
      </c>
      <c r="C375" s="3" t="inlineStr">
        <is>
          <t>000982</t>
        </is>
      </c>
      <c r="D375" s="4" t="n">
        <v>45330</v>
      </c>
      <c r="E375" s="2" t="inlineStr">
        <is>
          <t>15:29</t>
        </is>
      </c>
      <c r="F375" s="5" t="n">
        <v>87.25</v>
      </c>
      <c r="G375" s="5" t="n"/>
      <c r="H375" s="5" t="n"/>
      <c r="I375" s="5" t="n"/>
      <c r="J375" s="5" t="n">
        <v>17.45</v>
      </c>
      <c r="K375" s="5" t="n"/>
      <c r="L375" s="5" t="n"/>
      <c r="M375" s="5" t="n"/>
      <c r="N375" s="5" t="n"/>
      <c r="O375" s="5" t="n">
        <v>104.7</v>
      </c>
      <c r="P375" s="5" t="n">
        <v>104.7</v>
      </c>
      <c r="Q375" s="5" t="n"/>
      <c r="R375" s="5" t="n"/>
      <c r="S375" s="5">
        <f>SUM(F375:I375)+N375</f>
        <v/>
      </c>
      <c r="T375" s="5">
        <f>J375</f>
        <v/>
      </c>
      <c r="U375" s="6">
        <f>YEAR(D375)</f>
        <v/>
      </c>
      <c r="V375" s="5">
        <f>TEXT(D375,"yyyy-mm")</f>
        <v/>
      </c>
    </row>
    <row r="376">
      <c r="A376" s="2" t="inlineStr">
        <is>
          <t>EJ010324.TXT</t>
        </is>
      </c>
      <c r="B376" s="3" t="inlineStr">
        <is>
          <t>001533</t>
        </is>
      </c>
      <c r="C376" s="3" t="inlineStr">
        <is>
          <t>000983</t>
        </is>
      </c>
      <c r="D376" s="4" t="n">
        <v>45330</v>
      </c>
      <c r="E376" s="2" t="inlineStr">
        <is>
          <t>15:31</t>
        </is>
      </c>
      <c r="F376" s="5" t="n">
        <v>124.17</v>
      </c>
      <c r="G376" s="5" t="n"/>
      <c r="H376" s="5" t="n"/>
      <c r="I376" s="5" t="n"/>
      <c r="J376" s="5" t="n">
        <v>24.83</v>
      </c>
      <c r="K376" s="5" t="n"/>
      <c r="L376" s="5" t="n"/>
      <c r="M376" s="5" t="n"/>
      <c r="N376" s="5" t="n"/>
      <c r="O376" s="5" t="n">
        <v>149</v>
      </c>
      <c r="P376" s="5" t="n">
        <v>149</v>
      </c>
      <c r="Q376" s="5" t="n"/>
      <c r="R376" s="5" t="n"/>
      <c r="S376" s="5">
        <f>SUM(F376:I376)+N376</f>
        <v/>
      </c>
      <c r="T376" s="5">
        <f>J376</f>
        <v/>
      </c>
      <c r="U376" s="6">
        <f>YEAR(D376)</f>
        <v/>
      </c>
      <c r="V376" s="5">
        <f>TEXT(D376,"yyyy-mm")</f>
        <v/>
      </c>
    </row>
    <row r="377">
      <c r="A377" s="2" t="inlineStr">
        <is>
          <t>EJ010324.TXT</t>
        </is>
      </c>
      <c r="B377" s="3" t="inlineStr">
        <is>
          <t>001534</t>
        </is>
      </c>
      <c r="C377" s="3" t="inlineStr">
        <is>
          <t>000984</t>
        </is>
      </c>
      <c r="D377" s="4" t="n">
        <v>45331</v>
      </c>
      <c r="E377" s="2" t="inlineStr">
        <is>
          <t>10:18</t>
        </is>
      </c>
      <c r="F377" s="5" t="n">
        <v>663.33</v>
      </c>
      <c r="G377" s="5" t="n"/>
      <c r="H377" s="5" t="n"/>
      <c r="I377" s="5" t="n"/>
      <c r="J377" s="5" t="n">
        <v>132.67</v>
      </c>
      <c r="K377" s="5" t="n"/>
      <c r="L377" s="5" t="n"/>
      <c r="M377" s="5" t="n"/>
      <c r="N377" s="5" t="n"/>
      <c r="O377" s="5" t="n">
        <v>796</v>
      </c>
      <c r="P377" s="5" t="n">
        <v>796</v>
      </c>
      <c r="Q377" s="5" t="n"/>
      <c r="R377" s="5" t="n"/>
      <c r="S377" s="5">
        <f>SUM(F377:I377)+N377</f>
        <v/>
      </c>
      <c r="T377" s="5">
        <f>J377</f>
        <v/>
      </c>
      <c r="U377" s="6">
        <f>YEAR(D377)</f>
        <v/>
      </c>
      <c r="V377" s="5">
        <f>TEXT(D377,"yyyy-mm")</f>
        <v/>
      </c>
    </row>
    <row r="378">
      <c r="A378" s="2" t="inlineStr">
        <is>
          <t>EJ010324.TXT</t>
        </is>
      </c>
      <c r="B378" s="3" t="inlineStr">
        <is>
          <t>001536</t>
        </is>
      </c>
      <c r="C378" s="3" t="inlineStr">
        <is>
          <t>000985</t>
        </is>
      </c>
      <c r="D378" s="4" t="n">
        <v>45331</v>
      </c>
      <c r="E378" s="2" t="inlineStr">
        <is>
          <t>12:54</t>
        </is>
      </c>
      <c r="F378" s="5" t="n">
        <v>124.17</v>
      </c>
      <c r="G378" s="5" t="n"/>
      <c r="H378" s="5" t="n"/>
      <c r="I378" s="5" t="n"/>
      <c r="J378" s="5" t="n">
        <v>24.83</v>
      </c>
      <c r="K378" s="5" t="n"/>
      <c r="L378" s="5" t="n"/>
      <c r="M378" s="5" t="n"/>
      <c r="N378" s="5" t="n"/>
      <c r="O378" s="5" t="n">
        <v>149</v>
      </c>
      <c r="P378" s="5" t="n">
        <v>149</v>
      </c>
      <c r="Q378" s="5" t="n"/>
      <c r="R378" s="5" t="n"/>
      <c r="S378" s="5">
        <f>SUM(F378:I378)+N378</f>
        <v/>
      </c>
      <c r="T378" s="5">
        <f>J378</f>
        <v/>
      </c>
      <c r="U378" s="6">
        <f>YEAR(D378)</f>
        <v/>
      </c>
      <c r="V378" s="5">
        <f>TEXT(D378,"yyyy-mm")</f>
        <v/>
      </c>
    </row>
    <row r="379">
      <c r="A379" s="2" t="inlineStr">
        <is>
          <t>EJ010324.TXT</t>
        </is>
      </c>
      <c r="B379" s="3" t="inlineStr">
        <is>
          <t>001538</t>
        </is>
      </c>
      <c r="C379" s="3" t="inlineStr">
        <is>
          <t>000986</t>
        </is>
      </c>
      <c r="D379" s="4" t="n">
        <v>45331</v>
      </c>
      <c r="E379" s="2" t="inlineStr">
        <is>
          <t>14:12</t>
        </is>
      </c>
      <c r="F379" s="5" t="n">
        <v>274.17</v>
      </c>
      <c r="G379" s="5" t="n"/>
      <c r="H379" s="5" t="n"/>
      <c r="I379" s="5" t="n"/>
      <c r="J379" s="5" t="n">
        <v>54.83</v>
      </c>
      <c r="K379" s="5" t="n"/>
      <c r="L379" s="5" t="n"/>
      <c r="M379" s="5" t="n"/>
      <c r="N379" s="5" t="n"/>
      <c r="O379" s="5" t="n">
        <v>329</v>
      </c>
      <c r="P379" s="5" t="n"/>
      <c r="Q379" s="5" t="n">
        <v>329</v>
      </c>
      <c r="R379" s="5" t="n"/>
      <c r="S379" s="5">
        <f>SUM(F379:I379)+N379</f>
        <v/>
      </c>
      <c r="T379" s="5">
        <f>J379</f>
        <v/>
      </c>
      <c r="U379" s="6">
        <f>YEAR(D379)</f>
        <v/>
      </c>
      <c r="V379" s="5">
        <f>TEXT(D379,"yyyy-mm")</f>
        <v/>
      </c>
    </row>
    <row r="380">
      <c r="A380" s="2" t="inlineStr">
        <is>
          <t>EJ010324.TXT</t>
        </is>
      </c>
      <c r="B380" s="3" t="inlineStr">
        <is>
          <t>001539</t>
        </is>
      </c>
      <c r="C380" s="3" t="inlineStr">
        <is>
          <t>000987</t>
        </is>
      </c>
      <c r="D380" s="4" t="n">
        <v>45331</v>
      </c>
      <c r="E380" s="2" t="inlineStr">
        <is>
          <t>15:14</t>
        </is>
      </c>
      <c r="F380" s="5" t="n">
        <v>398.33</v>
      </c>
      <c r="G380" s="5" t="n"/>
      <c r="H380" s="5" t="n"/>
      <c r="I380" s="5" t="n"/>
      <c r="J380" s="5" t="n">
        <v>79.67</v>
      </c>
      <c r="K380" s="5" t="n"/>
      <c r="L380" s="5" t="n"/>
      <c r="M380" s="5" t="n"/>
      <c r="N380" s="5" t="n"/>
      <c r="O380" s="5" t="n">
        <v>478</v>
      </c>
      <c r="P380" s="5" t="n">
        <v>478</v>
      </c>
      <c r="Q380" s="5" t="n"/>
      <c r="R380" s="5" t="n"/>
      <c r="S380" s="5">
        <f>SUM(F380:I380)+N380</f>
        <v/>
      </c>
      <c r="T380" s="5">
        <f>J380</f>
        <v/>
      </c>
      <c r="U380" s="6">
        <f>YEAR(D380)</f>
        <v/>
      </c>
      <c r="V380" s="5">
        <f>TEXT(D380,"yyyy-mm")</f>
        <v/>
      </c>
    </row>
    <row r="381">
      <c r="A381" s="2" t="inlineStr">
        <is>
          <t>EJ010324.TXT</t>
        </is>
      </c>
      <c r="B381" s="3" t="inlineStr">
        <is>
          <t>001540</t>
        </is>
      </c>
      <c r="C381" s="3" t="inlineStr">
        <is>
          <t>000988</t>
        </is>
      </c>
      <c r="D381" s="4" t="n">
        <v>45331</v>
      </c>
      <c r="E381" s="2" t="inlineStr">
        <is>
          <t>16:52</t>
        </is>
      </c>
      <c r="F381" s="5" t="n">
        <v>548.33</v>
      </c>
      <c r="G381" s="5" t="n"/>
      <c r="H381" s="5" t="n"/>
      <c r="I381" s="5" t="n"/>
      <c r="J381" s="5" t="n">
        <v>109.67</v>
      </c>
      <c r="K381" s="5" t="n"/>
      <c r="L381" s="5" t="n"/>
      <c r="M381" s="5" t="n"/>
      <c r="N381" s="5" t="n"/>
      <c r="O381" s="5" t="n">
        <v>658</v>
      </c>
      <c r="P381" s="5" t="n"/>
      <c r="Q381" s="5" t="n">
        <v>658</v>
      </c>
      <c r="R381" s="5" t="n"/>
      <c r="S381" s="5">
        <f>SUM(F381:I381)+N381</f>
        <v/>
      </c>
      <c r="T381" s="5">
        <f>J381</f>
        <v/>
      </c>
      <c r="U381" s="6">
        <f>YEAR(D381)</f>
        <v/>
      </c>
      <c r="V381" s="5">
        <f>TEXT(D381,"yyyy-mm")</f>
        <v/>
      </c>
    </row>
    <row r="382">
      <c r="A382" s="2" t="inlineStr">
        <is>
          <t>EJ010324.TXT</t>
        </is>
      </c>
      <c r="B382" s="3" t="inlineStr">
        <is>
          <t>001541</t>
        </is>
      </c>
      <c r="C382" s="3" t="inlineStr">
        <is>
          <t>000989</t>
        </is>
      </c>
      <c r="D382" s="4" t="n">
        <v>45331</v>
      </c>
      <c r="E382" s="2" t="inlineStr">
        <is>
          <t>17:11</t>
        </is>
      </c>
      <c r="F382" s="5" t="n">
        <v>350</v>
      </c>
      <c r="G382" s="5" t="n"/>
      <c r="H382" s="5" t="n"/>
      <c r="I382" s="5" t="n"/>
      <c r="J382" s="5" t="n">
        <v>70</v>
      </c>
      <c r="K382" s="5" t="n"/>
      <c r="L382" s="5" t="n"/>
      <c r="M382" s="5" t="n"/>
      <c r="N382" s="5" t="n"/>
      <c r="O382" s="5" t="n">
        <v>420</v>
      </c>
      <c r="P382" s="5" t="n">
        <v>420</v>
      </c>
      <c r="Q382" s="5" t="n"/>
      <c r="R382" s="5" t="n"/>
      <c r="S382" s="5">
        <f>SUM(F382:I382)+N382</f>
        <v/>
      </c>
      <c r="T382" s="5">
        <f>J382</f>
        <v/>
      </c>
      <c r="U382" s="6">
        <f>YEAR(D382)</f>
        <v/>
      </c>
      <c r="V382" s="5">
        <f>TEXT(D382,"yyyy-mm")</f>
        <v/>
      </c>
    </row>
    <row r="383">
      <c r="A383" s="2" t="inlineStr">
        <is>
          <t>EJ010324.TXT</t>
        </is>
      </c>
      <c r="B383" s="3" t="inlineStr">
        <is>
          <t>001542</t>
        </is>
      </c>
      <c r="C383" s="3" t="inlineStr">
        <is>
          <t>000990</t>
        </is>
      </c>
      <c r="D383" s="4" t="n">
        <v>45334</v>
      </c>
      <c r="E383" s="2" t="inlineStr">
        <is>
          <t>10:09</t>
        </is>
      </c>
      <c r="F383" s="5" t="n">
        <v>274.17</v>
      </c>
      <c r="G383" s="5" t="n"/>
      <c r="H383" s="5" t="n"/>
      <c r="I383" s="5" t="n"/>
      <c r="J383" s="5" t="n">
        <v>54.83</v>
      </c>
      <c r="K383" s="5" t="n"/>
      <c r="L383" s="5" t="n"/>
      <c r="M383" s="5" t="n"/>
      <c r="N383" s="5" t="n"/>
      <c r="O383" s="5" t="n">
        <v>329</v>
      </c>
      <c r="P383" s="5" t="n">
        <v>329</v>
      </c>
      <c r="Q383" s="5" t="n"/>
      <c r="R383" s="5" t="n"/>
      <c r="S383" s="5">
        <f>SUM(F383:I383)+N383</f>
        <v/>
      </c>
      <c r="T383" s="5">
        <f>J383</f>
        <v/>
      </c>
      <c r="U383" s="6">
        <f>YEAR(D383)</f>
        <v/>
      </c>
      <c r="V383" s="5">
        <f>TEXT(D383,"yyyy-mm")</f>
        <v/>
      </c>
    </row>
    <row r="384">
      <c r="A384" s="2" t="inlineStr">
        <is>
          <t>EJ010324.TXT</t>
        </is>
      </c>
      <c r="B384" s="3" t="inlineStr">
        <is>
          <t>001543</t>
        </is>
      </c>
      <c r="C384" s="3" t="inlineStr">
        <is>
          <t>000991</t>
        </is>
      </c>
      <c r="D384" s="4" t="n">
        <v>45336</v>
      </c>
      <c r="E384" s="2" t="inlineStr">
        <is>
          <t>14:51</t>
        </is>
      </c>
      <c r="F384" s="5" t="n">
        <v>274.17</v>
      </c>
      <c r="G384" s="5" t="n"/>
      <c r="H384" s="5" t="n"/>
      <c r="I384" s="5" t="n"/>
      <c r="J384" s="5" t="n">
        <v>54.83</v>
      </c>
      <c r="K384" s="5" t="n"/>
      <c r="L384" s="5" t="n"/>
      <c r="M384" s="5" t="n"/>
      <c r="N384" s="5" t="n"/>
      <c r="O384" s="5" t="n">
        <v>329</v>
      </c>
      <c r="P384" s="5" t="n">
        <v>329</v>
      </c>
      <c r="Q384" s="5" t="n"/>
      <c r="R384" s="5" t="n"/>
      <c r="S384" s="5">
        <f>SUM(F384:I384)+N384</f>
        <v/>
      </c>
      <c r="T384" s="5">
        <f>J384</f>
        <v/>
      </c>
      <c r="U384" s="6">
        <f>YEAR(D384)</f>
        <v/>
      </c>
      <c r="V384" s="5">
        <f>TEXT(D384,"yyyy-mm")</f>
        <v/>
      </c>
    </row>
    <row r="385">
      <c r="A385" s="2" t="inlineStr">
        <is>
          <t>EJ010324.TXT</t>
        </is>
      </c>
      <c r="B385" s="3" t="inlineStr">
        <is>
          <t>001544</t>
        </is>
      </c>
      <c r="C385" s="3" t="inlineStr">
        <is>
          <t>000992</t>
        </is>
      </c>
      <c r="D385" s="4" t="n">
        <v>45337</v>
      </c>
      <c r="E385" s="2" t="inlineStr">
        <is>
          <t>15:34</t>
        </is>
      </c>
      <c r="F385" s="5" t="n">
        <v>548.33</v>
      </c>
      <c r="G385" s="5" t="n"/>
      <c r="H385" s="5" t="n"/>
      <c r="I385" s="5" t="n"/>
      <c r="J385" s="5" t="n">
        <v>109.67</v>
      </c>
      <c r="K385" s="5" t="n"/>
      <c r="L385" s="5" t="n"/>
      <c r="M385" s="5" t="n"/>
      <c r="N385" s="5" t="n"/>
      <c r="O385" s="5" t="n">
        <v>658</v>
      </c>
      <c r="P385" s="5" t="n">
        <v>658</v>
      </c>
      <c r="Q385" s="5" t="n"/>
      <c r="R385" s="5" t="n"/>
      <c r="S385" s="5">
        <f>SUM(F385:I385)+N385</f>
        <v/>
      </c>
      <c r="T385" s="5">
        <f>J385</f>
        <v/>
      </c>
      <c r="U385" s="6">
        <f>YEAR(D385)</f>
        <v/>
      </c>
      <c r="V385" s="5">
        <f>TEXT(D385,"yyyy-mm")</f>
        <v/>
      </c>
    </row>
    <row r="386">
      <c r="A386" s="2" t="inlineStr">
        <is>
          <t>EJ010324.TXT</t>
        </is>
      </c>
      <c r="B386" s="3" t="inlineStr">
        <is>
          <t>001545</t>
        </is>
      </c>
      <c r="C386" s="3" t="inlineStr">
        <is>
          <t>000993</t>
        </is>
      </c>
      <c r="D386" s="4" t="n">
        <v>45337</v>
      </c>
      <c r="E386" s="2" t="inlineStr">
        <is>
          <t>16:06</t>
        </is>
      </c>
      <c r="F386" s="5" t="n">
        <v>548.33</v>
      </c>
      <c r="G386" s="5" t="n"/>
      <c r="H386" s="5" t="n"/>
      <c r="I386" s="5" t="n"/>
      <c r="J386" s="5" t="n">
        <v>109.67</v>
      </c>
      <c r="K386" s="5" t="n"/>
      <c r="L386" s="5" t="n"/>
      <c r="M386" s="5" t="n"/>
      <c r="N386" s="5" t="n"/>
      <c r="O386" s="5" t="n">
        <v>658</v>
      </c>
      <c r="P386" s="5" t="n">
        <v>658</v>
      </c>
      <c r="Q386" s="5" t="n"/>
      <c r="R386" s="5" t="n"/>
      <c r="S386" s="5">
        <f>SUM(F386:I386)+N386</f>
        <v/>
      </c>
      <c r="T386" s="5">
        <f>J386</f>
        <v/>
      </c>
      <c r="U386" s="6">
        <f>YEAR(D386)</f>
        <v/>
      </c>
      <c r="V386" s="5">
        <f>TEXT(D386,"yyyy-mm")</f>
        <v/>
      </c>
    </row>
    <row r="387">
      <c r="A387" s="2" t="inlineStr">
        <is>
          <t>EJ010324.TXT</t>
        </is>
      </c>
      <c r="B387" s="3" t="inlineStr">
        <is>
          <t>001546</t>
        </is>
      </c>
      <c r="C387" s="3" t="inlineStr">
        <is>
          <t>000994</t>
        </is>
      </c>
      <c r="D387" s="4" t="n">
        <v>45337</v>
      </c>
      <c r="E387" s="2" t="inlineStr">
        <is>
          <t>16:18</t>
        </is>
      </c>
      <c r="F387" s="5" t="n">
        <v>548.33</v>
      </c>
      <c r="G387" s="5" t="n"/>
      <c r="H387" s="5" t="n"/>
      <c r="I387" s="5" t="n"/>
      <c r="J387" s="5" t="n">
        <v>109.67</v>
      </c>
      <c r="K387" s="5" t="n"/>
      <c r="L387" s="5" t="n"/>
      <c r="M387" s="5" t="n"/>
      <c r="N387" s="5" t="n"/>
      <c r="O387" s="5" t="n">
        <v>658</v>
      </c>
      <c r="P387" s="5" t="n">
        <v>440</v>
      </c>
      <c r="Q387" s="5" t="n">
        <v>218</v>
      </c>
      <c r="R387" s="5" t="n"/>
      <c r="S387" s="5">
        <f>SUM(F387:I387)+N387</f>
        <v/>
      </c>
      <c r="T387" s="5">
        <f>J387</f>
        <v/>
      </c>
      <c r="U387" s="6">
        <f>YEAR(D387)</f>
        <v/>
      </c>
      <c r="V387" s="5">
        <f>TEXT(D387,"yyyy-mm")</f>
        <v/>
      </c>
    </row>
    <row r="388">
      <c r="A388" s="2" t="inlineStr">
        <is>
          <t>EJ010324.TXT</t>
        </is>
      </c>
      <c r="B388" s="3" t="inlineStr">
        <is>
          <t>001548</t>
        </is>
      </c>
      <c r="C388" s="3" t="inlineStr">
        <is>
          <t>000995</t>
        </is>
      </c>
      <c r="D388" s="4" t="n">
        <v>45338</v>
      </c>
      <c r="E388" s="2" t="inlineStr">
        <is>
          <t>14:44</t>
        </is>
      </c>
      <c r="F388" s="5" t="n">
        <v>3290</v>
      </c>
      <c r="G388" s="5" t="n"/>
      <c r="H388" s="5" t="n"/>
      <c r="I388" s="5" t="n"/>
      <c r="J388" s="5" t="n">
        <v>658</v>
      </c>
      <c r="K388" s="5" t="n"/>
      <c r="L388" s="5" t="n"/>
      <c r="M388" s="5" t="n"/>
      <c r="N388" s="5" t="n"/>
      <c r="O388" s="5" t="n">
        <v>3948</v>
      </c>
      <c r="P388" s="5" t="n">
        <v>3948</v>
      </c>
      <c r="Q388" s="5" t="n"/>
      <c r="R388" s="5" t="n"/>
      <c r="S388" s="5">
        <f>SUM(F388:I388)+N388</f>
        <v/>
      </c>
      <c r="T388" s="5">
        <f>J388</f>
        <v/>
      </c>
      <c r="U388" s="6">
        <f>YEAR(D388)</f>
        <v/>
      </c>
      <c r="V388" s="5">
        <f>TEXT(D388,"yyyy-mm")</f>
        <v/>
      </c>
    </row>
    <row r="389">
      <c r="A389" s="2" t="inlineStr">
        <is>
          <t>EJ010324.TXT</t>
        </is>
      </c>
      <c r="B389" s="3" t="inlineStr">
        <is>
          <t>001549</t>
        </is>
      </c>
      <c r="C389" s="3" t="inlineStr">
        <is>
          <t>000996</t>
        </is>
      </c>
      <c r="D389" s="4" t="n">
        <v>45338</v>
      </c>
      <c r="E389" s="2" t="inlineStr">
        <is>
          <t>15:35</t>
        </is>
      </c>
      <c r="F389" s="5" t="n">
        <v>136.5</v>
      </c>
      <c r="G389" s="5" t="n"/>
      <c r="H389" s="5" t="n"/>
      <c r="I389" s="5" t="n"/>
      <c r="J389" s="5" t="n">
        <v>27.3</v>
      </c>
      <c r="K389" s="5" t="n"/>
      <c r="L389" s="5" t="n"/>
      <c r="M389" s="5" t="n"/>
      <c r="N389" s="5" t="n"/>
      <c r="O389" s="5" t="n">
        <v>163.8</v>
      </c>
      <c r="P389" s="5" t="n"/>
      <c r="Q389" s="5" t="n">
        <v>163.8</v>
      </c>
      <c r="R389" s="5" t="n"/>
      <c r="S389" s="5">
        <f>SUM(F389:I389)+N389</f>
        <v/>
      </c>
      <c r="T389" s="5">
        <f>J389</f>
        <v/>
      </c>
      <c r="U389" s="6">
        <f>YEAR(D389)</f>
        <v/>
      </c>
      <c r="V389" s="5">
        <f>TEXT(D389,"yyyy-mm")</f>
        <v/>
      </c>
    </row>
    <row r="390">
      <c r="A390" s="2" t="inlineStr">
        <is>
          <t>EJ010324.TXT</t>
        </is>
      </c>
      <c r="B390" s="3" t="inlineStr">
        <is>
          <t>001550</t>
        </is>
      </c>
      <c r="C390" s="3" t="inlineStr">
        <is>
          <t>000997</t>
        </is>
      </c>
      <c r="D390" s="4" t="n">
        <v>45339</v>
      </c>
      <c r="E390" s="2" t="inlineStr">
        <is>
          <t>14:59</t>
        </is>
      </c>
      <c r="F390" s="5" t="n">
        <v>658.33</v>
      </c>
      <c r="G390" s="5" t="n"/>
      <c r="H390" s="5" t="n"/>
      <c r="I390" s="5" t="n"/>
      <c r="J390" s="5" t="n">
        <v>131.67</v>
      </c>
      <c r="K390" s="5" t="n"/>
      <c r="L390" s="5" t="n"/>
      <c r="M390" s="5" t="n"/>
      <c r="N390" s="5" t="n"/>
      <c r="O390" s="5" t="n">
        <v>790</v>
      </c>
      <c r="P390" s="5" t="n">
        <v>790</v>
      </c>
      <c r="Q390" s="5" t="n"/>
      <c r="R390" s="5" t="n"/>
      <c r="S390" s="5">
        <f>SUM(F390:I390)+N390</f>
        <v/>
      </c>
      <c r="T390" s="5">
        <f>J390</f>
        <v/>
      </c>
      <c r="U390" s="6">
        <f>YEAR(D390)</f>
        <v/>
      </c>
      <c r="V390" s="5">
        <f>TEXT(D390,"yyyy-mm")</f>
        <v/>
      </c>
    </row>
    <row r="391">
      <c r="A391" s="2" t="inlineStr">
        <is>
          <t>EJ010324.TXT</t>
        </is>
      </c>
      <c r="B391" s="3" t="inlineStr">
        <is>
          <t>001551</t>
        </is>
      </c>
      <c r="C391" s="3" t="inlineStr">
        <is>
          <t>000998</t>
        </is>
      </c>
      <c r="D391" s="4" t="n">
        <v>45341</v>
      </c>
      <c r="E391" s="2" t="inlineStr">
        <is>
          <t>16:17</t>
        </is>
      </c>
      <c r="F391" s="5" t="n">
        <v>2193.33</v>
      </c>
      <c r="G391" s="5" t="n"/>
      <c r="H391" s="5" t="n"/>
      <c r="I391" s="5" t="n"/>
      <c r="J391" s="5" t="n">
        <v>438.67</v>
      </c>
      <c r="K391" s="5" t="n"/>
      <c r="L391" s="5" t="n"/>
      <c r="M391" s="5" t="n"/>
      <c r="N391" s="5" t="n"/>
      <c r="O391" s="5" t="n">
        <v>2632</v>
      </c>
      <c r="P391" s="5" t="n">
        <v>2632</v>
      </c>
      <c r="Q391" s="5" t="n"/>
      <c r="R391" s="5" t="n"/>
      <c r="S391" s="5">
        <f>SUM(F391:I391)+N391</f>
        <v/>
      </c>
      <c r="T391" s="5">
        <f>J391</f>
        <v/>
      </c>
      <c r="U391" s="6">
        <f>YEAR(D391)</f>
        <v/>
      </c>
      <c r="V391" s="5">
        <f>TEXT(D391,"yyyy-mm")</f>
        <v/>
      </c>
    </row>
    <row r="392">
      <c r="A392" s="2" t="inlineStr">
        <is>
          <t>EJ010324.TXT</t>
        </is>
      </c>
      <c r="B392" s="3" t="inlineStr">
        <is>
          <t>001552</t>
        </is>
      </c>
      <c r="C392" s="3" t="inlineStr">
        <is>
          <t>000999</t>
        </is>
      </c>
      <c r="D392" s="4" t="n">
        <v>45342</v>
      </c>
      <c r="E392" s="2" t="inlineStr">
        <is>
          <t>16:08</t>
        </is>
      </c>
      <c r="F392" s="5" t="n">
        <v>1096.67</v>
      </c>
      <c r="G392" s="5" t="n"/>
      <c r="H392" s="5" t="n"/>
      <c r="I392" s="5" t="n"/>
      <c r="J392" s="5" t="n">
        <v>219.33</v>
      </c>
      <c r="K392" s="5" t="n"/>
      <c r="L392" s="5" t="n"/>
      <c r="M392" s="5" t="n"/>
      <c r="N392" s="5" t="n"/>
      <c r="O392" s="5" t="n">
        <v>1316</v>
      </c>
      <c r="P392" s="5" t="n">
        <v>1316</v>
      </c>
      <c r="Q392" s="5" t="n"/>
      <c r="R392" s="5" t="n"/>
      <c r="S392" s="5">
        <f>SUM(F392:I392)+N392</f>
        <v/>
      </c>
      <c r="T392" s="5">
        <f>J392</f>
        <v/>
      </c>
      <c r="U392" s="6">
        <f>YEAR(D392)</f>
        <v/>
      </c>
      <c r="V392" s="5">
        <f>TEXT(D392,"yyyy-mm")</f>
        <v/>
      </c>
    </row>
    <row r="393">
      <c r="A393" s="2" t="inlineStr">
        <is>
          <t>EJ010324.TXT</t>
        </is>
      </c>
      <c r="B393" s="3" t="inlineStr">
        <is>
          <t>001553</t>
        </is>
      </c>
      <c r="C393" s="3" t="inlineStr">
        <is>
          <t>001000</t>
        </is>
      </c>
      <c r="D393" s="4" t="n">
        <v>45343</v>
      </c>
      <c r="E393" s="2" t="inlineStr">
        <is>
          <t>11:06</t>
        </is>
      </c>
      <c r="F393" s="5" t="n">
        <v>199.17</v>
      </c>
      <c r="G393" s="5" t="n"/>
      <c r="H393" s="5" t="n"/>
      <c r="I393" s="5" t="n"/>
      <c r="J393" s="5" t="n">
        <v>39.83</v>
      </c>
      <c r="K393" s="5" t="n"/>
      <c r="L393" s="5" t="n"/>
      <c r="M393" s="5" t="n"/>
      <c r="N393" s="5" t="n"/>
      <c r="O393" s="5" t="n">
        <v>239</v>
      </c>
      <c r="P393" s="5" t="n"/>
      <c r="Q393" s="5" t="n">
        <v>239</v>
      </c>
      <c r="R393" s="5" t="n"/>
      <c r="S393" s="5">
        <f>SUM(F393:I393)+N393</f>
        <v/>
      </c>
      <c r="T393" s="5">
        <f>J393</f>
        <v/>
      </c>
      <c r="U393" s="6">
        <f>YEAR(D393)</f>
        <v/>
      </c>
      <c r="V393" s="5">
        <f>TEXT(D393,"yyyy-mm")</f>
        <v/>
      </c>
    </row>
    <row r="394">
      <c r="A394" s="2" t="inlineStr">
        <is>
          <t>EJ010324.TXT</t>
        </is>
      </c>
      <c r="B394" s="3" t="inlineStr">
        <is>
          <t>001555</t>
        </is>
      </c>
      <c r="C394" s="3" t="inlineStr">
        <is>
          <t>001001</t>
        </is>
      </c>
      <c r="D394" s="4" t="n">
        <v>45343</v>
      </c>
      <c r="E394" s="2" t="inlineStr">
        <is>
          <t>11:52</t>
        </is>
      </c>
      <c r="F394" s="5" t="n">
        <v>212.5</v>
      </c>
      <c r="G394" s="5" t="n"/>
      <c r="H394" s="5" t="n"/>
      <c r="I394" s="5" t="n"/>
      <c r="J394" s="5" t="n">
        <v>42.5</v>
      </c>
      <c r="K394" s="5" t="n"/>
      <c r="L394" s="5" t="n"/>
      <c r="M394" s="5" t="n"/>
      <c r="N394" s="5" t="n"/>
      <c r="O394" s="5" t="n">
        <v>255</v>
      </c>
      <c r="P394" s="5" t="n">
        <v>255</v>
      </c>
      <c r="Q394" s="5" t="n"/>
      <c r="R394" s="5" t="n"/>
      <c r="S394" s="5">
        <f>SUM(F394:I394)+N394</f>
        <v/>
      </c>
      <c r="T394" s="5">
        <f>J394</f>
        <v/>
      </c>
      <c r="U394" s="6">
        <f>YEAR(D394)</f>
        <v/>
      </c>
      <c r="V394" s="5">
        <f>TEXT(D394,"yyyy-mm")</f>
        <v/>
      </c>
    </row>
    <row r="395">
      <c r="A395" s="2" t="inlineStr">
        <is>
          <t>EJ010324.TXT</t>
        </is>
      </c>
      <c r="B395" s="3" t="inlineStr">
        <is>
          <t>001556</t>
        </is>
      </c>
      <c r="C395" s="3" t="inlineStr">
        <is>
          <t>001002</t>
        </is>
      </c>
      <c r="D395" s="4" t="n">
        <v>45344</v>
      </c>
      <c r="E395" s="2" t="inlineStr">
        <is>
          <t>17:50</t>
        </is>
      </c>
      <c r="F395" s="5" t="n">
        <v>473.33</v>
      </c>
      <c r="G395" s="5" t="n"/>
      <c r="H395" s="5" t="n"/>
      <c r="I395" s="5" t="n"/>
      <c r="J395" s="5" t="n">
        <v>94.67</v>
      </c>
      <c r="K395" s="5" t="n"/>
      <c r="L395" s="5" t="n"/>
      <c r="M395" s="5" t="n"/>
      <c r="N395" s="5" t="n"/>
      <c r="O395" s="5" t="n">
        <v>568</v>
      </c>
      <c r="P395" s="5" t="n">
        <v>568</v>
      </c>
      <c r="Q395" s="5" t="n"/>
      <c r="R395" s="5" t="n"/>
      <c r="S395" s="5">
        <f>SUM(F395:I395)+N395</f>
        <v/>
      </c>
      <c r="T395" s="5">
        <f>J395</f>
        <v/>
      </c>
      <c r="U395" s="6">
        <f>YEAR(D395)</f>
        <v/>
      </c>
      <c r="V395" s="5">
        <f>TEXT(D395,"yyyy-mm")</f>
        <v/>
      </c>
    </row>
    <row r="396">
      <c r="A396" s="2" t="inlineStr">
        <is>
          <t>EJ010324.TXT</t>
        </is>
      </c>
      <c r="B396" s="3" t="inlineStr">
        <is>
          <t>001560</t>
        </is>
      </c>
      <c r="C396" s="3" t="inlineStr">
        <is>
          <t>001003</t>
        </is>
      </c>
      <c r="D396" s="4" t="n">
        <v>45350</v>
      </c>
      <c r="E396" s="2" t="inlineStr">
        <is>
          <t>13:03</t>
        </is>
      </c>
      <c r="F396" s="5" t="n">
        <v>548.33</v>
      </c>
      <c r="G396" s="5" t="n"/>
      <c r="H396" s="5" t="n"/>
      <c r="I396" s="5" t="n"/>
      <c r="J396" s="5" t="n">
        <v>109.67</v>
      </c>
      <c r="K396" s="5" t="n"/>
      <c r="L396" s="5" t="n"/>
      <c r="M396" s="5" t="n"/>
      <c r="N396" s="5" t="n"/>
      <c r="O396" s="5" t="n">
        <v>658</v>
      </c>
      <c r="P396" s="5" t="n"/>
      <c r="Q396" s="5" t="n">
        <v>658</v>
      </c>
      <c r="R396" s="5" t="n"/>
      <c r="S396" s="5">
        <f>SUM(F396:I396)+N396</f>
        <v/>
      </c>
      <c r="T396" s="5">
        <f>J396</f>
        <v/>
      </c>
      <c r="U396" s="6">
        <f>YEAR(D396)</f>
        <v/>
      </c>
      <c r="V396" s="5">
        <f>TEXT(D396,"yyyy-mm")</f>
        <v/>
      </c>
    </row>
    <row r="397">
      <c r="A397" s="2" t="inlineStr">
        <is>
          <t>EJ010324.TXT</t>
        </is>
      </c>
      <c r="B397" s="3" t="inlineStr">
        <is>
          <t>001561</t>
        </is>
      </c>
      <c r="C397" s="3" t="inlineStr">
        <is>
          <t>001004</t>
        </is>
      </c>
      <c r="D397" s="4" t="n">
        <v>45350</v>
      </c>
      <c r="E397" s="2" t="inlineStr">
        <is>
          <t>14:31</t>
        </is>
      </c>
      <c r="F397" s="5" t="n">
        <v>546.67</v>
      </c>
      <c r="G397" s="5" t="n"/>
      <c r="H397" s="5" t="n"/>
      <c r="I397" s="5" t="n"/>
      <c r="J397" s="5" t="n">
        <v>109.33</v>
      </c>
      <c r="K397" s="5" t="n"/>
      <c r="L397" s="5" t="n"/>
      <c r="M397" s="5" t="n"/>
      <c r="N397" s="5" t="n"/>
      <c r="O397" s="5" t="n">
        <v>656</v>
      </c>
      <c r="P397" s="5" t="n">
        <v>656</v>
      </c>
      <c r="Q397" s="5" t="n"/>
      <c r="R397" s="5" t="n"/>
      <c r="S397" s="5">
        <f>SUM(F397:I397)+N397</f>
        <v/>
      </c>
      <c r="T397" s="5">
        <f>J397</f>
        <v/>
      </c>
      <c r="U397" s="6">
        <f>YEAR(D397)</f>
        <v/>
      </c>
      <c r="V397" s="5">
        <f>TEXT(D397,"yyyy-mm")</f>
        <v/>
      </c>
    </row>
    <row r="398">
      <c r="A398" s="2" t="inlineStr">
        <is>
          <t>EJ010324.TXT</t>
        </is>
      </c>
      <c r="B398" s="3" t="inlineStr">
        <is>
          <t>001562</t>
        </is>
      </c>
      <c r="C398" s="3" t="inlineStr">
        <is>
          <t>001005</t>
        </is>
      </c>
      <c r="D398" s="4" t="n">
        <v>45351</v>
      </c>
      <c r="E398" s="2" t="inlineStr">
        <is>
          <t>17:01</t>
        </is>
      </c>
      <c r="F398" s="5" t="n">
        <v>548.33</v>
      </c>
      <c r="G398" s="5" t="n"/>
      <c r="H398" s="5" t="n"/>
      <c r="I398" s="5" t="n"/>
      <c r="J398" s="5" t="n">
        <v>109.67</v>
      </c>
      <c r="K398" s="5" t="n"/>
      <c r="L398" s="5" t="n"/>
      <c r="M398" s="5" t="n"/>
      <c r="N398" s="5" t="n"/>
      <c r="O398" s="5" t="n">
        <v>658</v>
      </c>
      <c r="P398" s="5" t="n">
        <v>658</v>
      </c>
      <c r="Q398" s="5" t="n"/>
      <c r="R398" s="5" t="n"/>
      <c r="S398" s="5">
        <f>SUM(F398:I398)+N398</f>
        <v/>
      </c>
      <c r="T398" s="5">
        <f>J398</f>
        <v/>
      </c>
      <c r="U398" s="6">
        <f>YEAR(D398)</f>
        <v/>
      </c>
      <c r="V398" s="5">
        <f>TEXT(D398,"yyyy-mm")</f>
        <v/>
      </c>
    </row>
    <row r="399">
      <c r="A399" s="2" t="inlineStr">
        <is>
          <t>EJ020424.TXT</t>
        </is>
      </c>
      <c r="B399" s="3" t="inlineStr">
        <is>
          <t>001568</t>
        </is>
      </c>
      <c r="C399" s="3" t="inlineStr">
        <is>
          <t>001006</t>
        </is>
      </c>
      <c r="D399" s="4" t="n">
        <v>45352</v>
      </c>
      <c r="E399" s="2" t="inlineStr">
        <is>
          <t>15:01</t>
        </is>
      </c>
      <c r="F399" s="5" t="n">
        <v>548.33</v>
      </c>
      <c r="G399" s="5" t="n"/>
      <c r="H399" s="5" t="n"/>
      <c r="I399" s="5" t="n"/>
      <c r="J399" s="5" t="n">
        <v>109.67</v>
      </c>
      <c r="K399" s="5" t="n"/>
      <c r="L399" s="5" t="n"/>
      <c r="M399" s="5" t="n"/>
      <c r="N399" s="5" t="n"/>
      <c r="O399" s="5" t="n">
        <v>658</v>
      </c>
      <c r="P399" s="5" t="n">
        <v>658</v>
      </c>
      <c r="Q399" s="5" t="n"/>
      <c r="R399" s="5" t="n"/>
      <c r="S399" s="5">
        <f>SUM(F399:I399)+N399</f>
        <v/>
      </c>
      <c r="T399" s="5">
        <f>J399</f>
        <v/>
      </c>
      <c r="U399" s="6">
        <f>YEAR(D399)</f>
        <v/>
      </c>
      <c r="V399" s="5">
        <f>TEXT(D399,"yyyy-mm")</f>
        <v/>
      </c>
    </row>
    <row r="400">
      <c r="A400" s="2" t="inlineStr">
        <is>
          <t>EJ020424.TXT</t>
        </is>
      </c>
      <c r="B400" s="3" t="inlineStr">
        <is>
          <t>001569</t>
        </is>
      </c>
      <c r="C400" s="3" t="inlineStr">
        <is>
          <t>001007</t>
        </is>
      </c>
      <c r="D400" s="4" t="n">
        <v>45352</v>
      </c>
      <c r="E400" s="2" t="inlineStr">
        <is>
          <t>15:20</t>
        </is>
      </c>
      <c r="F400" s="5" t="n">
        <v>822.5</v>
      </c>
      <c r="G400" s="5" t="n"/>
      <c r="H400" s="5" t="n"/>
      <c r="I400" s="5" t="n"/>
      <c r="J400" s="5" t="n">
        <v>164.5</v>
      </c>
      <c r="K400" s="5" t="n"/>
      <c r="L400" s="5" t="n"/>
      <c r="M400" s="5" t="n"/>
      <c r="N400" s="5" t="n"/>
      <c r="O400" s="5" t="n">
        <v>987</v>
      </c>
      <c r="P400" s="5" t="n"/>
      <c r="Q400" s="5" t="n">
        <v>987</v>
      </c>
      <c r="R400" s="5" t="n"/>
      <c r="S400" s="5">
        <f>SUM(F400:I400)+N400</f>
        <v/>
      </c>
      <c r="T400" s="5">
        <f>J400</f>
        <v/>
      </c>
      <c r="U400" s="6">
        <f>YEAR(D400)</f>
        <v/>
      </c>
      <c r="V400" s="5">
        <f>TEXT(D400,"yyyy-mm")</f>
        <v/>
      </c>
    </row>
    <row r="401">
      <c r="A401" s="2" t="inlineStr">
        <is>
          <t>EJ020424.TXT</t>
        </is>
      </c>
      <c r="B401" s="3" t="inlineStr">
        <is>
          <t>001572</t>
        </is>
      </c>
      <c r="C401" s="3" t="inlineStr">
        <is>
          <t>001008</t>
        </is>
      </c>
      <c r="D401" s="4" t="n">
        <v>45356</v>
      </c>
      <c r="E401" s="2" t="inlineStr">
        <is>
          <t>12:27</t>
        </is>
      </c>
      <c r="F401" s="5" t="n">
        <v>822.5</v>
      </c>
      <c r="G401" s="5" t="n"/>
      <c r="H401" s="5" t="n"/>
      <c r="I401" s="5" t="n"/>
      <c r="J401" s="5" t="n">
        <v>164.5</v>
      </c>
      <c r="K401" s="5" t="n"/>
      <c r="L401" s="5" t="n"/>
      <c r="M401" s="5" t="n"/>
      <c r="N401" s="5" t="n"/>
      <c r="O401" s="5" t="n">
        <v>987</v>
      </c>
      <c r="P401" s="5" t="n"/>
      <c r="Q401" s="5" t="n">
        <v>987</v>
      </c>
      <c r="R401" s="5" t="n"/>
      <c r="S401" s="5">
        <f>SUM(F401:I401)+N401</f>
        <v/>
      </c>
      <c r="T401" s="5">
        <f>J401</f>
        <v/>
      </c>
      <c r="U401" s="6">
        <f>YEAR(D401)</f>
        <v/>
      </c>
      <c r="V401" s="5">
        <f>TEXT(D401,"yyyy-mm")</f>
        <v/>
      </c>
    </row>
    <row r="402">
      <c r="A402" s="2" t="inlineStr">
        <is>
          <t>EJ020424.TXT</t>
        </is>
      </c>
      <c r="B402" s="3" t="inlineStr">
        <is>
          <t>001573</t>
        </is>
      </c>
      <c r="C402" s="3" t="inlineStr">
        <is>
          <t>001009</t>
        </is>
      </c>
      <c r="D402" s="4" t="n">
        <v>45356</v>
      </c>
      <c r="E402" s="2" t="inlineStr">
        <is>
          <t>12:27</t>
        </is>
      </c>
      <c r="F402" s="5" t="n">
        <v>822.5</v>
      </c>
      <c r="G402" s="5" t="n"/>
      <c r="H402" s="5" t="n"/>
      <c r="I402" s="5" t="n"/>
      <c r="J402" s="5" t="n">
        <v>164.5</v>
      </c>
      <c r="K402" s="5" t="n"/>
      <c r="L402" s="5" t="n"/>
      <c r="M402" s="5" t="n"/>
      <c r="N402" s="5" t="n"/>
      <c r="O402" s="5" t="n">
        <v>987</v>
      </c>
      <c r="P402" s="5" t="n"/>
      <c r="Q402" s="5" t="n">
        <v>987</v>
      </c>
      <c r="R402" s="5" t="n"/>
      <c r="S402" s="5">
        <f>SUM(F402:I402)+N402</f>
        <v/>
      </c>
      <c r="T402" s="5">
        <f>J402</f>
        <v/>
      </c>
      <c r="U402" s="6">
        <f>YEAR(D402)</f>
        <v/>
      </c>
      <c r="V402" s="5">
        <f>TEXT(D402,"yyyy-mm")</f>
        <v/>
      </c>
    </row>
    <row r="403">
      <c r="A403" s="2" t="inlineStr">
        <is>
          <t>EJ020424.TXT</t>
        </is>
      </c>
      <c r="B403" s="3" t="inlineStr">
        <is>
          <t>001575</t>
        </is>
      </c>
      <c r="C403" s="3" t="inlineStr">
        <is>
          <t>001010</t>
        </is>
      </c>
      <c r="D403" s="4" t="n">
        <v>45357</v>
      </c>
      <c r="E403" s="2" t="inlineStr">
        <is>
          <t>17:55</t>
        </is>
      </c>
      <c r="F403" s="5" t="n">
        <v>1096.67</v>
      </c>
      <c r="G403" s="5" t="n"/>
      <c r="H403" s="5" t="n"/>
      <c r="I403" s="5" t="n"/>
      <c r="J403" s="5" t="n">
        <v>219.33</v>
      </c>
      <c r="K403" s="5" t="n"/>
      <c r="L403" s="5" t="n"/>
      <c r="M403" s="5" t="n"/>
      <c r="N403" s="5" t="n"/>
      <c r="O403" s="5" t="n">
        <v>1316</v>
      </c>
      <c r="P403" s="5" t="n">
        <v>1316</v>
      </c>
      <c r="Q403" s="5" t="n"/>
      <c r="R403" s="5" t="n"/>
      <c r="S403" s="5">
        <f>SUM(F403:I403)+N403</f>
        <v/>
      </c>
      <c r="T403" s="5">
        <f>J403</f>
        <v/>
      </c>
      <c r="U403" s="6">
        <f>YEAR(D403)</f>
        <v/>
      </c>
      <c r="V403" s="5">
        <f>TEXT(D403,"yyyy-mm")</f>
        <v/>
      </c>
    </row>
    <row r="404">
      <c r="A404" s="2" t="inlineStr">
        <is>
          <t>EJ020424.TXT</t>
        </is>
      </c>
      <c r="B404" s="3" t="inlineStr">
        <is>
          <t>001576</t>
        </is>
      </c>
      <c r="C404" s="3" t="inlineStr">
        <is>
          <t>001011</t>
        </is>
      </c>
      <c r="D404" s="4" t="n">
        <v>45358</v>
      </c>
      <c r="E404" s="2" t="inlineStr">
        <is>
          <t>16:26</t>
        </is>
      </c>
      <c r="F404" s="5" t="n">
        <v>398.33</v>
      </c>
      <c r="G404" s="5" t="n"/>
      <c r="H404" s="5" t="n"/>
      <c r="I404" s="5" t="n"/>
      <c r="J404" s="5" t="n">
        <v>79.67</v>
      </c>
      <c r="K404" s="5" t="n"/>
      <c r="L404" s="5" t="n"/>
      <c r="M404" s="5" t="n"/>
      <c r="N404" s="5" t="n"/>
      <c r="O404" s="5" t="n">
        <v>478</v>
      </c>
      <c r="P404" s="5" t="n">
        <v>478</v>
      </c>
      <c r="Q404" s="5" t="n"/>
      <c r="R404" s="5" t="n"/>
      <c r="S404" s="5">
        <f>SUM(F404:I404)+N404</f>
        <v/>
      </c>
      <c r="T404" s="5">
        <f>J404</f>
        <v/>
      </c>
      <c r="U404" s="6">
        <f>YEAR(D404)</f>
        <v/>
      </c>
      <c r="V404" s="5">
        <f>TEXT(D404,"yyyy-mm")</f>
        <v/>
      </c>
    </row>
    <row r="405">
      <c r="A405" s="2" t="inlineStr">
        <is>
          <t>EJ020424.TXT</t>
        </is>
      </c>
      <c r="B405" s="3" t="inlineStr">
        <is>
          <t>001577</t>
        </is>
      </c>
      <c r="C405" s="3" t="inlineStr">
        <is>
          <t>001012</t>
        </is>
      </c>
      <c r="D405" s="4" t="n">
        <v>45359</v>
      </c>
      <c r="E405" s="2" t="inlineStr">
        <is>
          <t>14:28</t>
        </is>
      </c>
      <c r="F405" s="5" t="n">
        <v>548.33</v>
      </c>
      <c r="G405" s="5" t="n"/>
      <c r="H405" s="5" t="n"/>
      <c r="I405" s="5" t="n"/>
      <c r="J405" s="5" t="n">
        <v>109.67</v>
      </c>
      <c r="K405" s="5" t="n"/>
      <c r="L405" s="5" t="n"/>
      <c r="M405" s="5" t="n"/>
      <c r="N405" s="5" t="n"/>
      <c r="O405" s="5" t="n">
        <v>658</v>
      </c>
      <c r="P405" s="5" t="n"/>
      <c r="Q405" s="5" t="n">
        <v>658</v>
      </c>
      <c r="R405" s="5" t="n"/>
      <c r="S405" s="5">
        <f>SUM(F405:I405)+N405</f>
        <v/>
      </c>
      <c r="T405" s="5">
        <f>J405</f>
        <v/>
      </c>
      <c r="U405" s="6">
        <f>YEAR(D405)</f>
        <v/>
      </c>
      <c r="V405" s="5">
        <f>TEXT(D405,"yyyy-mm")</f>
        <v/>
      </c>
    </row>
    <row r="406">
      <c r="A406" s="2" t="inlineStr">
        <is>
          <t>EJ020424.TXT</t>
        </is>
      </c>
      <c r="B406" s="3" t="inlineStr">
        <is>
          <t>001578</t>
        </is>
      </c>
      <c r="C406" s="3" t="inlineStr">
        <is>
          <t>001013</t>
        </is>
      </c>
      <c r="D406" s="4" t="n">
        <v>45359</v>
      </c>
      <c r="E406" s="2" t="inlineStr">
        <is>
          <t>16:46</t>
        </is>
      </c>
      <c r="F406" s="5" t="n">
        <v>1096.67</v>
      </c>
      <c r="G406" s="5" t="n"/>
      <c r="H406" s="5" t="n"/>
      <c r="I406" s="5" t="n"/>
      <c r="J406" s="5" t="n">
        <v>219.33</v>
      </c>
      <c r="K406" s="5" t="n"/>
      <c r="L406" s="5" t="n"/>
      <c r="M406" s="5" t="n"/>
      <c r="N406" s="5" t="n"/>
      <c r="O406" s="5" t="n">
        <v>1316</v>
      </c>
      <c r="P406" s="5" t="n">
        <v>1316</v>
      </c>
      <c r="Q406" s="5" t="n"/>
      <c r="R406" s="5" t="n"/>
      <c r="S406" s="5">
        <f>SUM(F406:I406)+N406</f>
        <v/>
      </c>
      <c r="T406" s="5">
        <f>J406</f>
        <v/>
      </c>
      <c r="U406" s="6">
        <f>YEAR(D406)</f>
        <v/>
      </c>
      <c r="V406" s="5">
        <f>TEXT(D406,"yyyy-mm")</f>
        <v/>
      </c>
    </row>
    <row r="407">
      <c r="A407" s="2" t="inlineStr">
        <is>
          <t>EJ020424.TXT</t>
        </is>
      </c>
      <c r="B407" s="3" t="inlineStr">
        <is>
          <t>001579</t>
        </is>
      </c>
      <c r="C407" s="3" t="inlineStr">
        <is>
          <t>001014</t>
        </is>
      </c>
      <c r="D407" s="4" t="n">
        <v>45360</v>
      </c>
      <c r="E407" s="2" t="inlineStr">
        <is>
          <t>15:02</t>
        </is>
      </c>
      <c r="F407" s="5" t="n">
        <v>922.5</v>
      </c>
      <c r="G407" s="5" t="n"/>
      <c r="H407" s="5" t="n"/>
      <c r="I407" s="5" t="n"/>
      <c r="J407" s="5" t="n">
        <v>184.5</v>
      </c>
      <c r="K407" s="5" t="n"/>
      <c r="L407" s="5" t="n"/>
      <c r="M407" s="5" t="n"/>
      <c r="N407" s="5" t="n"/>
      <c r="O407" s="5" t="n">
        <v>1107</v>
      </c>
      <c r="P407" s="5" t="n">
        <v>1107</v>
      </c>
      <c r="Q407" s="5" t="n"/>
      <c r="R407" s="5" t="n"/>
      <c r="S407" s="5">
        <f>SUM(F407:I407)+N407</f>
        <v/>
      </c>
      <c r="T407" s="5">
        <f>J407</f>
        <v/>
      </c>
      <c r="U407" s="6">
        <f>YEAR(D407)</f>
        <v/>
      </c>
      <c r="V407" s="5">
        <f>TEXT(D407,"yyyy-mm")</f>
        <v/>
      </c>
    </row>
    <row r="408">
      <c r="A408" s="2" t="inlineStr">
        <is>
          <t>EJ020424.TXT</t>
        </is>
      </c>
      <c r="B408" s="3" t="inlineStr">
        <is>
          <t>001580</t>
        </is>
      </c>
      <c r="C408" s="3" t="inlineStr">
        <is>
          <t>001015</t>
        </is>
      </c>
      <c r="D408" s="4" t="n">
        <v>45363</v>
      </c>
      <c r="E408" s="2" t="inlineStr">
        <is>
          <t>15:55</t>
        </is>
      </c>
      <c r="F408" s="5" t="n">
        <v>545</v>
      </c>
      <c r="G408" s="5" t="n"/>
      <c r="H408" s="5" t="n"/>
      <c r="I408" s="5" t="n"/>
      <c r="J408" s="5" t="n">
        <v>109</v>
      </c>
      <c r="K408" s="5" t="n"/>
      <c r="L408" s="5" t="n"/>
      <c r="M408" s="5" t="n"/>
      <c r="N408" s="5" t="n"/>
      <c r="O408" s="5" t="n">
        <v>654</v>
      </c>
      <c r="P408" s="5" t="n">
        <v>654</v>
      </c>
      <c r="Q408" s="5" t="n"/>
      <c r="R408" s="5" t="n"/>
      <c r="S408" s="5">
        <f>SUM(F408:I408)+N408</f>
        <v/>
      </c>
      <c r="T408" s="5">
        <f>J408</f>
        <v/>
      </c>
      <c r="U408" s="6">
        <f>YEAR(D408)</f>
        <v/>
      </c>
      <c r="V408" s="5">
        <f>TEXT(D408,"yyyy-mm")</f>
        <v/>
      </c>
    </row>
    <row r="409">
      <c r="A409" s="2" t="inlineStr">
        <is>
          <t>EJ020424.TXT</t>
        </is>
      </c>
      <c r="B409" s="3" t="inlineStr">
        <is>
          <t>001581</t>
        </is>
      </c>
      <c r="C409" s="3" t="inlineStr">
        <is>
          <t>001016</t>
        </is>
      </c>
      <c r="D409" s="4" t="n">
        <v>45364</v>
      </c>
      <c r="E409" s="2" t="inlineStr">
        <is>
          <t>15:54</t>
        </is>
      </c>
      <c r="F409" s="5" t="n">
        <v>548.33</v>
      </c>
      <c r="G409" s="5" t="n"/>
      <c r="H409" s="5" t="n"/>
      <c r="I409" s="5" t="n"/>
      <c r="J409" s="5" t="n">
        <v>109.67</v>
      </c>
      <c r="K409" s="5" t="n"/>
      <c r="L409" s="5" t="n"/>
      <c r="M409" s="5" t="n"/>
      <c r="N409" s="5" t="n"/>
      <c r="O409" s="5" t="n">
        <v>658</v>
      </c>
      <c r="P409" s="5" t="n"/>
      <c r="Q409" s="5" t="n">
        <v>658</v>
      </c>
      <c r="R409" s="5" t="n"/>
      <c r="S409" s="5">
        <f>SUM(F409:I409)+N409</f>
        <v/>
      </c>
      <c r="T409" s="5">
        <f>J409</f>
        <v/>
      </c>
      <c r="U409" s="6">
        <f>YEAR(D409)</f>
        <v/>
      </c>
      <c r="V409" s="5">
        <f>TEXT(D409,"yyyy-mm")</f>
        <v/>
      </c>
    </row>
    <row r="410">
      <c r="A410" s="2" t="inlineStr">
        <is>
          <t>EJ020424.TXT</t>
        </is>
      </c>
      <c r="B410" s="3" t="inlineStr">
        <is>
          <t>001582</t>
        </is>
      </c>
      <c r="C410" s="3" t="inlineStr">
        <is>
          <t>001017</t>
        </is>
      </c>
      <c r="D410" s="4" t="n">
        <v>45364</v>
      </c>
      <c r="E410" s="2" t="inlineStr">
        <is>
          <t>16:28</t>
        </is>
      </c>
      <c r="F410" s="5" t="n">
        <v>45.75</v>
      </c>
      <c r="G410" s="5" t="n"/>
      <c r="H410" s="5" t="n"/>
      <c r="I410" s="5" t="n"/>
      <c r="J410" s="5" t="n">
        <v>9.15</v>
      </c>
      <c r="K410" s="5" t="n"/>
      <c r="L410" s="5" t="n"/>
      <c r="M410" s="5" t="n"/>
      <c r="N410" s="5" t="n"/>
      <c r="O410" s="5" t="n">
        <v>54.9</v>
      </c>
      <c r="P410" s="5" t="n">
        <v>54.9</v>
      </c>
      <c r="Q410" s="5" t="n"/>
      <c r="R410" s="5" t="n"/>
      <c r="S410" s="5">
        <f>SUM(F410:I410)+N410</f>
        <v/>
      </c>
      <c r="T410" s="5">
        <f>J410</f>
        <v/>
      </c>
      <c r="U410" s="6">
        <f>YEAR(D410)</f>
        <v/>
      </c>
      <c r="V410" s="5">
        <f>TEXT(D410,"yyyy-mm")</f>
        <v/>
      </c>
    </row>
    <row r="411">
      <c r="A411" s="2" t="inlineStr">
        <is>
          <t>EJ020424.TXT</t>
        </is>
      </c>
      <c r="B411" s="3" t="inlineStr">
        <is>
          <t>001583</t>
        </is>
      </c>
      <c r="C411" s="3" t="inlineStr">
        <is>
          <t>001018</t>
        </is>
      </c>
      <c r="D411" s="4" t="n">
        <v>45365</v>
      </c>
      <c r="E411" s="2" t="inlineStr">
        <is>
          <t>12:24</t>
        </is>
      </c>
      <c r="F411" s="5" t="n">
        <v>274.17</v>
      </c>
      <c r="G411" s="5" t="n"/>
      <c r="H411" s="5" t="n"/>
      <c r="I411" s="5" t="n"/>
      <c r="J411" s="5" t="n">
        <v>54.83</v>
      </c>
      <c r="K411" s="5" t="n"/>
      <c r="L411" s="5" t="n"/>
      <c r="M411" s="5" t="n"/>
      <c r="N411" s="5" t="n"/>
      <c r="O411" s="5" t="n">
        <v>329</v>
      </c>
      <c r="P411" s="5" t="n">
        <v>329</v>
      </c>
      <c r="Q411" s="5" t="n"/>
      <c r="R411" s="5" t="n"/>
      <c r="S411" s="5">
        <f>SUM(F411:I411)+N411</f>
        <v/>
      </c>
      <c r="T411" s="5">
        <f>J411</f>
        <v/>
      </c>
      <c r="U411" s="6">
        <f>YEAR(D411)</f>
        <v/>
      </c>
      <c r="V411" s="5">
        <f>TEXT(D411,"yyyy-mm")</f>
        <v/>
      </c>
    </row>
    <row r="412">
      <c r="A412" s="2" t="inlineStr">
        <is>
          <t>EJ020424.TXT</t>
        </is>
      </c>
      <c r="B412" s="3" t="inlineStr">
        <is>
          <t>001584</t>
        </is>
      </c>
      <c r="C412" s="3" t="inlineStr">
        <is>
          <t>001019</t>
        </is>
      </c>
      <c r="D412" s="4" t="n">
        <v>45365</v>
      </c>
      <c r="E412" s="2" t="inlineStr">
        <is>
          <t>14:15</t>
        </is>
      </c>
      <c r="F412" s="5" t="n">
        <v>822.5</v>
      </c>
      <c r="G412" s="5" t="n"/>
      <c r="H412" s="5" t="n"/>
      <c r="I412" s="5" t="n"/>
      <c r="J412" s="5" t="n">
        <v>164.5</v>
      </c>
      <c r="K412" s="5" t="n"/>
      <c r="L412" s="5" t="n"/>
      <c r="M412" s="5" t="n"/>
      <c r="N412" s="5" t="n"/>
      <c r="O412" s="5" t="n">
        <v>987</v>
      </c>
      <c r="P412" s="5" t="n"/>
      <c r="Q412" s="5" t="n">
        <v>987</v>
      </c>
      <c r="R412" s="5" t="n"/>
      <c r="S412" s="5">
        <f>SUM(F412:I412)+N412</f>
        <v/>
      </c>
      <c r="T412" s="5">
        <f>J412</f>
        <v/>
      </c>
      <c r="U412" s="6">
        <f>YEAR(D412)</f>
        <v/>
      </c>
      <c r="V412" s="5">
        <f>TEXT(D412,"yyyy-mm")</f>
        <v/>
      </c>
    </row>
    <row r="413">
      <c r="A413" s="2" t="inlineStr">
        <is>
          <t>EJ020424.TXT</t>
        </is>
      </c>
      <c r="B413" s="3" t="inlineStr">
        <is>
          <t>001585</t>
        </is>
      </c>
      <c r="C413" s="3" t="inlineStr">
        <is>
          <t>001020</t>
        </is>
      </c>
      <c r="D413" s="4" t="n">
        <v>45367</v>
      </c>
      <c r="E413" s="2" t="inlineStr">
        <is>
          <t>15:56</t>
        </is>
      </c>
      <c r="F413" s="5" t="n">
        <v>274.17</v>
      </c>
      <c r="G413" s="5" t="n"/>
      <c r="H413" s="5" t="n"/>
      <c r="I413" s="5" t="n"/>
      <c r="J413" s="5" t="n">
        <v>54.83</v>
      </c>
      <c r="K413" s="5" t="n"/>
      <c r="L413" s="5" t="n"/>
      <c r="M413" s="5" t="n"/>
      <c r="N413" s="5" t="n"/>
      <c r="O413" s="5" t="n">
        <v>329</v>
      </c>
      <c r="P413" s="5" t="n">
        <v>329</v>
      </c>
      <c r="Q413" s="5" t="n"/>
      <c r="R413" s="5" t="n"/>
      <c r="S413" s="5">
        <f>SUM(F413:I413)+N413</f>
        <v/>
      </c>
      <c r="T413" s="5">
        <f>J413</f>
        <v/>
      </c>
      <c r="U413" s="6">
        <f>YEAR(D413)</f>
        <v/>
      </c>
      <c r="V413" s="5">
        <f>TEXT(D413,"yyyy-mm")</f>
        <v/>
      </c>
    </row>
    <row r="414">
      <c r="A414" s="2" t="inlineStr">
        <is>
          <t>EJ020424.TXT</t>
        </is>
      </c>
      <c r="B414" s="3" t="inlineStr">
        <is>
          <t>001586</t>
        </is>
      </c>
      <c r="C414" s="3" t="inlineStr">
        <is>
          <t>001021</t>
        </is>
      </c>
      <c r="D414" s="4" t="n">
        <v>45367</v>
      </c>
      <c r="E414" s="2" t="inlineStr">
        <is>
          <t>16:11</t>
        </is>
      </c>
      <c r="F414" s="5" t="n">
        <v>190.83</v>
      </c>
      <c r="G414" s="5" t="n"/>
      <c r="H414" s="5" t="n"/>
      <c r="I414" s="5" t="n"/>
      <c r="J414" s="5" t="n">
        <v>38.17</v>
      </c>
      <c r="K414" s="5" t="n"/>
      <c r="L414" s="5" t="n"/>
      <c r="M414" s="5" t="n"/>
      <c r="N414" s="5" t="n"/>
      <c r="O414" s="5" t="n">
        <v>229</v>
      </c>
      <c r="P414" s="5" t="n">
        <v>229</v>
      </c>
      <c r="Q414" s="5" t="n"/>
      <c r="R414" s="5" t="n"/>
      <c r="S414" s="5">
        <f>SUM(F414:I414)+N414</f>
        <v/>
      </c>
      <c r="T414" s="5">
        <f>J414</f>
        <v/>
      </c>
      <c r="U414" s="6">
        <f>YEAR(D414)</f>
        <v/>
      </c>
      <c r="V414" s="5">
        <f>TEXT(D414,"yyyy-mm")</f>
        <v/>
      </c>
    </row>
    <row r="415">
      <c r="A415" s="2" t="inlineStr">
        <is>
          <t>EJ020424.TXT</t>
        </is>
      </c>
      <c r="B415" s="3" t="inlineStr">
        <is>
          <t>001587</t>
        </is>
      </c>
      <c r="C415" s="3" t="inlineStr">
        <is>
          <t>001022</t>
        </is>
      </c>
      <c r="D415" s="4" t="n">
        <v>45367</v>
      </c>
      <c r="E415" s="2" t="inlineStr">
        <is>
          <t>16:30</t>
        </is>
      </c>
      <c r="F415" s="5" t="n">
        <v>274.17</v>
      </c>
      <c r="G415" s="5" t="n"/>
      <c r="H415" s="5" t="n"/>
      <c r="I415" s="5" t="n"/>
      <c r="J415" s="5" t="n">
        <v>54.83</v>
      </c>
      <c r="K415" s="5" t="n"/>
      <c r="L415" s="5" t="n"/>
      <c r="M415" s="5" t="n"/>
      <c r="N415" s="5" t="n"/>
      <c r="O415" s="5" t="n">
        <v>329</v>
      </c>
      <c r="P415" s="5" t="n"/>
      <c r="Q415" s="5" t="n">
        <v>329</v>
      </c>
      <c r="R415" s="5" t="n"/>
      <c r="S415" s="5">
        <f>SUM(F415:I415)+N415</f>
        <v/>
      </c>
      <c r="T415" s="5">
        <f>J415</f>
        <v/>
      </c>
      <c r="U415" s="6">
        <f>YEAR(D415)</f>
        <v/>
      </c>
      <c r="V415" s="5">
        <f>TEXT(D415,"yyyy-mm")</f>
        <v/>
      </c>
    </row>
    <row r="416">
      <c r="A416" s="2" t="inlineStr">
        <is>
          <t>EJ020424.TXT</t>
        </is>
      </c>
      <c r="B416" s="3" t="inlineStr">
        <is>
          <t>001588</t>
        </is>
      </c>
      <c r="C416" s="3" t="inlineStr">
        <is>
          <t>001023</t>
        </is>
      </c>
      <c r="D416" s="4" t="n">
        <v>45367</v>
      </c>
      <c r="E416" s="2" t="inlineStr">
        <is>
          <t>17:38</t>
        </is>
      </c>
      <c r="F416" s="5" t="n">
        <v>566.67</v>
      </c>
      <c r="G416" s="5" t="n"/>
      <c r="H416" s="5" t="n"/>
      <c r="I416" s="5" t="n"/>
      <c r="J416" s="5" t="n">
        <v>113.33</v>
      </c>
      <c r="K416" s="5" t="n"/>
      <c r="L416" s="5" t="n"/>
      <c r="M416" s="5" t="n"/>
      <c r="N416" s="5" t="n"/>
      <c r="O416" s="5" t="n">
        <v>680</v>
      </c>
      <c r="P416" s="5" t="n"/>
      <c r="Q416" s="5" t="n">
        <v>680</v>
      </c>
      <c r="R416" s="5" t="n"/>
      <c r="S416" s="5">
        <f>SUM(F416:I416)+N416</f>
        <v/>
      </c>
      <c r="T416" s="5">
        <f>J416</f>
        <v/>
      </c>
      <c r="U416" s="6">
        <f>YEAR(D416)</f>
        <v/>
      </c>
      <c r="V416" s="5">
        <f>TEXT(D416,"yyyy-mm")</f>
        <v/>
      </c>
    </row>
    <row r="417">
      <c r="A417" s="2" t="inlineStr">
        <is>
          <t>EJ020424.TXT</t>
        </is>
      </c>
      <c r="B417" s="3" t="inlineStr">
        <is>
          <t>001589</t>
        </is>
      </c>
      <c r="C417" s="3" t="inlineStr">
        <is>
          <t>001024</t>
        </is>
      </c>
      <c r="D417" s="4" t="n">
        <v>45370</v>
      </c>
      <c r="E417" s="2" t="inlineStr">
        <is>
          <t>15:31</t>
        </is>
      </c>
      <c r="F417" s="5" t="n">
        <v>244.92</v>
      </c>
      <c r="G417" s="5" t="n"/>
      <c r="H417" s="5" t="n"/>
      <c r="I417" s="5" t="n"/>
      <c r="J417" s="5" t="n">
        <v>48.98</v>
      </c>
      <c r="K417" s="5" t="n"/>
      <c r="L417" s="5" t="n"/>
      <c r="M417" s="5" t="n"/>
      <c r="N417" s="5" t="n"/>
      <c r="O417" s="5" t="n">
        <v>293.9</v>
      </c>
      <c r="P417" s="5" t="n"/>
      <c r="Q417" s="5" t="n">
        <v>293.9</v>
      </c>
      <c r="R417" s="5" t="n"/>
      <c r="S417" s="5">
        <f>SUM(F417:I417)+N417</f>
        <v/>
      </c>
      <c r="T417" s="5">
        <f>J417</f>
        <v/>
      </c>
      <c r="U417" s="6">
        <f>YEAR(D417)</f>
        <v/>
      </c>
      <c r="V417" s="5">
        <f>TEXT(D417,"yyyy-mm")</f>
        <v/>
      </c>
    </row>
    <row r="418">
      <c r="A418" s="2" t="inlineStr">
        <is>
          <t>EJ020424.TXT</t>
        </is>
      </c>
      <c r="B418" s="3" t="inlineStr">
        <is>
          <t>001590</t>
        </is>
      </c>
      <c r="C418" s="3" t="inlineStr">
        <is>
          <t>001025</t>
        </is>
      </c>
      <c r="D418" s="4" t="n">
        <v>45371</v>
      </c>
      <c r="E418" s="2" t="inlineStr">
        <is>
          <t>14:37</t>
        </is>
      </c>
      <c r="F418" s="5" t="n">
        <v>267.5</v>
      </c>
      <c r="G418" s="5" t="n"/>
      <c r="H418" s="5" t="n"/>
      <c r="I418" s="5" t="n"/>
      <c r="J418" s="5" t="n">
        <v>53.5</v>
      </c>
      <c r="K418" s="5" t="n"/>
      <c r="L418" s="5" t="n"/>
      <c r="M418" s="5" t="n"/>
      <c r="N418" s="5" t="n"/>
      <c r="O418" s="5" t="n">
        <v>321</v>
      </c>
      <c r="P418" s="5" t="n">
        <v>321</v>
      </c>
      <c r="Q418" s="5" t="n"/>
      <c r="R418" s="5" t="n"/>
      <c r="S418" s="5">
        <f>SUM(F418:I418)+N418</f>
        <v/>
      </c>
      <c r="T418" s="5">
        <f>J418</f>
        <v/>
      </c>
      <c r="U418" s="6">
        <f>YEAR(D418)</f>
        <v/>
      </c>
      <c r="V418" s="5">
        <f>TEXT(D418,"yyyy-mm")</f>
        <v/>
      </c>
    </row>
    <row r="419">
      <c r="A419" s="2" t="inlineStr">
        <is>
          <t>EJ020424.TXT</t>
        </is>
      </c>
      <c r="B419" s="3" t="inlineStr">
        <is>
          <t>001591</t>
        </is>
      </c>
      <c r="C419" s="3" t="inlineStr">
        <is>
          <t>001026</t>
        </is>
      </c>
      <c r="D419" s="4" t="n">
        <v>45371</v>
      </c>
      <c r="E419" s="2" t="inlineStr">
        <is>
          <t>14:37</t>
        </is>
      </c>
      <c r="F419" s="5" t="n">
        <v>272.5</v>
      </c>
      <c r="G419" s="5" t="n"/>
      <c r="H419" s="5" t="n"/>
      <c r="I419" s="5" t="n"/>
      <c r="J419" s="5" t="n">
        <v>54.5</v>
      </c>
      <c r="K419" s="5" t="n"/>
      <c r="L419" s="5" t="n"/>
      <c r="M419" s="5" t="n"/>
      <c r="N419" s="5" t="n"/>
      <c r="O419" s="5" t="n">
        <v>327</v>
      </c>
      <c r="P419" s="5" t="n">
        <v>327</v>
      </c>
      <c r="Q419" s="5" t="n"/>
      <c r="R419" s="5" t="n"/>
      <c r="S419" s="5">
        <f>SUM(F419:I419)+N419</f>
        <v/>
      </c>
      <c r="T419" s="5">
        <f>J419</f>
        <v/>
      </c>
      <c r="U419" s="6">
        <f>YEAR(D419)</f>
        <v/>
      </c>
      <c r="V419" s="5">
        <f>TEXT(D419,"yyyy-mm")</f>
        <v/>
      </c>
    </row>
    <row r="420">
      <c r="A420" s="2" t="inlineStr">
        <is>
          <t>EJ020424.TXT</t>
        </is>
      </c>
      <c r="B420" s="3" t="inlineStr">
        <is>
          <t>001592</t>
        </is>
      </c>
      <c r="C420" s="3" t="inlineStr">
        <is>
          <t>001027</t>
        </is>
      </c>
      <c r="D420" s="4" t="n">
        <v>45372</v>
      </c>
      <c r="E420" s="2" t="inlineStr">
        <is>
          <t>16:18</t>
        </is>
      </c>
      <c r="F420" s="5" t="n">
        <v>82.5</v>
      </c>
      <c r="G420" s="5" t="n"/>
      <c r="H420" s="5" t="n"/>
      <c r="I420" s="5" t="n"/>
      <c r="J420" s="5" t="n">
        <v>16.5</v>
      </c>
      <c r="K420" s="5" t="n"/>
      <c r="L420" s="5" t="n"/>
      <c r="M420" s="5" t="n"/>
      <c r="N420" s="5" t="n"/>
      <c r="O420" s="5" t="n">
        <v>99</v>
      </c>
      <c r="P420" s="5" t="n">
        <v>99</v>
      </c>
      <c r="Q420" s="5" t="n"/>
      <c r="R420" s="5" t="n"/>
      <c r="S420" s="5">
        <f>SUM(F420:I420)+N420</f>
        <v/>
      </c>
      <c r="T420" s="5">
        <f>J420</f>
        <v/>
      </c>
      <c r="U420" s="6">
        <f>YEAR(D420)</f>
        <v/>
      </c>
      <c r="V420" s="5">
        <f>TEXT(D420,"yyyy-mm")</f>
        <v/>
      </c>
    </row>
    <row r="421">
      <c r="A421" s="2" t="inlineStr">
        <is>
          <t>EJ020424.TXT</t>
        </is>
      </c>
      <c r="B421" s="3" t="inlineStr">
        <is>
          <t>001593</t>
        </is>
      </c>
      <c r="C421" s="3" t="inlineStr">
        <is>
          <t>001028</t>
        </is>
      </c>
      <c r="D421" s="4" t="n">
        <v>45373</v>
      </c>
      <c r="E421" s="2" t="inlineStr">
        <is>
          <t>17:20</t>
        </is>
      </c>
      <c r="F421" s="5" t="n">
        <v>33.25</v>
      </c>
      <c r="G421" s="5" t="n"/>
      <c r="H421" s="5" t="n"/>
      <c r="I421" s="5" t="n"/>
      <c r="J421" s="5" t="n">
        <v>6.65</v>
      </c>
      <c r="K421" s="5" t="n"/>
      <c r="L421" s="5" t="n"/>
      <c r="M421" s="5" t="n"/>
      <c r="N421" s="5" t="n"/>
      <c r="O421" s="5" t="n">
        <v>39.9</v>
      </c>
      <c r="P421" s="5" t="n">
        <v>39.9</v>
      </c>
      <c r="Q421" s="5" t="n"/>
      <c r="R421" s="5" t="n"/>
      <c r="S421" s="5">
        <f>SUM(F421:I421)+N421</f>
        <v/>
      </c>
      <c r="T421" s="5">
        <f>J421</f>
        <v/>
      </c>
      <c r="U421" s="6">
        <f>YEAR(D421)</f>
        <v/>
      </c>
      <c r="V421" s="5">
        <f>TEXT(D421,"yyyy-mm")</f>
        <v/>
      </c>
    </row>
    <row r="422">
      <c r="A422" s="2" t="inlineStr">
        <is>
          <t>EJ020424.TXT</t>
        </is>
      </c>
      <c r="B422" s="3" t="inlineStr">
        <is>
          <t>001594</t>
        </is>
      </c>
      <c r="C422" s="3" t="inlineStr">
        <is>
          <t>001029</t>
        </is>
      </c>
      <c r="D422" s="4" t="n">
        <v>45374</v>
      </c>
      <c r="E422" s="2" t="inlineStr">
        <is>
          <t>15:17</t>
        </is>
      </c>
      <c r="F422" s="5" t="n">
        <v>822.5</v>
      </c>
      <c r="G422" s="5" t="n"/>
      <c r="H422" s="5" t="n"/>
      <c r="I422" s="5" t="n"/>
      <c r="J422" s="5" t="n">
        <v>164.5</v>
      </c>
      <c r="K422" s="5" t="n"/>
      <c r="L422" s="5" t="n"/>
      <c r="M422" s="5" t="n"/>
      <c r="N422" s="5" t="n"/>
      <c r="O422" s="5" t="n">
        <v>987</v>
      </c>
      <c r="P422" s="5" t="n"/>
      <c r="Q422" s="5" t="n">
        <v>987</v>
      </c>
      <c r="R422" s="5" t="n"/>
      <c r="S422" s="5">
        <f>SUM(F422:I422)+N422</f>
        <v/>
      </c>
      <c r="T422" s="5">
        <f>J422</f>
        <v/>
      </c>
      <c r="U422" s="6">
        <f>YEAR(D422)</f>
        <v/>
      </c>
      <c r="V422" s="5">
        <f>TEXT(D422,"yyyy-mm")</f>
        <v/>
      </c>
    </row>
    <row r="423">
      <c r="A423" s="2" t="inlineStr">
        <is>
          <t>EJ020424.TXT</t>
        </is>
      </c>
      <c r="B423" s="3" t="inlineStr">
        <is>
          <t>001595</t>
        </is>
      </c>
      <c r="C423" s="3" t="inlineStr">
        <is>
          <t>001030</t>
        </is>
      </c>
      <c r="D423" s="4" t="n">
        <v>45374</v>
      </c>
      <c r="E423" s="2" t="inlineStr">
        <is>
          <t>15:17</t>
        </is>
      </c>
      <c r="F423" s="5" t="n">
        <v>822.5</v>
      </c>
      <c r="G423" s="5" t="n"/>
      <c r="H423" s="5" t="n"/>
      <c r="I423" s="5" t="n"/>
      <c r="J423" s="5" t="n">
        <v>164.5</v>
      </c>
      <c r="K423" s="5" t="n"/>
      <c r="L423" s="5" t="n"/>
      <c r="M423" s="5" t="n"/>
      <c r="N423" s="5" t="n"/>
      <c r="O423" s="5" t="n">
        <v>987</v>
      </c>
      <c r="P423" s="5" t="n"/>
      <c r="Q423" s="5" t="n">
        <v>987</v>
      </c>
      <c r="R423" s="5" t="n"/>
      <c r="S423" s="5">
        <f>SUM(F423:I423)+N423</f>
        <v/>
      </c>
      <c r="T423" s="5">
        <f>J423</f>
        <v/>
      </c>
      <c r="U423" s="6">
        <f>YEAR(D423)</f>
        <v/>
      </c>
      <c r="V423" s="5">
        <f>TEXT(D423,"yyyy-mm")</f>
        <v/>
      </c>
    </row>
    <row r="424">
      <c r="A424" s="2" t="inlineStr">
        <is>
          <t>EJ020424.TXT</t>
        </is>
      </c>
      <c r="B424" s="3" t="inlineStr">
        <is>
          <t>001596</t>
        </is>
      </c>
      <c r="C424" s="3" t="inlineStr">
        <is>
          <t>001031</t>
        </is>
      </c>
      <c r="D424" s="4" t="n">
        <v>45374</v>
      </c>
      <c r="E424" s="2" t="inlineStr">
        <is>
          <t>15:32</t>
        </is>
      </c>
      <c r="F424" s="5" t="n">
        <v>548.33</v>
      </c>
      <c r="G424" s="5" t="n"/>
      <c r="H424" s="5" t="n"/>
      <c r="I424" s="5" t="n"/>
      <c r="J424" s="5" t="n">
        <v>109.67</v>
      </c>
      <c r="K424" s="5" t="n"/>
      <c r="L424" s="5" t="n"/>
      <c r="M424" s="5" t="n"/>
      <c r="N424" s="5" t="n"/>
      <c r="O424" s="5" t="n">
        <v>658</v>
      </c>
      <c r="P424" s="5" t="n">
        <v>658</v>
      </c>
      <c r="Q424" s="5" t="n"/>
      <c r="R424" s="5" t="n"/>
      <c r="S424" s="5">
        <f>SUM(F424:I424)+N424</f>
        <v/>
      </c>
      <c r="T424" s="5">
        <f>J424</f>
        <v/>
      </c>
      <c r="U424" s="6">
        <f>YEAR(D424)</f>
        <v/>
      </c>
      <c r="V424" s="5">
        <f>TEXT(D424,"yyyy-mm")</f>
        <v/>
      </c>
    </row>
    <row r="425">
      <c r="A425" s="2" t="inlineStr">
        <is>
          <t>EJ020424.TXT</t>
        </is>
      </c>
      <c r="B425" s="3" t="inlineStr">
        <is>
          <t>001597</t>
        </is>
      </c>
      <c r="C425" s="3" t="inlineStr">
        <is>
          <t>001032</t>
        </is>
      </c>
      <c r="D425" s="4" t="n">
        <v>45377</v>
      </c>
      <c r="E425" s="2" t="inlineStr">
        <is>
          <t>13:58</t>
        </is>
      </c>
      <c r="F425" s="5" t="n">
        <v>863.33</v>
      </c>
      <c r="G425" s="5" t="n"/>
      <c r="H425" s="5" t="n"/>
      <c r="I425" s="5" t="n"/>
      <c r="J425" s="5" t="n">
        <v>172.67</v>
      </c>
      <c r="K425" s="5" t="n"/>
      <c r="L425" s="5" t="n"/>
      <c r="M425" s="5" t="n"/>
      <c r="N425" s="5" t="n"/>
      <c r="O425" s="5" t="n">
        <v>1036</v>
      </c>
      <c r="P425" s="5" t="n">
        <v>1036</v>
      </c>
      <c r="Q425" s="5" t="n"/>
      <c r="R425" s="5" t="n"/>
      <c r="S425" s="5">
        <f>SUM(F425:I425)+N425</f>
        <v/>
      </c>
      <c r="T425" s="5">
        <f>J425</f>
        <v/>
      </c>
      <c r="U425" s="6">
        <f>YEAR(D425)</f>
        <v/>
      </c>
      <c r="V425" s="5">
        <f>TEXT(D425,"yyyy-mm")</f>
        <v/>
      </c>
    </row>
    <row r="426">
      <c r="A426" s="2" t="inlineStr">
        <is>
          <t>EJ020424.TXT</t>
        </is>
      </c>
      <c r="B426" s="3" t="inlineStr">
        <is>
          <t>001598</t>
        </is>
      </c>
      <c r="C426" s="3" t="inlineStr">
        <is>
          <t>001033</t>
        </is>
      </c>
      <c r="D426" s="4" t="n">
        <v>45379</v>
      </c>
      <c r="E426" s="2" t="inlineStr">
        <is>
          <t>11:58</t>
        </is>
      </c>
      <c r="F426" s="5" t="n">
        <v>274.17</v>
      </c>
      <c r="G426" s="5" t="n"/>
      <c r="H426" s="5" t="n"/>
      <c r="I426" s="5" t="n"/>
      <c r="J426" s="5" t="n">
        <v>54.83</v>
      </c>
      <c r="K426" s="5" t="n"/>
      <c r="L426" s="5" t="n"/>
      <c r="M426" s="5" t="n"/>
      <c r="N426" s="5" t="n"/>
      <c r="O426" s="5" t="n">
        <v>329</v>
      </c>
      <c r="P426" s="5" t="n">
        <v>329</v>
      </c>
      <c r="Q426" s="5" t="n"/>
      <c r="R426" s="5" t="n"/>
      <c r="S426" s="5">
        <f>SUM(F426:I426)+N426</f>
        <v/>
      </c>
      <c r="T426" s="5">
        <f>J426</f>
        <v/>
      </c>
      <c r="U426" s="6">
        <f>YEAR(D426)</f>
        <v/>
      </c>
      <c r="V426" s="5">
        <f>TEXT(D426,"yyyy-mm")</f>
        <v/>
      </c>
    </row>
    <row r="427">
      <c r="A427" s="2" t="inlineStr">
        <is>
          <t>EJ020424.TXT</t>
        </is>
      </c>
      <c r="B427" s="3" t="inlineStr">
        <is>
          <t>001599</t>
        </is>
      </c>
      <c r="C427" s="3" t="inlineStr">
        <is>
          <t>001034</t>
        </is>
      </c>
      <c r="D427" s="4" t="n">
        <v>45380</v>
      </c>
      <c r="E427" s="2" t="inlineStr">
        <is>
          <t>16:02</t>
        </is>
      </c>
      <c r="F427" s="5" t="n">
        <v>274.17</v>
      </c>
      <c r="G427" s="5" t="n"/>
      <c r="H427" s="5" t="n"/>
      <c r="I427" s="5" t="n"/>
      <c r="J427" s="5" t="n">
        <v>54.83</v>
      </c>
      <c r="K427" s="5" t="n"/>
      <c r="L427" s="5" t="n"/>
      <c r="M427" s="5" t="n"/>
      <c r="N427" s="5" t="n"/>
      <c r="O427" s="5" t="n">
        <v>329</v>
      </c>
      <c r="P427" s="5" t="n">
        <v>329</v>
      </c>
      <c r="Q427" s="5" t="n"/>
      <c r="R427" s="5" t="n"/>
      <c r="S427" s="5">
        <f>SUM(F427:I427)+N427</f>
        <v/>
      </c>
      <c r="T427" s="5">
        <f>J427</f>
        <v/>
      </c>
      <c r="U427" s="6">
        <f>YEAR(D427)</f>
        <v/>
      </c>
      <c r="V427" s="5">
        <f>TEXT(D427,"yyyy-mm")</f>
        <v/>
      </c>
    </row>
    <row r="428">
      <c r="A428" s="2" t="inlineStr">
        <is>
          <t>EJ020424.TXT</t>
        </is>
      </c>
      <c r="B428" s="3" t="inlineStr">
        <is>
          <t>001600</t>
        </is>
      </c>
      <c r="C428" s="3" t="inlineStr">
        <is>
          <t>001035</t>
        </is>
      </c>
      <c r="D428" s="4" t="n">
        <v>45381</v>
      </c>
      <c r="E428" s="2" t="inlineStr">
        <is>
          <t>16:36</t>
        </is>
      </c>
      <c r="F428" s="5" t="n">
        <v>82.25</v>
      </c>
      <c r="G428" s="5" t="n"/>
      <c r="H428" s="5" t="n"/>
      <c r="I428" s="5" t="n"/>
      <c r="J428" s="5" t="n">
        <v>16.45</v>
      </c>
      <c r="K428" s="5" t="n"/>
      <c r="L428" s="5" t="n"/>
      <c r="M428" s="5" t="n"/>
      <c r="N428" s="5" t="n"/>
      <c r="O428" s="5" t="n">
        <v>98.7</v>
      </c>
      <c r="P428" s="5" t="n">
        <v>98.7</v>
      </c>
      <c r="Q428" s="5" t="n"/>
      <c r="R428" s="5" t="n"/>
      <c r="S428" s="5">
        <f>SUM(F428:I428)+N428</f>
        <v/>
      </c>
      <c r="T428" s="5">
        <f>J428</f>
        <v/>
      </c>
      <c r="U428" s="6">
        <f>YEAR(D428)</f>
        <v/>
      </c>
      <c r="V428" s="5">
        <f>TEXT(D428,"yyyy-mm")</f>
        <v/>
      </c>
    </row>
    <row r="429">
      <c r="A429" s="2" t="inlineStr">
        <is>
          <t>EJ020524.TXT</t>
        </is>
      </c>
      <c r="B429" s="3" t="inlineStr">
        <is>
          <t>001605</t>
        </is>
      </c>
      <c r="C429" s="3" t="inlineStr">
        <is>
          <t>001036</t>
        </is>
      </c>
      <c r="D429" s="4" t="n">
        <v>45386</v>
      </c>
      <c r="E429" s="2" t="inlineStr">
        <is>
          <t>13:58</t>
        </is>
      </c>
      <c r="F429" s="5" t="n">
        <v>548.33</v>
      </c>
      <c r="G429" s="5" t="n"/>
      <c r="H429" s="5" t="n"/>
      <c r="I429" s="5" t="n"/>
      <c r="J429" s="5" t="n">
        <v>109.67</v>
      </c>
      <c r="K429" s="5" t="n"/>
      <c r="L429" s="5" t="n"/>
      <c r="M429" s="5" t="n"/>
      <c r="N429" s="5" t="n"/>
      <c r="O429" s="5" t="n">
        <v>658</v>
      </c>
      <c r="P429" s="5" t="n">
        <v>658</v>
      </c>
      <c r="Q429" s="5" t="n"/>
      <c r="R429" s="5" t="n"/>
      <c r="S429" s="5">
        <f>SUM(F429:I429)+N429</f>
        <v/>
      </c>
      <c r="T429" s="5">
        <f>J429</f>
        <v/>
      </c>
      <c r="U429" s="6">
        <f>YEAR(D429)</f>
        <v/>
      </c>
      <c r="V429" s="5">
        <f>TEXT(D429,"yyyy-mm")</f>
        <v/>
      </c>
    </row>
    <row r="430">
      <c r="A430" s="2" t="inlineStr">
        <is>
          <t>EJ020524.TXT</t>
        </is>
      </c>
      <c r="B430" s="3" t="inlineStr">
        <is>
          <t>001606</t>
        </is>
      </c>
      <c r="C430" s="3" t="inlineStr">
        <is>
          <t>001037</t>
        </is>
      </c>
      <c r="D430" s="4" t="n">
        <v>45387</v>
      </c>
      <c r="E430" s="2" t="inlineStr">
        <is>
          <t>09:01</t>
        </is>
      </c>
      <c r="F430" s="5" t="n">
        <v>548.33</v>
      </c>
      <c r="G430" s="5" t="n"/>
      <c r="H430" s="5" t="n"/>
      <c r="I430" s="5" t="n"/>
      <c r="J430" s="5" t="n">
        <v>109.67</v>
      </c>
      <c r="K430" s="5" t="n"/>
      <c r="L430" s="5" t="n"/>
      <c r="M430" s="5" t="n"/>
      <c r="N430" s="5" t="n"/>
      <c r="O430" s="5" t="n">
        <v>658</v>
      </c>
      <c r="P430" s="5" t="n">
        <v>658</v>
      </c>
      <c r="Q430" s="5" t="n"/>
      <c r="R430" s="5" t="n"/>
      <c r="S430" s="5">
        <f>SUM(F430:I430)+N430</f>
        <v/>
      </c>
      <c r="T430" s="5">
        <f>J430</f>
        <v/>
      </c>
      <c r="U430" s="6">
        <f>YEAR(D430)</f>
        <v/>
      </c>
      <c r="V430" s="5">
        <f>TEXT(D430,"yyyy-mm")</f>
        <v/>
      </c>
    </row>
    <row r="431">
      <c r="A431" s="2" t="inlineStr">
        <is>
          <t>EJ020524.TXT</t>
        </is>
      </c>
      <c r="B431" s="3" t="inlineStr">
        <is>
          <t>001612</t>
        </is>
      </c>
      <c r="C431" s="3" t="inlineStr">
        <is>
          <t>001038</t>
        </is>
      </c>
      <c r="D431" s="4" t="n">
        <v>45390</v>
      </c>
      <c r="E431" s="2" t="inlineStr">
        <is>
          <t>14:35</t>
        </is>
      </c>
      <c r="F431" s="5" t="n">
        <v>658.33</v>
      </c>
      <c r="G431" s="5" t="n"/>
      <c r="H431" s="5" t="n"/>
      <c r="I431" s="5" t="n"/>
      <c r="J431" s="5" t="n">
        <v>131.67</v>
      </c>
      <c r="K431" s="5" t="n"/>
      <c r="L431" s="5" t="n"/>
      <c r="M431" s="5" t="n"/>
      <c r="N431" s="5" t="n"/>
      <c r="O431" s="5" t="n">
        <v>790</v>
      </c>
      <c r="P431" s="5" t="n">
        <v>790</v>
      </c>
      <c r="Q431" s="5" t="n"/>
      <c r="R431" s="5" t="n"/>
      <c r="S431" s="5">
        <f>SUM(F431:I431)+N431</f>
        <v/>
      </c>
      <c r="T431" s="5">
        <f>J431</f>
        <v/>
      </c>
      <c r="U431" s="6">
        <f>YEAR(D431)</f>
        <v/>
      </c>
      <c r="V431" s="5">
        <f>TEXT(D431,"yyyy-mm")</f>
        <v/>
      </c>
    </row>
    <row r="432">
      <c r="A432" s="2" t="inlineStr">
        <is>
          <t>EJ020524.TXT</t>
        </is>
      </c>
      <c r="B432" s="3" t="inlineStr">
        <is>
          <t>001613</t>
        </is>
      </c>
      <c r="C432" s="3" t="inlineStr">
        <is>
          <t>001039</t>
        </is>
      </c>
      <c r="D432" s="4" t="n">
        <v>45392</v>
      </c>
      <c r="E432" s="2" t="inlineStr">
        <is>
          <t>10:50</t>
        </is>
      </c>
      <c r="F432" s="5" t="n">
        <v>548.33</v>
      </c>
      <c r="G432" s="5" t="n"/>
      <c r="H432" s="5" t="n"/>
      <c r="I432" s="5" t="n"/>
      <c r="J432" s="5" t="n">
        <v>109.67</v>
      </c>
      <c r="K432" s="5" t="n"/>
      <c r="L432" s="5" t="n"/>
      <c r="M432" s="5" t="n"/>
      <c r="N432" s="5" t="n"/>
      <c r="O432" s="5" t="n">
        <v>658</v>
      </c>
      <c r="P432" s="5" t="n">
        <v>658</v>
      </c>
      <c r="Q432" s="5" t="n"/>
      <c r="R432" s="5" t="n"/>
      <c r="S432" s="5">
        <f>SUM(F432:I432)+N432</f>
        <v/>
      </c>
      <c r="T432" s="5">
        <f>J432</f>
        <v/>
      </c>
      <c r="U432" s="6">
        <f>YEAR(D432)</f>
        <v/>
      </c>
      <c r="V432" s="5">
        <f>TEXT(D432,"yyyy-mm")</f>
        <v/>
      </c>
    </row>
    <row r="433">
      <c r="A433" s="2" t="inlineStr">
        <is>
          <t>EJ020524.TXT</t>
        </is>
      </c>
      <c r="B433" s="3" t="inlineStr">
        <is>
          <t>001614</t>
        </is>
      </c>
      <c r="C433" s="3" t="inlineStr">
        <is>
          <t>001040</t>
        </is>
      </c>
      <c r="D433" s="4" t="n">
        <v>45392</v>
      </c>
      <c r="E433" s="2" t="inlineStr">
        <is>
          <t>10:52</t>
        </is>
      </c>
      <c r="F433" s="5" t="n">
        <v>548.33</v>
      </c>
      <c r="G433" s="5" t="n"/>
      <c r="H433" s="5" t="n"/>
      <c r="I433" s="5" t="n"/>
      <c r="J433" s="5" t="n">
        <v>109.67</v>
      </c>
      <c r="K433" s="5" t="n"/>
      <c r="L433" s="5" t="n"/>
      <c r="M433" s="5" t="n"/>
      <c r="N433" s="5" t="n"/>
      <c r="O433" s="5" t="n">
        <v>658</v>
      </c>
      <c r="P433" s="5" t="n">
        <v>658</v>
      </c>
      <c r="Q433" s="5" t="n"/>
      <c r="R433" s="5" t="n"/>
      <c r="S433" s="5">
        <f>SUM(F433:I433)+N433</f>
        <v/>
      </c>
      <c r="T433" s="5">
        <f>J433</f>
        <v/>
      </c>
      <c r="U433" s="6">
        <f>YEAR(D433)</f>
        <v/>
      </c>
      <c r="V433" s="5">
        <f>TEXT(D433,"yyyy-mm")</f>
        <v/>
      </c>
    </row>
    <row r="434">
      <c r="A434" s="2" t="inlineStr">
        <is>
          <t>EJ020524.TXT</t>
        </is>
      </c>
      <c r="B434" s="3" t="inlineStr">
        <is>
          <t>001617</t>
        </is>
      </c>
      <c r="C434" s="3" t="inlineStr">
        <is>
          <t>001041</t>
        </is>
      </c>
      <c r="D434" s="4" t="n">
        <v>45393</v>
      </c>
      <c r="E434" s="2" t="inlineStr">
        <is>
          <t>11:26</t>
        </is>
      </c>
      <c r="F434" s="5" t="n">
        <v>3190</v>
      </c>
      <c r="G434" s="5" t="n"/>
      <c r="H434" s="5" t="n"/>
      <c r="I434" s="5" t="n"/>
      <c r="J434" s="5" t="n">
        <v>638</v>
      </c>
      <c r="K434" s="5" t="n"/>
      <c r="L434" s="5" t="n"/>
      <c r="M434" s="5" t="n"/>
      <c r="N434" s="5" t="n"/>
      <c r="O434" s="5" t="n">
        <v>3828</v>
      </c>
      <c r="P434" s="5" t="n">
        <v>3828</v>
      </c>
      <c r="Q434" s="5" t="n"/>
      <c r="R434" s="5" t="n"/>
      <c r="S434" s="5">
        <f>SUM(F434:I434)+N434</f>
        <v/>
      </c>
      <c r="T434" s="5">
        <f>J434</f>
        <v/>
      </c>
      <c r="U434" s="6">
        <f>YEAR(D434)</f>
        <v/>
      </c>
      <c r="V434" s="5">
        <f>TEXT(D434,"yyyy-mm")</f>
        <v/>
      </c>
    </row>
    <row r="435">
      <c r="A435" s="2" t="inlineStr">
        <is>
          <t>EJ020524.TXT</t>
        </is>
      </c>
      <c r="B435" s="3" t="inlineStr">
        <is>
          <t>001618</t>
        </is>
      </c>
      <c r="C435" s="3" t="inlineStr">
        <is>
          <t>001042</t>
        </is>
      </c>
      <c r="D435" s="4" t="n">
        <v>45393</v>
      </c>
      <c r="E435" s="2" t="inlineStr">
        <is>
          <t>12:53</t>
        </is>
      </c>
      <c r="F435" s="5" t="n">
        <v>548.33</v>
      </c>
      <c r="G435" s="5" t="n"/>
      <c r="H435" s="5" t="n"/>
      <c r="I435" s="5" t="n"/>
      <c r="J435" s="5" t="n">
        <v>109.67</v>
      </c>
      <c r="K435" s="5" t="n"/>
      <c r="L435" s="5" t="n"/>
      <c r="M435" s="5" t="n"/>
      <c r="N435" s="5" t="n"/>
      <c r="O435" s="5" t="n">
        <v>658</v>
      </c>
      <c r="P435" s="5" t="n">
        <v>658</v>
      </c>
      <c r="Q435" s="5" t="n"/>
      <c r="R435" s="5" t="n"/>
      <c r="S435" s="5">
        <f>SUM(F435:I435)+N435</f>
        <v/>
      </c>
      <c r="T435" s="5">
        <f>J435</f>
        <v/>
      </c>
      <c r="U435" s="6">
        <f>YEAR(D435)</f>
        <v/>
      </c>
      <c r="V435" s="5">
        <f>TEXT(D435,"yyyy-mm")</f>
        <v/>
      </c>
    </row>
    <row r="436">
      <c r="A436" s="2" t="inlineStr">
        <is>
          <t>EJ020524.TXT</t>
        </is>
      </c>
      <c r="B436" s="3" t="inlineStr">
        <is>
          <t>001619</t>
        </is>
      </c>
      <c r="C436" s="3" t="inlineStr">
        <is>
          <t>001043</t>
        </is>
      </c>
      <c r="D436" s="4" t="n">
        <v>45394</v>
      </c>
      <c r="E436" s="2" t="inlineStr">
        <is>
          <t>14:50</t>
        </is>
      </c>
      <c r="F436" s="5" t="n">
        <v>279.65</v>
      </c>
      <c r="G436" s="5" t="n"/>
      <c r="H436" s="5" t="n"/>
      <c r="I436" s="5" t="n"/>
      <c r="J436" s="5" t="n">
        <v>55.93</v>
      </c>
      <c r="K436" s="5" t="n"/>
      <c r="L436" s="5" t="n"/>
      <c r="M436" s="5" t="n"/>
      <c r="N436" s="5" t="n"/>
      <c r="O436" s="5" t="n">
        <v>335.58</v>
      </c>
      <c r="P436" s="5" t="n">
        <v>335.58</v>
      </c>
      <c r="Q436" s="5" t="n"/>
      <c r="R436" s="5" t="n"/>
      <c r="S436" s="5">
        <f>SUM(F436:I436)+N436</f>
        <v/>
      </c>
      <c r="T436" s="5">
        <f>J436</f>
        <v/>
      </c>
      <c r="U436" s="6">
        <f>YEAR(D436)</f>
        <v/>
      </c>
      <c r="V436" s="5">
        <f>TEXT(D436,"yyyy-mm")</f>
        <v/>
      </c>
    </row>
    <row r="437">
      <c r="A437" s="2" t="inlineStr">
        <is>
          <t>EJ020524.TXT</t>
        </is>
      </c>
      <c r="B437" s="3" t="inlineStr">
        <is>
          <t>001620</t>
        </is>
      </c>
      <c r="C437" s="3" t="inlineStr">
        <is>
          <t>001044</t>
        </is>
      </c>
      <c r="D437" s="4" t="n">
        <v>45394</v>
      </c>
      <c r="E437" s="2" t="inlineStr">
        <is>
          <t>14:52</t>
        </is>
      </c>
      <c r="F437" s="5" t="n">
        <v>548.33</v>
      </c>
      <c r="G437" s="5" t="n"/>
      <c r="H437" s="5" t="n"/>
      <c r="I437" s="5" t="n"/>
      <c r="J437" s="5" t="n">
        <v>109.67</v>
      </c>
      <c r="K437" s="5" t="n"/>
      <c r="L437" s="5" t="n"/>
      <c r="M437" s="5" t="n"/>
      <c r="N437" s="5" t="n"/>
      <c r="O437" s="5" t="n">
        <v>658</v>
      </c>
      <c r="P437" s="5" t="n">
        <v>658</v>
      </c>
      <c r="Q437" s="5" t="n"/>
      <c r="R437" s="5" t="n"/>
      <c r="S437" s="5">
        <f>SUM(F437:I437)+N437</f>
        <v/>
      </c>
      <c r="T437" s="5">
        <f>J437</f>
        <v/>
      </c>
      <c r="U437" s="6">
        <f>YEAR(D437)</f>
        <v/>
      </c>
      <c r="V437" s="5">
        <f>TEXT(D437,"yyyy-mm")</f>
        <v/>
      </c>
    </row>
    <row r="438">
      <c r="A438" s="2" t="inlineStr">
        <is>
          <t>EJ020524.TXT</t>
        </is>
      </c>
      <c r="B438" s="3" t="inlineStr">
        <is>
          <t>001621</t>
        </is>
      </c>
      <c r="C438" s="3" t="inlineStr">
        <is>
          <t>001045</t>
        </is>
      </c>
      <c r="D438" s="4" t="n">
        <v>45397</v>
      </c>
      <c r="E438" s="2" t="inlineStr">
        <is>
          <t>09:33</t>
        </is>
      </c>
      <c r="F438" s="5" t="n">
        <v>548.33</v>
      </c>
      <c r="G438" s="5" t="n"/>
      <c r="H438" s="5" t="n"/>
      <c r="I438" s="5" t="n"/>
      <c r="J438" s="5" t="n">
        <v>109.67</v>
      </c>
      <c r="K438" s="5" t="n"/>
      <c r="L438" s="5" t="n"/>
      <c r="M438" s="5" t="n"/>
      <c r="N438" s="5" t="n"/>
      <c r="O438" s="5" t="n">
        <v>658</v>
      </c>
      <c r="P438" s="5" t="n">
        <v>658</v>
      </c>
      <c r="Q438" s="5" t="n"/>
      <c r="R438" s="5" t="n"/>
      <c r="S438" s="5">
        <f>SUM(F438:I438)+N438</f>
        <v/>
      </c>
      <c r="T438" s="5">
        <f>J438</f>
        <v/>
      </c>
      <c r="U438" s="6">
        <f>YEAR(D438)</f>
        <v/>
      </c>
      <c r="V438" s="5">
        <f>TEXT(D438,"yyyy-mm")</f>
        <v/>
      </c>
    </row>
    <row r="439">
      <c r="A439" s="2" t="inlineStr">
        <is>
          <t>EJ020524.TXT</t>
        </is>
      </c>
      <c r="B439" s="3" t="inlineStr">
        <is>
          <t>001622</t>
        </is>
      </c>
      <c r="C439" s="3" t="inlineStr">
        <is>
          <t>001046</t>
        </is>
      </c>
      <c r="D439" s="4" t="n">
        <v>45397</v>
      </c>
      <c r="E439" s="2" t="inlineStr">
        <is>
          <t>09:33</t>
        </is>
      </c>
      <c r="F439" s="5" t="n">
        <v>548.33</v>
      </c>
      <c r="G439" s="5" t="n"/>
      <c r="H439" s="5" t="n"/>
      <c r="I439" s="5" t="n"/>
      <c r="J439" s="5" t="n">
        <v>109.67</v>
      </c>
      <c r="K439" s="5" t="n"/>
      <c r="L439" s="5" t="n"/>
      <c r="M439" s="5" t="n"/>
      <c r="N439" s="5" t="n"/>
      <c r="O439" s="5" t="n">
        <v>658</v>
      </c>
      <c r="P439" s="5" t="n">
        <v>658</v>
      </c>
      <c r="Q439" s="5" t="n"/>
      <c r="R439" s="5" t="n"/>
      <c r="S439" s="5">
        <f>SUM(F439:I439)+N439</f>
        <v/>
      </c>
      <c r="T439" s="5">
        <f>J439</f>
        <v/>
      </c>
      <c r="U439" s="6">
        <f>YEAR(D439)</f>
        <v/>
      </c>
      <c r="V439" s="5">
        <f>TEXT(D439,"yyyy-mm")</f>
        <v/>
      </c>
    </row>
    <row r="440">
      <c r="A440" s="2" t="inlineStr">
        <is>
          <t>EJ020524.TXT</t>
        </is>
      </c>
      <c r="B440" s="3" t="inlineStr">
        <is>
          <t>001623</t>
        </is>
      </c>
      <c r="C440" s="3" t="inlineStr">
        <is>
          <t>001047</t>
        </is>
      </c>
      <c r="D440" s="4" t="n">
        <v>45398</v>
      </c>
      <c r="E440" s="2" t="inlineStr">
        <is>
          <t>16:31</t>
        </is>
      </c>
      <c r="F440" s="5" t="n">
        <v>548.33</v>
      </c>
      <c r="G440" s="5" t="n"/>
      <c r="H440" s="5" t="n"/>
      <c r="I440" s="5" t="n"/>
      <c r="J440" s="5" t="n">
        <v>109.67</v>
      </c>
      <c r="K440" s="5" t="n"/>
      <c r="L440" s="5" t="n"/>
      <c r="M440" s="5" t="n"/>
      <c r="N440" s="5" t="n"/>
      <c r="O440" s="5" t="n">
        <v>658</v>
      </c>
      <c r="P440" s="5" t="n">
        <v>658</v>
      </c>
      <c r="Q440" s="5" t="n"/>
      <c r="R440" s="5" t="n"/>
      <c r="S440" s="5">
        <f>SUM(F440:I440)+N440</f>
        <v/>
      </c>
      <c r="T440" s="5">
        <f>J440</f>
        <v/>
      </c>
      <c r="U440" s="6">
        <f>YEAR(D440)</f>
        <v/>
      </c>
      <c r="V440" s="5">
        <f>TEXT(D440,"yyyy-mm")</f>
        <v/>
      </c>
    </row>
    <row r="441">
      <c r="A441" s="2" t="inlineStr">
        <is>
          <t>EJ020524.TXT</t>
        </is>
      </c>
      <c r="B441" s="3" t="inlineStr">
        <is>
          <t>001625</t>
        </is>
      </c>
      <c r="C441" s="3" t="inlineStr">
        <is>
          <t>001048</t>
        </is>
      </c>
      <c r="D441" s="4" t="n">
        <v>45400</v>
      </c>
      <c r="E441" s="2" t="inlineStr">
        <is>
          <t>10:03</t>
        </is>
      </c>
      <c r="F441" s="5" t="n">
        <v>416.33</v>
      </c>
      <c r="G441" s="5" t="n"/>
      <c r="H441" s="5" t="n"/>
      <c r="I441" s="5" t="n"/>
      <c r="J441" s="5" t="n">
        <v>83.27</v>
      </c>
      <c r="K441" s="5" t="n"/>
      <c r="L441" s="5" t="n"/>
      <c r="M441" s="5" t="n"/>
      <c r="N441" s="5" t="n"/>
      <c r="O441" s="5" t="n">
        <v>499.6</v>
      </c>
      <c r="P441" s="5" t="n"/>
      <c r="Q441" s="5" t="n">
        <v>499.6</v>
      </c>
      <c r="R441" s="5" t="n"/>
      <c r="S441" s="5">
        <f>SUM(F441:I441)+N441</f>
        <v/>
      </c>
      <c r="T441" s="5">
        <f>J441</f>
        <v/>
      </c>
      <c r="U441" s="6">
        <f>YEAR(D441)</f>
        <v/>
      </c>
      <c r="V441" s="5">
        <f>TEXT(D441,"yyyy-mm")</f>
        <v/>
      </c>
    </row>
    <row r="442">
      <c r="A442" s="2" t="inlineStr">
        <is>
          <t>EJ020524.TXT</t>
        </is>
      </c>
      <c r="B442" s="3" t="inlineStr">
        <is>
          <t>001627</t>
        </is>
      </c>
      <c r="C442" s="3" t="inlineStr">
        <is>
          <t>001049</t>
        </is>
      </c>
      <c r="D442" s="4" t="n">
        <v>45400</v>
      </c>
      <c r="E442" s="2" t="inlineStr">
        <is>
          <t>11:25</t>
        </is>
      </c>
      <c r="F442" s="5" t="n">
        <v>190.83</v>
      </c>
      <c r="G442" s="5" t="n"/>
      <c r="H442" s="5" t="n"/>
      <c r="I442" s="5" t="n"/>
      <c r="J442" s="5" t="n">
        <v>38.17</v>
      </c>
      <c r="K442" s="5" t="n"/>
      <c r="L442" s="5" t="n"/>
      <c r="M442" s="5" t="n"/>
      <c r="N442" s="5" t="n"/>
      <c r="O442" s="5" t="n">
        <v>229</v>
      </c>
      <c r="P442" s="5" t="n">
        <v>229</v>
      </c>
      <c r="Q442" s="5" t="n"/>
      <c r="R442" s="5" t="n"/>
      <c r="S442" s="5">
        <f>SUM(F442:I442)+N442</f>
        <v/>
      </c>
      <c r="T442" s="5">
        <f>J442</f>
        <v/>
      </c>
      <c r="U442" s="6">
        <f>YEAR(D442)</f>
        <v/>
      </c>
      <c r="V442" s="5">
        <f>TEXT(D442,"yyyy-mm")</f>
        <v/>
      </c>
    </row>
    <row r="443">
      <c r="A443" s="2" t="inlineStr">
        <is>
          <t>EJ020524.TXT</t>
        </is>
      </c>
      <c r="B443" s="3" t="inlineStr">
        <is>
          <t>001628</t>
        </is>
      </c>
      <c r="C443" s="3" t="inlineStr">
        <is>
          <t>001050</t>
        </is>
      </c>
      <c r="D443" s="4" t="n">
        <v>45400</v>
      </c>
      <c r="E443" s="2" t="inlineStr">
        <is>
          <t>11:49</t>
        </is>
      </c>
      <c r="F443" s="5" t="n">
        <v>66.5</v>
      </c>
      <c r="G443" s="5" t="n"/>
      <c r="H443" s="5" t="n"/>
      <c r="I443" s="5" t="n"/>
      <c r="J443" s="5" t="n">
        <v>13.3</v>
      </c>
      <c r="K443" s="5" t="n"/>
      <c r="L443" s="5" t="n"/>
      <c r="M443" s="5" t="n"/>
      <c r="N443" s="5" t="n"/>
      <c r="O443" s="5" t="n">
        <v>79.8</v>
      </c>
      <c r="P443" s="5" t="n">
        <v>79.8</v>
      </c>
      <c r="Q443" s="5" t="n"/>
      <c r="R443" s="5" t="n"/>
      <c r="S443" s="5">
        <f>SUM(F443:I443)+N443</f>
        <v/>
      </c>
      <c r="T443" s="5">
        <f>J443</f>
        <v/>
      </c>
      <c r="U443" s="6">
        <f>YEAR(D443)</f>
        <v/>
      </c>
      <c r="V443" s="5">
        <f>TEXT(D443,"yyyy-mm")</f>
        <v/>
      </c>
    </row>
    <row r="444">
      <c r="A444" s="2" t="inlineStr">
        <is>
          <t>EJ020524.TXT</t>
        </is>
      </c>
      <c r="B444" s="3" t="inlineStr">
        <is>
          <t>001629</t>
        </is>
      </c>
      <c r="C444" s="3" t="inlineStr">
        <is>
          <t>001051</t>
        </is>
      </c>
      <c r="D444" s="4" t="n">
        <v>45400</v>
      </c>
      <c r="E444" s="2" t="inlineStr">
        <is>
          <t>12:47</t>
        </is>
      </c>
      <c r="F444" s="5" t="n">
        <v>60.83</v>
      </c>
      <c r="G444" s="5" t="n"/>
      <c r="H444" s="5" t="n"/>
      <c r="I444" s="5" t="n"/>
      <c r="J444" s="5" t="n">
        <v>12.17</v>
      </c>
      <c r="K444" s="5" t="n"/>
      <c r="L444" s="5" t="n"/>
      <c r="M444" s="5" t="n"/>
      <c r="N444" s="5" t="n"/>
      <c r="O444" s="5" t="n">
        <v>73</v>
      </c>
      <c r="P444" s="5" t="n">
        <v>73</v>
      </c>
      <c r="Q444" s="5" t="n"/>
      <c r="R444" s="5" t="n"/>
      <c r="S444" s="5">
        <f>SUM(F444:I444)+N444</f>
        <v/>
      </c>
      <c r="T444" s="5">
        <f>J444</f>
        <v/>
      </c>
      <c r="U444" s="6">
        <f>YEAR(D444)</f>
        <v/>
      </c>
      <c r="V444" s="5">
        <f>TEXT(D444,"yyyy-mm")</f>
        <v/>
      </c>
    </row>
    <row r="445">
      <c r="A445" s="2" t="inlineStr">
        <is>
          <t>EJ020524.TXT</t>
        </is>
      </c>
      <c r="B445" s="3" t="inlineStr">
        <is>
          <t>001630</t>
        </is>
      </c>
      <c r="C445" s="3" t="inlineStr">
        <is>
          <t>001052</t>
        </is>
      </c>
      <c r="D445" s="4" t="n">
        <v>45402</v>
      </c>
      <c r="E445" s="2" t="inlineStr">
        <is>
          <t>13:16</t>
        </is>
      </c>
      <c r="F445" s="5" t="n">
        <v>548.33</v>
      </c>
      <c r="G445" s="5" t="n"/>
      <c r="H445" s="5" t="n"/>
      <c r="I445" s="5" t="n"/>
      <c r="J445" s="5" t="n">
        <v>109.67</v>
      </c>
      <c r="K445" s="5" t="n"/>
      <c r="L445" s="5" t="n"/>
      <c r="M445" s="5" t="n"/>
      <c r="N445" s="5" t="n"/>
      <c r="O445" s="5" t="n">
        <v>658</v>
      </c>
      <c r="P445" s="5" t="n"/>
      <c r="Q445" s="5" t="n">
        <v>658</v>
      </c>
      <c r="R445" s="5" t="n"/>
      <c r="S445" s="5">
        <f>SUM(F445:I445)+N445</f>
        <v/>
      </c>
      <c r="T445" s="5">
        <f>J445</f>
        <v/>
      </c>
      <c r="U445" s="6">
        <f>YEAR(D445)</f>
        <v/>
      </c>
      <c r="V445" s="5">
        <f>TEXT(D445,"yyyy-mm")</f>
        <v/>
      </c>
    </row>
    <row r="446">
      <c r="A446" s="2" t="inlineStr">
        <is>
          <t>EJ020524.TXT</t>
        </is>
      </c>
      <c r="B446" s="3" t="inlineStr">
        <is>
          <t>001632</t>
        </is>
      </c>
      <c r="C446" s="3" t="inlineStr">
        <is>
          <t>001053</t>
        </is>
      </c>
      <c r="D446" s="4" t="n">
        <v>45404</v>
      </c>
      <c r="E446" s="2" t="inlineStr">
        <is>
          <t>10:36</t>
        </is>
      </c>
      <c r="F446" s="5" t="n">
        <v>41.58</v>
      </c>
      <c r="G446" s="5" t="n"/>
      <c r="H446" s="5" t="n"/>
      <c r="I446" s="5" t="n"/>
      <c r="J446" s="5" t="n">
        <v>8.32</v>
      </c>
      <c r="K446" s="5" t="n"/>
      <c r="L446" s="5" t="n"/>
      <c r="M446" s="5" t="n"/>
      <c r="N446" s="5" t="n"/>
      <c r="O446" s="5" t="n">
        <v>49.9</v>
      </c>
      <c r="P446" s="5" t="n">
        <v>49.9</v>
      </c>
      <c r="Q446" s="5" t="n"/>
      <c r="R446" s="5" t="n"/>
      <c r="S446" s="5">
        <f>SUM(F446:I446)+N446</f>
        <v/>
      </c>
      <c r="T446" s="5">
        <f>J446</f>
        <v/>
      </c>
      <c r="U446" s="6">
        <f>YEAR(D446)</f>
        <v/>
      </c>
      <c r="V446" s="5">
        <f>TEXT(D446,"yyyy-mm")</f>
        <v/>
      </c>
    </row>
    <row r="447">
      <c r="A447" s="2" t="inlineStr">
        <is>
          <t>EJ020524.TXT</t>
        </is>
      </c>
      <c r="B447" s="3" t="inlineStr">
        <is>
          <t>001633</t>
        </is>
      </c>
      <c r="C447" s="3" t="inlineStr">
        <is>
          <t>001054</t>
        </is>
      </c>
      <c r="D447" s="4" t="n">
        <v>45404</v>
      </c>
      <c r="E447" s="2" t="inlineStr">
        <is>
          <t>10:53</t>
        </is>
      </c>
      <c r="F447" s="5" t="n">
        <v>582.5</v>
      </c>
      <c r="G447" s="5" t="n"/>
      <c r="H447" s="5" t="n"/>
      <c r="I447" s="5" t="n"/>
      <c r="J447" s="5" t="n">
        <v>116.5</v>
      </c>
      <c r="K447" s="5" t="n"/>
      <c r="L447" s="5" t="n"/>
      <c r="M447" s="5" t="n"/>
      <c r="N447" s="5" t="n"/>
      <c r="O447" s="5" t="n">
        <v>699</v>
      </c>
      <c r="P447" s="5" t="n">
        <v>699</v>
      </c>
      <c r="Q447" s="5" t="n"/>
      <c r="R447" s="5" t="n"/>
      <c r="S447" s="5">
        <f>SUM(F447:I447)+N447</f>
        <v/>
      </c>
      <c r="T447" s="5">
        <f>J447</f>
        <v/>
      </c>
      <c r="U447" s="6">
        <f>YEAR(D447)</f>
        <v/>
      </c>
      <c r="V447" s="5">
        <f>TEXT(D447,"yyyy-mm")</f>
        <v/>
      </c>
    </row>
    <row r="448">
      <c r="A448" s="2" t="inlineStr">
        <is>
          <t>EJ020524.TXT</t>
        </is>
      </c>
      <c r="B448" s="3" t="inlineStr">
        <is>
          <t>001634</t>
        </is>
      </c>
      <c r="C448" s="3" t="inlineStr">
        <is>
          <t>001055</t>
        </is>
      </c>
      <c r="D448" s="4" t="n">
        <v>45405</v>
      </c>
      <c r="E448" s="2" t="inlineStr">
        <is>
          <t>13:45</t>
        </is>
      </c>
      <c r="F448" s="5" t="n">
        <v>2600</v>
      </c>
      <c r="G448" s="5" t="n"/>
      <c r="H448" s="5" t="n"/>
      <c r="I448" s="5" t="n"/>
      <c r="J448" s="5" t="n">
        <v>520</v>
      </c>
      <c r="K448" s="5" t="n"/>
      <c r="L448" s="5" t="n"/>
      <c r="M448" s="5" t="n"/>
      <c r="N448" s="5" t="n"/>
      <c r="O448" s="5" t="n">
        <v>3120</v>
      </c>
      <c r="P448" s="5" t="n">
        <v>3120</v>
      </c>
      <c r="Q448" s="5" t="n"/>
      <c r="R448" s="5" t="n"/>
      <c r="S448" s="5">
        <f>SUM(F448:I448)+N448</f>
        <v/>
      </c>
      <c r="T448" s="5">
        <f>J448</f>
        <v/>
      </c>
      <c r="U448" s="6">
        <f>YEAR(D448)</f>
        <v/>
      </c>
      <c r="V448" s="5">
        <f>TEXT(D448,"yyyy-mm")</f>
        <v/>
      </c>
    </row>
    <row r="449">
      <c r="A449" s="2" t="inlineStr">
        <is>
          <t>EJ020524.TXT</t>
        </is>
      </c>
      <c r="B449" s="3" t="inlineStr">
        <is>
          <t>001635</t>
        </is>
      </c>
      <c r="C449" s="3" t="inlineStr">
        <is>
          <t>001056</t>
        </is>
      </c>
      <c r="D449" s="4" t="n">
        <v>45406</v>
      </c>
      <c r="E449" s="2" t="inlineStr">
        <is>
          <t>12:23</t>
        </is>
      </c>
      <c r="F449" s="5" t="n">
        <v>329.17</v>
      </c>
      <c r="G449" s="5" t="n"/>
      <c r="H449" s="5" t="n"/>
      <c r="I449" s="5" t="n"/>
      <c r="J449" s="5" t="n">
        <v>65.83</v>
      </c>
      <c r="K449" s="5" t="n"/>
      <c r="L449" s="5" t="n"/>
      <c r="M449" s="5" t="n"/>
      <c r="N449" s="5" t="n"/>
      <c r="O449" s="5" t="n">
        <v>395</v>
      </c>
      <c r="P449" s="5" t="n"/>
      <c r="Q449" s="5" t="n">
        <v>395</v>
      </c>
      <c r="R449" s="5" t="n"/>
      <c r="S449" s="5">
        <f>SUM(F449:I449)+N449</f>
        <v/>
      </c>
      <c r="T449" s="5">
        <f>J449</f>
        <v/>
      </c>
      <c r="U449" s="6">
        <f>YEAR(D449)</f>
        <v/>
      </c>
      <c r="V449" s="5">
        <f>TEXT(D449,"yyyy-mm")</f>
        <v/>
      </c>
    </row>
    <row r="450">
      <c r="A450" s="2" t="inlineStr">
        <is>
          <t>EJ020524.TXT</t>
        </is>
      </c>
      <c r="B450" s="3" t="inlineStr">
        <is>
          <t>001637</t>
        </is>
      </c>
      <c r="C450" s="3" t="inlineStr">
        <is>
          <t>001057</t>
        </is>
      </c>
      <c r="D450" s="4" t="n">
        <v>45407</v>
      </c>
      <c r="E450" s="2" t="inlineStr">
        <is>
          <t>11:05</t>
        </is>
      </c>
      <c r="F450" s="5" t="n">
        <v>274.17</v>
      </c>
      <c r="G450" s="5" t="n"/>
      <c r="H450" s="5" t="n"/>
      <c r="I450" s="5" t="n"/>
      <c r="J450" s="5" t="n">
        <v>54.83</v>
      </c>
      <c r="K450" s="5" t="n"/>
      <c r="L450" s="5" t="n"/>
      <c r="M450" s="5" t="n"/>
      <c r="N450" s="5" t="n"/>
      <c r="O450" s="5" t="n">
        <v>329</v>
      </c>
      <c r="P450" s="5" t="n">
        <v>329</v>
      </c>
      <c r="Q450" s="5" t="n"/>
      <c r="R450" s="5" t="n"/>
      <c r="S450" s="5">
        <f>SUM(F450:I450)+N450</f>
        <v/>
      </c>
      <c r="T450" s="5">
        <f>J450</f>
        <v/>
      </c>
      <c r="U450" s="6">
        <f>YEAR(D450)</f>
        <v/>
      </c>
      <c r="V450" s="5">
        <f>TEXT(D450,"yyyy-mm")</f>
        <v/>
      </c>
    </row>
    <row r="451">
      <c r="A451" s="2" t="inlineStr">
        <is>
          <t>EJ020524.TXT</t>
        </is>
      </c>
      <c r="B451" s="3" t="inlineStr">
        <is>
          <t>001638</t>
        </is>
      </c>
      <c r="C451" s="3" t="inlineStr">
        <is>
          <t>001058</t>
        </is>
      </c>
      <c r="D451" s="4" t="n">
        <v>45407</v>
      </c>
      <c r="E451" s="2" t="inlineStr">
        <is>
          <t>12:38</t>
        </is>
      </c>
      <c r="F451" s="5" t="n">
        <v>548.33</v>
      </c>
      <c r="G451" s="5" t="n"/>
      <c r="H451" s="5" t="n"/>
      <c r="I451" s="5" t="n"/>
      <c r="J451" s="5" t="n">
        <v>109.67</v>
      </c>
      <c r="K451" s="5" t="n"/>
      <c r="L451" s="5" t="n"/>
      <c r="M451" s="5" t="n"/>
      <c r="N451" s="5" t="n"/>
      <c r="O451" s="5" t="n">
        <v>658</v>
      </c>
      <c r="P451" s="5" t="n">
        <v>658</v>
      </c>
      <c r="Q451" s="5" t="n"/>
      <c r="R451" s="5" t="n"/>
      <c r="S451" s="5">
        <f>SUM(F451:I451)+N451</f>
        <v/>
      </c>
      <c r="T451" s="5">
        <f>J451</f>
        <v/>
      </c>
      <c r="U451" s="6">
        <f>YEAR(D451)</f>
        <v/>
      </c>
      <c r="V451" s="5">
        <f>TEXT(D451,"yyyy-mm")</f>
        <v/>
      </c>
    </row>
    <row r="452">
      <c r="A452" s="2" t="inlineStr">
        <is>
          <t>EJ020524.TXT</t>
        </is>
      </c>
      <c r="B452" s="3" t="inlineStr">
        <is>
          <t>001639</t>
        </is>
      </c>
      <c r="C452" s="3" t="inlineStr">
        <is>
          <t>001059</t>
        </is>
      </c>
      <c r="D452" s="4" t="n">
        <v>45408</v>
      </c>
      <c r="E452" s="2" t="inlineStr">
        <is>
          <t>10:26</t>
        </is>
      </c>
      <c r="F452" s="5" t="n">
        <v>548.33</v>
      </c>
      <c r="G452" s="5" t="n"/>
      <c r="H452" s="5" t="n"/>
      <c r="I452" s="5" t="n"/>
      <c r="J452" s="5" t="n">
        <v>109.67</v>
      </c>
      <c r="K452" s="5" t="n"/>
      <c r="L452" s="5" t="n"/>
      <c r="M452" s="5" t="n"/>
      <c r="N452" s="5" t="n"/>
      <c r="O452" s="5" t="n">
        <v>658</v>
      </c>
      <c r="P452" s="5" t="n"/>
      <c r="Q452" s="5" t="n">
        <v>658</v>
      </c>
      <c r="R452" s="5" t="n"/>
      <c r="S452" s="5">
        <f>SUM(F452:I452)+N452</f>
        <v/>
      </c>
      <c r="T452" s="5">
        <f>J452</f>
        <v/>
      </c>
      <c r="U452" s="6">
        <f>YEAR(D452)</f>
        <v/>
      </c>
      <c r="V452" s="5">
        <f>TEXT(D452,"yyyy-mm")</f>
        <v/>
      </c>
    </row>
    <row r="453">
      <c r="A453" s="2" t="inlineStr">
        <is>
          <t>EJ020524.TXT</t>
        </is>
      </c>
      <c r="B453" s="3" t="inlineStr">
        <is>
          <t>001644</t>
        </is>
      </c>
      <c r="C453" s="3" t="inlineStr">
        <is>
          <t>001060</t>
        </is>
      </c>
      <c r="D453" s="4" t="n">
        <v>45408</v>
      </c>
      <c r="E453" s="2" t="inlineStr">
        <is>
          <t>13:49</t>
        </is>
      </c>
      <c r="F453" s="5" t="n">
        <v>183</v>
      </c>
      <c r="G453" s="5" t="n"/>
      <c r="H453" s="5" t="n"/>
      <c r="I453" s="5" t="n"/>
      <c r="J453" s="5" t="n">
        <v>36.6</v>
      </c>
      <c r="K453" s="5" t="n"/>
      <c r="L453" s="5" t="n"/>
      <c r="M453" s="5" t="n"/>
      <c r="N453" s="5" t="n"/>
      <c r="O453" s="5" t="n">
        <v>219.6</v>
      </c>
      <c r="P453" s="5" t="n"/>
      <c r="Q453" s="5" t="n">
        <v>219.6</v>
      </c>
      <c r="R453" s="5" t="n"/>
      <c r="S453" s="5">
        <f>SUM(F453:I453)+N453</f>
        <v/>
      </c>
      <c r="T453" s="5">
        <f>J453</f>
        <v/>
      </c>
      <c r="U453" s="6">
        <f>YEAR(D453)</f>
        <v/>
      </c>
      <c r="V453" s="5">
        <f>TEXT(D453,"yyyy-mm")</f>
        <v/>
      </c>
    </row>
    <row r="454">
      <c r="A454" s="2" t="inlineStr">
        <is>
          <t>EJ020524.TXT</t>
        </is>
      </c>
      <c r="B454" s="3" t="inlineStr">
        <is>
          <t>001645</t>
        </is>
      </c>
      <c r="C454" s="3" t="inlineStr">
        <is>
          <t>001061</t>
        </is>
      </c>
      <c r="D454" s="4" t="n">
        <v>45408</v>
      </c>
      <c r="E454" s="2" t="inlineStr">
        <is>
          <t>14:18</t>
        </is>
      </c>
      <c r="F454" s="5" t="n">
        <v>2375</v>
      </c>
      <c r="G454" s="5" t="n"/>
      <c r="H454" s="5" t="n"/>
      <c r="I454" s="5" t="n"/>
      <c r="J454" s="5" t="n">
        <v>475</v>
      </c>
      <c r="K454" s="5" t="n"/>
      <c r="L454" s="5" t="n"/>
      <c r="M454" s="5" t="n"/>
      <c r="N454" s="5" t="n"/>
      <c r="O454" s="5" t="n">
        <v>2850</v>
      </c>
      <c r="P454" s="5" t="n">
        <v>2850</v>
      </c>
      <c r="Q454" s="5" t="n"/>
      <c r="R454" s="5" t="n"/>
      <c r="S454" s="5">
        <f>SUM(F454:I454)+N454</f>
        <v/>
      </c>
      <c r="T454" s="5">
        <f>J454</f>
        <v/>
      </c>
      <c r="U454" s="6">
        <f>YEAR(D454)</f>
        <v/>
      </c>
      <c r="V454" s="5">
        <f>TEXT(D454,"yyyy-mm")</f>
        <v/>
      </c>
    </row>
    <row r="455">
      <c r="A455" s="2" t="inlineStr">
        <is>
          <t>EJ020524.TXT</t>
        </is>
      </c>
      <c r="B455" s="3" t="inlineStr">
        <is>
          <t>001646</t>
        </is>
      </c>
      <c r="C455" s="3" t="inlineStr">
        <is>
          <t>001062</t>
        </is>
      </c>
      <c r="D455" s="4" t="n">
        <v>45408</v>
      </c>
      <c r="E455" s="2" t="inlineStr">
        <is>
          <t>14:39</t>
        </is>
      </c>
      <c r="F455" s="5" t="n">
        <v>536.25</v>
      </c>
      <c r="G455" s="5" t="n"/>
      <c r="H455" s="5" t="n"/>
      <c r="I455" s="5" t="n"/>
      <c r="J455" s="5" t="n">
        <v>107.25</v>
      </c>
      <c r="K455" s="5" t="n"/>
      <c r="L455" s="5" t="n"/>
      <c r="M455" s="5" t="n"/>
      <c r="N455" s="5" t="n"/>
      <c r="O455" s="5" t="n">
        <v>643.5</v>
      </c>
      <c r="P455" s="5" t="n"/>
      <c r="Q455" s="5" t="n">
        <v>643.5</v>
      </c>
      <c r="R455" s="5" t="n"/>
      <c r="S455" s="5">
        <f>SUM(F455:I455)+N455</f>
        <v/>
      </c>
      <c r="T455" s="5">
        <f>J455</f>
        <v/>
      </c>
      <c r="U455" s="6">
        <f>YEAR(D455)</f>
        <v/>
      </c>
      <c r="V455" s="5">
        <f>TEXT(D455,"yyyy-mm")</f>
        <v/>
      </c>
    </row>
    <row r="456">
      <c r="A456" s="2" t="inlineStr">
        <is>
          <t>EJ020524.TXT</t>
        </is>
      </c>
      <c r="B456" s="3" t="inlineStr">
        <is>
          <t>001647</t>
        </is>
      </c>
      <c r="C456" s="3" t="inlineStr">
        <is>
          <t>001063</t>
        </is>
      </c>
      <c r="D456" s="4" t="n">
        <v>45408</v>
      </c>
      <c r="E456" s="2" t="inlineStr">
        <is>
          <t>16:00</t>
        </is>
      </c>
      <c r="F456" s="5" t="n">
        <v>274.17</v>
      </c>
      <c r="G456" s="5" t="n"/>
      <c r="H456" s="5" t="n"/>
      <c r="I456" s="5" t="n"/>
      <c r="J456" s="5" t="n">
        <v>54.83</v>
      </c>
      <c r="K456" s="5" t="n"/>
      <c r="L456" s="5" t="n"/>
      <c r="M456" s="5" t="n"/>
      <c r="N456" s="5" t="n"/>
      <c r="O456" s="5" t="n">
        <v>329</v>
      </c>
      <c r="P456" s="5" t="n">
        <v>329</v>
      </c>
      <c r="Q456" s="5" t="n"/>
      <c r="R456" s="5" t="n"/>
      <c r="S456" s="5">
        <f>SUM(F456:I456)+N456</f>
        <v/>
      </c>
      <c r="T456" s="5">
        <f>J456</f>
        <v/>
      </c>
      <c r="U456" s="6">
        <f>YEAR(D456)</f>
        <v/>
      </c>
      <c r="V456" s="5">
        <f>TEXT(D456,"yyyy-mm")</f>
        <v/>
      </c>
    </row>
    <row r="457">
      <c r="A457" s="2" t="inlineStr">
        <is>
          <t>EJ020524.TXT</t>
        </is>
      </c>
      <c r="B457" s="3" t="inlineStr">
        <is>
          <t>001648</t>
        </is>
      </c>
      <c r="C457" s="3" t="inlineStr">
        <is>
          <t>001064</t>
        </is>
      </c>
      <c r="D457" s="4" t="n">
        <v>45409</v>
      </c>
      <c r="E457" s="2" t="inlineStr">
        <is>
          <t>16:42</t>
        </is>
      </c>
      <c r="F457" s="5" t="n">
        <v>274.17</v>
      </c>
      <c r="G457" s="5" t="n"/>
      <c r="H457" s="5" t="n"/>
      <c r="I457" s="5" t="n"/>
      <c r="J457" s="5" t="n">
        <v>54.83</v>
      </c>
      <c r="K457" s="5" t="n"/>
      <c r="L457" s="5" t="n"/>
      <c r="M457" s="5" t="n"/>
      <c r="N457" s="5" t="n"/>
      <c r="O457" s="5" t="n">
        <v>329</v>
      </c>
      <c r="P457" s="5" t="n"/>
      <c r="Q457" s="5" t="n">
        <v>329</v>
      </c>
      <c r="R457" s="5" t="n"/>
      <c r="S457" s="5">
        <f>SUM(F457:I457)+N457</f>
        <v/>
      </c>
      <c r="T457" s="5">
        <f>J457</f>
        <v/>
      </c>
      <c r="U457" s="6">
        <f>YEAR(D457)</f>
        <v/>
      </c>
      <c r="V457" s="5">
        <f>TEXT(D457,"yyyy-mm")</f>
        <v/>
      </c>
    </row>
    <row r="458">
      <c r="A458" s="2" t="inlineStr">
        <is>
          <t>EJ010624.TXT</t>
        </is>
      </c>
      <c r="B458" s="3" t="inlineStr">
        <is>
          <t>001655</t>
        </is>
      </c>
      <c r="C458" s="3" t="inlineStr">
        <is>
          <t>001065</t>
        </is>
      </c>
      <c r="D458" s="4" t="n">
        <v>45414</v>
      </c>
      <c r="E458" s="2" t="inlineStr">
        <is>
          <t>15:00</t>
        </is>
      </c>
      <c r="F458" s="5" t="n">
        <v>548.33</v>
      </c>
      <c r="G458" s="5" t="n"/>
      <c r="H458" s="5" t="n"/>
      <c r="I458" s="5" t="n"/>
      <c r="J458" s="5" t="n">
        <v>109.67</v>
      </c>
      <c r="K458" s="5" t="n"/>
      <c r="L458" s="5" t="n"/>
      <c r="M458" s="5" t="n"/>
      <c r="N458" s="5" t="n"/>
      <c r="O458" s="5" t="n">
        <v>658</v>
      </c>
      <c r="P458" s="5" t="n">
        <v>658</v>
      </c>
      <c r="Q458" s="5" t="n"/>
      <c r="R458" s="5" t="n"/>
      <c r="S458" s="5">
        <f>SUM(F458:I458)+N458</f>
        <v/>
      </c>
      <c r="T458" s="5">
        <f>J458</f>
        <v/>
      </c>
      <c r="U458" s="6">
        <f>YEAR(D458)</f>
        <v/>
      </c>
      <c r="V458" s="5">
        <f>TEXT(D458,"yyyy-mm")</f>
        <v/>
      </c>
    </row>
    <row r="459">
      <c r="A459" s="2" t="inlineStr">
        <is>
          <t>EJ010624.TXT</t>
        </is>
      </c>
      <c r="B459" s="3" t="inlineStr">
        <is>
          <t>001658</t>
        </is>
      </c>
      <c r="C459" s="3" t="inlineStr">
        <is>
          <t>001066</t>
        </is>
      </c>
      <c r="D459" s="4" t="n">
        <v>45416</v>
      </c>
      <c r="E459" s="2" t="inlineStr">
        <is>
          <t>14:40</t>
        </is>
      </c>
      <c r="F459" s="5" t="n">
        <v>274.17</v>
      </c>
      <c r="G459" s="5" t="n"/>
      <c r="H459" s="5" t="n"/>
      <c r="I459" s="5" t="n"/>
      <c r="J459" s="5" t="n">
        <v>54.83</v>
      </c>
      <c r="K459" s="5" t="n"/>
      <c r="L459" s="5" t="n"/>
      <c r="M459" s="5" t="n"/>
      <c r="N459" s="5" t="n"/>
      <c r="O459" s="5" t="n">
        <v>329</v>
      </c>
      <c r="P459" s="5" t="n"/>
      <c r="Q459" s="5" t="n">
        <v>329</v>
      </c>
      <c r="R459" s="5" t="n"/>
      <c r="S459" s="5">
        <f>SUM(F459:I459)+N459</f>
        <v/>
      </c>
      <c r="T459" s="5">
        <f>J459</f>
        <v/>
      </c>
      <c r="U459" s="6">
        <f>YEAR(D459)</f>
        <v/>
      </c>
      <c r="V459" s="5">
        <f>TEXT(D459,"yyyy-mm")</f>
        <v/>
      </c>
    </row>
    <row r="460">
      <c r="A460" s="2" t="inlineStr">
        <is>
          <t>EJ010624.TXT</t>
        </is>
      </c>
      <c r="B460" s="3" t="inlineStr">
        <is>
          <t>001659</t>
        </is>
      </c>
      <c r="C460" s="3" t="inlineStr">
        <is>
          <t>001067</t>
        </is>
      </c>
      <c r="D460" s="4" t="n">
        <v>45416</v>
      </c>
      <c r="E460" s="2" t="inlineStr">
        <is>
          <t>14:53</t>
        </is>
      </c>
      <c r="F460" s="5" t="n">
        <v>274.17</v>
      </c>
      <c r="G460" s="5" t="n"/>
      <c r="H460" s="5" t="n"/>
      <c r="I460" s="5" t="n"/>
      <c r="J460" s="5" t="n">
        <v>54.83</v>
      </c>
      <c r="K460" s="5" t="n"/>
      <c r="L460" s="5" t="n"/>
      <c r="M460" s="5" t="n"/>
      <c r="N460" s="5" t="n"/>
      <c r="O460" s="5" t="n">
        <v>329</v>
      </c>
      <c r="P460" s="5" t="n">
        <v>329</v>
      </c>
      <c r="Q460" s="5" t="n"/>
      <c r="R460" s="5" t="n"/>
      <c r="S460" s="5">
        <f>SUM(F460:I460)+N460</f>
        <v/>
      </c>
      <c r="T460" s="5">
        <f>J460</f>
        <v/>
      </c>
      <c r="U460" s="6">
        <f>YEAR(D460)</f>
        <v/>
      </c>
      <c r="V460" s="5">
        <f>TEXT(D460,"yyyy-mm")</f>
        <v/>
      </c>
    </row>
    <row r="461">
      <c r="A461" s="2" t="inlineStr">
        <is>
          <t>EJ010624.TXT</t>
        </is>
      </c>
      <c r="B461" s="3" t="inlineStr">
        <is>
          <t>001661</t>
        </is>
      </c>
      <c r="C461" s="3" t="inlineStr">
        <is>
          <t>001068</t>
        </is>
      </c>
      <c r="D461" s="4" t="n">
        <v>45418</v>
      </c>
      <c r="E461" s="2" t="inlineStr">
        <is>
          <t>13:11</t>
        </is>
      </c>
      <c r="F461" s="5" t="n">
        <v>730</v>
      </c>
      <c r="G461" s="5" t="n"/>
      <c r="H461" s="5" t="n"/>
      <c r="I461" s="5" t="n"/>
      <c r="J461" s="5" t="n">
        <v>146</v>
      </c>
      <c r="K461" s="5" t="n"/>
      <c r="L461" s="5" t="n"/>
      <c r="M461" s="5" t="n"/>
      <c r="N461" s="5" t="n"/>
      <c r="O461" s="5" t="n">
        <v>876</v>
      </c>
      <c r="P461" s="5" t="n">
        <v>876</v>
      </c>
      <c r="Q461" s="5" t="n"/>
      <c r="R461" s="5" t="n"/>
      <c r="S461" s="5">
        <f>SUM(F461:I461)+N461</f>
        <v/>
      </c>
      <c r="T461" s="5">
        <f>J461</f>
        <v/>
      </c>
      <c r="U461" s="6">
        <f>YEAR(D461)</f>
        <v/>
      </c>
      <c r="V461" s="5">
        <f>TEXT(D461,"yyyy-mm")</f>
        <v/>
      </c>
    </row>
    <row r="462">
      <c r="A462" s="2" t="inlineStr">
        <is>
          <t>EJ010624.TXT</t>
        </is>
      </c>
      <c r="B462" s="3" t="inlineStr">
        <is>
          <t>001662</t>
        </is>
      </c>
      <c r="C462" s="3" t="inlineStr">
        <is>
          <t>001069</t>
        </is>
      </c>
      <c r="D462" s="4" t="n">
        <v>45422</v>
      </c>
      <c r="E462" s="2" t="inlineStr">
        <is>
          <t>11:21</t>
        </is>
      </c>
      <c r="F462" s="5" t="n">
        <v>324.08</v>
      </c>
      <c r="G462" s="5" t="n"/>
      <c r="H462" s="5" t="n"/>
      <c r="I462" s="5" t="n"/>
      <c r="J462" s="5" t="n">
        <v>64.81999999999999</v>
      </c>
      <c r="K462" s="5" t="n"/>
      <c r="L462" s="5" t="n"/>
      <c r="M462" s="5" t="n"/>
      <c r="N462" s="5" t="n"/>
      <c r="O462" s="5" t="n">
        <v>388.9</v>
      </c>
      <c r="P462" s="5" t="n">
        <v>388.9</v>
      </c>
      <c r="Q462" s="5" t="n"/>
      <c r="R462" s="5" t="n"/>
      <c r="S462" s="5">
        <f>SUM(F462:I462)+N462</f>
        <v/>
      </c>
      <c r="T462" s="5">
        <f>J462</f>
        <v/>
      </c>
      <c r="U462" s="6">
        <f>YEAR(D462)</f>
        <v/>
      </c>
      <c r="V462" s="5">
        <f>TEXT(D462,"yyyy-mm")</f>
        <v/>
      </c>
    </row>
    <row r="463">
      <c r="A463" s="2" t="inlineStr">
        <is>
          <t>EJ010624.TXT</t>
        </is>
      </c>
      <c r="B463" s="3" t="inlineStr">
        <is>
          <t>001663</t>
        </is>
      </c>
      <c r="C463" s="3" t="inlineStr">
        <is>
          <t>001070</t>
        </is>
      </c>
      <c r="D463" s="4" t="n">
        <v>45422</v>
      </c>
      <c r="E463" s="2" t="inlineStr">
        <is>
          <t>13:12</t>
        </is>
      </c>
      <c r="F463" s="5" t="n">
        <v>1096.67</v>
      </c>
      <c r="G463" s="5" t="n"/>
      <c r="H463" s="5" t="n"/>
      <c r="I463" s="5" t="n"/>
      <c r="J463" s="5" t="n">
        <v>219.33</v>
      </c>
      <c r="K463" s="5" t="n"/>
      <c r="L463" s="5" t="n"/>
      <c r="M463" s="5" t="n"/>
      <c r="N463" s="5" t="n"/>
      <c r="O463" s="5" t="n">
        <v>1316</v>
      </c>
      <c r="P463" s="5" t="n">
        <v>1316</v>
      </c>
      <c r="Q463" s="5" t="n"/>
      <c r="R463" s="5" t="n"/>
      <c r="S463" s="5">
        <f>SUM(F463:I463)+N463</f>
        <v/>
      </c>
      <c r="T463" s="5">
        <f>J463</f>
        <v/>
      </c>
      <c r="U463" s="6">
        <f>YEAR(D463)</f>
        <v/>
      </c>
      <c r="V463" s="5">
        <f>TEXT(D463,"yyyy-mm")</f>
        <v/>
      </c>
    </row>
    <row r="464">
      <c r="A464" s="2" t="inlineStr">
        <is>
          <t>EJ010624.TXT</t>
        </is>
      </c>
      <c r="B464" s="3" t="inlineStr">
        <is>
          <t>001664</t>
        </is>
      </c>
      <c r="C464" s="3" t="inlineStr">
        <is>
          <t>001071</t>
        </is>
      </c>
      <c r="D464" s="4" t="n">
        <v>45423</v>
      </c>
      <c r="E464" s="2" t="inlineStr">
        <is>
          <t>16:07</t>
        </is>
      </c>
      <c r="F464" s="5" t="n">
        <v>274.17</v>
      </c>
      <c r="G464" s="5" t="n"/>
      <c r="H464" s="5" t="n"/>
      <c r="I464" s="5" t="n"/>
      <c r="J464" s="5" t="n">
        <v>54.83</v>
      </c>
      <c r="K464" s="5" t="n"/>
      <c r="L464" s="5" t="n"/>
      <c r="M464" s="5" t="n"/>
      <c r="N464" s="5" t="n"/>
      <c r="O464" s="5" t="n">
        <v>329</v>
      </c>
      <c r="P464" s="5" t="n">
        <v>329</v>
      </c>
      <c r="Q464" s="5" t="n"/>
      <c r="R464" s="5" t="n"/>
      <c r="S464" s="5">
        <f>SUM(F464:I464)+N464</f>
        <v/>
      </c>
      <c r="T464" s="5">
        <f>J464</f>
        <v/>
      </c>
      <c r="U464" s="6">
        <f>YEAR(D464)</f>
        <v/>
      </c>
      <c r="V464" s="5">
        <f>TEXT(D464,"yyyy-mm")</f>
        <v/>
      </c>
    </row>
    <row r="465">
      <c r="A465" s="2" t="inlineStr">
        <is>
          <t>EJ010624.TXT</t>
        </is>
      </c>
      <c r="B465" s="3" t="inlineStr">
        <is>
          <t>001665</t>
        </is>
      </c>
      <c r="C465" s="3" t="inlineStr">
        <is>
          <t>001072</t>
        </is>
      </c>
      <c r="D465" s="4" t="n">
        <v>45425</v>
      </c>
      <c r="E465" s="2" t="inlineStr">
        <is>
          <t>12:30</t>
        </is>
      </c>
      <c r="F465" s="5" t="n">
        <v>274.17</v>
      </c>
      <c r="G465" s="5" t="n"/>
      <c r="H465" s="5" t="n"/>
      <c r="I465" s="5" t="n"/>
      <c r="J465" s="5" t="n">
        <v>54.83</v>
      </c>
      <c r="K465" s="5" t="n"/>
      <c r="L465" s="5" t="n"/>
      <c r="M465" s="5" t="n"/>
      <c r="N465" s="5" t="n"/>
      <c r="O465" s="5" t="n">
        <v>329</v>
      </c>
      <c r="P465" s="5" t="n"/>
      <c r="Q465" s="5" t="n">
        <v>329</v>
      </c>
      <c r="R465" s="5" t="n"/>
      <c r="S465" s="5">
        <f>SUM(F465:I465)+N465</f>
        <v/>
      </c>
      <c r="T465" s="5">
        <f>J465</f>
        <v/>
      </c>
      <c r="U465" s="6">
        <f>YEAR(D465)</f>
        <v/>
      </c>
      <c r="V465" s="5">
        <f>TEXT(D465,"yyyy-mm")</f>
        <v/>
      </c>
    </row>
    <row r="466">
      <c r="A466" s="2" t="inlineStr">
        <is>
          <t>EJ010624.TXT</t>
        </is>
      </c>
      <c r="B466" s="3" t="inlineStr">
        <is>
          <t>001667</t>
        </is>
      </c>
      <c r="C466" s="3" t="inlineStr">
        <is>
          <t>001073</t>
        </is>
      </c>
      <c r="D466" s="4" t="n">
        <v>45426</v>
      </c>
      <c r="E466" s="2" t="inlineStr">
        <is>
          <t>12:48</t>
        </is>
      </c>
      <c r="F466" s="5" t="n">
        <v>274.17</v>
      </c>
      <c r="G466" s="5" t="n"/>
      <c r="H466" s="5" t="n"/>
      <c r="I466" s="5" t="n"/>
      <c r="J466" s="5" t="n">
        <v>54.83</v>
      </c>
      <c r="K466" s="5" t="n"/>
      <c r="L466" s="5" t="n"/>
      <c r="M466" s="5" t="n"/>
      <c r="N466" s="5" t="n"/>
      <c r="O466" s="5" t="n">
        <v>329</v>
      </c>
      <c r="P466" s="5" t="n">
        <v>329</v>
      </c>
      <c r="Q466" s="5" t="n"/>
      <c r="R466" s="5" t="n"/>
      <c r="S466" s="5">
        <f>SUM(F466:I466)+N466</f>
        <v/>
      </c>
      <c r="T466" s="5">
        <f>J466</f>
        <v/>
      </c>
      <c r="U466" s="6">
        <f>YEAR(D466)</f>
        <v/>
      </c>
      <c r="V466" s="5">
        <f>TEXT(D466,"yyyy-mm")</f>
        <v/>
      </c>
    </row>
    <row r="467">
      <c r="A467" s="2" t="inlineStr">
        <is>
          <t>EJ010624.TXT</t>
        </is>
      </c>
      <c r="B467" s="3" t="inlineStr">
        <is>
          <t>001668</t>
        </is>
      </c>
      <c r="C467" s="3" t="inlineStr">
        <is>
          <t>001074</t>
        </is>
      </c>
      <c r="D467" s="4" t="n">
        <v>45426</v>
      </c>
      <c r="E467" s="2" t="inlineStr">
        <is>
          <t>12:48</t>
        </is>
      </c>
      <c r="F467" s="5" t="n">
        <v>199.17</v>
      </c>
      <c r="G467" s="5" t="n"/>
      <c r="H467" s="5" t="n"/>
      <c r="I467" s="5" t="n"/>
      <c r="J467" s="5" t="n">
        <v>39.83</v>
      </c>
      <c r="K467" s="5" t="n"/>
      <c r="L467" s="5" t="n"/>
      <c r="M467" s="5" t="n"/>
      <c r="N467" s="5" t="n"/>
      <c r="O467" s="5" t="n">
        <v>239</v>
      </c>
      <c r="P467" s="5" t="n">
        <v>239</v>
      </c>
      <c r="Q467" s="5" t="n"/>
      <c r="R467" s="5" t="n"/>
      <c r="S467" s="5">
        <f>SUM(F467:I467)+N467</f>
        <v/>
      </c>
      <c r="T467" s="5">
        <f>J467</f>
        <v/>
      </c>
      <c r="U467" s="6">
        <f>YEAR(D467)</f>
        <v/>
      </c>
      <c r="V467" s="5">
        <f>TEXT(D467,"yyyy-mm")</f>
        <v/>
      </c>
    </row>
    <row r="468">
      <c r="A468" s="2" t="inlineStr">
        <is>
          <t>EJ010624.TXT</t>
        </is>
      </c>
      <c r="B468" s="3" t="inlineStr">
        <is>
          <t>001669</t>
        </is>
      </c>
      <c r="C468" s="3" t="inlineStr">
        <is>
          <t>001075</t>
        </is>
      </c>
      <c r="D468" s="4" t="n">
        <v>45427</v>
      </c>
      <c r="E468" s="2" t="inlineStr">
        <is>
          <t>12:20</t>
        </is>
      </c>
      <c r="F468" s="5" t="n">
        <v>548.33</v>
      </c>
      <c r="G468" s="5" t="n"/>
      <c r="H468" s="5" t="n"/>
      <c r="I468" s="5" t="n"/>
      <c r="J468" s="5" t="n">
        <v>109.67</v>
      </c>
      <c r="K468" s="5" t="n"/>
      <c r="L468" s="5" t="n"/>
      <c r="M468" s="5" t="n"/>
      <c r="N468" s="5" t="n"/>
      <c r="O468" s="5" t="n">
        <v>658</v>
      </c>
      <c r="P468" s="5" t="n">
        <v>658</v>
      </c>
      <c r="Q468" s="5" t="n"/>
      <c r="R468" s="5" t="n"/>
      <c r="S468" s="5">
        <f>SUM(F468:I468)+N468</f>
        <v/>
      </c>
      <c r="T468" s="5">
        <f>J468</f>
        <v/>
      </c>
      <c r="U468" s="6">
        <f>YEAR(D468)</f>
        <v/>
      </c>
      <c r="V468" s="5">
        <f>TEXT(D468,"yyyy-mm")</f>
        <v/>
      </c>
    </row>
    <row r="469">
      <c r="A469" s="2" t="inlineStr">
        <is>
          <t>EJ010624.TXT</t>
        </is>
      </c>
      <c r="B469" s="3" t="inlineStr">
        <is>
          <t>001670</t>
        </is>
      </c>
      <c r="C469" s="3" t="inlineStr">
        <is>
          <t>001076</t>
        </is>
      </c>
      <c r="D469" s="4" t="n">
        <v>45427</v>
      </c>
      <c r="E469" s="2" t="inlineStr">
        <is>
          <t>15:00</t>
        </is>
      </c>
      <c r="F469" s="5" t="n">
        <v>548.33</v>
      </c>
      <c r="G469" s="5" t="n"/>
      <c r="H469" s="5" t="n"/>
      <c r="I469" s="5" t="n"/>
      <c r="J469" s="5" t="n">
        <v>109.67</v>
      </c>
      <c r="K469" s="5" t="n"/>
      <c r="L469" s="5" t="n"/>
      <c r="M469" s="5" t="n"/>
      <c r="N469" s="5" t="n"/>
      <c r="O469" s="5" t="n">
        <v>658</v>
      </c>
      <c r="P469" s="5" t="n"/>
      <c r="Q469" s="5" t="n">
        <v>658</v>
      </c>
      <c r="R469" s="5" t="n"/>
      <c r="S469" s="5">
        <f>SUM(F469:I469)+N469</f>
        <v/>
      </c>
      <c r="T469" s="5">
        <f>J469</f>
        <v/>
      </c>
      <c r="U469" s="6">
        <f>YEAR(D469)</f>
        <v/>
      </c>
      <c r="V469" s="5">
        <f>TEXT(D469,"yyyy-mm")</f>
        <v/>
      </c>
    </row>
    <row r="470">
      <c r="A470" s="2" t="inlineStr">
        <is>
          <t>EJ010624.TXT</t>
        </is>
      </c>
      <c r="B470" s="3" t="inlineStr">
        <is>
          <t>001671</t>
        </is>
      </c>
      <c r="C470" s="3" t="inlineStr">
        <is>
          <t>001077</t>
        </is>
      </c>
      <c r="D470" s="4" t="n">
        <v>45427</v>
      </c>
      <c r="E470" s="2" t="inlineStr">
        <is>
          <t>16:06</t>
        </is>
      </c>
      <c r="F470" s="5" t="n">
        <v>83.17</v>
      </c>
      <c r="G470" s="5" t="n"/>
      <c r="H470" s="5" t="n"/>
      <c r="I470" s="5" t="n"/>
      <c r="J470" s="5" t="n">
        <v>16.63</v>
      </c>
      <c r="K470" s="5" t="n"/>
      <c r="L470" s="5" t="n"/>
      <c r="M470" s="5" t="n"/>
      <c r="N470" s="5" t="n"/>
      <c r="O470" s="5" t="n">
        <v>99.8</v>
      </c>
      <c r="P470" s="5" t="n">
        <v>99.8</v>
      </c>
      <c r="Q470" s="5" t="n"/>
      <c r="R470" s="5" t="n"/>
      <c r="S470" s="5">
        <f>SUM(F470:I470)+N470</f>
        <v/>
      </c>
      <c r="T470" s="5">
        <f>J470</f>
        <v/>
      </c>
      <c r="U470" s="6">
        <f>YEAR(D470)</f>
        <v/>
      </c>
      <c r="V470" s="5">
        <f>TEXT(D470,"yyyy-mm")</f>
        <v/>
      </c>
    </row>
    <row r="471">
      <c r="A471" s="2" t="inlineStr">
        <is>
          <t>EJ010624.TXT</t>
        </is>
      </c>
      <c r="B471" s="3" t="inlineStr">
        <is>
          <t>001673</t>
        </is>
      </c>
      <c r="C471" s="3" t="inlineStr">
        <is>
          <t>001078</t>
        </is>
      </c>
      <c r="D471" s="4" t="n">
        <v>45434</v>
      </c>
      <c r="E471" s="2" t="inlineStr">
        <is>
          <t>15:48</t>
        </is>
      </c>
      <c r="F471" s="5" t="n">
        <v>1096.67</v>
      </c>
      <c r="G471" s="5" t="n"/>
      <c r="H471" s="5" t="n"/>
      <c r="I471" s="5" t="n"/>
      <c r="J471" s="5" t="n">
        <v>219.33</v>
      </c>
      <c r="K471" s="5" t="n"/>
      <c r="L471" s="5" t="n"/>
      <c r="M471" s="5" t="n"/>
      <c r="N471" s="5" t="n"/>
      <c r="O471" s="5" t="n">
        <v>1316</v>
      </c>
      <c r="P471" s="5" t="n"/>
      <c r="Q471" s="5" t="n">
        <v>1316</v>
      </c>
      <c r="R471" s="5" t="n"/>
      <c r="S471" s="5">
        <f>SUM(F471:I471)+N471</f>
        <v/>
      </c>
      <c r="T471" s="5">
        <f>J471</f>
        <v/>
      </c>
      <c r="U471" s="6">
        <f>YEAR(D471)</f>
        <v/>
      </c>
      <c r="V471" s="5">
        <f>TEXT(D471,"yyyy-mm")</f>
        <v/>
      </c>
    </row>
    <row r="472">
      <c r="A472" s="2" t="inlineStr">
        <is>
          <t>EJ010624.TXT</t>
        </is>
      </c>
      <c r="B472" s="3" t="inlineStr">
        <is>
          <t>001674</t>
        </is>
      </c>
      <c r="C472" s="3" t="inlineStr">
        <is>
          <t>001079</t>
        </is>
      </c>
      <c r="D472" s="4" t="n">
        <v>45435</v>
      </c>
      <c r="E472" s="2" t="inlineStr">
        <is>
          <t>12:51</t>
        </is>
      </c>
      <c r="F472" s="5" t="n">
        <v>1644.5</v>
      </c>
      <c r="G472" s="5" t="n"/>
      <c r="H472" s="5" t="n"/>
      <c r="I472" s="5" t="n"/>
      <c r="J472" s="5" t="n">
        <v>328.9</v>
      </c>
      <c r="K472" s="5" t="n"/>
      <c r="L472" s="5" t="n"/>
      <c r="M472" s="5" t="n"/>
      <c r="N472" s="5" t="n"/>
      <c r="O472" s="5" t="n">
        <v>1973.4</v>
      </c>
      <c r="P472" s="5" t="n">
        <v>1973.4</v>
      </c>
      <c r="Q472" s="5" t="n"/>
      <c r="R472" s="5" t="n"/>
      <c r="S472" s="5">
        <f>SUM(F472:I472)+N472</f>
        <v/>
      </c>
      <c r="T472" s="5">
        <f>J472</f>
        <v/>
      </c>
      <c r="U472" s="6">
        <f>YEAR(D472)</f>
        <v/>
      </c>
      <c r="V472" s="5">
        <f>TEXT(D472,"yyyy-mm")</f>
        <v/>
      </c>
    </row>
    <row r="473">
      <c r="A473" s="2" t="inlineStr">
        <is>
          <t>EJ010624.TXT</t>
        </is>
      </c>
      <c r="B473" s="3" t="inlineStr">
        <is>
          <t>001675</t>
        </is>
      </c>
      <c r="C473" s="3" t="inlineStr">
        <is>
          <t>001080</t>
        </is>
      </c>
      <c r="D473" s="4" t="n">
        <v>45435</v>
      </c>
      <c r="E473" s="2" t="inlineStr">
        <is>
          <t>14:25</t>
        </is>
      </c>
      <c r="F473" s="5" t="n">
        <v>548.33</v>
      </c>
      <c r="G473" s="5" t="n"/>
      <c r="H473" s="5" t="n"/>
      <c r="I473" s="5" t="n"/>
      <c r="J473" s="5" t="n">
        <v>109.67</v>
      </c>
      <c r="K473" s="5" t="n"/>
      <c r="L473" s="5" t="n"/>
      <c r="M473" s="5" t="n"/>
      <c r="N473" s="5" t="n"/>
      <c r="O473" s="5" t="n">
        <v>658</v>
      </c>
      <c r="P473" s="5" t="n"/>
      <c r="Q473" s="5" t="n">
        <v>658</v>
      </c>
      <c r="R473" s="5" t="n"/>
      <c r="S473" s="5">
        <f>SUM(F473:I473)+N473</f>
        <v/>
      </c>
      <c r="T473" s="5">
        <f>J473</f>
        <v/>
      </c>
      <c r="U473" s="6">
        <f>YEAR(D473)</f>
        <v/>
      </c>
      <c r="V473" s="5">
        <f>TEXT(D473,"yyyy-mm")</f>
        <v/>
      </c>
    </row>
    <row r="474">
      <c r="A474" s="2" t="inlineStr">
        <is>
          <t>EJ010624.TXT</t>
        </is>
      </c>
      <c r="B474" s="3" t="inlineStr">
        <is>
          <t>001676</t>
        </is>
      </c>
      <c r="C474" s="3" t="inlineStr">
        <is>
          <t>001081</t>
        </is>
      </c>
      <c r="D474" s="4" t="n">
        <v>45435</v>
      </c>
      <c r="E474" s="2" t="inlineStr">
        <is>
          <t>14:37</t>
        </is>
      </c>
      <c r="F474" s="5" t="n">
        <v>822.5</v>
      </c>
      <c r="G474" s="5" t="n"/>
      <c r="H474" s="5" t="n"/>
      <c r="I474" s="5" t="n"/>
      <c r="J474" s="5" t="n">
        <v>164.5</v>
      </c>
      <c r="K474" s="5" t="n"/>
      <c r="L474" s="5" t="n"/>
      <c r="M474" s="5" t="n"/>
      <c r="N474" s="5" t="n"/>
      <c r="O474" s="5" t="n">
        <v>987</v>
      </c>
      <c r="P474" s="5" t="n">
        <v>987</v>
      </c>
      <c r="Q474" s="5" t="n"/>
      <c r="R474" s="5" t="n"/>
      <c r="S474" s="5">
        <f>SUM(F474:I474)+N474</f>
        <v/>
      </c>
      <c r="T474" s="5">
        <f>J474</f>
        <v/>
      </c>
      <c r="U474" s="6">
        <f>YEAR(D474)</f>
        <v/>
      </c>
      <c r="V474" s="5">
        <f>TEXT(D474,"yyyy-mm")</f>
        <v/>
      </c>
    </row>
    <row r="475">
      <c r="A475" s="2" t="inlineStr">
        <is>
          <t>EJ010624.TXT</t>
        </is>
      </c>
      <c r="B475" s="3" t="inlineStr">
        <is>
          <t>001677</t>
        </is>
      </c>
      <c r="C475" s="3" t="inlineStr">
        <is>
          <t>001082</t>
        </is>
      </c>
      <c r="D475" s="4" t="n">
        <v>45435</v>
      </c>
      <c r="E475" s="2" t="inlineStr">
        <is>
          <t>16:28</t>
        </is>
      </c>
      <c r="F475" s="5" t="n">
        <v>548.33</v>
      </c>
      <c r="G475" s="5" t="n"/>
      <c r="H475" s="5" t="n"/>
      <c r="I475" s="5" t="n"/>
      <c r="J475" s="5" t="n">
        <v>109.67</v>
      </c>
      <c r="K475" s="5" t="n"/>
      <c r="L475" s="5" t="n"/>
      <c r="M475" s="5" t="n"/>
      <c r="N475" s="5" t="n"/>
      <c r="O475" s="5" t="n">
        <v>658</v>
      </c>
      <c r="P475" s="5" t="n">
        <v>658</v>
      </c>
      <c r="Q475" s="5" t="n"/>
      <c r="R475" s="5" t="n"/>
      <c r="S475" s="5">
        <f>SUM(F475:I475)+N475</f>
        <v/>
      </c>
      <c r="T475" s="5">
        <f>J475</f>
        <v/>
      </c>
      <c r="U475" s="6">
        <f>YEAR(D475)</f>
        <v/>
      </c>
      <c r="V475" s="5">
        <f>TEXT(D475,"yyyy-mm")</f>
        <v/>
      </c>
    </row>
    <row r="476">
      <c r="A476" s="2" t="inlineStr">
        <is>
          <t>EJ010624.TXT</t>
        </is>
      </c>
      <c r="B476" s="3" t="inlineStr">
        <is>
          <t>001678</t>
        </is>
      </c>
      <c r="C476" s="3" t="inlineStr">
        <is>
          <t>001083</t>
        </is>
      </c>
      <c r="D476" s="4" t="n">
        <v>45437</v>
      </c>
      <c r="E476" s="2" t="inlineStr">
        <is>
          <t>14:37</t>
        </is>
      </c>
      <c r="F476" s="5" t="n">
        <v>45.75</v>
      </c>
      <c r="G476" s="5" t="n"/>
      <c r="H476" s="5" t="n"/>
      <c r="I476" s="5" t="n"/>
      <c r="J476" s="5" t="n">
        <v>9.15</v>
      </c>
      <c r="K476" s="5" t="n"/>
      <c r="L476" s="5" t="n"/>
      <c r="M476" s="5" t="n"/>
      <c r="N476" s="5" t="n"/>
      <c r="O476" s="5" t="n">
        <v>54.9</v>
      </c>
      <c r="P476" s="5" t="n">
        <v>54.9</v>
      </c>
      <c r="Q476" s="5" t="n"/>
      <c r="R476" s="5" t="n"/>
      <c r="S476" s="5">
        <f>SUM(F476:I476)+N476</f>
        <v/>
      </c>
      <c r="T476" s="5">
        <f>J476</f>
        <v/>
      </c>
      <c r="U476" s="6">
        <f>YEAR(D476)</f>
        <v/>
      </c>
      <c r="V476" s="5">
        <f>TEXT(D476,"yyyy-mm")</f>
        <v/>
      </c>
    </row>
    <row r="477">
      <c r="A477" s="2" t="inlineStr">
        <is>
          <t>EJ010624.TXT</t>
        </is>
      </c>
      <c r="B477" s="3" t="inlineStr">
        <is>
          <t>001679</t>
        </is>
      </c>
      <c r="C477" s="3" t="inlineStr">
        <is>
          <t>001084</t>
        </is>
      </c>
      <c r="D477" s="4" t="n">
        <v>45439</v>
      </c>
      <c r="E477" s="2" t="inlineStr">
        <is>
          <t>16:38</t>
        </is>
      </c>
      <c r="F477" s="5" t="n">
        <v>548.33</v>
      </c>
      <c r="G477" s="5" t="n"/>
      <c r="H477" s="5" t="n"/>
      <c r="I477" s="5" t="n"/>
      <c r="J477" s="5" t="n">
        <v>109.67</v>
      </c>
      <c r="K477" s="5" t="n"/>
      <c r="L477" s="5" t="n"/>
      <c r="M477" s="5" t="n"/>
      <c r="N477" s="5" t="n"/>
      <c r="O477" s="5" t="n">
        <v>658</v>
      </c>
      <c r="P477" s="5" t="n">
        <v>658</v>
      </c>
      <c r="Q477" s="5" t="n"/>
      <c r="R477" s="5" t="n"/>
      <c r="S477" s="5">
        <f>SUM(F477:I477)+N477</f>
        <v/>
      </c>
      <c r="T477" s="5">
        <f>J477</f>
        <v/>
      </c>
      <c r="U477" s="6">
        <f>YEAR(D477)</f>
        <v/>
      </c>
      <c r="V477" s="5">
        <f>TEXT(D477,"yyyy-mm")</f>
        <v/>
      </c>
    </row>
    <row r="478">
      <c r="A478" s="2" t="inlineStr">
        <is>
          <t>EJ010624.TXT</t>
        </is>
      </c>
      <c r="B478" s="3" t="inlineStr">
        <is>
          <t>001681</t>
        </is>
      </c>
      <c r="C478" s="3" t="inlineStr">
        <is>
          <t>001085</t>
        </is>
      </c>
      <c r="D478" s="4" t="n">
        <v>45440</v>
      </c>
      <c r="E478" s="2" t="inlineStr">
        <is>
          <t>14:43</t>
        </is>
      </c>
      <c r="F478" s="5" t="n">
        <v>274.17</v>
      </c>
      <c r="G478" s="5" t="n"/>
      <c r="H478" s="5" t="n"/>
      <c r="I478" s="5" t="n"/>
      <c r="J478" s="5" t="n">
        <v>54.83</v>
      </c>
      <c r="K478" s="5" t="n"/>
      <c r="L478" s="5" t="n"/>
      <c r="M478" s="5" t="n"/>
      <c r="N478" s="5" t="n"/>
      <c r="O478" s="5" t="n">
        <v>329</v>
      </c>
      <c r="P478" s="5" t="n"/>
      <c r="Q478" s="5" t="n">
        <v>329</v>
      </c>
      <c r="R478" s="5" t="n"/>
      <c r="S478" s="5">
        <f>SUM(F478:I478)+N478</f>
        <v/>
      </c>
      <c r="T478" s="5">
        <f>J478</f>
        <v/>
      </c>
      <c r="U478" s="6">
        <f>YEAR(D478)</f>
        <v/>
      </c>
      <c r="V478" s="5">
        <f>TEXT(D478,"yyyy-mm")</f>
        <v/>
      </c>
    </row>
    <row r="479">
      <c r="A479" s="2" t="inlineStr">
        <is>
          <t>EJ010624.TXT</t>
        </is>
      </c>
      <c r="B479" s="3" t="inlineStr">
        <is>
          <t>001683</t>
        </is>
      </c>
      <c r="C479" s="3" t="inlineStr">
        <is>
          <t>001086</t>
        </is>
      </c>
      <c r="D479" s="4" t="n">
        <v>45441</v>
      </c>
      <c r="E479" s="2" t="inlineStr">
        <is>
          <t>09:27</t>
        </is>
      </c>
      <c r="F479" s="5" t="n">
        <v>548.33</v>
      </c>
      <c r="G479" s="5" t="n"/>
      <c r="H479" s="5" t="n"/>
      <c r="I479" s="5" t="n"/>
      <c r="J479" s="5" t="n">
        <v>109.67</v>
      </c>
      <c r="K479" s="5" t="n"/>
      <c r="L479" s="5" t="n"/>
      <c r="M479" s="5" t="n"/>
      <c r="N479" s="5" t="n"/>
      <c r="O479" s="5" t="n">
        <v>658</v>
      </c>
      <c r="P479" s="5" t="n">
        <v>658</v>
      </c>
      <c r="Q479" s="5" t="n"/>
      <c r="R479" s="5" t="n"/>
      <c r="S479" s="5">
        <f>SUM(F479:I479)+N479</f>
        <v/>
      </c>
      <c r="T479" s="5">
        <f>J479</f>
        <v/>
      </c>
      <c r="U479" s="6">
        <f>YEAR(D479)</f>
        <v/>
      </c>
      <c r="V479" s="5">
        <f>TEXT(D479,"yyyy-mm")</f>
        <v/>
      </c>
    </row>
    <row r="480">
      <c r="A480" s="2" t="inlineStr">
        <is>
          <t>EJ010624.TXT</t>
        </is>
      </c>
      <c r="B480" s="3" t="inlineStr">
        <is>
          <t>001684</t>
        </is>
      </c>
      <c r="C480" s="3" t="inlineStr">
        <is>
          <t>001087</t>
        </is>
      </c>
      <c r="D480" s="4" t="n">
        <v>45441</v>
      </c>
      <c r="E480" s="2" t="inlineStr">
        <is>
          <t>13:59</t>
        </is>
      </c>
      <c r="F480" s="5" t="n">
        <v>548.33</v>
      </c>
      <c r="G480" s="5" t="n"/>
      <c r="H480" s="5" t="n"/>
      <c r="I480" s="5" t="n"/>
      <c r="J480" s="5" t="n">
        <v>109.67</v>
      </c>
      <c r="K480" s="5" t="n"/>
      <c r="L480" s="5" t="n"/>
      <c r="M480" s="5" t="n"/>
      <c r="N480" s="5" t="n"/>
      <c r="O480" s="5" t="n">
        <v>658</v>
      </c>
      <c r="P480" s="5" t="n">
        <v>658</v>
      </c>
      <c r="Q480" s="5" t="n"/>
      <c r="R480" s="5" t="n"/>
      <c r="S480" s="5">
        <f>SUM(F480:I480)+N480</f>
        <v/>
      </c>
      <c r="T480" s="5">
        <f>J480</f>
        <v/>
      </c>
      <c r="U480" s="6">
        <f>YEAR(D480)</f>
        <v/>
      </c>
      <c r="V480" s="5">
        <f>TEXT(D480,"yyyy-mm")</f>
        <v/>
      </c>
    </row>
    <row r="481">
      <c r="A481" s="2" t="inlineStr">
        <is>
          <t>EJ010624.TXT</t>
        </is>
      </c>
      <c r="B481" s="3" t="inlineStr">
        <is>
          <t>001685</t>
        </is>
      </c>
      <c r="C481" s="3" t="inlineStr">
        <is>
          <t>001088</t>
        </is>
      </c>
      <c r="D481" s="4" t="n">
        <v>45441</v>
      </c>
      <c r="E481" s="2" t="inlineStr">
        <is>
          <t>14:10</t>
        </is>
      </c>
      <c r="F481" s="5" t="n">
        <v>274.17</v>
      </c>
      <c r="G481" s="5" t="n"/>
      <c r="H481" s="5" t="n"/>
      <c r="I481" s="5" t="n"/>
      <c r="J481" s="5" t="n">
        <v>54.83</v>
      </c>
      <c r="K481" s="5" t="n"/>
      <c r="L481" s="5" t="n"/>
      <c r="M481" s="5" t="n"/>
      <c r="N481" s="5" t="n"/>
      <c r="O481" s="5" t="n">
        <v>329</v>
      </c>
      <c r="P481" s="5" t="n"/>
      <c r="Q481" s="5" t="n">
        <v>329</v>
      </c>
      <c r="R481" s="5" t="n"/>
      <c r="S481" s="5">
        <f>SUM(F481:I481)+N481</f>
        <v/>
      </c>
      <c r="T481" s="5">
        <f>J481</f>
        <v/>
      </c>
      <c r="U481" s="6">
        <f>YEAR(D481)</f>
        <v/>
      </c>
      <c r="V481" s="5">
        <f>TEXT(D481,"yyyy-mm")</f>
        <v/>
      </c>
    </row>
    <row r="482">
      <c r="A482" s="2" t="inlineStr">
        <is>
          <t>EJ010624.TXT</t>
        </is>
      </c>
      <c r="B482" s="3" t="inlineStr">
        <is>
          <t>001686</t>
        </is>
      </c>
      <c r="C482" s="3" t="inlineStr">
        <is>
          <t>001089</t>
        </is>
      </c>
      <c r="D482" s="4" t="n">
        <v>45444</v>
      </c>
      <c r="E482" s="2" t="inlineStr">
        <is>
          <t>13:35</t>
        </is>
      </c>
      <c r="F482" s="5" t="n">
        <v>1733.33</v>
      </c>
      <c r="G482" s="5" t="n"/>
      <c r="H482" s="5" t="n"/>
      <c r="I482" s="5" t="n"/>
      <c r="J482" s="5" t="n">
        <v>346.67</v>
      </c>
      <c r="K482" s="5" t="n"/>
      <c r="L482" s="5" t="n"/>
      <c r="M482" s="5" t="n"/>
      <c r="N482" s="5" t="n"/>
      <c r="O482" s="5" t="n">
        <v>2080</v>
      </c>
      <c r="P482" s="5" t="n">
        <v>2080</v>
      </c>
      <c r="Q482" s="5" t="n"/>
      <c r="R482" s="5" t="n"/>
      <c r="S482" s="5">
        <f>SUM(F482:I482)+N482</f>
        <v/>
      </c>
      <c r="T482" s="5">
        <f>J482</f>
        <v/>
      </c>
      <c r="U482" s="6">
        <f>YEAR(D482)</f>
        <v/>
      </c>
      <c r="V482" s="5">
        <f>TEXT(D482,"yyyy-mm")</f>
        <v/>
      </c>
    </row>
    <row r="483">
      <c r="A483" s="2" t="inlineStr">
        <is>
          <t>EJ010724.TXT</t>
        </is>
      </c>
      <c r="B483" s="3" t="inlineStr">
        <is>
          <t>001690</t>
        </is>
      </c>
      <c r="C483" s="3" t="inlineStr">
        <is>
          <t>001090</t>
        </is>
      </c>
      <c r="D483" s="4" t="n">
        <v>45444</v>
      </c>
      <c r="E483" s="2" t="inlineStr">
        <is>
          <t>15:02</t>
        </is>
      </c>
      <c r="F483" s="5" t="n">
        <v>66.5</v>
      </c>
      <c r="G483" s="5" t="n"/>
      <c r="H483" s="5" t="n"/>
      <c r="I483" s="5" t="n"/>
      <c r="J483" s="5" t="n">
        <v>13.3</v>
      </c>
      <c r="K483" s="5" t="n"/>
      <c r="L483" s="5" t="n"/>
      <c r="M483" s="5" t="n"/>
      <c r="N483" s="5" t="n"/>
      <c r="O483" s="5" t="n">
        <v>79.8</v>
      </c>
      <c r="P483" s="5" t="n"/>
      <c r="Q483" s="5" t="n">
        <v>79.8</v>
      </c>
      <c r="R483" s="5" t="n"/>
      <c r="S483" s="5">
        <f>SUM(F483:I483)+N483</f>
        <v/>
      </c>
      <c r="T483" s="5">
        <f>J483</f>
        <v/>
      </c>
      <c r="U483" s="6">
        <f>YEAR(D483)</f>
        <v/>
      </c>
      <c r="V483" s="5">
        <f>TEXT(D483,"yyyy-mm")</f>
        <v/>
      </c>
    </row>
    <row r="484">
      <c r="A484" s="2" t="inlineStr">
        <is>
          <t>EJ010724.TXT</t>
        </is>
      </c>
      <c r="B484" s="3" t="inlineStr">
        <is>
          <t>001691</t>
        </is>
      </c>
      <c r="C484" s="3" t="inlineStr">
        <is>
          <t>001091</t>
        </is>
      </c>
      <c r="D484" s="4" t="n">
        <v>45444</v>
      </c>
      <c r="E484" s="2" t="inlineStr">
        <is>
          <t>16:23</t>
        </is>
      </c>
      <c r="F484" s="5" t="n">
        <v>73.33</v>
      </c>
      <c r="G484" s="5" t="n"/>
      <c r="H484" s="5" t="n"/>
      <c r="I484" s="5" t="n"/>
      <c r="J484" s="5" t="n">
        <v>14.67</v>
      </c>
      <c r="K484" s="5" t="n"/>
      <c r="L484" s="5" t="n"/>
      <c r="M484" s="5" t="n"/>
      <c r="N484" s="5" t="n"/>
      <c r="O484" s="5" t="n">
        <v>88</v>
      </c>
      <c r="P484" s="5" t="n">
        <v>88</v>
      </c>
      <c r="Q484" s="5" t="n"/>
      <c r="R484" s="5" t="n"/>
      <c r="S484" s="5">
        <f>SUM(F484:I484)+N484</f>
        <v/>
      </c>
      <c r="T484" s="5">
        <f>J484</f>
        <v/>
      </c>
      <c r="U484" s="6">
        <f>YEAR(D484)</f>
        <v/>
      </c>
      <c r="V484" s="5">
        <f>TEXT(D484,"yyyy-mm")</f>
        <v/>
      </c>
    </row>
    <row r="485">
      <c r="A485" s="2" t="inlineStr">
        <is>
          <t>EJ010724.TXT</t>
        </is>
      </c>
      <c r="B485" s="3" t="inlineStr">
        <is>
          <t>001692</t>
        </is>
      </c>
      <c r="C485" s="3" t="inlineStr">
        <is>
          <t>001092</t>
        </is>
      </c>
      <c r="D485" s="4" t="n">
        <v>45444</v>
      </c>
      <c r="E485" s="2" t="inlineStr">
        <is>
          <t>16:27</t>
        </is>
      </c>
      <c r="F485" s="5" t="n">
        <v>41.58</v>
      </c>
      <c r="G485" s="5" t="n"/>
      <c r="H485" s="5" t="n"/>
      <c r="I485" s="5" t="n"/>
      <c r="J485" s="5" t="n">
        <v>8.32</v>
      </c>
      <c r="K485" s="5" t="n"/>
      <c r="L485" s="5" t="n"/>
      <c r="M485" s="5" t="n"/>
      <c r="N485" s="5" t="n"/>
      <c r="O485" s="5" t="n">
        <v>49.9</v>
      </c>
      <c r="P485" s="5" t="n">
        <v>49.9</v>
      </c>
      <c r="Q485" s="5" t="n"/>
      <c r="R485" s="5" t="n"/>
      <c r="S485" s="5">
        <f>SUM(F485:I485)+N485</f>
        <v/>
      </c>
      <c r="T485" s="5">
        <f>J485</f>
        <v/>
      </c>
      <c r="U485" s="6">
        <f>YEAR(D485)</f>
        <v/>
      </c>
      <c r="V485" s="5">
        <f>TEXT(D485,"yyyy-mm")</f>
        <v/>
      </c>
    </row>
    <row r="486">
      <c r="A486" s="2" t="inlineStr">
        <is>
          <t>EJ010724.TXT</t>
        </is>
      </c>
      <c r="B486" s="3" t="inlineStr">
        <is>
          <t>001696</t>
        </is>
      </c>
      <c r="C486" s="3" t="inlineStr">
        <is>
          <t>001093</t>
        </is>
      </c>
      <c r="D486" s="4" t="n">
        <v>45446</v>
      </c>
      <c r="E486" s="2" t="inlineStr">
        <is>
          <t>10:10</t>
        </is>
      </c>
      <c r="F486" s="5" t="n">
        <v>274.17</v>
      </c>
      <c r="G486" s="5" t="n"/>
      <c r="H486" s="5" t="n"/>
      <c r="I486" s="5" t="n"/>
      <c r="J486" s="5" t="n">
        <v>54.83</v>
      </c>
      <c r="K486" s="5" t="n"/>
      <c r="L486" s="5" t="n"/>
      <c r="M486" s="5" t="n"/>
      <c r="N486" s="5" t="n"/>
      <c r="O486" s="5" t="n">
        <v>329</v>
      </c>
      <c r="P486" s="5" t="n">
        <v>329</v>
      </c>
      <c r="Q486" s="5" t="n"/>
      <c r="R486" s="5" t="n"/>
      <c r="S486" s="5">
        <f>SUM(F486:I486)+N486</f>
        <v/>
      </c>
      <c r="T486" s="5">
        <f>J486</f>
        <v/>
      </c>
      <c r="U486" s="6">
        <f>YEAR(D486)</f>
        <v/>
      </c>
      <c r="V486" s="5">
        <f>TEXT(D486,"yyyy-mm")</f>
        <v/>
      </c>
    </row>
    <row r="487">
      <c r="A487" s="2" t="inlineStr">
        <is>
          <t>EJ010724.TXT</t>
        </is>
      </c>
      <c r="B487" s="3" t="inlineStr">
        <is>
          <t>001701</t>
        </is>
      </c>
      <c r="C487" s="3" t="inlineStr">
        <is>
          <t>001094</t>
        </is>
      </c>
      <c r="D487" s="4" t="n">
        <v>45446</v>
      </c>
      <c r="E487" s="2" t="inlineStr">
        <is>
          <t>14:20</t>
        </is>
      </c>
      <c r="F487" s="5" t="n">
        <v>548.33</v>
      </c>
      <c r="G487" s="5" t="n"/>
      <c r="H487" s="5" t="n"/>
      <c r="I487" s="5" t="n"/>
      <c r="J487" s="5" t="n">
        <v>109.67</v>
      </c>
      <c r="K487" s="5" t="n"/>
      <c r="L487" s="5" t="n"/>
      <c r="M487" s="5" t="n"/>
      <c r="N487" s="5" t="n"/>
      <c r="O487" s="5" t="n">
        <v>658</v>
      </c>
      <c r="P487" s="5" t="n">
        <v>658</v>
      </c>
      <c r="Q487" s="5" t="n"/>
      <c r="R487" s="5" t="n"/>
      <c r="S487" s="5">
        <f>SUM(F487:I487)+N487</f>
        <v/>
      </c>
      <c r="T487" s="5">
        <f>J487</f>
        <v/>
      </c>
      <c r="U487" s="6">
        <f>YEAR(D487)</f>
        <v/>
      </c>
      <c r="V487" s="5">
        <f>TEXT(D487,"yyyy-mm")</f>
        <v/>
      </c>
    </row>
    <row r="488">
      <c r="A488" s="2" t="inlineStr">
        <is>
          <t>EJ010724.TXT</t>
        </is>
      </c>
      <c r="B488" s="3" t="inlineStr">
        <is>
          <t>001706</t>
        </is>
      </c>
      <c r="C488" s="3" t="inlineStr">
        <is>
          <t>001095</t>
        </is>
      </c>
      <c r="D488" s="4" t="n">
        <v>45449</v>
      </c>
      <c r="E488" s="2" t="inlineStr">
        <is>
          <t>14:23</t>
        </is>
      </c>
      <c r="F488" s="5" t="n">
        <v>274.17</v>
      </c>
      <c r="G488" s="5" t="n"/>
      <c r="H488" s="5" t="n"/>
      <c r="I488" s="5" t="n"/>
      <c r="J488" s="5" t="n">
        <v>54.83</v>
      </c>
      <c r="K488" s="5" t="n"/>
      <c r="L488" s="5" t="n"/>
      <c r="M488" s="5" t="n"/>
      <c r="N488" s="5" t="n"/>
      <c r="O488" s="5" t="n">
        <v>329</v>
      </c>
      <c r="P488" s="5" t="n">
        <v>329</v>
      </c>
      <c r="Q488" s="5" t="n"/>
      <c r="R488" s="5" t="n"/>
      <c r="S488" s="5">
        <f>SUM(F488:I488)+N488</f>
        <v/>
      </c>
      <c r="T488" s="5">
        <f>J488</f>
        <v/>
      </c>
      <c r="U488" s="6">
        <f>YEAR(D488)</f>
        <v/>
      </c>
      <c r="V488" s="5">
        <f>TEXT(D488,"yyyy-mm")</f>
        <v/>
      </c>
    </row>
    <row r="489">
      <c r="A489" s="2" t="inlineStr">
        <is>
          <t>EJ010724.TXT</t>
        </is>
      </c>
      <c r="B489" s="3" t="inlineStr">
        <is>
          <t>001707</t>
        </is>
      </c>
      <c r="C489" s="3" t="inlineStr">
        <is>
          <t>001096</t>
        </is>
      </c>
      <c r="D489" s="4" t="n">
        <v>45456</v>
      </c>
      <c r="E489" s="2" t="inlineStr">
        <is>
          <t>14:18</t>
        </is>
      </c>
      <c r="F489" s="5" t="n">
        <v>274.17</v>
      </c>
      <c r="G489" s="5" t="n"/>
      <c r="H489" s="5" t="n"/>
      <c r="I489" s="5" t="n"/>
      <c r="J489" s="5" t="n">
        <v>54.83</v>
      </c>
      <c r="K489" s="5" t="n"/>
      <c r="L489" s="5" t="n"/>
      <c r="M489" s="5" t="n"/>
      <c r="N489" s="5" t="n"/>
      <c r="O489" s="5" t="n">
        <v>329</v>
      </c>
      <c r="P489" s="5" t="n">
        <v>329</v>
      </c>
      <c r="Q489" s="5" t="n"/>
      <c r="R489" s="5" t="n"/>
      <c r="S489" s="5">
        <f>SUM(F489:I489)+N489</f>
        <v/>
      </c>
      <c r="T489" s="5">
        <f>J489</f>
        <v/>
      </c>
      <c r="U489" s="6">
        <f>YEAR(D489)</f>
        <v/>
      </c>
      <c r="V489" s="5">
        <f>TEXT(D489,"yyyy-mm")</f>
        <v/>
      </c>
    </row>
    <row r="490">
      <c r="A490" s="2" t="inlineStr">
        <is>
          <t>EJ010724.TXT</t>
        </is>
      </c>
      <c r="B490" s="3" t="inlineStr">
        <is>
          <t>001708</t>
        </is>
      </c>
      <c r="C490" s="3" t="inlineStr">
        <is>
          <t>001097</t>
        </is>
      </c>
      <c r="D490" s="4" t="n">
        <v>45456</v>
      </c>
      <c r="E490" s="2" t="inlineStr">
        <is>
          <t>14:19</t>
        </is>
      </c>
      <c r="F490" s="5" t="n">
        <v>274.17</v>
      </c>
      <c r="G490" s="5" t="n"/>
      <c r="H490" s="5" t="n"/>
      <c r="I490" s="5" t="n"/>
      <c r="J490" s="5" t="n">
        <v>54.83</v>
      </c>
      <c r="K490" s="5" t="n"/>
      <c r="L490" s="5" t="n"/>
      <c r="M490" s="5" t="n"/>
      <c r="N490" s="5" t="n"/>
      <c r="O490" s="5" t="n">
        <v>329</v>
      </c>
      <c r="P490" s="5" t="n">
        <v>329</v>
      </c>
      <c r="Q490" s="5" t="n"/>
      <c r="R490" s="5" t="n"/>
      <c r="S490" s="5">
        <f>SUM(F490:I490)+N490</f>
        <v/>
      </c>
      <c r="T490" s="5">
        <f>J490</f>
        <v/>
      </c>
      <c r="U490" s="6">
        <f>YEAR(D490)</f>
        <v/>
      </c>
      <c r="V490" s="5">
        <f>TEXT(D490,"yyyy-mm")</f>
        <v/>
      </c>
    </row>
    <row r="491">
      <c r="A491" s="2" t="inlineStr">
        <is>
          <t>EJ010724.TXT</t>
        </is>
      </c>
      <c r="B491" s="3" t="inlineStr">
        <is>
          <t>001709</t>
        </is>
      </c>
      <c r="C491" s="3" t="inlineStr">
        <is>
          <t>001098</t>
        </is>
      </c>
      <c r="D491" s="4" t="n">
        <v>45456</v>
      </c>
      <c r="E491" s="2" t="inlineStr">
        <is>
          <t>14:19</t>
        </is>
      </c>
      <c r="F491" s="5" t="n">
        <v>274.17</v>
      </c>
      <c r="G491" s="5" t="n"/>
      <c r="H491" s="5" t="n"/>
      <c r="I491" s="5" t="n"/>
      <c r="J491" s="5" t="n">
        <v>54.83</v>
      </c>
      <c r="K491" s="5" t="n"/>
      <c r="L491" s="5" t="n"/>
      <c r="M491" s="5" t="n"/>
      <c r="N491" s="5" t="n"/>
      <c r="O491" s="5" t="n">
        <v>329</v>
      </c>
      <c r="P491" s="5" t="n">
        <v>329</v>
      </c>
      <c r="Q491" s="5" t="n"/>
      <c r="R491" s="5" t="n"/>
      <c r="S491" s="5">
        <f>SUM(F491:I491)+N491</f>
        <v/>
      </c>
      <c r="T491" s="5">
        <f>J491</f>
        <v/>
      </c>
      <c r="U491" s="6">
        <f>YEAR(D491)</f>
        <v/>
      </c>
      <c r="V491" s="5">
        <f>TEXT(D491,"yyyy-mm")</f>
        <v/>
      </c>
    </row>
    <row r="492">
      <c r="A492" s="2" t="inlineStr">
        <is>
          <t>EJ010724.TXT</t>
        </is>
      </c>
      <c r="B492" s="3" t="inlineStr">
        <is>
          <t>001710</t>
        </is>
      </c>
      <c r="C492" s="3" t="inlineStr">
        <is>
          <t>001099</t>
        </is>
      </c>
      <c r="D492" s="4" t="n">
        <v>45456</v>
      </c>
      <c r="E492" s="2" t="inlineStr">
        <is>
          <t>14:19</t>
        </is>
      </c>
      <c r="F492" s="5" t="n">
        <v>274.17</v>
      </c>
      <c r="G492" s="5" t="n"/>
      <c r="H492" s="5" t="n"/>
      <c r="I492" s="5" t="n"/>
      <c r="J492" s="5" t="n">
        <v>54.83</v>
      </c>
      <c r="K492" s="5" t="n"/>
      <c r="L492" s="5" t="n"/>
      <c r="M492" s="5" t="n"/>
      <c r="N492" s="5" t="n"/>
      <c r="O492" s="5" t="n">
        <v>329</v>
      </c>
      <c r="P492" s="5" t="n">
        <v>329</v>
      </c>
      <c r="Q492" s="5" t="n"/>
      <c r="R492" s="5" t="n"/>
      <c r="S492" s="5">
        <f>SUM(F492:I492)+N492</f>
        <v/>
      </c>
      <c r="T492" s="5">
        <f>J492</f>
        <v/>
      </c>
      <c r="U492" s="6">
        <f>YEAR(D492)</f>
        <v/>
      </c>
      <c r="V492" s="5">
        <f>TEXT(D492,"yyyy-mm")</f>
        <v/>
      </c>
    </row>
    <row r="493">
      <c r="A493" s="2" t="inlineStr">
        <is>
          <t>EJ010724.TXT</t>
        </is>
      </c>
      <c r="B493" s="3" t="inlineStr">
        <is>
          <t>001711</t>
        </is>
      </c>
      <c r="C493" s="3" t="inlineStr">
        <is>
          <t>001100</t>
        </is>
      </c>
      <c r="D493" s="4" t="n">
        <v>45457</v>
      </c>
      <c r="E493" s="2" t="inlineStr">
        <is>
          <t>14:54</t>
        </is>
      </c>
      <c r="F493" s="5" t="n">
        <v>582.5</v>
      </c>
      <c r="G493" s="5" t="n"/>
      <c r="H493" s="5" t="n"/>
      <c r="I493" s="5" t="n"/>
      <c r="J493" s="5" t="n">
        <v>116.5</v>
      </c>
      <c r="K493" s="5" t="n"/>
      <c r="L493" s="5" t="n"/>
      <c r="M493" s="5" t="n"/>
      <c r="N493" s="5" t="n"/>
      <c r="O493" s="5" t="n">
        <v>699</v>
      </c>
      <c r="P493" s="5" t="n"/>
      <c r="Q493" s="5" t="n">
        <v>699</v>
      </c>
      <c r="R493" s="5" t="n"/>
      <c r="S493" s="5">
        <f>SUM(F493:I493)+N493</f>
        <v/>
      </c>
      <c r="T493" s="5">
        <f>J493</f>
        <v/>
      </c>
      <c r="U493" s="6">
        <f>YEAR(D493)</f>
        <v/>
      </c>
      <c r="V493" s="5">
        <f>TEXT(D493,"yyyy-mm")</f>
        <v/>
      </c>
    </row>
    <row r="494">
      <c r="A494" s="2" t="inlineStr">
        <is>
          <t>EJ010724.TXT</t>
        </is>
      </c>
      <c r="B494" s="3" t="inlineStr">
        <is>
          <t>001713</t>
        </is>
      </c>
      <c r="C494" s="3" t="inlineStr">
        <is>
          <t>001101</t>
        </is>
      </c>
      <c r="D494" s="4" t="n">
        <v>45458</v>
      </c>
      <c r="E494" s="2" t="inlineStr">
        <is>
          <t>14:45</t>
        </is>
      </c>
      <c r="F494" s="5" t="n">
        <v>415</v>
      </c>
      <c r="G494" s="5" t="n"/>
      <c r="H494" s="5" t="n"/>
      <c r="I494" s="5" t="n"/>
      <c r="J494" s="5" t="n">
        <v>83</v>
      </c>
      <c r="K494" s="5" t="n"/>
      <c r="L494" s="5" t="n"/>
      <c r="M494" s="5" t="n"/>
      <c r="N494" s="5" t="n"/>
      <c r="O494" s="5" t="n">
        <v>498</v>
      </c>
      <c r="P494" s="5" t="n"/>
      <c r="Q494" s="5" t="n">
        <v>498</v>
      </c>
      <c r="R494" s="5" t="n"/>
      <c r="S494" s="5">
        <f>SUM(F494:I494)+N494</f>
        <v/>
      </c>
      <c r="T494" s="5">
        <f>J494</f>
        <v/>
      </c>
      <c r="U494" s="6">
        <f>YEAR(D494)</f>
        <v/>
      </c>
      <c r="V494" s="5">
        <f>TEXT(D494,"yyyy-mm")</f>
        <v/>
      </c>
    </row>
    <row r="495">
      <c r="A495" s="2" t="inlineStr">
        <is>
          <t>EJ010724.TXT</t>
        </is>
      </c>
      <c r="B495" s="3" t="inlineStr">
        <is>
          <t>001714</t>
        </is>
      </c>
      <c r="C495" s="3" t="inlineStr">
        <is>
          <t>001102</t>
        </is>
      </c>
      <c r="D495" s="4" t="n">
        <v>45458</v>
      </c>
      <c r="E495" s="2" t="inlineStr">
        <is>
          <t>16:09</t>
        </is>
      </c>
      <c r="F495" s="5" t="n">
        <v>274.17</v>
      </c>
      <c r="G495" s="5" t="n"/>
      <c r="H495" s="5" t="n"/>
      <c r="I495" s="5" t="n"/>
      <c r="J495" s="5" t="n">
        <v>54.83</v>
      </c>
      <c r="K495" s="5" t="n"/>
      <c r="L495" s="5" t="n"/>
      <c r="M495" s="5" t="n"/>
      <c r="N495" s="5" t="n"/>
      <c r="O495" s="5" t="n">
        <v>329</v>
      </c>
      <c r="P495" s="5" t="n"/>
      <c r="Q495" s="5" t="n">
        <v>329</v>
      </c>
      <c r="R495" s="5" t="n"/>
      <c r="S495" s="5">
        <f>SUM(F495:I495)+N495</f>
        <v/>
      </c>
      <c r="T495" s="5">
        <f>J495</f>
        <v/>
      </c>
      <c r="U495" s="6">
        <f>YEAR(D495)</f>
        <v/>
      </c>
      <c r="V495" s="5">
        <f>TEXT(D495,"yyyy-mm")</f>
        <v/>
      </c>
    </row>
    <row r="496">
      <c r="A496" s="2" t="inlineStr">
        <is>
          <t>EJ010724.TXT</t>
        </is>
      </c>
      <c r="B496" s="3" t="inlineStr">
        <is>
          <t>001715</t>
        </is>
      </c>
      <c r="C496" s="3" t="inlineStr">
        <is>
          <t>001103</t>
        </is>
      </c>
      <c r="D496" s="4" t="n">
        <v>45461</v>
      </c>
      <c r="E496" s="2" t="inlineStr">
        <is>
          <t>08:59</t>
        </is>
      </c>
      <c r="F496" s="5" t="n">
        <v>548.33</v>
      </c>
      <c r="G496" s="5" t="n"/>
      <c r="H496" s="5" t="n"/>
      <c r="I496" s="5" t="n"/>
      <c r="J496" s="5" t="n">
        <v>109.67</v>
      </c>
      <c r="K496" s="5" t="n"/>
      <c r="L496" s="5" t="n"/>
      <c r="M496" s="5" t="n"/>
      <c r="N496" s="5" t="n"/>
      <c r="O496" s="5" t="n">
        <v>658</v>
      </c>
      <c r="P496" s="5" t="n"/>
      <c r="Q496" s="5" t="n">
        <v>658</v>
      </c>
      <c r="R496" s="5" t="n"/>
      <c r="S496" s="5">
        <f>SUM(F496:I496)+N496</f>
        <v/>
      </c>
      <c r="T496" s="5">
        <f>J496</f>
        <v/>
      </c>
      <c r="U496" s="6">
        <f>YEAR(D496)</f>
        <v/>
      </c>
      <c r="V496" s="5">
        <f>TEXT(D496,"yyyy-mm")</f>
        <v/>
      </c>
    </row>
    <row r="497">
      <c r="A497" s="2" t="inlineStr">
        <is>
          <t>EJ010724.TXT</t>
        </is>
      </c>
      <c r="B497" s="3" t="inlineStr">
        <is>
          <t>001717</t>
        </is>
      </c>
      <c r="C497" s="3" t="inlineStr">
        <is>
          <t>001104</t>
        </is>
      </c>
      <c r="D497" s="4" t="n">
        <v>45463</v>
      </c>
      <c r="E497" s="2" t="inlineStr">
        <is>
          <t>10:19</t>
        </is>
      </c>
      <c r="F497" s="5" t="n">
        <v>548.33</v>
      </c>
      <c r="G497" s="5" t="n"/>
      <c r="H497" s="5" t="n"/>
      <c r="I497" s="5" t="n"/>
      <c r="J497" s="5" t="n">
        <v>109.67</v>
      </c>
      <c r="K497" s="5" t="n"/>
      <c r="L497" s="5" t="n"/>
      <c r="M497" s="5" t="n"/>
      <c r="N497" s="5" t="n"/>
      <c r="O497" s="5" t="n">
        <v>658</v>
      </c>
      <c r="P497" s="5" t="n">
        <v>658</v>
      </c>
      <c r="Q497" s="5" t="n"/>
      <c r="R497" s="5" t="n"/>
      <c r="S497" s="5">
        <f>SUM(F497:I497)+N497</f>
        <v/>
      </c>
      <c r="T497" s="5">
        <f>J497</f>
        <v/>
      </c>
      <c r="U497" s="6">
        <f>YEAR(D497)</f>
        <v/>
      </c>
      <c r="V497" s="5">
        <f>TEXT(D497,"yyyy-mm")</f>
        <v/>
      </c>
    </row>
    <row r="498">
      <c r="A498" s="2" t="inlineStr">
        <is>
          <t>EJ010724.TXT</t>
        </is>
      </c>
      <c r="B498" s="3" t="inlineStr">
        <is>
          <t>001718</t>
        </is>
      </c>
      <c r="C498" s="3" t="inlineStr">
        <is>
          <t>001105</t>
        </is>
      </c>
      <c r="D498" s="4" t="n">
        <v>45468</v>
      </c>
      <c r="E498" s="2" t="inlineStr">
        <is>
          <t>15:12</t>
        </is>
      </c>
      <c r="F498" s="5" t="n">
        <v>20500</v>
      </c>
      <c r="G498" s="5" t="n"/>
      <c r="H498" s="5" t="n"/>
      <c r="I498" s="5" t="n"/>
      <c r="J498" s="5" t="n">
        <v>4100</v>
      </c>
      <c r="K498" s="5" t="n"/>
      <c r="L498" s="5" t="n"/>
      <c r="M498" s="5" t="n"/>
      <c r="N498" s="5" t="n"/>
      <c r="O498" s="5" t="n">
        <v>24600</v>
      </c>
      <c r="P498" s="5" t="n">
        <v>24600</v>
      </c>
      <c r="Q498" s="5" t="n"/>
      <c r="R498" s="5" t="n"/>
      <c r="S498" s="5">
        <f>SUM(F498:I498)+N498</f>
        <v/>
      </c>
      <c r="T498" s="5">
        <f>J498</f>
        <v/>
      </c>
      <c r="U498" s="6">
        <f>YEAR(D498)</f>
        <v/>
      </c>
      <c r="V498" s="5">
        <f>TEXT(D498,"yyyy-mm")</f>
        <v/>
      </c>
    </row>
    <row r="499">
      <c r="A499" s="2" t="inlineStr">
        <is>
          <t>EJ010724.TXT</t>
        </is>
      </c>
      <c r="B499" s="3" t="inlineStr">
        <is>
          <t>001719</t>
        </is>
      </c>
      <c r="C499" s="3" t="inlineStr">
        <is>
          <t>001106</t>
        </is>
      </c>
      <c r="D499" s="4" t="n">
        <v>45469</v>
      </c>
      <c r="E499" s="2" t="inlineStr">
        <is>
          <t>10:55</t>
        </is>
      </c>
      <c r="F499" s="5" t="n">
        <v>531.67</v>
      </c>
      <c r="G499" s="5" t="n"/>
      <c r="H499" s="5" t="n"/>
      <c r="I499" s="5" t="n"/>
      <c r="J499" s="5" t="n">
        <v>106.33</v>
      </c>
      <c r="K499" s="5" t="n"/>
      <c r="L499" s="5" t="n"/>
      <c r="M499" s="5" t="n"/>
      <c r="N499" s="5" t="n"/>
      <c r="O499" s="5" t="n">
        <v>638</v>
      </c>
      <c r="P499" s="5" t="n"/>
      <c r="Q499" s="5" t="n">
        <v>638</v>
      </c>
      <c r="R499" s="5" t="n"/>
      <c r="S499" s="5">
        <f>SUM(F499:I499)+N499</f>
        <v/>
      </c>
      <c r="T499" s="5">
        <f>J499</f>
        <v/>
      </c>
      <c r="U499" s="6">
        <f>YEAR(D499)</f>
        <v/>
      </c>
      <c r="V499" s="5">
        <f>TEXT(D499,"yyyy-mm")</f>
        <v/>
      </c>
    </row>
    <row r="500">
      <c r="A500" s="2" t="inlineStr">
        <is>
          <t>EJ010724.TXT</t>
        </is>
      </c>
      <c r="B500" s="3" t="inlineStr">
        <is>
          <t>001720</t>
        </is>
      </c>
      <c r="C500" s="3" t="inlineStr">
        <is>
          <t>001107</t>
        </is>
      </c>
      <c r="D500" s="4" t="n">
        <v>45469</v>
      </c>
      <c r="E500" s="2" t="inlineStr">
        <is>
          <t>12:56</t>
        </is>
      </c>
      <c r="F500" s="5" t="n">
        <v>274.17</v>
      </c>
      <c r="G500" s="5" t="n"/>
      <c r="H500" s="5" t="n"/>
      <c r="I500" s="5" t="n"/>
      <c r="J500" s="5" t="n">
        <v>54.83</v>
      </c>
      <c r="K500" s="5" t="n"/>
      <c r="L500" s="5" t="n"/>
      <c r="M500" s="5" t="n"/>
      <c r="N500" s="5" t="n"/>
      <c r="O500" s="5" t="n">
        <v>329</v>
      </c>
      <c r="P500" s="5" t="n">
        <v>329</v>
      </c>
      <c r="Q500" s="5" t="n"/>
      <c r="R500" s="5" t="n"/>
      <c r="S500" s="5">
        <f>SUM(F500:I500)+N500</f>
        <v/>
      </c>
      <c r="T500" s="5">
        <f>J500</f>
        <v/>
      </c>
      <c r="U500" s="6">
        <f>YEAR(D500)</f>
        <v/>
      </c>
      <c r="V500" s="5">
        <f>TEXT(D500,"yyyy-mm")</f>
        <v/>
      </c>
    </row>
    <row r="501">
      <c r="A501" s="2" t="inlineStr">
        <is>
          <t>EJ010724.TXT</t>
        </is>
      </c>
      <c r="B501" s="3" t="inlineStr">
        <is>
          <t>001721</t>
        </is>
      </c>
      <c r="C501" s="3" t="inlineStr">
        <is>
          <t>001108</t>
        </is>
      </c>
      <c r="D501" s="4" t="n">
        <v>45469</v>
      </c>
      <c r="E501" s="2" t="inlineStr">
        <is>
          <t>13:17</t>
        </is>
      </c>
      <c r="F501" s="5" t="n">
        <v>548.33</v>
      </c>
      <c r="G501" s="5" t="n"/>
      <c r="H501" s="5" t="n"/>
      <c r="I501" s="5" t="n"/>
      <c r="J501" s="5" t="n">
        <v>109.67</v>
      </c>
      <c r="K501" s="5" t="n"/>
      <c r="L501" s="5" t="n"/>
      <c r="M501" s="5" t="n"/>
      <c r="N501" s="5" t="n"/>
      <c r="O501" s="5" t="n">
        <v>658</v>
      </c>
      <c r="P501" s="5" t="n">
        <v>658</v>
      </c>
      <c r="Q501" s="5" t="n"/>
      <c r="R501" s="5" t="n"/>
      <c r="S501" s="5">
        <f>SUM(F501:I501)+N501</f>
        <v/>
      </c>
      <c r="T501" s="5">
        <f>J501</f>
        <v/>
      </c>
      <c r="U501" s="6">
        <f>YEAR(D501)</f>
        <v/>
      </c>
      <c r="V501" s="5">
        <f>TEXT(D501,"yyyy-mm")</f>
        <v/>
      </c>
    </row>
    <row r="502">
      <c r="A502" s="2" t="inlineStr">
        <is>
          <t>EJ010724.TXT</t>
        </is>
      </c>
      <c r="B502" s="3" t="inlineStr">
        <is>
          <t>001722</t>
        </is>
      </c>
      <c r="C502" s="3" t="inlineStr">
        <is>
          <t>001109</t>
        </is>
      </c>
      <c r="D502" s="4" t="n">
        <v>45469</v>
      </c>
      <c r="E502" s="2" t="inlineStr">
        <is>
          <t>15:56</t>
        </is>
      </c>
      <c r="F502" s="5" t="n">
        <v>90.83</v>
      </c>
      <c r="G502" s="5" t="n"/>
      <c r="H502" s="5" t="n"/>
      <c r="I502" s="5" t="n"/>
      <c r="J502" s="5" t="n">
        <v>18.17</v>
      </c>
      <c r="K502" s="5" t="n"/>
      <c r="L502" s="5" t="n"/>
      <c r="M502" s="5" t="n"/>
      <c r="N502" s="5" t="n"/>
      <c r="O502" s="5" t="n">
        <v>109</v>
      </c>
      <c r="P502" s="5" t="n"/>
      <c r="Q502" s="5" t="n">
        <v>109</v>
      </c>
      <c r="R502" s="5" t="n"/>
      <c r="S502" s="5">
        <f>SUM(F502:I502)+N502</f>
        <v/>
      </c>
      <c r="T502" s="5">
        <f>J502</f>
        <v/>
      </c>
      <c r="U502" s="6">
        <f>YEAR(D502)</f>
        <v/>
      </c>
      <c r="V502" s="5">
        <f>TEXT(D502,"yyyy-mm")</f>
        <v/>
      </c>
    </row>
    <row r="503">
      <c r="A503" s="2" t="inlineStr">
        <is>
          <t>EJ010724.TXT</t>
        </is>
      </c>
      <c r="B503" s="3" t="inlineStr">
        <is>
          <t>001724</t>
        </is>
      </c>
      <c r="C503" s="3" t="inlineStr">
        <is>
          <t>001110</t>
        </is>
      </c>
      <c r="D503" s="4" t="n">
        <v>45471</v>
      </c>
      <c r="E503" s="2" t="inlineStr">
        <is>
          <t>11:37</t>
        </is>
      </c>
      <c r="F503" s="5" t="n">
        <v>40.75</v>
      </c>
      <c r="G503" s="5" t="n"/>
      <c r="H503" s="5" t="n"/>
      <c r="I503" s="5" t="n"/>
      <c r="J503" s="5" t="n">
        <v>8.15</v>
      </c>
      <c r="K503" s="5" t="n"/>
      <c r="L503" s="5" t="n"/>
      <c r="M503" s="5" t="n"/>
      <c r="N503" s="5" t="n"/>
      <c r="O503" s="5" t="n">
        <v>48.9</v>
      </c>
      <c r="P503" s="5" t="n">
        <v>48.9</v>
      </c>
      <c r="Q503" s="5" t="n"/>
      <c r="R503" s="5" t="n"/>
      <c r="S503" s="5">
        <f>SUM(F503:I503)+N503</f>
        <v/>
      </c>
      <c r="T503" s="5">
        <f>J503</f>
        <v/>
      </c>
      <c r="U503" s="6">
        <f>YEAR(D503)</f>
        <v/>
      </c>
      <c r="V503" s="5">
        <f>TEXT(D503,"yyyy-mm")</f>
        <v/>
      </c>
    </row>
    <row r="504">
      <c r="A504" s="2" t="inlineStr">
        <is>
          <t>EJ010724.TXT</t>
        </is>
      </c>
      <c r="B504" s="3" t="inlineStr">
        <is>
          <t>001725</t>
        </is>
      </c>
      <c r="C504" s="3" t="inlineStr">
        <is>
          <t>001111</t>
        </is>
      </c>
      <c r="D504" s="4" t="n">
        <v>45472</v>
      </c>
      <c r="E504" s="2" t="inlineStr">
        <is>
          <t>13:34</t>
        </is>
      </c>
      <c r="F504" s="5" t="n">
        <v>329.17</v>
      </c>
      <c r="G504" s="5" t="n"/>
      <c r="H504" s="5" t="n"/>
      <c r="I504" s="5" t="n"/>
      <c r="J504" s="5" t="n">
        <v>65.83</v>
      </c>
      <c r="K504" s="5" t="n"/>
      <c r="L504" s="5" t="n"/>
      <c r="M504" s="5" t="n"/>
      <c r="N504" s="5" t="n"/>
      <c r="O504" s="5" t="n">
        <v>395</v>
      </c>
      <c r="P504" s="5" t="n">
        <v>395</v>
      </c>
      <c r="Q504" s="5" t="n"/>
      <c r="R504" s="5" t="n"/>
      <c r="S504" s="5">
        <f>SUM(F504:I504)+N504</f>
        <v/>
      </c>
      <c r="T504" s="5">
        <f>J504</f>
        <v/>
      </c>
      <c r="U504" s="6">
        <f>YEAR(D504)</f>
        <v/>
      </c>
      <c r="V504" s="5">
        <f>TEXT(D504,"yyyy-mm")</f>
        <v/>
      </c>
    </row>
    <row r="505">
      <c r="A505" s="2" t="inlineStr">
        <is>
          <t>EJ010724.TXT</t>
        </is>
      </c>
      <c r="B505" s="3" t="inlineStr">
        <is>
          <t>001726</t>
        </is>
      </c>
      <c r="C505" s="3" t="inlineStr">
        <is>
          <t>001112</t>
        </is>
      </c>
      <c r="D505" s="4" t="n">
        <v>45472</v>
      </c>
      <c r="E505" s="2" t="inlineStr">
        <is>
          <t>14:05</t>
        </is>
      </c>
      <c r="F505" s="5" t="n">
        <v>548.33</v>
      </c>
      <c r="G505" s="5" t="n"/>
      <c r="H505" s="5" t="n"/>
      <c r="I505" s="5" t="n"/>
      <c r="J505" s="5" t="n">
        <v>109.67</v>
      </c>
      <c r="K505" s="5" t="n"/>
      <c r="L505" s="5" t="n"/>
      <c r="M505" s="5" t="n"/>
      <c r="N505" s="5" t="n"/>
      <c r="O505" s="5" t="n">
        <v>658</v>
      </c>
      <c r="P505" s="5" t="n">
        <v>658</v>
      </c>
      <c r="Q505" s="5" t="n"/>
      <c r="R505" s="5" t="n"/>
      <c r="S505" s="5">
        <f>SUM(F505:I505)+N505</f>
        <v/>
      </c>
      <c r="T505" s="5">
        <f>J505</f>
        <v/>
      </c>
      <c r="U505" s="6">
        <f>YEAR(D505)</f>
        <v/>
      </c>
      <c r="V505" s="5">
        <f>TEXT(D505,"yyyy-mm")</f>
        <v/>
      </c>
    </row>
    <row r="506">
      <c r="A506" s="2" t="inlineStr">
        <is>
          <t>EJ010824.TXT</t>
        </is>
      </c>
      <c r="B506" s="3" t="inlineStr">
        <is>
          <t>001732</t>
        </is>
      </c>
      <c r="C506" s="3" t="inlineStr">
        <is>
          <t>001113</t>
        </is>
      </c>
      <c r="D506" s="4" t="n">
        <v>45474</v>
      </c>
      <c r="E506" s="2" t="inlineStr">
        <is>
          <t>16:08</t>
        </is>
      </c>
      <c r="F506" s="5" t="n">
        <v>397.5</v>
      </c>
      <c r="G506" s="5" t="n"/>
      <c r="H506" s="5" t="n"/>
      <c r="I506" s="5" t="n"/>
      <c r="J506" s="5" t="n">
        <v>79.5</v>
      </c>
      <c r="K506" s="5" t="n"/>
      <c r="L506" s="5" t="n"/>
      <c r="M506" s="5" t="n"/>
      <c r="N506" s="5" t="n"/>
      <c r="O506" s="5" t="n">
        <v>477</v>
      </c>
      <c r="P506" s="5" t="n"/>
      <c r="Q506" s="5" t="n">
        <v>477</v>
      </c>
      <c r="R506" s="5" t="n"/>
      <c r="S506" s="5">
        <f>SUM(F506:I506)+N506</f>
        <v/>
      </c>
      <c r="T506" s="5">
        <f>J506</f>
        <v/>
      </c>
      <c r="U506" s="6">
        <f>YEAR(D506)</f>
        <v/>
      </c>
      <c r="V506" s="5">
        <f>TEXT(D506,"yyyy-mm")</f>
        <v/>
      </c>
    </row>
    <row r="507">
      <c r="A507" s="2" t="inlineStr">
        <is>
          <t>EJ010824.TXT</t>
        </is>
      </c>
      <c r="B507" s="3" t="inlineStr">
        <is>
          <t>001733</t>
        </is>
      </c>
      <c r="C507" s="3" t="inlineStr">
        <is>
          <t>001114</t>
        </is>
      </c>
      <c r="D507" s="4" t="n">
        <v>45475</v>
      </c>
      <c r="E507" s="2" t="inlineStr">
        <is>
          <t>09:55</t>
        </is>
      </c>
      <c r="F507" s="5" t="n">
        <v>20500</v>
      </c>
      <c r="G507" s="5" t="n"/>
      <c r="H507" s="5" t="n"/>
      <c r="I507" s="5" t="n"/>
      <c r="J507" s="5" t="n">
        <v>4100</v>
      </c>
      <c r="K507" s="5" t="n"/>
      <c r="L507" s="5" t="n"/>
      <c r="M507" s="5" t="n"/>
      <c r="N507" s="5" t="n"/>
      <c r="O507" s="5" t="n">
        <v>24600</v>
      </c>
      <c r="P507" s="5" t="n">
        <v>24600</v>
      </c>
      <c r="Q507" s="5" t="n"/>
      <c r="R507" s="5" t="n"/>
      <c r="S507" s="5">
        <f>SUM(F507:I507)+N507</f>
        <v/>
      </c>
      <c r="T507" s="5">
        <f>J507</f>
        <v/>
      </c>
      <c r="U507" s="6">
        <f>YEAR(D507)</f>
        <v/>
      </c>
      <c r="V507" s="5">
        <f>TEXT(D507,"yyyy-mm")</f>
        <v/>
      </c>
    </row>
    <row r="508">
      <c r="A508" s="2" t="inlineStr">
        <is>
          <t>EJ010824.TXT</t>
        </is>
      </c>
      <c r="B508" s="3" t="inlineStr">
        <is>
          <t>001734</t>
        </is>
      </c>
      <c r="C508" s="3" t="inlineStr">
        <is>
          <t>001115</t>
        </is>
      </c>
      <c r="D508" s="4" t="n">
        <v>45475</v>
      </c>
      <c r="E508" s="2" t="inlineStr">
        <is>
          <t>12:08</t>
        </is>
      </c>
      <c r="F508" s="5" t="n">
        <v>274.17</v>
      </c>
      <c r="G508" s="5" t="n"/>
      <c r="H508" s="5" t="n"/>
      <c r="I508" s="5" t="n"/>
      <c r="J508" s="5" t="n">
        <v>54.83</v>
      </c>
      <c r="K508" s="5" t="n"/>
      <c r="L508" s="5" t="n"/>
      <c r="M508" s="5" t="n"/>
      <c r="N508" s="5" t="n"/>
      <c r="O508" s="5" t="n">
        <v>329</v>
      </c>
      <c r="P508" s="5" t="n">
        <v>329</v>
      </c>
      <c r="Q508" s="5" t="n"/>
      <c r="R508" s="5" t="n"/>
      <c r="S508" s="5">
        <f>SUM(F508:I508)+N508</f>
        <v/>
      </c>
      <c r="T508" s="5">
        <f>J508</f>
        <v/>
      </c>
      <c r="U508" s="6">
        <f>YEAR(D508)</f>
        <v/>
      </c>
      <c r="V508" s="5">
        <f>TEXT(D508,"yyyy-mm")</f>
        <v/>
      </c>
    </row>
    <row r="509">
      <c r="A509" s="2" t="inlineStr">
        <is>
          <t>EJ010824.TXT</t>
        </is>
      </c>
      <c r="B509" s="3" t="inlineStr">
        <is>
          <t>001735</t>
        </is>
      </c>
      <c r="C509" s="3" t="inlineStr">
        <is>
          <t>001116</t>
        </is>
      </c>
      <c r="D509" s="4" t="n">
        <v>45476</v>
      </c>
      <c r="E509" s="2" t="inlineStr">
        <is>
          <t>15:17</t>
        </is>
      </c>
      <c r="F509" s="5" t="n">
        <v>274.17</v>
      </c>
      <c r="G509" s="5" t="n"/>
      <c r="H509" s="5" t="n"/>
      <c r="I509" s="5" t="n"/>
      <c r="J509" s="5" t="n">
        <v>54.83</v>
      </c>
      <c r="K509" s="5" t="n"/>
      <c r="L509" s="5" t="n"/>
      <c r="M509" s="5" t="n"/>
      <c r="N509" s="5" t="n"/>
      <c r="O509" s="5" t="n">
        <v>329</v>
      </c>
      <c r="P509" s="5" t="n"/>
      <c r="Q509" s="5" t="n">
        <v>329</v>
      </c>
      <c r="R509" s="5" t="n"/>
      <c r="S509" s="5">
        <f>SUM(F509:I509)+N509</f>
        <v/>
      </c>
      <c r="T509" s="5">
        <f>J509</f>
        <v/>
      </c>
      <c r="U509" s="6">
        <f>YEAR(D509)</f>
        <v/>
      </c>
      <c r="V509" s="5">
        <f>TEXT(D509,"yyyy-mm")</f>
        <v/>
      </c>
    </row>
    <row r="510">
      <c r="A510" s="2" t="inlineStr">
        <is>
          <t>EJ010824.TXT</t>
        </is>
      </c>
      <c r="B510" s="3" t="inlineStr">
        <is>
          <t>001736</t>
        </is>
      </c>
      <c r="C510" s="3" t="inlineStr">
        <is>
          <t>001117</t>
        </is>
      </c>
      <c r="D510" s="4" t="n">
        <v>45481</v>
      </c>
      <c r="E510" s="2" t="inlineStr">
        <is>
          <t>09:03</t>
        </is>
      </c>
      <c r="F510" s="5" t="n">
        <v>347.5</v>
      </c>
      <c r="G510" s="5" t="n"/>
      <c r="H510" s="5" t="n"/>
      <c r="I510" s="5" t="n"/>
      <c r="J510" s="5" t="n">
        <v>69.5</v>
      </c>
      <c r="K510" s="5" t="n"/>
      <c r="L510" s="5" t="n"/>
      <c r="M510" s="5" t="n"/>
      <c r="N510" s="5" t="n"/>
      <c r="O510" s="5" t="n">
        <v>417</v>
      </c>
      <c r="P510" s="5" t="n"/>
      <c r="Q510" s="5" t="n">
        <v>417</v>
      </c>
      <c r="R510" s="5" t="n"/>
      <c r="S510" s="5">
        <f>SUM(F510:I510)+N510</f>
        <v/>
      </c>
      <c r="T510" s="5">
        <f>J510</f>
        <v/>
      </c>
      <c r="U510" s="6">
        <f>YEAR(D510)</f>
        <v/>
      </c>
      <c r="V510" s="5">
        <f>TEXT(D510,"yyyy-mm")</f>
        <v/>
      </c>
    </row>
    <row r="511">
      <c r="A511" s="2" t="inlineStr">
        <is>
          <t>EJ010824.TXT</t>
        </is>
      </c>
      <c r="B511" s="3" t="inlineStr">
        <is>
          <t>001737</t>
        </is>
      </c>
      <c r="C511" s="3" t="inlineStr">
        <is>
          <t>001118</t>
        </is>
      </c>
      <c r="D511" s="4" t="n">
        <v>45482</v>
      </c>
      <c r="E511" s="2" t="inlineStr">
        <is>
          <t>10:48</t>
        </is>
      </c>
      <c r="F511" s="5" t="n">
        <v>274.17</v>
      </c>
      <c r="G511" s="5" t="n"/>
      <c r="H511" s="5" t="n"/>
      <c r="I511" s="5" t="n"/>
      <c r="J511" s="5" t="n">
        <v>54.83</v>
      </c>
      <c r="K511" s="5" t="n"/>
      <c r="L511" s="5" t="n"/>
      <c r="M511" s="5" t="n"/>
      <c r="N511" s="5" t="n"/>
      <c r="O511" s="5" t="n">
        <v>329</v>
      </c>
      <c r="P511" s="5" t="n">
        <v>329</v>
      </c>
      <c r="Q511" s="5" t="n"/>
      <c r="R511" s="5" t="n"/>
      <c r="S511" s="5">
        <f>SUM(F511:I511)+N511</f>
        <v/>
      </c>
      <c r="T511" s="5">
        <f>J511</f>
        <v/>
      </c>
      <c r="U511" s="6">
        <f>YEAR(D511)</f>
        <v/>
      </c>
      <c r="V511" s="5">
        <f>TEXT(D511,"yyyy-mm")</f>
        <v/>
      </c>
    </row>
    <row r="512">
      <c r="A512" s="2" t="inlineStr">
        <is>
          <t>EJ010824.TXT</t>
        </is>
      </c>
      <c r="B512" s="3" t="inlineStr">
        <is>
          <t>001738</t>
        </is>
      </c>
      <c r="C512" s="3" t="inlineStr">
        <is>
          <t>001119</t>
        </is>
      </c>
      <c r="D512" s="4" t="n">
        <v>45483</v>
      </c>
      <c r="E512" s="2" t="inlineStr">
        <is>
          <t>10:31</t>
        </is>
      </c>
      <c r="F512" s="5" t="n">
        <v>1096.67</v>
      </c>
      <c r="G512" s="5" t="n"/>
      <c r="H512" s="5" t="n"/>
      <c r="I512" s="5" t="n"/>
      <c r="J512" s="5" t="n">
        <v>219.33</v>
      </c>
      <c r="K512" s="5" t="n"/>
      <c r="L512" s="5" t="n"/>
      <c r="M512" s="5" t="n"/>
      <c r="N512" s="5" t="n"/>
      <c r="O512" s="5" t="n">
        <v>1316</v>
      </c>
      <c r="P512" s="5" t="n">
        <v>1316</v>
      </c>
      <c r="Q512" s="5" t="n"/>
      <c r="R512" s="5" t="n"/>
      <c r="S512" s="5">
        <f>SUM(F512:I512)+N512</f>
        <v/>
      </c>
      <c r="T512" s="5">
        <f>J512</f>
        <v/>
      </c>
      <c r="U512" s="6">
        <f>YEAR(D512)</f>
        <v/>
      </c>
      <c r="V512" s="5">
        <f>TEXT(D512,"yyyy-mm")</f>
        <v/>
      </c>
    </row>
    <row r="513">
      <c r="A513" s="2" t="inlineStr">
        <is>
          <t>EJ010824.TXT</t>
        </is>
      </c>
      <c r="B513" s="3" t="inlineStr">
        <is>
          <t>001741</t>
        </is>
      </c>
      <c r="C513" s="3" t="inlineStr">
        <is>
          <t>001120</t>
        </is>
      </c>
      <c r="D513" s="4" t="n">
        <v>45483</v>
      </c>
      <c r="E513" s="2" t="inlineStr">
        <is>
          <t>13:58</t>
        </is>
      </c>
      <c r="F513" s="5" t="n">
        <v>2075</v>
      </c>
      <c r="G513" s="5" t="n"/>
      <c r="H513" s="5" t="n"/>
      <c r="I513" s="5" t="n"/>
      <c r="J513" s="5" t="n">
        <v>415</v>
      </c>
      <c r="K513" s="5" t="n"/>
      <c r="L513" s="5" t="n"/>
      <c r="M513" s="5" t="n"/>
      <c r="N513" s="5" t="n"/>
      <c r="O513" s="5" t="n">
        <v>2490</v>
      </c>
      <c r="P513" s="5" t="n"/>
      <c r="Q513" s="5" t="n">
        <v>2490</v>
      </c>
      <c r="R513" s="5" t="n"/>
      <c r="S513" s="5">
        <f>SUM(F513:I513)+N513</f>
        <v/>
      </c>
      <c r="T513" s="5">
        <f>J513</f>
        <v/>
      </c>
      <c r="U513" s="6">
        <f>YEAR(D513)</f>
        <v/>
      </c>
      <c r="V513" s="5">
        <f>TEXT(D513,"yyyy-mm")</f>
        <v/>
      </c>
    </row>
    <row r="514">
      <c r="A514" s="2" t="inlineStr">
        <is>
          <t>EJ010824.TXT</t>
        </is>
      </c>
      <c r="B514" s="3" t="inlineStr">
        <is>
          <t>001742</t>
        </is>
      </c>
      <c r="C514" s="3" t="inlineStr">
        <is>
          <t>001121</t>
        </is>
      </c>
      <c r="D514" s="4" t="n">
        <v>45483</v>
      </c>
      <c r="E514" s="2" t="inlineStr">
        <is>
          <t>14:05</t>
        </is>
      </c>
      <c r="F514" s="5" t="n">
        <v>548.33</v>
      </c>
      <c r="G514" s="5" t="n"/>
      <c r="H514" s="5" t="n"/>
      <c r="I514" s="5" t="n"/>
      <c r="J514" s="5" t="n">
        <v>109.67</v>
      </c>
      <c r="K514" s="5" t="n"/>
      <c r="L514" s="5" t="n"/>
      <c r="M514" s="5" t="n"/>
      <c r="N514" s="5" t="n"/>
      <c r="O514" s="5" t="n">
        <v>658</v>
      </c>
      <c r="P514" s="5" t="n">
        <v>658</v>
      </c>
      <c r="Q514" s="5" t="n"/>
      <c r="R514" s="5" t="n"/>
      <c r="S514" s="5">
        <f>SUM(F514:I514)+N514</f>
        <v/>
      </c>
      <c r="T514" s="5">
        <f>J514</f>
        <v/>
      </c>
      <c r="U514" s="6">
        <f>YEAR(D514)</f>
        <v/>
      </c>
      <c r="V514" s="5">
        <f>TEXT(D514,"yyyy-mm")</f>
        <v/>
      </c>
    </row>
    <row r="515">
      <c r="A515" s="2" t="inlineStr">
        <is>
          <t>EJ010824.TXT</t>
        </is>
      </c>
      <c r="B515" s="3" t="inlineStr">
        <is>
          <t>001746</t>
        </is>
      </c>
      <c r="C515" s="3" t="inlineStr">
        <is>
          <t>001122</t>
        </is>
      </c>
      <c r="D515" s="4" t="n">
        <v>45484</v>
      </c>
      <c r="E515" s="2" t="inlineStr">
        <is>
          <t>12:05</t>
        </is>
      </c>
      <c r="F515" s="5" t="n">
        <v>548.33</v>
      </c>
      <c r="G515" s="5" t="n"/>
      <c r="H515" s="5" t="n"/>
      <c r="I515" s="5" t="n"/>
      <c r="J515" s="5" t="n">
        <v>109.67</v>
      </c>
      <c r="K515" s="5" t="n"/>
      <c r="L515" s="5" t="n"/>
      <c r="M515" s="5" t="n"/>
      <c r="N515" s="5" t="n"/>
      <c r="O515" s="5" t="n">
        <v>658</v>
      </c>
      <c r="P515" s="5" t="n">
        <v>658</v>
      </c>
      <c r="Q515" s="5" t="n"/>
      <c r="R515" s="5" t="n"/>
      <c r="S515" s="5">
        <f>SUM(F515:I515)+N515</f>
        <v/>
      </c>
      <c r="T515" s="5">
        <f>J515</f>
        <v/>
      </c>
      <c r="U515" s="6">
        <f>YEAR(D515)</f>
        <v/>
      </c>
      <c r="V515" s="5">
        <f>TEXT(D515,"yyyy-mm")</f>
        <v/>
      </c>
    </row>
    <row r="516">
      <c r="A516" s="2" t="inlineStr">
        <is>
          <t>EJ010824.TXT</t>
        </is>
      </c>
      <c r="B516" s="3" t="inlineStr">
        <is>
          <t>001747</t>
        </is>
      </c>
      <c r="C516" s="3" t="inlineStr">
        <is>
          <t>001123</t>
        </is>
      </c>
      <c r="D516" s="4" t="n">
        <v>45490</v>
      </c>
      <c r="E516" s="2" t="inlineStr">
        <is>
          <t>15:43</t>
        </is>
      </c>
      <c r="F516" s="5" t="n">
        <v>548.33</v>
      </c>
      <c r="G516" s="5" t="n"/>
      <c r="H516" s="5" t="n"/>
      <c r="I516" s="5" t="n"/>
      <c r="J516" s="5" t="n">
        <v>109.67</v>
      </c>
      <c r="K516" s="5" t="n"/>
      <c r="L516" s="5" t="n"/>
      <c r="M516" s="5" t="n"/>
      <c r="N516" s="5" t="n"/>
      <c r="O516" s="5" t="n">
        <v>658</v>
      </c>
      <c r="P516" s="5" t="n"/>
      <c r="Q516" s="5" t="n">
        <v>658</v>
      </c>
      <c r="R516" s="5" t="n"/>
      <c r="S516" s="5">
        <f>SUM(F516:I516)+N516</f>
        <v/>
      </c>
      <c r="T516" s="5">
        <f>J516</f>
        <v/>
      </c>
      <c r="U516" s="6">
        <f>YEAR(D516)</f>
        <v/>
      </c>
      <c r="V516" s="5">
        <f>TEXT(D516,"yyyy-mm")</f>
        <v/>
      </c>
    </row>
    <row r="517">
      <c r="A517" s="2" t="inlineStr">
        <is>
          <t>EJ010824.TXT</t>
        </is>
      </c>
      <c r="B517" s="3" t="inlineStr">
        <is>
          <t>001748</t>
        </is>
      </c>
      <c r="C517" s="3" t="inlineStr">
        <is>
          <t>001124</t>
        </is>
      </c>
      <c r="D517" s="4" t="n">
        <v>45490</v>
      </c>
      <c r="E517" s="2" t="inlineStr">
        <is>
          <t>16:40</t>
        </is>
      </c>
      <c r="F517" s="5" t="n">
        <v>1096.67</v>
      </c>
      <c r="G517" s="5" t="n"/>
      <c r="H517" s="5" t="n"/>
      <c r="I517" s="5" t="n"/>
      <c r="J517" s="5" t="n">
        <v>219.33</v>
      </c>
      <c r="K517" s="5" t="n"/>
      <c r="L517" s="5" t="n"/>
      <c r="M517" s="5" t="n"/>
      <c r="N517" s="5" t="n"/>
      <c r="O517" s="5" t="n">
        <v>1316</v>
      </c>
      <c r="P517" s="5" t="n">
        <v>1316</v>
      </c>
      <c r="Q517" s="5" t="n"/>
      <c r="R517" s="5" t="n"/>
      <c r="S517" s="5">
        <f>SUM(F517:I517)+N517</f>
        <v/>
      </c>
      <c r="T517" s="5">
        <f>J517</f>
        <v/>
      </c>
      <c r="U517" s="6">
        <f>YEAR(D517)</f>
        <v/>
      </c>
      <c r="V517" s="5">
        <f>TEXT(D517,"yyyy-mm")</f>
        <v/>
      </c>
    </row>
    <row r="518">
      <c r="A518" s="2" t="inlineStr">
        <is>
          <t>EJ010824.TXT</t>
        </is>
      </c>
      <c r="B518" s="3" t="inlineStr">
        <is>
          <t>001750</t>
        </is>
      </c>
      <c r="C518" s="3" t="inlineStr">
        <is>
          <t>001125</t>
        </is>
      </c>
      <c r="D518" s="4" t="n">
        <v>45492</v>
      </c>
      <c r="E518" s="2" t="inlineStr">
        <is>
          <t>11:02</t>
        </is>
      </c>
      <c r="F518" s="5" t="n">
        <v>822.5</v>
      </c>
      <c r="G518" s="5" t="n"/>
      <c r="H518" s="5" t="n"/>
      <c r="I518" s="5" t="n"/>
      <c r="J518" s="5" t="n">
        <v>164.5</v>
      </c>
      <c r="K518" s="5" t="n"/>
      <c r="L518" s="5" t="n"/>
      <c r="M518" s="5" t="n"/>
      <c r="N518" s="5" t="n"/>
      <c r="O518" s="5" t="n">
        <v>987</v>
      </c>
      <c r="P518" s="5" t="n"/>
      <c r="Q518" s="5" t="n">
        <v>987</v>
      </c>
      <c r="R518" s="5" t="n"/>
      <c r="S518" s="5">
        <f>SUM(F518:I518)+N518</f>
        <v/>
      </c>
      <c r="T518" s="5">
        <f>J518</f>
        <v/>
      </c>
      <c r="U518" s="6">
        <f>YEAR(D518)</f>
        <v/>
      </c>
      <c r="V518" s="5">
        <f>TEXT(D518,"yyyy-mm")</f>
        <v/>
      </c>
    </row>
    <row r="519">
      <c r="A519" s="2" t="inlineStr">
        <is>
          <t>EJ010824.TXT</t>
        </is>
      </c>
      <c r="B519" s="3" t="inlineStr">
        <is>
          <t>001751</t>
        </is>
      </c>
      <c r="C519" s="3" t="inlineStr">
        <is>
          <t>001126</t>
        </is>
      </c>
      <c r="D519" s="4" t="n">
        <v>45492</v>
      </c>
      <c r="E519" s="2" t="inlineStr">
        <is>
          <t>11:03</t>
        </is>
      </c>
      <c r="F519" s="5" t="n">
        <v>822.5</v>
      </c>
      <c r="G519" s="5" t="n"/>
      <c r="H519" s="5" t="n"/>
      <c r="I519" s="5" t="n"/>
      <c r="J519" s="5" t="n">
        <v>164.5</v>
      </c>
      <c r="K519" s="5" t="n"/>
      <c r="L519" s="5" t="n"/>
      <c r="M519" s="5" t="n"/>
      <c r="N519" s="5" t="n"/>
      <c r="O519" s="5" t="n">
        <v>987</v>
      </c>
      <c r="P519" s="5" t="n"/>
      <c r="Q519" s="5" t="n">
        <v>987</v>
      </c>
      <c r="R519" s="5" t="n"/>
      <c r="S519" s="5">
        <f>SUM(F519:I519)+N519</f>
        <v/>
      </c>
      <c r="T519" s="5">
        <f>J519</f>
        <v/>
      </c>
      <c r="U519" s="6">
        <f>YEAR(D519)</f>
        <v/>
      </c>
      <c r="V519" s="5">
        <f>TEXT(D519,"yyyy-mm")</f>
        <v/>
      </c>
    </row>
    <row r="520">
      <c r="A520" s="2" t="inlineStr">
        <is>
          <t>EJ010824.TXT</t>
        </is>
      </c>
      <c r="B520" s="3" t="inlineStr">
        <is>
          <t>001752</t>
        </is>
      </c>
      <c r="C520" s="3" t="inlineStr">
        <is>
          <t>001127</t>
        </is>
      </c>
      <c r="D520" s="4" t="n">
        <v>45492</v>
      </c>
      <c r="E520" s="2" t="inlineStr">
        <is>
          <t>11:03</t>
        </is>
      </c>
      <c r="F520" s="5" t="n">
        <v>822.5</v>
      </c>
      <c r="G520" s="5" t="n"/>
      <c r="H520" s="5" t="n"/>
      <c r="I520" s="5" t="n"/>
      <c r="J520" s="5" t="n">
        <v>164.5</v>
      </c>
      <c r="K520" s="5" t="n"/>
      <c r="L520" s="5" t="n"/>
      <c r="M520" s="5" t="n"/>
      <c r="N520" s="5" t="n"/>
      <c r="O520" s="5" t="n">
        <v>987</v>
      </c>
      <c r="P520" s="5" t="n"/>
      <c r="Q520" s="5" t="n">
        <v>987</v>
      </c>
      <c r="R520" s="5" t="n"/>
      <c r="S520" s="5">
        <f>SUM(F520:I520)+N520</f>
        <v/>
      </c>
      <c r="T520" s="5">
        <f>J520</f>
        <v/>
      </c>
      <c r="U520" s="6">
        <f>YEAR(D520)</f>
        <v/>
      </c>
      <c r="V520" s="5">
        <f>TEXT(D520,"yyyy-mm")</f>
        <v/>
      </c>
    </row>
    <row r="521">
      <c r="A521" s="2" t="inlineStr">
        <is>
          <t>EJ010824.TXT</t>
        </is>
      </c>
      <c r="B521" s="3" t="inlineStr">
        <is>
          <t>001753</t>
        </is>
      </c>
      <c r="C521" s="3" t="inlineStr">
        <is>
          <t>001128</t>
        </is>
      </c>
      <c r="D521" s="4" t="n">
        <v>45492</v>
      </c>
      <c r="E521" s="2" t="inlineStr">
        <is>
          <t>11:03</t>
        </is>
      </c>
      <c r="F521" s="5" t="n">
        <v>822.5</v>
      </c>
      <c r="G521" s="5" t="n"/>
      <c r="H521" s="5" t="n"/>
      <c r="I521" s="5" t="n"/>
      <c r="J521" s="5" t="n">
        <v>164.5</v>
      </c>
      <c r="K521" s="5" t="n"/>
      <c r="L521" s="5" t="n"/>
      <c r="M521" s="5" t="n"/>
      <c r="N521" s="5" t="n"/>
      <c r="O521" s="5" t="n">
        <v>987</v>
      </c>
      <c r="P521" s="5" t="n"/>
      <c r="Q521" s="5" t="n">
        <v>987</v>
      </c>
      <c r="R521" s="5" t="n"/>
      <c r="S521" s="5">
        <f>SUM(F521:I521)+N521</f>
        <v/>
      </c>
      <c r="T521" s="5">
        <f>J521</f>
        <v/>
      </c>
      <c r="U521" s="6">
        <f>YEAR(D521)</f>
        <v/>
      </c>
      <c r="V521" s="5">
        <f>TEXT(D521,"yyyy-mm")</f>
        <v/>
      </c>
    </row>
    <row r="522">
      <c r="A522" s="2" t="inlineStr">
        <is>
          <t>EJ010824.TXT</t>
        </is>
      </c>
      <c r="B522" s="3" t="inlineStr">
        <is>
          <t>001754</t>
        </is>
      </c>
      <c r="C522" s="3" t="inlineStr">
        <is>
          <t>001129</t>
        </is>
      </c>
      <c r="D522" s="4" t="n">
        <v>45492</v>
      </c>
      <c r="E522" s="2" t="inlineStr">
        <is>
          <t>11:05</t>
        </is>
      </c>
      <c r="F522" s="5" t="n">
        <v>210</v>
      </c>
      <c r="G522" s="5" t="n"/>
      <c r="H522" s="5" t="n"/>
      <c r="I522" s="5" t="n"/>
      <c r="J522" s="5" t="n">
        <v>42</v>
      </c>
      <c r="K522" s="5" t="n"/>
      <c r="L522" s="5" t="n"/>
      <c r="M522" s="5" t="n"/>
      <c r="N522" s="5" t="n"/>
      <c r="O522" s="5" t="n">
        <v>252</v>
      </c>
      <c r="P522" s="5" t="n"/>
      <c r="Q522" s="5" t="n">
        <v>252</v>
      </c>
      <c r="R522" s="5" t="n"/>
      <c r="S522" s="5">
        <f>SUM(F522:I522)+N522</f>
        <v/>
      </c>
      <c r="T522" s="5">
        <f>J522</f>
        <v/>
      </c>
      <c r="U522" s="6">
        <f>YEAR(D522)</f>
        <v/>
      </c>
      <c r="V522" s="5">
        <f>TEXT(D522,"yyyy-mm")</f>
        <v/>
      </c>
    </row>
    <row r="523">
      <c r="A523" s="2" t="inlineStr">
        <is>
          <t>EJ010824.TXT</t>
        </is>
      </c>
      <c r="B523" s="3" t="inlineStr">
        <is>
          <t>001755</t>
        </is>
      </c>
      <c r="C523" s="3" t="inlineStr">
        <is>
          <t>001130</t>
        </is>
      </c>
      <c r="D523" s="4" t="n">
        <v>45492</v>
      </c>
      <c r="E523" s="2" t="inlineStr">
        <is>
          <t>15:43</t>
        </is>
      </c>
      <c r="F523" s="5" t="n">
        <v>274.17</v>
      </c>
      <c r="G523" s="5" t="n"/>
      <c r="H523" s="5" t="n"/>
      <c r="I523" s="5" t="n"/>
      <c r="J523" s="5" t="n">
        <v>54.83</v>
      </c>
      <c r="K523" s="5" t="n"/>
      <c r="L523" s="5" t="n"/>
      <c r="M523" s="5" t="n"/>
      <c r="N523" s="5" t="n"/>
      <c r="O523" s="5" t="n">
        <v>329</v>
      </c>
      <c r="P523" s="5" t="n"/>
      <c r="Q523" s="5" t="n">
        <v>329</v>
      </c>
      <c r="R523" s="5" t="n"/>
      <c r="S523" s="5">
        <f>SUM(F523:I523)+N523</f>
        <v/>
      </c>
      <c r="T523" s="5">
        <f>J523</f>
        <v/>
      </c>
      <c r="U523" s="6">
        <f>YEAR(D523)</f>
        <v/>
      </c>
      <c r="V523" s="5">
        <f>TEXT(D523,"yyyy-mm")</f>
        <v/>
      </c>
    </row>
    <row r="524">
      <c r="A524" s="2" t="inlineStr">
        <is>
          <t>EJ010824.TXT</t>
        </is>
      </c>
      <c r="B524" s="3" t="inlineStr">
        <is>
          <t>001759</t>
        </is>
      </c>
      <c r="C524" s="3" t="inlineStr">
        <is>
          <t>001131</t>
        </is>
      </c>
      <c r="D524" s="4" t="n">
        <v>45495</v>
      </c>
      <c r="E524" s="2" t="inlineStr">
        <is>
          <t>15:11</t>
        </is>
      </c>
      <c r="F524" s="5" t="n">
        <v>265.83</v>
      </c>
      <c r="G524" s="5" t="n"/>
      <c r="H524" s="5" t="n"/>
      <c r="I524" s="5" t="n"/>
      <c r="J524" s="5" t="n">
        <v>53.17</v>
      </c>
      <c r="K524" s="5" t="n"/>
      <c r="L524" s="5" t="n"/>
      <c r="M524" s="5" t="n"/>
      <c r="N524" s="5" t="n"/>
      <c r="O524" s="5" t="n">
        <v>319</v>
      </c>
      <c r="P524" s="5" t="n">
        <v>50</v>
      </c>
      <c r="Q524" s="5" t="n">
        <v>269</v>
      </c>
      <c r="R524" s="5" t="n"/>
      <c r="S524" s="5">
        <f>SUM(F524:I524)+N524</f>
        <v/>
      </c>
      <c r="T524" s="5">
        <f>J524</f>
        <v/>
      </c>
      <c r="U524" s="6">
        <f>YEAR(D524)</f>
        <v/>
      </c>
      <c r="V524" s="5">
        <f>TEXT(D524,"yyyy-mm")</f>
        <v/>
      </c>
    </row>
    <row r="525">
      <c r="A525" s="2" t="inlineStr">
        <is>
          <t>EJ010824.TXT</t>
        </is>
      </c>
      <c r="B525" s="3" t="inlineStr">
        <is>
          <t>001764</t>
        </is>
      </c>
      <c r="C525" s="3" t="inlineStr">
        <is>
          <t>001132</t>
        </is>
      </c>
      <c r="D525" s="4" t="n">
        <v>45496</v>
      </c>
      <c r="E525" s="2" t="inlineStr">
        <is>
          <t>15:57</t>
        </is>
      </c>
      <c r="F525" s="5" t="n">
        <v>329.17</v>
      </c>
      <c r="G525" s="5" t="n"/>
      <c r="H525" s="5" t="n"/>
      <c r="I525" s="5" t="n"/>
      <c r="J525" s="5" t="n">
        <v>65.83</v>
      </c>
      <c r="K525" s="5" t="n"/>
      <c r="L525" s="5" t="n"/>
      <c r="M525" s="5" t="n"/>
      <c r="N525" s="5" t="n"/>
      <c r="O525" s="5" t="n">
        <v>395</v>
      </c>
      <c r="P525" s="5" t="n"/>
      <c r="Q525" s="5" t="n">
        <v>395</v>
      </c>
      <c r="R525" s="5" t="n"/>
      <c r="S525" s="5">
        <f>SUM(F525:I525)+N525</f>
        <v/>
      </c>
      <c r="T525" s="5">
        <f>J525</f>
        <v/>
      </c>
      <c r="U525" s="6">
        <f>YEAR(D525)</f>
        <v/>
      </c>
      <c r="V525" s="5">
        <f>TEXT(D525,"yyyy-mm")</f>
        <v/>
      </c>
    </row>
    <row r="526">
      <c r="A526" s="2" t="inlineStr">
        <is>
          <t>EJ010824.TXT</t>
        </is>
      </c>
      <c r="B526" s="3" t="inlineStr">
        <is>
          <t>001765</t>
        </is>
      </c>
      <c r="C526" s="3" t="inlineStr">
        <is>
          <t>001133</t>
        </is>
      </c>
      <c r="D526" s="4" t="n">
        <v>45496</v>
      </c>
      <c r="E526" s="2" t="inlineStr">
        <is>
          <t>15:58</t>
        </is>
      </c>
      <c r="F526" s="5" t="n">
        <v>329.17</v>
      </c>
      <c r="G526" s="5" t="n"/>
      <c r="H526" s="5" t="n"/>
      <c r="I526" s="5" t="n"/>
      <c r="J526" s="5" t="n">
        <v>65.83</v>
      </c>
      <c r="K526" s="5" t="n"/>
      <c r="L526" s="5" t="n"/>
      <c r="M526" s="5" t="n"/>
      <c r="N526" s="5" t="n"/>
      <c r="O526" s="5" t="n">
        <v>395</v>
      </c>
      <c r="P526" s="5" t="n"/>
      <c r="Q526" s="5" t="n">
        <v>395</v>
      </c>
      <c r="R526" s="5" t="n"/>
      <c r="S526" s="5">
        <f>SUM(F526:I526)+N526</f>
        <v/>
      </c>
      <c r="T526" s="5">
        <f>J526</f>
        <v/>
      </c>
      <c r="U526" s="6">
        <f>YEAR(D526)</f>
        <v/>
      </c>
      <c r="V526" s="5">
        <f>TEXT(D526,"yyyy-mm")</f>
        <v/>
      </c>
    </row>
    <row r="527">
      <c r="A527" s="2" t="inlineStr">
        <is>
          <t>EJ010824.TXT</t>
        </is>
      </c>
      <c r="B527" s="3" t="inlineStr">
        <is>
          <t>001766</t>
        </is>
      </c>
      <c r="C527" s="3" t="inlineStr">
        <is>
          <t>001134</t>
        </is>
      </c>
      <c r="D527" s="4" t="n">
        <v>45496</v>
      </c>
      <c r="E527" s="2" t="inlineStr">
        <is>
          <t>16:14</t>
        </is>
      </c>
      <c r="F527" s="5" t="n">
        <v>474.17</v>
      </c>
      <c r="G527" s="5" t="n"/>
      <c r="H527" s="5" t="n"/>
      <c r="I527" s="5" t="n"/>
      <c r="J527" s="5" t="n">
        <v>94.83</v>
      </c>
      <c r="K527" s="5" t="n"/>
      <c r="L527" s="5" t="n"/>
      <c r="M527" s="5" t="n"/>
      <c r="N527" s="5" t="n"/>
      <c r="O527" s="5" t="n">
        <v>569</v>
      </c>
      <c r="P527" s="5" t="n">
        <v>569</v>
      </c>
      <c r="Q527" s="5" t="n"/>
      <c r="R527" s="5" t="n"/>
      <c r="S527" s="5">
        <f>SUM(F527:I527)+N527</f>
        <v/>
      </c>
      <c r="T527" s="5">
        <f>J527</f>
        <v/>
      </c>
      <c r="U527" s="6">
        <f>YEAR(D527)</f>
        <v/>
      </c>
      <c r="V527" s="5">
        <f>TEXT(D527,"yyyy-mm")</f>
        <v/>
      </c>
    </row>
    <row r="528">
      <c r="A528" s="2" t="inlineStr">
        <is>
          <t>EJ010824.TXT</t>
        </is>
      </c>
      <c r="B528" s="3" t="inlineStr">
        <is>
          <t>001767</t>
        </is>
      </c>
      <c r="C528" s="3" t="inlineStr">
        <is>
          <t>001135</t>
        </is>
      </c>
      <c r="D528" s="4" t="n">
        <v>45496</v>
      </c>
      <c r="E528" s="2" t="inlineStr">
        <is>
          <t>16:15</t>
        </is>
      </c>
      <c r="F528" s="5" t="n">
        <v>274.17</v>
      </c>
      <c r="G528" s="5" t="n"/>
      <c r="H528" s="5" t="n"/>
      <c r="I528" s="5" t="n"/>
      <c r="J528" s="5" t="n">
        <v>54.83</v>
      </c>
      <c r="K528" s="5" t="n"/>
      <c r="L528" s="5" t="n"/>
      <c r="M528" s="5" t="n"/>
      <c r="N528" s="5" t="n"/>
      <c r="O528" s="5" t="n">
        <v>329</v>
      </c>
      <c r="P528" s="5" t="n"/>
      <c r="Q528" s="5" t="n">
        <v>329</v>
      </c>
      <c r="R528" s="5" t="n"/>
      <c r="S528" s="5">
        <f>SUM(F528:I528)+N528</f>
        <v/>
      </c>
      <c r="T528" s="5">
        <f>J528</f>
        <v/>
      </c>
      <c r="U528" s="6">
        <f>YEAR(D528)</f>
        <v/>
      </c>
      <c r="V528" s="5">
        <f>TEXT(D528,"yyyy-mm")</f>
        <v/>
      </c>
    </row>
    <row r="529">
      <c r="A529" s="2" t="inlineStr">
        <is>
          <t>EJ010824.TXT</t>
        </is>
      </c>
      <c r="B529" s="3" t="inlineStr">
        <is>
          <t>001768</t>
        </is>
      </c>
      <c r="C529" s="3" t="inlineStr">
        <is>
          <t>001136</t>
        </is>
      </c>
      <c r="D529" s="4" t="n">
        <v>45499</v>
      </c>
      <c r="E529" s="2" t="inlineStr">
        <is>
          <t>12:26</t>
        </is>
      </c>
      <c r="F529" s="5" t="n">
        <v>548.33</v>
      </c>
      <c r="G529" s="5" t="n"/>
      <c r="H529" s="5" t="n"/>
      <c r="I529" s="5" t="n"/>
      <c r="J529" s="5" t="n">
        <v>109.67</v>
      </c>
      <c r="K529" s="5" t="n"/>
      <c r="L529" s="5" t="n"/>
      <c r="M529" s="5" t="n"/>
      <c r="N529" s="5" t="n"/>
      <c r="O529" s="5" t="n">
        <v>658</v>
      </c>
      <c r="P529" s="5" t="n">
        <v>658</v>
      </c>
      <c r="Q529" s="5" t="n"/>
      <c r="R529" s="5" t="n"/>
      <c r="S529" s="5">
        <f>SUM(F529:I529)+N529</f>
        <v/>
      </c>
      <c r="T529" s="5">
        <f>J529</f>
        <v/>
      </c>
      <c r="U529" s="6">
        <f>YEAR(D529)</f>
        <v/>
      </c>
      <c r="V529" s="5">
        <f>TEXT(D529,"yyyy-mm")</f>
        <v/>
      </c>
    </row>
    <row r="530">
      <c r="A530" s="2" t="inlineStr">
        <is>
          <t>EJ010824.TXT</t>
        </is>
      </c>
      <c r="B530" s="3" t="inlineStr">
        <is>
          <t>001769</t>
        </is>
      </c>
      <c r="C530" s="3" t="inlineStr">
        <is>
          <t>001137</t>
        </is>
      </c>
      <c r="D530" s="4" t="n">
        <v>45500</v>
      </c>
      <c r="E530" s="2" t="inlineStr">
        <is>
          <t>14:34</t>
        </is>
      </c>
      <c r="F530" s="5" t="n">
        <v>274.17</v>
      </c>
      <c r="G530" s="5" t="n"/>
      <c r="H530" s="5" t="n"/>
      <c r="I530" s="5" t="n"/>
      <c r="J530" s="5" t="n">
        <v>54.83</v>
      </c>
      <c r="K530" s="5" t="n"/>
      <c r="L530" s="5" t="n"/>
      <c r="M530" s="5" t="n"/>
      <c r="N530" s="5" t="n"/>
      <c r="O530" s="5" t="n">
        <v>329</v>
      </c>
      <c r="P530" s="5" t="n">
        <v>329</v>
      </c>
      <c r="Q530" s="5" t="n"/>
      <c r="R530" s="5" t="n"/>
      <c r="S530" s="5">
        <f>SUM(F530:I530)+N530</f>
        <v/>
      </c>
      <c r="T530" s="5">
        <f>J530</f>
        <v/>
      </c>
      <c r="U530" s="6">
        <f>YEAR(D530)</f>
        <v/>
      </c>
      <c r="V530" s="5">
        <f>TEXT(D530,"yyyy-mm")</f>
        <v/>
      </c>
    </row>
    <row r="531">
      <c r="A531" s="2" t="inlineStr">
        <is>
          <t>EJ010824.TXT</t>
        </is>
      </c>
      <c r="B531" s="3" t="inlineStr">
        <is>
          <t>001770</t>
        </is>
      </c>
      <c r="C531" s="3" t="inlineStr">
        <is>
          <t>001138</t>
        </is>
      </c>
      <c r="D531" s="4" t="n">
        <v>45502</v>
      </c>
      <c r="E531" s="2" t="inlineStr">
        <is>
          <t>12:10</t>
        </is>
      </c>
      <c r="F531" s="5" t="n">
        <v>274.17</v>
      </c>
      <c r="G531" s="5" t="n"/>
      <c r="H531" s="5" t="n"/>
      <c r="I531" s="5" t="n"/>
      <c r="J531" s="5" t="n">
        <v>54.83</v>
      </c>
      <c r="K531" s="5" t="n"/>
      <c r="L531" s="5" t="n"/>
      <c r="M531" s="5" t="n"/>
      <c r="N531" s="5" t="n"/>
      <c r="O531" s="5" t="n">
        <v>329</v>
      </c>
      <c r="P531" s="5" t="n">
        <v>329</v>
      </c>
      <c r="Q531" s="5" t="n"/>
      <c r="R531" s="5" t="n"/>
      <c r="S531" s="5">
        <f>SUM(F531:I531)+N531</f>
        <v/>
      </c>
      <c r="T531" s="5">
        <f>J531</f>
        <v/>
      </c>
      <c r="U531" s="6">
        <f>YEAR(D531)</f>
        <v/>
      </c>
      <c r="V531" s="5">
        <f>TEXT(D531,"yyyy-mm")</f>
        <v/>
      </c>
    </row>
    <row r="532">
      <c r="A532" s="2" t="inlineStr">
        <is>
          <t>EJ010824.TXT</t>
        </is>
      </c>
      <c r="B532" s="3" t="inlineStr">
        <is>
          <t>001771</t>
        </is>
      </c>
      <c r="C532" s="3" t="inlineStr">
        <is>
          <t>001139</t>
        </is>
      </c>
      <c r="D532" s="4" t="n">
        <v>45502</v>
      </c>
      <c r="E532" s="2" t="inlineStr">
        <is>
          <t>15:17</t>
        </is>
      </c>
      <c r="F532" s="5" t="n">
        <v>548.33</v>
      </c>
      <c r="G532" s="5" t="n"/>
      <c r="H532" s="5" t="n"/>
      <c r="I532" s="5" t="n"/>
      <c r="J532" s="5" t="n">
        <v>109.67</v>
      </c>
      <c r="K532" s="5" t="n"/>
      <c r="L532" s="5" t="n"/>
      <c r="M532" s="5" t="n"/>
      <c r="N532" s="5" t="n"/>
      <c r="O532" s="5" t="n">
        <v>658</v>
      </c>
      <c r="P532" s="5" t="n">
        <v>658</v>
      </c>
      <c r="Q532" s="5" t="n"/>
      <c r="R532" s="5" t="n"/>
      <c r="S532" s="5">
        <f>SUM(F532:I532)+N532</f>
        <v/>
      </c>
      <c r="T532" s="5">
        <f>J532</f>
        <v/>
      </c>
      <c r="U532" s="6">
        <f>YEAR(D532)</f>
        <v/>
      </c>
      <c r="V532" s="5">
        <f>TEXT(D532,"yyyy-mm")</f>
        <v/>
      </c>
    </row>
    <row r="533">
      <c r="A533" s="2" t="inlineStr">
        <is>
          <t>EJ010824.TXT</t>
        </is>
      </c>
      <c r="B533" s="3" t="inlineStr">
        <is>
          <t>001773</t>
        </is>
      </c>
      <c r="C533" s="3" t="inlineStr">
        <is>
          <t>001140</t>
        </is>
      </c>
      <c r="D533" s="4" t="n">
        <v>45503</v>
      </c>
      <c r="E533" s="2" t="inlineStr">
        <is>
          <t>09:16</t>
        </is>
      </c>
      <c r="F533" s="5" t="n">
        <v>548.33</v>
      </c>
      <c r="G533" s="5" t="n"/>
      <c r="H533" s="5" t="n"/>
      <c r="I533" s="5" t="n"/>
      <c r="J533" s="5" t="n">
        <v>109.67</v>
      </c>
      <c r="K533" s="5" t="n"/>
      <c r="L533" s="5" t="n"/>
      <c r="M533" s="5" t="n"/>
      <c r="N533" s="5" t="n"/>
      <c r="O533" s="5" t="n">
        <v>658</v>
      </c>
      <c r="P533" s="5" t="n"/>
      <c r="Q533" s="5" t="n">
        <v>658</v>
      </c>
      <c r="R533" s="5" t="n"/>
      <c r="S533" s="5">
        <f>SUM(F533:I533)+N533</f>
        <v/>
      </c>
      <c r="T533" s="5">
        <f>J533</f>
        <v/>
      </c>
      <c r="U533" s="6">
        <f>YEAR(D533)</f>
        <v/>
      </c>
      <c r="V533" s="5">
        <f>TEXT(D533,"yyyy-mm")</f>
        <v/>
      </c>
    </row>
    <row r="534">
      <c r="A534" s="2" t="inlineStr">
        <is>
          <t>EJ010824.TXT</t>
        </is>
      </c>
      <c r="B534" s="3" t="inlineStr">
        <is>
          <t>001775</t>
        </is>
      </c>
      <c r="C534" s="3" t="inlineStr">
        <is>
          <t>001141</t>
        </is>
      </c>
      <c r="D534" s="4" t="n">
        <v>45504</v>
      </c>
      <c r="E534" s="2" t="inlineStr">
        <is>
          <t>12:57</t>
        </is>
      </c>
      <c r="F534" s="5" t="n">
        <v>274.17</v>
      </c>
      <c r="G534" s="5" t="n"/>
      <c r="H534" s="5" t="n"/>
      <c r="I534" s="5" t="n"/>
      <c r="J534" s="5" t="n">
        <v>54.83</v>
      </c>
      <c r="K534" s="5" t="n"/>
      <c r="L534" s="5" t="n"/>
      <c r="M534" s="5" t="n"/>
      <c r="N534" s="5" t="n"/>
      <c r="O534" s="5" t="n">
        <v>329</v>
      </c>
      <c r="P534" s="5" t="n"/>
      <c r="Q534" s="5" t="n">
        <v>329</v>
      </c>
      <c r="R534" s="5" t="n"/>
      <c r="S534" s="5">
        <f>SUM(F534:I534)+N534</f>
        <v/>
      </c>
      <c r="T534" s="5">
        <f>J534</f>
        <v/>
      </c>
      <c r="U534" s="6">
        <f>YEAR(D534)</f>
        <v/>
      </c>
      <c r="V534" s="5">
        <f>TEXT(D534,"yyyy-mm")</f>
        <v/>
      </c>
    </row>
    <row r="535">
      <c r="A535" s="2" t="inlineStr">
        <is>
          <t>EJ300824.TXT</t>
        </is>
      </c>
      <c r="B535" s="3" t="inlineStr">
        <is>
          <t>001783</t>
        </is>
      </c>
      <c r="C535" s="3" t="inlineStr">
        <is>
          <t>001142</t>
        </is>
      </c>
      <c r="D535" s="4" t="n">
        <v>45505</v>
      </c>
      <c r="E535" s="2" t="inlineStr">
        <is>
          <t>13:59</t>
        </is>
      </c>
      <c r="F535" s="5" t="n">
        <v>1645</v>
      </c>
      <c r="G535" s="5" t="n"/>
      <c r="H535" s="5" t="n"/>
      <c r="I535" s="5" t="n"/>
      <c r="J535" s="5" t="n">
        <v>329</v>
      </c>
      <c r="K535" s="5" t="n"/>
      <c r="L535" s="5" t="n"/>
      <c r="M535" s="5" t="n"/>
      <c r="N535" s="5" t="n"/>
      <c r="O535" s="5" t="n">
        <v>1974</v>
      </c>
      <c r="P535" s="5" t="n">
        <v>1974</v>
      </c>
      <c r="Q535" s="5" t="n"/>
      <c r="R535" s="5" t="n"/>
      <c r="S535" s="5">
        <f>SUM(F535:I535)+N535</f>
        <v/>
      </c>
      <c r="T535" s="5">
        <f>J535</f>
        <v/>
      </c>
      <c r="U535" s="6">
        <f>YEAR(D535)</f>
        <v/>
      </c>
      <c r="V535" s="5">
        <f>TEXT(D535,"yyyy-mm")</f>
        <v/>
      </c>
    </row>
    <row r="536">
      <c r="A536" s="2" t="inlineStr">
        <is>
          <t>EJ300824.TXT</t>
        </is>
      </c>
      <c r="B536" s="3" t="inlineStr">
        <is>
          <t>001784</t>
        </is>
      </c>
      <c r="C536" s="3" t="inlineStr">
        <is>
          <t>001143</t>
        </is>
      </c>
      <c r="D536" s="4" t="n">
        <v>45506</v>
      </c>
      <c r="E536" s="2" t="inlineStr">
        <is>
          <t>09:49</t>
        </is>
      </c>
      <c r="F536" s="5" t="n">
        <v>175</v>
      </c>
      <c r="G536" s="5" t="n"/>
      <c r="H536" s="5" t="n"/>
      <c r="I536" s="5" t="n"/>
      <c r="J536" s="5" t="n">
        <v>35</v>
      </c>
      <c r="K536" s="5" t="n"/>
      <c r="L536" s="5" t="n"/>
      <c r="M536" s="5" t="n"/>
      <c r="N536" s="5" t="n"/>
      <c r="O536" s="5" t="n">
        <v>210</v>
      </c>
      <c r="P536" s="5" t="n">
        <v>80</v>
      </c>
      <c r="Q536" s="5" t="n">
        <v>130</v>
      </c>
      <c r="R536" s="5" t="n"/>
      <c r="S536" s="5">
        <f>SUM(F536:I536)+N536</f>
        <v/>
      </c>
      <c r="T536" s="5">
        <f>J536</f>
        <v/>
      </c>
      <c r="U536" s="6">
        <f>YEAR(D536)</f>
        <v/>
      </c>
      <c r="V536" s="5">
        <f>TEXT(D536,"yyyy-mm")</f>
        <v/>
      </c>
    </row>
    <row r="537">
      <c r="A537" s="2" t="inlineStr">
        <is>
          <t>EJ300824.TXT</t>
        </is>
      </c>
      <c r="B537" s="3" t="inlineStr">
        <is>
          <t>001785</t>
        </is>
      </c>
      <c r="C537" s="3" t="inlineStr">
        <is>
          <t>001144</t>
        </is>
      </c>
      <c r="D537" s="4" t="n">
        <v>45506</v>
      </c>
      <c r="E537" s="2" t="inlineStr">
        <is>
          <t>09:51</t>
        </is>
      </c>
      <c r="F537" s="5" t="n">
        <v>796.67</v>
      </c>
      <c r="G537" s="5" t="n"/>
      <c r="H537" s="5" t="n"/>
      <c r="I537" s="5" t="n"/>
      <c r="J537" s="5" t="n">
        <v>159.33</v>
      </c>
      <c r="K537" s="5" t="n"/>
      <c r="L537" s="5" t="n"/>
      <c r="M537" s="5" t="n"/>
      <c r="N537" s="5" t="n"/>
      <c r="O537" s="5" t="n">
        <v>956</v>
      </c>
      <c r="P537" s="5" t="n">
        <v>856</v>
      </c>
      <c r="Q537" s="5" t="n">
        <v>100</v>
      </c>
      <c r="R537" s="5" t="n"/>
      <c r="S537" s="5">
        <f>SUM(F537:I537)+N537</f>
        <v/>
      </c>
      <c r="T537" s="5">
        <f>J537</f>
        <v/>
      </c>
      <c r="U537" s="6">
        <f>YEAR(D537)</f>
        <v/>
      </c>
      <c r="V537" s="5">
        <f>TEXT(D537,"yyyy-mm")</f>
        <v/>
      </c>
    </row>
    <row r="538">
      <c r="A538" s="2" t="inlineStr">
        <is>
          <t>EJ300824.TXT</t>
        </is>
      </c>
      <c r="B538" s="3" t="inlineStr">
        <is>
          <t>001787</t>
        </is>
      </c>
      <c r="C538" s="3" t="inlineStr">
        <is>
          <t>001145</t>
        </is>
      </c>
      <c r="D538" s="4" t="n">
        <v>45506</v>
      </c>
      <c r="E538" s="2" t="inlineStr">
        <is>
          <t>15:08</t>
        </is>
      </c>
      <c r="F538" s="5" t="n">
        <v>1165</v>
      </c>
      <c r="G538" s="5" t="n"/>
      <c r="H538" s="5" t="n"/>
      <c r="I538" s="5" t="n"/>
      <c r="J538" s="5" t="n">
        <v>233</v>
      </c>
      <c r="K538" s="5" t="n"/>
      <c r="L538" s="5" t="n"/>
      <c r="M538" s="5" t="n"/>
      <c r="N538" s="5" t="n"/>
      <c r="O538" s="5" t="n">
        <v>1398</v>
      </c>
      <c r="P538" s="5" t="n">
        <v>1398</v>
      </c>
      <c r="Q538" s="5" t="n"/>
      <c r="R538" s="5" t="n"/>
      <c r="S538" s="5">
        <f>SUM(F538:I538)+N538</f>
        <v/>
      </c>
      <c r="T538" s="5">
        <f>J538</f>
        <v/>
      </c>
      <c r="U538" s="6">
        <f>YEAR(D538)</f>
        <v/>
      </c>
      <c r="V538" s="5">
        <f>TEXT(D538,"yyyy-mm")</f>
        <v/>
      </c>
    </row>
    <row r="539">
      <c r="A539" s="2" t="inlineStr">
        <is>
          <t>EJ300824.TXT</t>
        </is>
      </c>
      <c r="B539" s="3" t="inlineStr">
        <is>
          <t>001788</t>
        </is>
      </c>
      <c r="C539" s="3" t="inlineStr">
        <is>
          <t>001146</t>
        </is>
      </c>
      <c r="D539" s="4" t="n">
        <v>45506</v>
      </c>
      <c r="E539" s="2" t="inlineStr">
        <is>
          <t>15:09</t>
        </is>
      </c>
      <c r="F539" s="5" t="n">
        <v>324.17</v>
      </c>
      <c r="G539" s="5" t="n"/>
      <c r="H539" s="5" t="n"/>
      <c r="I539" s="5" t="n"/>
      <c r="J539" s="5" t="n">
        <v>64.83</v>
      </c>
      <c r="K539" s="5" t="n"/>
      <c r="L539" s="5" t="n"/>
      <c r="M539" s="5" t="n"/>
      <c r="N539" s="5" t="n"/>
      <c r="O539" s="5" t="n">
        <v>389</v>
      </c>
      <c r="P539" s="5" t="n">
        <v>389</v>
      </c>
      <c r="Q539" s="5" t="n"/>
      <c r="R539" s="5" t="n"/>
      <c r="S539" s="5">
        <f>SUM(F539:I539)+N539</f>
        <v/>
      </c>
      <c r="T539" s="5">
        <f>J539</f>
        <v/>
      </c>
      <c r="U539" s="6">
        <f>YEAR(D539)</f>
        <v/>
      </c>
      <c r="V539" s="5">
        <f>TEXT(D539,"yyyy-mm")</f>
        <v/>
      </c>
    </row>
    <row r="540">
      <c r="A540" s="2" t="inlineStr">
        <is>
          <t>EJ300824.TXT</t>
        </is>
      </c>
      <c r="B540" s="3" t="inlineStr">
        <is>
          <t>001790</t>
        </is>
      </c>
      <c r="C540" s="3" t="inlineStr">
        <is>
          <t>001147</t>
        </is>
      </c>
      <c r="D540" s="4" t="n">
        <v>45507</v>
      </c>
      <c r="E540" s="2" t="inlineStr">
        <is>
          <t>14:26</t>
        </is>
      </c>
      <c r="F540" s="5" t="n">
        <v>548.33</v>
      </c>
      <c r="G540" s="5" t="n"/>
      <c r="H540" s="5" t="n"/>
      <c r="I540" s="5" t="n"/>
      <c r="J540" s="5" t="n">
        <v>109.67</v>
      </c>
      <c r="K540" s="5" t="n"/>
      <c r="L540" s="5" t="n"/>
      <c r="M540" s="5" t="n"/>
      <c r="N540" s="5" t="n"/>
      <c r="O540" s="5" t="n">
        <v>658</v>
      </c>
      <c r="P540" s="5" t="n">
        <v>658</v>
      </c>
      <c r="Q540" s="5" t="n"/>
      <c r="R540" s="5" t="n"/>
      <c r="S540" s="5">
        <f>SUM(F540:I540)+N540</f>
        <v/>
      </c>
      <c r="T540" s="5">
        <f>J540</f>
        <v/>
      </c>
      <c r="U540" s="6">
        <f>YEAR(D540)</f>
        <v/>
      </c>
      <c r="V540" s="5">
        <f>TEXT(D540,"yyyy-mm")</f>
        <v/>
      </c>
    </row>
    <row r="541">
      <c r="A541" s="2" t="inlineStr">
        <is>
          <t>EJ300824.TXT</t>
        </is>
      </c>
      <c r="B541" s="3" t="inlineStr">
        <is>
          <t>001791</t>
        </is>
      </c>
      <c r="C541" s="3" t="inlineStr">
        <is>
          <t>001148</t>
        </is>
      </c>
      <c r="D541" s="4" t="n">
        <v>45507</v>
      </c>
      <c r="E541" s="2" t="inlineStr">
        <is>
          <t>14:38</t>
        </is>
      </c>
      <c r="F541" s="5" t="n">
        <v>274.17</v>
      </c>
      <c r="G541" s="5" t="n"/>
      <c r="H541" s="5" t="n"/>
      <c r="I541" s="5" t="n"/>
      <c r="J541" s="5" t="n">
        <v>54.83</v>
      </c>
      <c r="K541" s="5" t="n"/>
      <c r="L541" s="5" t="n"/>
      <c r="M541" s="5" t="n"/>
      <c r="N541" s="5" t="n"/>
      <c r="O541" s="5" t="n">
        <v>329</v>
      </c>
      <c r="P541" s="5" t="n">
        <v>329</v>
      </c>
      <c r="Q541" s="5" t="n"/>
      <c r="R541" s="5" t="n"/>
      <c r="S541" s="5">
        <f>SUM(F541:I541)+N541</f>
        <v/>
      </c>
      <c r="T541" s="5">
        <f>J541</f>
        <v/>
      </c>
      <c r="U541" s="6">
        <f>YEAR(D541)</f>
        <v/>
      </c>
      <c r="V541" s="5">
        <f>TEXT(D541,"yyyy-mm")</f>
        <v/>
      </c>
    </row>
    <row r="542">
      <c r="A542" s="2" t="inlineStr">
        <is>
          <t>EJ300824.TXT</t>
        </is>
      </c>
      <c r="B542" s="3" t="inlineStr">
        <is>
          <t>001792</t>
        </is>
      </c>
      <c r="C542" s="3" t="inlineStr">
        <is>
          <t>001149</t>
        </is>
      </c>
      <c r="D542" s="4" t="n">
        <v>45509</v>
      </c>
      <c r="E542" s="2" t="inlineStr">
        <is>
          <t>09:32</t>
        </is>
      </c>
      <c r="F542" s="5" t="n">
        <v>582.5</v>
      </c>
      <c r="G542" s="5" t="n"/>
      <c r="H542" s="5" t="n"/>
      <c r="I542" s="5" t="n"/>
      <c r="J542" s="5" t="n">
        <v>116.5</v>
      </c>
      <c r="K542" s="5" t="n"/>
      <c r="L542" s="5" t="n"/>
      <c r="M542" s="5" t="n"/>
      <c r="N542" s="5" t="n"/>
      <c r="O542" s="5" t="n">
        <v>699</v>
      </c>
      <c r="P542" s="5" t="n">
        <v>699</v>
      </c>
      <c r="Q542" s="5" t="n"/>
      <c r="R542" s="5" t="n"/>
      <c r="S542" s="5">
        <f>SUM(F542:I542)+N542</f>
        <v/>
      </c>
      <c r="T542" s="5">
        <f>J542</f>
        <v/>
      </c>
      <c r="U542" s="6">
        <f>YEAR(D542)</f>
        <v/>
      </c>
      <c r="V542" s="5">
        <f>TEXT(D542,"yyyy-mm")</f>
        <v/>
      </c>
    </row>
    <row r="543">
      <c r="A543" s="2" t="inlineStr">
        <is>
          <t>EJ300824.TXT</t>
        </is>
      </c>
      <c r="B543" s="3" t="inlineStr">
        <is>
          <t>001793</t>
        </is>
      </c>
      <c r="C543" s="3" t="inlineStr">
        <is>
          <t>001150</t>
        </is>
      </c>
      <c r="D543" s="4" t="n">
        <v>45509</v>
      </c>
      <c r="E543" s="2" t="inlineStr">
        <is>
          <t>11:49</t>
        </is>
      </c>
      <c r="F543" s="5" t="n">
        <v>822.5</v>
      </c>
      <c r="G543" s="5" t="n"/>
      <c r="H543" s="5" t="n"/>
      <c r="I543" s="5" t="n"/>
      <c r="J543" s="5" t="n">
        <v>164.5</v>
      </c>
      <c r="K543" s="5" t="n"/>
      <c r="L543" s="5" t="n"/>
      <c r="M543" s="5" t="n"/>
      <c r="N543" s="5" t="n"/>
      <c r="O543" s="5" t="n">
        <v>987</v>
      </c>
      <c r="P543" s="5" t="n">
        <v>987</v>
      </c>
      <c r="Q543" s="5" t="n"/>
      <c r="R543" s="5" t="n"/>
      <c r="S543" s="5">
        <f>SUM(F543:I543)+N543</f>
        <v/>
      </c>
      <c r="T543" s="5">
        <f>J543</f>
        <v/>
      </c>
      <c r="U543" s="6">
        <f>YEAR(D543)</f>
        <v/>
      </c>
      <c r="V543" s="5">
        <f>TEXT(D543,"yyyy-mm")</f>
        <v/>
      </c>
    </row>
    <row r="544">
      <c r="A544" s="2" t="inlineStr">
        <is>
          <t>EJ300824.TXT</t>
        </is>
      </c>
      <c r="B544" s="3" t="inlineStr">
        <is>
          <t>001795</t>
        </is>
      </c>
      <c r="C544" s="3" t="inlineStr">
        <is>
          <t>001151</t>
        </is>
      </c>
      <c r="D544" s="4" t="n">
        <v>45510</v>
      </c>
      <c r="E544" s="2" t="inlineStr">
        <is>
          <t>08:56</t>
        </is>
      </c>
      <c r="F544" s="5" t="n">
        <v>548.33</v>
      </c>
      <c r="G544" s="5" t="n"/>
      <c r="H544" s="5" t="n"/>
      <c r="I544" s="5" t="n"/>
      <c r="J544" s="5" t="n">
        <v>109.67</v>
      </c>
      <c r="K544" s="5" t="n"/>
      <c r="L544" s="5" t="n"/>
      <c r="M544" s="5" t="n"/>
      <c r="N544" s="5" t="n"/>
      <c r="O544" s="5" t="n">
        <v>658</v>
      </c>
      <c r="P544" s="5" t="n">
        <v>658</v>
      </c>
      <c r="Q544" s="5" t="n"/>
      <c r="R544" s="5" t="n"/>
      <c r="S544" s="5">
        <f>SUM(F544:I544)+N544</f>
        <v/>
      </c>
      <c r="T544" s="5">
        <f>J544</f>
        <v/>
      </c>
      <c r="U544" s="6">
        <f>YEAR(D544)</f>
        <v/>
      </c>
      <c r="V544" s="5">
        <f>TEXT(D544,"yyyy-mm")</f>
        <v/>
      </c>
    </row>
    <row r="545">
      <c r="A545" s="2" t="inlineStr">
        <is>
          <t>EJ300824.TXT</t>
        </is>
      </c>
      <c r="B545" s="3" t="inlineStr">
        <is>
          <t>001798</t>
        </is>
      </c>
      <c r="C545" s="3" t="inlineStr">
        <is>
          <t>001152</t>
        </is>
      </c>
      <c r="D545" s="4" t="n">
        <v>45510</v>
      </c>
      <c r="E545" s="2" t="inlineStr">
        <is>
          <t>16:05</t>
        </is>
      </c>
      <c r="F545" s="5" t="n">
        <v>199.17</v>
      </c>
      <c r="G545" s="5" t="n"/>
      <c r="H545" s="5" t="n"/>
      <c r="I545" s="5" t="n"/>
      <c r="J545" s="5" t="n">
        <v>39.83</v>
      </c>
      <c r="K545" s="5" t="n"/>
      <c r="L545" s="5" t="n"/>
      <c r="M545" s="5" t="n"/>
      <c r="N545" s="5" t="n"/>
      <c r="O545" s="5" t="n">
        <v>239</v>
      </c>
      <c r="P545" s="5" t="n">
        <v>239</v>
      </c>
      <c r="Q545" s="5" t="n"/>
      <c r="R545" s="5" t="n"/>
      <c r="S545" s="5">
        <f>SUM(F545:I545)+N545</f>
        <v/>
      </c>
      <c r="T545" s="5">
        <f>J545</f>
        <v/>
      </c>
      <c r="U545" s="6">
        <f>YEAR(D545)</f>
        <v/>
      </c>
      <c r="V545" s="5">
        <f>TEXT(D545,"yyyy-mm")</f>
        <v/>
      </c>
    </row>
    <row r="546">
      <c r="A546" s="2" t="inlineStr">
        <is>
          <t>EJ300824.TXT</t>
        </is>
      </c>
      <c r="B546" s="3" t="inlineStr">
        <is>
          <t>001799</t>
        </is>
      </c>
      <c r="C546" s="3" t="inlineStr">
        <is>
          <t>001153</t>
        </is>
      </c>
      <c r="D546" s="4" t="n">
        <v>45511</v>
      </c>
      <c r="E546" s="2" t="inlineStr">
        <is>
          <t>09:41</t>
        </is>
      </c>
      <c r="F546" s="5" t="n">
        <v>75</v>
      </c>
      <c r="G546" s="5" t="n"/>
      <c r="H546" s="5" t="n"/>
      <c r="I546" s="5" t="n"/>
      <c r="J546" s="5" t="n">
        <v>15</v>
      </c>
      <c r="K546" s="5" t="n"/>
      <c r="L546" s="5" t="n"/>
      <c r="M546" s="5" t="n"/>
      <c r="N546" s="5" t="n"/>
      <c r="O546" s="5" t="n">
        <v>90</v>
      </c>
      <c r="P546" s="5" t="n">
        <v>90</v>
      </c>
      <c r="Q546" s="5" t="n"/>
      <c r="R546" s="5" t="n"/>
      <c r="S546" s="5">
        <f>SUM(F546:I546)+N546</f>
        <v/>
      </c>
      <c r="T546" s="5">
        <f>J546</f>
        <v/>
      </c>
      <c r="U546" s="6">
        <f>YEAR(D546)</f>
        <v/>
      </c>
      <c r="V546" s="5">
        <f>TEXT(D546,"yyyy-mm")</f>
        <v/>
      </c>
    </row>
    <row r="547">
      <c r="A547" s="2" t="inlineStr">
        <is>
          <t>EJ300824.TXT</t>
        </is>
      </c>
      <c r="B547" s="3" t="inlineStr">
        <is>
          <t>001801</t>
        </is>
      </c>
      <c r="C547" s="3" t="inlineStr">
        <is>
          <t>001154</t>
        </is>
      </c>
      <c r="D547" s="4" t="n">
        <v>45514</v>
      </c>
      <c r="E547" s="2" t="inlineStr">
        <is>
          <t>13:37</t>
        </is>
      </c>
      <c r="F547" s="5" t="n">
        <v>74.92</v>
      </c>
      <c r="G547" s="5" t="n"/>
      <c r="H547" s="5" t="n"/>
      <c r="I547" s="5" t="n"/>
      <c r="J547" s="5" t="n">
        <v>14.98</v>
      </c>
      <c r="K547" s="5" t="n"/>
      <c r="L547" s="5" t="n"/>
      <c r="M547" s="5" t="n"/>
      <c r="N547" s="5" t="n"/>
      <c r="O547" s="5" t="n">
        <v>89.90000000000001</v>
      </c>
      <c r="P547" s="5" t="n">
        <v>89.90000000000001</v>
      </c>
      <c r="Q547" s="5" t="n"/>
      <c r="R547" s="5" t="n"/>
      <c r="S547" s="5">
        <f>SUM(F547:I547)+N547</f>
        <v/>
      </c>
      <c r="T547" s="5">
        <f>J547</f>
        <v/>
      </c>
      <c r="U547" s="6">
        <f>YEAR(D547)</f>
        <v/>
      </c>
      <c r="V547" s="5">
        <f>TEXT(D547,"yyyy-mm")</f>
        <v/>
      </c>
    </row>
    <row r="548">
      <c r="A548" s="2" t="inlineStr">
        <is>
          <t>EJ300824.TXT</t>
        </is>
      </c>
      <c r="B548" s="3" t="inlineStr">
        <is>
          <t>001802</t>
        </is>
      </c>
      <c r="C548" s="3" t="inlineStr">
        <is>
          <t>001155</t>
        </is>
      </c>
      <c r="D548" s="4" t="n">
        <v>45520</v>
      </c>
      <c r="E548" s="2" t="inlineStr">
        <is>
          <t>14:13</t>
        </is>
      </c>
      <c r="F548" s="5" t="n">
        <v>415</v>
      </c>
      <c r="G548" s="5" t="n"/>
      <c r="H548" s="5" t="n"/>
      <c r="I548" s="5" t="n"/>
      <c r="J548" s="5" t="n">
        <v>83</v>
      </c>
      <c r="K548" s="5" t="n"/>
      <c r="L548" s="5" t="n"/>
      <c r="M548" s="5" t="n"/>
      <c r="N548" s="5" t="n"/>
      <c r="O548" s="5" t="n">
        <v>498</v>
      </c>
      <c r="P548" s="5" t="n">
        <v>498</v>
      </c>
      <c r="Q548" s="5" t="n"/>
      <c r="R548" s="5" t="n"/>
      <c r="S548" s="5">
        <f>SUM(F548:I548)+N548</f>
        <v/>
      </c>
      <c r="T548" s="5">
        <f>J548</f>
        <v/>
      </c>
      <c r="U548" s="6">
        <f>YEAR(D548)</f>
        <v/>
      </c>
      <c r="V548" s="5">
        <f>TEXT(D548,"yyyy-mm")</f>
        <v/>
      </c>
    </row>
    <row r="549">
      <c r="A549" s="2" t="inlineStr">
        <is>
          <t>EJ300824.TXT</t>
        </is>
      </c>
      <c r="B549" s="3" t="inlineStr">
        <is>
          <t>001803</t>
        </is>
      </c>
      <c r="C549" s="3" t="inlineStr">
        <is>
          <t>001156</t>
        </is>
      </c>
      <c r="D549" s="4" t="n">
        <v>45521</v>
      </c>
      <c r="E549" s="2" t="inlineStr">
        <is>
          <t>14:58</t>
        </is>
      </c>
      <c r="F549" s="5" t="n">
        <v>1566.67</v>
      </c>
      <c r="G549" s="5" t="n"/>
      <c r="H549" s="5" t="n"/>
      <c r="I549" s="5" t="n"/>
      <c r="J549" s="5" t="n">
        <v>313.33</v>
      </c>
      <c r="K549" s="5" t="n"/>
      <c r="L549" s="5" t="n"/>
      <c r="M549" s="5" t="n"/>
      <c r="N549" s="5" t="n"/>
      <c r="O549" s="5" t="n">
        <v>1880</v>
      </c>
      <c r="P549" s="5" t="n">
        <v>1880</v>
      </c>
      <c r="Q549" s="5" t="n"/>
      <c r="R549" s="5" t="n"/>
      <c r="S549" s="5">
        <f>SUM(F549:I549)+N549</f>
        <v/>
      </c>
      <c r="T549" s="5">
        <f>J549</f>
        <v/>
      </c>
      <c r="U549" s="6">
        <f>YEAR(D549)</f>
        <v/>
      </c>
      <c r="V549" s="5">
        <f>TEXT(D549,"yyyy-mm")</f>
        <v/>
      </c>
    </row>
    <row r="550">
      <c r="A550" s="2" t="inlineStr">
        <is>
          <t>EJ300824.TXT</t>
        </is>
      </c>
      <c r="B550" s="3" t="inlineStr">
        <is>
          <t>001804</t>
        </is>
      </c>
      <c r="C550" s="3" t="inlineStr">
        <is>
          <t>001157</t>
        </is>
      </c>
      <c r="D550" s="4" t="n">
        <v>45521</v>
      </c>
      <c r="E550" s="2" t="inlineStr">
        <is>
          <t>15:20</t>
        </is>
      </c>
      <c r="F550" s="5" t="n">
        <v>548.33</v>
      </c>
      <c r="G550" s="5" t="n"/>
      <c r="H550" s="5" t="n"/>
      <c r="I550" s="5" t="n"/>
      <c r="J550" s="5" t="n">
        <v>109.67</v>
      </c>
      <c r="K550" s="5" t="n"/>
      <c r="L550" s="5" t="n"/>
      <c r="M550" s="5" t="n"/>
      <c r="N550" s="5" t="n"/>
      <c r="O550" s="5" t="n">
        <v>658</v>
      </c>
      <c r="P550" s="5" t="n">
        <v>278</v>
      </c>
      <c r="Q550" s="5" t="n">
        <v>380</v>
      </c>
      <c r="R550" s="5" t="n"/>
      <c r="S550" s="5">
        <f>SUM(F550:I550)+N550</f>
        <v/>
      </c>
      <c r="T550" s="5">
        <f>J550</f>
        <v/>
      </c>
      <c r="U550" s="6">
        <f>YEAR(D550)</f>
        <v/>
      </c>
      <c r="V550" s="5">
        <f>TEXT(D550,"yyyy-mm")</f>
        <v/>
      </c>
    </row>
    <row r="551">
      <c r="A551" s="2" t="inlineStr">
        <is>
          <t>EJ300824.TXT</t>
        </is>
      </c>
      <c r="B551" s="3" t="inlineStr">
        <is>
          <t>001806</t>
        </is>
      </c>
      <c r="C551" s="3" t="inlineStr">
        <is>
          <t>001158</t>
        </is>
      </c>
      <c r="D551" s="4" t="n">
        <v>45521</v>
      </c>
      <c r="E551" s="2" t="inlineStr">
        <is>
          <t>15:45</t>
        </is>
      </c>
      <c r="F551" s="5" t="n">
        <v>191.42</v>
      </c>
      <c r="G551" s="5" t="n"/>
      <c r="H551" s="5" t="n"/>
      <c r="I551" s="5" t="n"/>
      <c r="J551" s="5" t="n">
        <v>38.28</v>
      </c>
      <c r="K551" s="5" t="n"/>
      <c r="L551" s="5" t="n"/>
      <c r="M551" s="5" t="n"/>
      <c r="N551" s="5" t="n"/>
      <c r="O551" s="5" t="n">
        <v>229.7</v>
      </c>
      <c r="P551" s="5" t="n">
        <v>229.7</v>
      </c>
      <c r="Q551" s="5" t="n"/>
      <c r="R551" s="5" t="n"/>
      <c r="S551" s="5">
        <f>SUM(F551:I551)+N551</f>
        <v/>
      </c>
      <c r="T551" s="5">
        <f>J551</f>
        <v/>
      </c>
      <c r="U551" s="6">
        <f>YEAR(D551)</f>
        <v/>
      </c>
      <c r="V551" s="5">
        <f>TEXT(D551,"yyyy-mm")</f>
        <v/>
      </c>
    </row>
    <row r="552">
      <c r="A552" s="2" t="inlineStr">
        <is>
          <t>EJ300824.TXT</t>
        </is>
      </c>
      <c r="B552" s="3" t="inlineStr">
        <is>
          <t>001807</t>
        </is>
      </c>
      <c r="C552" s="3" t="inlineStr">
        <is>
          <t>001159</t>
        </is>
      </c>
      <c r="D552" s="4" t="n">
        <v>45523</v>
      </c>
      <c r="E552" s="2" t="inlineStr">
        <is>
          <t>15:02</t>
        </is>
      </c>
      <c r="F552" s="5" t="n">
        <v>548.33</v>
      </c>
      <c r="G552" s="5" t="n"/>
      <c r="H552" s="5" t="n"/>
      <c r="I552" s="5" t="n"/>
      <c r="J552" s="5" t="n">
        <v>109.67</v>
      </c>
      <c r="K552" s="5" t="n"/>
      <c r="L552" s="5" t="n"/>
      <c r="M552" s="5" t="n"/>
      <c r="N552" s="5" t="n"/>
      <c r="O552" s="5" t="n">
        <v>658</v>
      </c>
      <c r="P552" s="5" t="n"/>
      <c r="Q552" s="5" t="n">
        <v>658</v>
      </c>
      <c r="R552" s="5" t="n"/>
      <c r="S552" s="5">
        <f>SUM(F552:I552)+N552</f>
        <v/>
      </c>
      <c r="T552" s="5">
        <f>J552</f>
        <v/>
      </c>
      <c r="U552" s="6">
        <f>YEAR(D552)</f>
        <v/>
      </c>
      <c r="V552" s="5">
        <f>TEXT(D552,"yyyy-mm")</f>
        <v/>
      </c>
    </row>
    <row r="553">
      <c r="A553" s="2" t="inlineStr">
        <is>
          <t>EJ300824.TXT</t>
        </is>
      </c>
      <c r="B553" s="3" t="inlineStr">
        <is>
          <t>001808</t>
        </is>
      </c>
      <c r="C553" s="3" t="inlineStr">
        <is>
          <t>001160</t>
        </is>
      </c>
      <c r="D553" s="4" t="n">
        <v>45524</v>
      </c>
      <c r="E553" s="2" t="inlineStr">
        <is>
          <t>11:43</t>
        </is>
      </c>
      <c r="F553" s="5" t="n">
        <v>496.67</v>
      </c>
      <c r="G553" s="5" t="n"/>
      <c r="H553" s="5" t="n"/>
      <c r="I553" s="5" t="n"/>
      <c r="J553" s="5" t="n">
        <v>99.33</v>
      </c>
      <c r="K553" s="5" t="n"/>
      <c r="L553" s="5" t="n"/>
      <c r="M553" s="5" t="n"/>
      <c r="N553" s="5" t="n"/>
      <c r="O553" s="5" t="n">
        <v>596</v>
      </c>
      <c r="P553" s="5" t="n">
        <v>596</v>
      </c>
      <c r="Q553" s="5" t="n"/>
      <c r="R553" s="5" t="n"/>
      <c r="S553" s="5">
        <f>SUM(F553:I553)+N553</f>
        <v/>
      </c>
      <c r="T553" s="5">
        <f>J553</f>
        <v/>
      </c>
      <c r="U553" s="6">
        <f>YEAR(D553)</f>
        <v/>
      </c>
      <c r="V553" s="5">
        <f>TEXT(D553,"yyyy-mm")</f>
        <v/>
      </c>
    </row>
    <row r="554">
      <c r="A554" s="2" t="inlineStr">
        <is>
          <t>EJ300824.TXT</t>
        </is>
      </c>
      <c r="B554" s="3" t="inlineStr">
        <is>
          <t>001809</t>
        </is>
      </c>
      <c r="C554" s="3" t="inlineStr">
        <is>
          <t>001161</t>
        </is>
      </c>
      <c r="D554" s="4" t="n">
        <v>45525</v>
      </c>
      <c r="E554" s="2" t="inlineStr">
        <is>
          <t>12:54</t>
        </is>
      </c>
      <c r="F554" s="5" t="n">
        <v>2338.33</v>
      </c>
      <c r="G554" s="5" t="n"/>
      <c r="H554" s="5" t="n"/>
      <c r="I554" s="5" t="n"/>
      <c r="J554" s="5" t="n">
        <v>467.67</v>
      </c>
      <c r="K554" s="5" t="n"/>
      <c r="L554" s="5" t="n"/>
      <c r="M554" s="5" t="n"/>
      <c r="N554" s="5" t="n"/>
      <c r="O554" s="5" t="n">
        <v>2806</v>
      </c>
      <c r="P554" s="5" t="n">
        <v>2806</v>
      </c>
      <c r="Q554" s="5" t="n"/>
      <c r="R554" s="5" t="n"/>
      <c r="S554" s="5">
        <f>SUM(F554:I554)+N554</f>
        <v/>
      </c>
      <c r="T554" s="5">
        <f>J554</f>
        <v/>
      </c>
      <c r="U554" s="6">
        <f>YEAR(D554)</f>
        <v/>
      </c>
      <c r="V554" s="5">
        <f>TEXT(D554,"yyyy-mm")</f>
        <v/>
      </c>
    </row>
    <row r="555">
      <c r="A555" s="2" t="inlineStr">
        <is>
          <t>EJ300824.TXT</t>
        </is>
      </c>
      <c r="B555" s="3" t="inlineStr">
        <is>
          <t>001810</t>
        </is>
      </c>
      <c r="C555" s="3" t="inlineStr">
        <is>
          <t>001162</t>
        </is>
      </c>
      <c r="D555" s="4" t="n">
        <v>45526</v>
      </c>
      <c r="E555" s="2" t="inlineStr">
        <is>
          <t>10:38</t>
        </is>
      </c>
      <c r="F555" s="5" t="n">
        <v>274.17</v>
      </c>
      <c r="G555" s="5" t="n"/>
      <c r="H555" s="5" t="n"/>
      <c r="I555" s="5" t="n"/>
      <c r="J555" s="5" t="n">
        <v>54.83</v>
      </c>
      <c r="K555" s="5" t="n"/>
      <c r="L555" s="5" t="n"/>
      <c r="M555" s="5" t="n"/>
      <c r="N555" s="5" t="n"/>
      <c r="O555" s="5" t="n">
        <v>329</v>
      </c>
      <c r="P555" s="5" t="n"/>
      <c r="Q555" s="5" t="n">
        <v>329</v>
      </c>
      <c r="R555" s="5" t="n"/>
      <c r="S555" s="5">
        <f>SUM(F555:I555)+N555</f>
        <v/>
      </c>
      <c r="T555" s="5">
        <f>J555</f>
        <v/>
      </c>
      <c r="U555" s="6">
        <f>YEAR(D555)</f>
        <v/>
      </c>
      <c r="V555" s="5">
        <f>TEXT(D555,"yyyy-mm")</f>
        <v/>
      </c>
    </row>
    <row r="556">
      <c r="A556" s="2" t="inlineStr">
        <is>
          <t>EJ300824.TXT</t>
        </is>
      </c>
      <c r="B556" s="3" t="inlineStr">
        <is>
          <t>001811</t>
        </is>
      </c>
      <c r="C556" s="3" t="inlineStr">
        <is>
          <t>001163</t>
        </is>
      </c>
      <c r="D556" s="4" t="n">
        <v>45527</v>
      </c>
      <c r="E556" s="2" t="inlineStr">
        <is>
          <t>15:17</t>
        </is>
      </c>
      <c r="F556" s="5" t="n">
        <v>49.92</v>
      </c>
      <c r="G556" s="5" t="n"/>
      <c r="H556" s="5" t="n"/>
      <c r="I556" s="5" t="n"/>
      <c r="J556" s="5" t="n">
        <v>9.98</v>
      </c>
      <c r="K556" s="5" t="n"/>
      <c r="L556" s="5" t="n"/>
      <c r="M556" s="5" t="n"/>
      <c r="N556" s="5" t="n"/>
      <c r="O556" s="5" t="n">
        <v>59.9</v>
      </c>
      <c r="P556" s="5" t="n">
        <v>59.9</v>
      </c>
      <c r="Q556" s="5" t="n"/>
      <c r="R556" s="5" t="n"/>
      <c r="S556" s="5">
        <f>SUM(F556:I556)+N556</f>
        <v/>
      </c>
      <c r="T556" s="5">
        <f>J556</f>
        <v/>
      </c>
      <c r="U556" s="6">
        <f>YEAR(D556)</f>
        <v/>
      </c>
      <c r="V556" s="5">
        <f>TEXT(D556,"yyyy-mm")</f>
        <v/>
      </c>
    </row>
    <row r="557">
      <c r="A557" s="2" t="inlineStr">
        <is>
          <t>EJ300824.TXT</t>
        </is>
      </c>
      <c r="B557" s="3" t="inlineStr">
        <is>
          <t>001812</t>
        </is>
      </c>
      <c r="C557" s="3" t="inlineStr">
        <is>
          <t>001164</t>
        </is>
      </c>
      <c r="D557" s="4" t="n">
        <v>45530</v>
      </c>
      <c r="E557" s="2" t="inlineStr">
        <is>
          <t>09:32</t>
        </is>
      </c>
      <c r="F557" s="5" t="n">
        <v>1096.67</v>
      </c>
      <c r="G557" s="5" t="n"/>
      <c r="H557" s="5" t="n"/>
      <c r="I557" s="5" t="n"/>
      <c r="J557" s="5" t="n">
        <v>219.33</v>
      </c>
      <c r="K557" s="5" t="n"/>
      <c r="L557" s="5" t="n"/>
      <c r="M557" s="5" t="n"/>
      <c r="N557" s="5" t="n"/>
      <c r="O557" s="5" t="n">
        <v>1316</v>
      </c>
      <c r="P557" s="5" t="n">
        <v>316</v>
      </c>
      <c r="Q557" s="5" t="n">
        <v>1000</v>
      </c>
      <c r="R557" s="5" t="n"/>
      <c r="S557" s="5">
        <f>SUM(F557:I557)+N557</f>
        <v/>
      </c>
      <c r="T557" s="5">
        <f>J557</f>
        <v/>
      </c>
      <c r="U557" s="6">
        <f>YEAR(D557)</f>
        <v/>
      </c>
      <c r="V557" s="5">
        <f>TEXT(D557,"yyyy-mm")</f>
        <v/>
      </c>
    </row>
    <row r="558">
      <c r="A558" s="2" t="inlineStr">
        <is>
          <t>EJ300824.TXT</t>
        </is>
      </c>
      <c r="B558" s="3" t="inlineStr">
        <is>
          <t>001814</t>
        </is>
      </c>
      <c r="C558" s="3" t="inlineStr">
        <is>
          <t>001165</t>
        </is>
      </c>
      <c r="D558" s="4" t="n">
        <v>45533</v>
      </c>
      <c r="E558" s="2" t="inlineStr">
        <is>
          <t>11:10</t>
        </is>
      </c>
      <c r="F558" s="5" t="n">
        <v>17500</v>
      </c>
      <c r="G558" s="5" t="n"/>
      <c r="H558" s="5" t="n"/>
      <c r="I558" s="5" t="n"/>
      <c r="J558" s="5" t="n">
        <v>3500</v>
      </c>
      <c r="K558" s="5" t="n"/>
      <c r="L558" s="5" t="n"/>
      <c r="M558" s="5" t="n"/>
      <c r="N558" s="5" t="n"/>
      <c r="O558" s="5" t="n">
        <v>21000</v>
      </c>
      <c r="P558" s="5" t="n">
        <v>21000</v>
      </c>
      <c r="Q558" s="5" t="n"/>
      <c r="R558" s="5" t="n"/>
      <c r="S558" s="5">
        <f>SUM(F558:I558)+N558</f>
        <v/>
      </c>
      <c r="T558" s="5">
        <f>J558</f>
        <v/>
      </c>
      <c r="U558" s="6">
        <f>YEAR(D558)</f>
        <v/>
      </c>
      <c r="V558" s="5">
        <f>TEXT(D558,"yyyy-mm")</f>
        <v/>
      </c>
    </row>
    <row r="559">
      <c r="A559" s="2" t="inlineStr">
        <is>
          <t>EJ300924.TXT</t>
        </is>
      </c>
      <c r="B559" s="3" t="inlineStr">
        <is>
          <t>001822</t>
        </is>
      </c>
      <c r="C559" s="3" t="inlineStr">
        <is>
          <t>001166</t>
        </is>
      </c>
      <c r="D559" s="4" t="n">
        <v>45537</v>
      </c>
      <c r="E559" s="2" t="inlineStr">
        <is>
          <t>14:49</t>
        </is>
      </c>
      <c r="F559" s="5" t="n">
        <v>411.83</v>
      </c>
      <c r="G559" s="5" t="n"/>
      <c r="H559" s="5" t="n"/>
      <c r="I559" s="5" t="n"/>
      <c r="J559" s="5" t="n">
        <v>82.37</v>
      </c>
      <c r="K559" s="5" t="n"/>
      <c r="L559" s="5" t="n"/>
      <c r="M559" s="5" t="n"/>
      <c r="N559" s="5" t="n"/>
      <c r="O559" s="5" t="n">
        <v>494.2</v>
      </c>
      <c r="P559" s="5" t="n"/>
      <c r="Q559" s="5" t="n">
        <v>494.2</v>
      </c>
      <c r="R559" s="5" t="n"/>
      <c r="S559" s="5">
        <f>SUM(F559:I559)+N559</f>
        <v/>
      </c>
      <c r="T559" s="5">
        <f>J559</f>
        <v/>
      </c>
      <c r="U559" s="6">
        <f>YEAR(D559)</f>
        <v/>
      </c>
      <c r="V559" s="5">
        <f>TEXT(D559,"yyyy-mm")</f>
        <v/>
      </c>
    </row>
    <row r="560">
      <c r="A560" s="2" t="inlineStr">
        <is>
          <t>EJ300924.TXT</t>
        </is>
      </c>
      <c r="B560" s="3" t="inlineStr">
        <is>
          <t>001825</t>
        </is>
      </c>
      <c r="C560" s="3" t="inlineStr">
        <is>
          <t>001167</t>
        </is>
      </c>
      <c r="D560" s="4" t="n">
        <v>45538</v>
      </c>
      <c r="E560" s="2" t="inlineStr">
        <is>
          <t>09:38</t>
        </is>
      </c>
      <c r="F560" s="5" t="n">
        <v>190.83</v>
      </c>
      <c r="G560" s="5" t="n"/>
      <c r="H560" s="5" t="n"/>
      <c r="I560" s="5" t="n"/>
      <c r="J560" s="5" t="n">
        <v>38.17</v>
      </c>
      <c r="K560" s="5" t="n"/>
      <c r="L560" s="5" t="n"/>
      <c r="M560" s="5" t="n"/>
      <c r="N560" s="5" t="n"/>
      <c r="O560" s="5" t="n">
        <v>229</v>
      </c>
      <c r="P560" s="5" t="n"/>
      <c r="Q560" s="5" t="n">
        <v>229</v>
      </c>
      <c r="R560" s="5" t="n"/>
      <c r="S560" s="5">
        <f>SUM(F560:I560)+N560</f>
        <v/>
      </c>
      <c r="T560" s="5">
        <f>J560</f>
        <v/>
      </c>
      <c r="U560" s="6">
        <f>YEAR(D560)</f>
        <v/>
      </c>
      <c r="V560" s="5">
        <f>TEXT(D560,"yyyy-mm")</f>
        <v/>
      </c>
    </row>
    <row r="561">
      <c r="A561" s="2" t="inlineStr">
        <is>
          <t>EJ300924.TXT</t>
        </is>
      </c>
      <c r="B561" s="3" t="inlineStr">
        <is>
          <t>001826</t>
        </is>
      </c>
      <c r="C561" s="3" t="inlineStr">
        <is>
          <t>001168</t>
        </is>
      </c>
      <c r="D561" s="4" t="n">
        <v>45538</v>
      </c>
      <c r="E561" s="2" t="inlineStr">
        <is>
          <t>15:10</t>
        </is>
      </c>
      <c r="F561" s="5" t="n">
        <v>1096.67</v>
      </c>
      <c r="G561" s="5" t="n"/>
      <c r="H561" s="5" t="n"/>
      <c r="I561" s="5" t="n"/>
      <c r="J561" s="5" t="n">
        <v>219.33</v>
      </c>
      <c r="K561" s="5" t="n"/>
      <c r="L561" s="5" t="n"/>
      <c r="M561" s="5" t="n"/>
      <c r="N561" s="5" t="n"/>
      <c r="O561" s="5" t="n">
        <v>1316</v>
      </c>
      <c r="P561" s="5" t="n">
        <v>316</v>
      </c>
      <c r="Q561" s="5" t="n">
        <v>1000</v>
      </c>
      <c r="R561" s="5" t="n"/>
      <c r="S561" s="5">
        <f>SUM(F561:I561)+N561</f>
        <v/>
      </c>
      <c r="T561" s="5">
        <f>J561</f>
        <v/>
      </c>
      <c r="U561" s="6">
        <f>YEAR(D561)</f>
        <v/>
      </c>
      <c r="V561" s="5">
        <f>TEXT(D561,"yyyy-mm")</f>
        <v/>
      </c>
    </row>
    <row r="562">
      <c r="A562" s="2" t="inlineStr">
        <is>
          <t>EJ300924.TXT</t>
        </is>
      </c>
      <c r="B562" s="3" t="inlineStr">
        <is>
          <t>001829</t>
        </is>
      </c>
      <c r="C562" s="3" t="inlineStr">
        <is>
          <t>001169</t>
        </is>
      </c>
      <c r="D562" s="4" t="n">
        <v>45541</v>
      </c>
      <c r="E562" s="2" t="inlineStr">
        <is>
          <t>12:13</t>
        </is>
      </c>
      <c r="F562" s="5" t="n">
        <v>45.75</v>
      </c>
      <c r="G562" s="5" t="n"/>
      <c r="H562" s="5" t="n"/>
      <c r="I562" s="5" t="n"/>
      <c r="J562" s="5" t="n">
        <v>9.15</v>
      </c>
      <c r="K562" s="5" t="n"/>
      <c r="L562" s="5" t="n"/>
      <c r="M562" s="5" t="n"/>
      <c r="N562" s="5" t="n"/>
      <c r="O562" s="5" t="n">
        <v>54.9</v>
      </c>
      <c r="P562" s="5" t="n">
        <v>54.9</v>
      </c>
      <c r="Q562" s="5" t="n"/>
      <c r="R562" s="5" t="n"/>
      <c r="S562" s="5">
        <f>SUM(F562:I562)+N562</f>
        <v/>
      </c>
      <c r="T562" s="5">
        <f>J562</f>
        <v/>
      </c>
      <c r="U562" s="6">
        <f>YEAR(D562)</f>
        <v/>
      </c>
      <c r="V562" s="5">
        <f>TEXT(D562,"yyyy-mm")</f>
        <v/>
      </c>
    </row>
    <row r="563">
      <c r="A563" s="2" t="inlineStr">
        <is>
          <t>EJ300924.TXT</t>
        </is>
      </c>
      <c r="B563" s="3" t="inlineStr">
        <is>
          <t>001830</t>
        </is>
      </c>
      <c r="C563" s="3" t="inlineStr">
        <is>
          <t>001170</t>
        </is>
      </c>
      <c r="D563" s="4" t="n">
        <v>45541</v>
      </c>
      <c r="E563" s="2" t="inlineStr">
        <is>
          <t>12:18</t>
        </is>
      </c>
      <c r="F563" s="5" t="n">
        <v>548.33</v>
      </c>
      <c r="G563" s="5" t="n"/>
      <c r="H563" s="5" t="n"/>
      <c r="I563" s="5" t="n"/>
      <c r="J563" s="5" t="n">
        <v>109.67</v>
      </c>
      <c r="K563" s="5" t="n"/>
      <c r="L563" s="5" t="n"/>
      <c r="M563" s="5" t="n"/>
      <c r="N563" s="5" t="n"/>
      <c r="O563" s="5" t="n">
        <v>658</v>
      </c>
      <c r="P563" s="5" t="n"/>
      <c r="Q563" s="5" t="n">
        <v>658</v>
      </c>
      <c r="R563" s="5" t="n"/>
      <c r="S563" s="5">
        <f>SUM(F563:I563)+N563</f>
        <v/>
      </c>
      <c r="T563" s="5">
        <f>J563</f>
        <v/>
      </c>
      <c r="U563" s="6">
        <f>YEAR(D563)</f>
        <v/>
      </c>
      <c r="V563" s="5">
        <f>TEXT(D563,"yyyy-mm")</f>
        <v/>
      </c>
    </row>
    <row r="564">
      <c r="A564" s="2" t="inlineStr">
        <is>
          <t>EJ300924.TXT</t>
        </is>
      </c>
      <c r="B564" s="3" t="inlineStr">
        <is>
          <t>001831</t>
        </is>
      </c>
      <c r="C564" s="3" t="inlineStr">
        <is>
          <t>001171</t>
        </is>
      </c>
      <c r="D564" s="4" t="n">
        <v>45541</v>
      </c>
      <c r="E564" s="2" t="inlineStr">
        <is>
          <t>16:36</t>
        </is>
      </c>
      <c r="F564" s="5" t="n">
        <v>750</v>
      </c>
      <c r="G564" s="5" t="n"/>
      <c r="H564" s="5" t="n"/>
      <c r="I564" s="5" t="n"/>
      <c r="J564" s="5" t="n">
        <v>150</v>
      </c>
      <c r="K564" s="5" t="n"/>
      <c r="L564" s="5" t="n"/>
      <c r="M564" s="5" t="n"/>
      <c r="N564" s="5" t="n"/>
      <c r="O564" s="5" t="n">
        <v>900</v>
      </c>
      <c r="P564" s="5" t="n"/>
      <c r="Q564" s="5" t="n">
        <v>900</v>
      </c>
      <c r="R564" s="5" t="n"/>
      <c r="S564" s="5">
        <f>SUM(F564:I564)+N564</f>
        <v/>
      </c>
      <c r="T564" s="5">
        <f>J564</f>
        <v/>
      </c>
      <c r="U564" s="6">
        <f>YEAR(D564)</f>
        <v/>
      </c>
      <c r="V564" s="5">
        <f>TEXT(D564,"yyyy-mm")</f>
        <v/>
      </c>
    </row>
    <row r="565">
      <c r="A565" s="2" t="inlineStr">
        <is>
          <t>EJ300924.TXT</t>
        </is>
      </c>
      <c r="B565" s="3" t="inlineStr">
        <is>
          <t>001832</t>
        </is>
      </c>
      <c r="C565" s="3" t="inlineStr">
        <is>
          <t>001172</t>
        </is>
      </c>
      <c r="D565" s="4" t="n">
        <v>45541</v>
      </c>
      <c r="E565" s="2" t="inlineStr">
        <is>
          <t>16:37</t>
        </is>
      </c>
      <c r="F565" s="5" t="n">
        <v>106.67</v>
      </c>
      <c r="G565" s="5" t="n"/>
      <c r="H565" s="5" t="n"/>
      <c r="I565" s="5" t="n"/>
      <c r="J565" s="5" t="n">
        <v>21.33</v>
      </c>
      <c r="K565" s="5" t="n"/>
      <c r="L565" s="5" t="n"/>
      <c r="M565" s="5" t="n"/>
      <c r="N565" s="5" t="n"/>
      <c r="O565" s="5" t="n">
        <v>128</v>
      </c>
      <c r="P565" s="5" t="n">
        <v>128</v>
      </c>
      <c r="Q565" s="5" t="n"/>
      <c r="R565" s="5" t="n"/>
      <c r="S565" s="5">
        <f>SUM(F565:I565)+N565</f>
        <v/>
      </c>
      <c r="T565" s="5">
        <f>J565</f>
        <v/>
      </c>
      <c r="U565" s="6">
        <f>YEAR(D565)</f>
        <v/>
      </c>
      <c r="V565" s="5">
        <f>TEXT(D565,"yyyy-mm")</f>
        <v/>
      </c>
    </row>
    <row r="566">
      <c r="A566" s="2" t="inlineStr">
        <is>
          <t>EJ300924.TXT</t>
        </is>
      </c>
      <c r="B566" s="3" t="inlineStr">
        <is>
          <t>001833</t>
        </is>
      </c>
      <c r="C566" s="3" t="inlineStr">
        <is>
          <t>001173</t>
        </is>
      </c>
      <c r="D566" s="4" t="n">
        <v>45541</v>
      </c>
      <c r="E566" s="2" t="inlineStr">
        <is>
          <t>16:49</t>
        </is>
      </c>
      <c r="F566" s="5" t="n">
        <v>140.83</v>
      </c>
      <c r="G566" s="5" t="n"/>
      <c r="H566" s="5" t="n"/>
      <c r="I566" s="5" t="n"/>
      <c r="J566" s="5" t="n">
        <v>28.17</v>
      </c>
      <c r="K566" s="5" t="n"/>
      <c r="L566" s="5" t="n"/>
      <c r="M566" s="5" t="n"/>
      <c r="N566" s="5" t="n"/>
      <c r="O566" s="5" t="n">
        <v>169</v>
      </c>
      <c r="P566" s="5" t="n">
        <v>169</v>
      </c>
      <c r="Q566" s="5" t="n"/>
      <c r="R566" s="5" t="n"/>
      <c r="S566" s="5">
        <f>SUM(F566:I566)+N566</f>
        <v/>
      </c>
      <c r="T566" s="5">
        <f>J566</f>
        <v/>
      </c>
      <c r="U566" s="6">
        <f>YEAR(D566)</f>
        <v/>
      </c>
      <c r="V566" s="5">
        <f>TEXT(D566,"yyyy-mm")</f>
        <v/>
      </c>
    </row>
    <row r="567">
      <c r="A567" s="2" t="inlineStr">
        <is>
          <t>EJ300924.TXT</t>
        </is>
      </c>
      <c r="B567" s="3" t="inlineStr">
        <is>
          <t>001834</t>
        </is>
      </c>
      <c r="C567" s="3" t="inlineStr">
        <is>
          <t>001174</t>
        </is>
      </c>
      <c r="D567" s="4" t="n">
        <v>45544</v>
      </c>
      <c r="E567" s="2" t="inlineStr">
        <is>
          <t>12:33</t>
        </is>
      </c>
      <c r="F567" s="5" t="n">
        <v>548.33</v>
      </c>
      <c r="G567" s="5" t="n"/>
      <c r="H567" s="5" t="n"/>
      <c r="I567" s="5" t="n"/>
      <c r="J567" s="5" t="n">
        <v>109.67</v>
      </c>
      <c r="K567" s="5" t="n"/>
      <c r="L567" s="5" t="n"/>
      <c r="M567" s="5" t="n"/>
      <c r="N567" s="5" t="n"/>
      <c r="O567" s="5" t="n">
        <v>658</v>
      </c>
      <c r="P567" s="5" t="n">
        <v>658</v>
      </c>
      <c r="Q567" s="5" t="n"/>
      <c r="R567" s="5" t="n"/>
      <c r="S567" s="5">
        <f>SUM(F567:I567)+N567</f>
        <v/>
      </c>
      <c r="T567" s="5">
        <f>J567</f>
        <v/>
      </c>
      <c r="U567" s="6">
        <f>YEAR(D567)</f>
        <v/>
      </c>
      <c r="V567" s="5">
        <f>TEXT(D567,"yyyy-mm")</f>
        <v/>
      </c>
    </row>
    <row r="568">
      <c r="A568" s="2" t="inlineStr">
        <is>
          <t>EJ300924.TXT</t>
        </is>
      </c>
      <c r="B568" s="3" t="inlineStr">
        <is>
          <t>001835</t>
        </is>
      </c>
      <c r="C568" s="3" t="inlineStr">
        <is>
          <t>001175</t>
        </is>
      </c>
      <c r="D568" s="4" t="n">
        <v>45545</v>
      </c>
      <c r="E568" s="2" t="inlineStr">
        <is>
          <t>14:31</t>
        </is>
      </c>
      <c r="F568" s="5" t="n">
        <v>548.33</v>
      </c>
      <c r="G568" s="5" t="n"/>
      <c r="H568" s="5" t="n"/>
      <c r="I568" s="5" t="n"/>
      <c r="J568" s="5" t="n">
        <v>109.67</v>
      </c>
      <c r="K568" s="5" t="n"/>
      <c r="L568" s="5" t="n"/>
      <c r="M568" s="5" t="n"/>
      <c r="N568" s="5" t="n"/>
      <c r="O568" s="5" t="n">
        <v>658</v>
      </c>
      <c r="P568" s="5" t="n">
        <v>658</v>
      </c>
      <c r="Q568" s="5" t="n"/>
      <c r="R568" s="5" t="n"/>
      <c r="S568" s="5">
        <f>SUM(F568:I568)+N568</f>
        <v/>
      </c>
      <c r="T568" s="5">
        <f>J568</f>
        <v/>
      </c>
      <c r="U568" s="6">
        <f>YEAR(D568)</f>
        <v/>
      </c>
      <c r="V568" s="5">
        <f>TEXT(D568,"yyyy-mm")</f>
        <v/>
      </c>
    </row>
    <row r="569">
      <c r="A569" s="2" t="inlineStr">
        <is>
          <t>EJ300924.TXT</t>
        </is>
      </c>
      <c r="B569" s="3" t="inlineStr">
        <is>
          <t>001837</t>
        </is>
      </c>
      <c r="C569" s="3" t="inlineStr">
        <is>
          <t>001176</t>
        </is>
      </c>
      <c r="D569" s="4" t="n">
        <v>45548</v>
      </c>
      <c r="E569" s="2" t="inlineStr">
        <is>
          <t>12:15</t>
        </is>
      </c>
      <c r="F569" s="5" t="n">
        <v>73.33</v>
      </c>
      <c r="G569" s="5" t="n"/>
      <c r="H569" s="5" t="n"/>
      <c r="I569" s="5" t="n"/>
      <c r="J569" s="5" t="n">
        <v>14.67</v>
      </c>
      <c r="K569" s="5" t="n"/>
      <c r="L569" s="5" t="n"/>
      <c r="M569" s="5" t="n"/>
      <c r="N569" s="5" t="n"/>
      <c r="O569" s="5" t="n">
        <v>88</v>
      </c>
      <c r="P569" s="5" t="n"/>
      <c r="Q569" s="5" t="n">
        <v>88</v>
      </c>
      <c r="R569" s="5" t="n"/>
      <c r="S569" s="5">
        <f>SUM(F569:I569)+N569</f>
        <v/>
      </c>
      <c r="T569" s="5">
        <f>J569</f>
        <v/>
      </c>
      <c r="U569" s="6">
        <f>YEAR(D569)</f>
        <v/>
      </c>
      <c r="V569" s="5">
        <f>TEXT(D569,"yyyy-mm")</f>
        <v/>
      </c>
    </row>
    <row r="570">
      <c r="A570" s="2" t="inlineStr">
        <is>
          <t>EJ300924.TXT</t>
        </is>
      </c>
      <c r="B570" s="3" t="inlineStr">
        <is>
          <t>001838</t>
        </is>
      </c>
      <c r="C570" s="3" t="inlineStr">
        <is>
          <t>001177</t>
        </is>
      </c>
      <c r="D570" s="4" t="n">
        <v>45552</v>
      </c>
      <c r="E570" s="2" t="inlineStr">
        <is>
          <t>11:36</t>
        </is>
      </c>
      <c r="F570" s="5" t="n">
        <v>796.67</v>
      </c>
      <c r="G570" s="5" t="n"/>
      <c r="H570" s="5" t="n"/>
      <c r="I570" s="5" t="n"/>
      <c r="J570" s="5" t="n">
        <v>159.33</v>
      </c>
      <c r="K570" s="5" t="n"/>
      <c r="L570" s="5" t="n"/>
      <c r="M570" s="5" t="n"/>
      <c r="N570" s="5" t="n"/>
      <c r="O570" s="5" t="n">
        <v>956</v>
      </c>
      <c r="P570" s="5" t="n">
        <v>956</v>
      </c>
      <c r="Q570" s="5" t="n"/>
      <c r="R570" s="5" t="n"/>
      <c r="S570" s="5">
        <f>SUM(F570:I570)+N570</f>
        <v/>
      </c>
      <c r="T570" s="5">
        <f>J570</f>
        <v/>
      </c>
      <c r="U570" s="6">
        <f>YEAR(D570)</f>
        <v/>
      </c>
      <c r="V570" s="5">
        <f>TEXT(D570,"yyyy-mm")</f>
        <v/>
      </c>
    </row>
    <row r="571">
      <c r="A571" s="2" t="inlineStr">
        <is>
          <t>EJ300924.TXT</t>
        </is>
      </c>
      <c r="B571" s="3" t="inlineStr">
        <is>
          <t>001839</t>
        </is>
      </c>
      <c r="C571" s="3" t="inlineStr">
        <is>
          <t>001178</t>
        </is>
      </c>
      <c r="D571" s="4" t="n">
        <v>45553</v>
      </c>
      <c r="E571" s="2" t="inlineStr">
        <is>
          <t>09:38</t>
        </is>
      </c>
      <c r="F571" s="5" t="n">
        <v>548.33</v>
      </c>
      <c r="G571" s="5" t="n"/>
      <c r="H571" s="5" t="n"/>
      <c r="I571" s="5" t="n"/>
      <c r="J571" s="5" t="n">
        <v>109.67</v>
      </c>
      <c r="K571" s="5" t="n"/>
      <c r="L571" s="5" t="n"/>
      <c r="M571" s="5" t="n"/>
      <c r="N571" s="5" t="n"/>
      <c r="O571" s="5" t="n">
        <v>658</v>
      </c>
      <c r="P571" s="5" t="n"/>
      <c r="Q571" s="5" t="n">
        <v>658</v>
      </c>
      <c r="R571" s="5" t="n"/>
      <c r="S571" s="5">
        <f>SUM(F571:I571)+N571</f>
        <v/>
      </c>
      <c r="T571" s="5">
        <f>J571</f>
        <v/>
      </c>
      <c r="U571" s="6">
        <f>YEAR(D571)</f>
        <v/>
      </c>
      <c r="V571" s="5">
        <f>TEXT(D571,"yyyy-mm")</f>
        <v/>
      </c>
    </row>
    <row r="572">
      <c r="A572" s="2" t="inlineStr">
        <is>
          <t>EJ300924.TXT</t>
        </is>
      </c>
      <c r="B572" s="3" t="inlineStr">
        <is>
          <t>001840</t>
        </is>
      </c>
      <c r="C572" s="3" t="inlineStr">
        <is>
          <t>001179</t>
        </is>
      </c>
      <c r="D572" s="4" t="n">
        <v>45553</v>
      </c>
      <c r="E572" s="2" t="inlineStr">
        <is>
          <t>10:12</t>
        </is>
      </c>
      <c r="F572" s="5" t="n">
        <v>548.33</v>
      </c>
      <c r="G572" s="5" t="n"/>
      <c r="H572" s="5" t="n"/>
      <c r="I572" s="5" t="n"/>
      <c r="J572" s="5" t="n">
        <v>109.67</v>
      </c>
      <c r="K572" s="5" t="n"/>
      <c r="L572" s="5" t="n"/>
      <c r="M572" s="5" t="n"/>
      <c r="N572" s="5" t="n"/>
      <c r="O572" s="5" t="n">
        <v>658</v>
      </c>
      <c r="P572" s="5" t="n">
        <v>658</v>
      </c>
      <c r="Q572" s="5" t="n"/>
      <c r="R572" s="5" t="n"/>
      <c r="S572" s="5">
        <f>SUM(F572:I572)+N572</f>
        <v/>
      </c>
      <c r="T572" s="5">
        <f>J572</f>
        <v/>
      </c>
      <c r="U572" s="6">
        <f>YEAR(D572)</f>
        <v/>
      </c>
      <c r="V572" s="5">
        <f>TEXT(D572,"yyyy-mm")</f>
        <v/>
      </c>
    </row>
    <row r="573">
      <c r="A573" s="2" t="inlineStr">
        <is>
          <t>EJ300924.TXT</t>
        </is>
      </c>
      <c r="B573" s="3" t="inlineStr">
        <is>
          <t>001841</t>
        </is>
      </c>
      <c r="C573" s="3" t="inlineStr">
        <is>
          <t>001180</t>
        </is>
      </c>
      <c r="D573" s="4" t="n">
        <v>45553</v>
      </c>
      <c r="E573" s="2" t="inlineStr">
        <is>
          <t>15:18</t>
        </is>
      </c>
      <c r="F573" s="5" t="n">
        <v>1894.83</v>
      </c>
      <c r="G573" s="5" t="n"/>
      <c r="H573" s="5" t="n"/>
      <c r="I573" s="5" t="n"/>
      <c r="J573" s="5" t="n">
        <v>378.97</v>
      </c>
      <c r="K573" s="5" t="n"/>
      <c r="L573" s="5" t="n"/>
      <c r="M573" s="5" t="n"/>
      <c r="N573" s="5" t="n"/>
      <c r="O573" s="5" t="n">
        <v>2273.8</v>
      </c>
      <c r="P573" s="5" t="n">
        <v>1273.8</v>
      </c>
      <c r="Q573" s="5" t="n">
        <v>1000</v>
      </c>
      <c r="R573" s="5" t="n"/>
      <c r="S573" s="5">
        <f>SUM(F573:I573)+N573</f>
        <v/>
      </c>
      <c r="T573" s="5">
        <f>J573</f>
        <v/>
      </c>
      <c r="U573" s="6">
        <f>YEAR(D573)</f>
        <v/>
      </c>
      <c r="V573" s="5">
        <f>TEXT(D573,"yyyy-mm")</f>
        <v/>
      </c>
    </row>
    <row r="574">
      <c r="A574" s="2" t="inlineStr">
        <is>
          <t>EJ300924.TXT</t>
        </is>
      </c>
      <c r="B574" s="3" t="inlineStr">
        <is>
          <t>001843</t>
        </is>
      </c>
      <c r="C574" s="3" t="inlineStr">
        <is>
          <t>001181</t>
        </is>
      </c>
      <c r="D574" s="4" t="n">
        <v>45556</v>
      </c>
      <c r="E574" s="2" t="inlineStr">
        <is>
          <t>13:24</t>
        </is>
      </c>
      <c r="F574" s="5" t="n">
        <v>1896.67</v>
      </c>
      <c r="G574" s="5" t="n"/>
      <c r="H574" s="5" t="n"/>
      <c r="I574" s="5" t="n"/>
      <c r="J574" s="5" t="n">
        <v>379.33</v>
      </c>
      <c r="K574" s="5" t="n"/>
      <c r="L574" s="5" t="n"/>
      <c r="M574" s="5" t="n"/>
      <c r="N574" s="5" t="n"/>
      <c r="O574" s="5" t="n">
        <v>2276</v>
      </c>
      <c r="P574" s="5" t="n">
        <v>2276</v>
      </c>
      <c r="Q574" s="5" t="n"/>
      <c r="R574" s="5" t="n"/>
      <c r="S574" s="5">
        <f>SUM(F574:I574)+N574</f>
        <v/>
      </c>
      <c r="T574" s="5">
        <f>J574</f>
        <v/>
      </c>
      <c r="U574" s="6">
        <f>YEAR(D574)</f>
        <v/>
      </c>
      <c r="V574" s="5">
        <f>TEXT(D574,"yyyy-mm")</f>
        <v/>
      </c>
    </row>
    <row r="575">
      <c r="A575" s="2" t="inlineStr">
        <is>
          <t>EJ300924.TXT</t>
        </is>
      </c>
      <c r="B575" s="3" t="inlineStr">
        <is>
          <t>001844</t>
        </is>
      </c>
      <c r="C575" s="3" t="inlineStr">
        <is>
          <t>001182</t>
        </is>
      </c>
      <c r="D575" s="4" t="n">
        <v>45556</v>
      </c>
      <c r="E575" s="2" t="inlineStr">
        <is>
          <t>13:48</t>
        </is>
      </c>
      <c r="F575" s="5" t="n">
        <v>822.5</v>
      </c>
      <c r="G575" s="5" t="n"/>
      <c r="H575" s="5" t="n"/>
      <c r="I575" s="5" t="n"/>
      <c r="J575" s="5" t="n">
        <v>164.5</v>
      </c>
      <c r="K575" s="5" t="n"/>
      <c r="L575" s="5" t="n"/>
      <c r="M575" s="5" t="n"/>
      <c r="N575" s="5" t="n"/>
      <c r="O575" s="5" t="n">
        <v>987</v>
      </c>
      <c r="P575" s="5" t="n">
        <v>987</v>
      </c>
      <c r="Q575" s="5" t="n"/>
      <c r="R575" s="5" t="n"/>
      <c r="S575" s="5">
        <f>SUM(F575:I575)+N575</f>
        <v/>
      </c>
      <c r="T575" s="5">
        <f>J575</f>
        <v/>
      </c>
      <c r="U575" s="6">
        <f>YEAR(D575)</f>
        <v/>
      </c>
      <c r="V575" s="5">
        <f>TEXT(D575,"yyyy-mm")</f>
        <v/>
      </c>
    </row>
    <row r="576">
      <c r="A576" s="2" t="inlineStr">
        <is>
          <t>EJ300924.TXT</t>
        </is>
      </c>
      <c r="B576" s="3" t="inlineStr">
        <is>
          <t>001845</t>
        </is>
      </c>
      <c r="C576" s="3" t="inlineStr">
        <is>
          <t>001183</t>
        </is>
      </c>
      <c r="D576" s="4" t="n">
        <v>45556</v>
      </c>
      <c r="E576" s="2" t="inlineStr">
        <is>
          <t>16:17</t>
        </is>
      </c>
      <c r="F576" s="5" t="n">
        <v>548.33</v>
      </c>
      <c r="G576" s="5" t="n"/>
      <c r="H576" s="5" t="n"/>
      <c r="I576" s="5" t="n"/>
      <c r="J576" s="5" t="n">
        <v>109.67</v>
      </c>
      <c r="K576" s="5" t="n"/>
      <c r="L576" s="5" t="n"/>
      <c r="M576" s="5" t="n"/>
      <c r="N576" s="5" t="n"/>
      <c r="O576" s="5" t="n">
        <v>658</v>
      </c>
      <c r="P576" s="5" t="n">
        <v>658</v>
      </c>
      <c r="Q576" s="5" t="n"/>
      <c r="R576" s="5" t="n"/>
      <c r="S576" s="5">
        <f>SUM(F576:I576)+N576</f>
        <v/>
      </c>
      <c r="T576" s="5">
        <f>J576</f>
        <v/>
      </c>
      <c r="U576" s="6">
        <f>YEAR(D576)</f>
        <v/>
      </c>
      <c r="V576" s="5">
        <f>TEXT(D576,"yyyy-mm")</f>
        <v/>
      </c>
    </row>
    <row r="577">
      <c r="A577" s="2" t="inlineStr">
        <is>
          <t>EJ300924.TXT</t>
        </is>
      </c>
      <c r="B577" s="3" t="inlineStr">
        <is>
          <t>001846</t>
        </is>
      </c>
      <c r="C577" s="3" t="inlineStr">
        <is>
          <t>001184</t>
        </is>
      </c>
      <c r="D577" s="4" t="n">
        <v>45559</v>
      </c>
      <c r="E577" s="2" t="inlineStr">
        <is>
          <t>10:07</t>
        </is>
      </c>
      <c r="F577" s="5" t="n">
        <v>796.67</v>
      </c>
      <c r="G577" s="5" t="n"/>
      <c r="H577" s="5" t="n"/>
      <c r="I577" s="5" t="n"/>
      <c r="J577" s="5" t="n">
        <v>159.33</v>
      </c>
      <c r="K577" s="5" t="n"/>
      <c r="L577" s="5" t="n"/>
      <c r="M577" s="5" t="n"/>
      <c r="N577" s="5" t="n"/>
      <c r="O577" s="5" t="n">
        <v>956</v>
      </c>
      <c r="P577" s="5" t="n">
        <v>956</v>
      </c>
      <c r="Q577" s="5" t="n"/>
      <c r="R577" s="5" t="n"/>
      <c r="S577" s="5">
        <f>SUM(F577:I577)+N577</f>
        <v/>
      </c>
      <c r="T577" s="5">
        <f>J577</f>
        <v/>
      </c>
      <c r="U577" s="6">
        <f>YEAR(D577)</f>
        <v/>
      </c>
      <c r="V577" s="5">
        <f>TEXT(D577,"yyyy-mm")</f>
        <v/>
      </c>
    </row>
    <row r="578">
      <c r="A578" s="2" t="inlineStr">
        <is>
          <t>EJ300924.TXT</t>
        </is>
      </c>
      <c r="B578" s="3" t="inlineStr">
        <is>
          <t>001847</t>
        </is>
      </c>
      <c r="C578" s="3" t="inlineStr">
        <is>
          <t>001185</t>
        </is>
      </c>
      <c r="D578" s="4" t="n">
        <v>45560</v>
      </c>
      <c r="E578" s="2" t="inlineStr">
        <is>
          <t>10:06</t>
        </is>
      </c>
      <c r="F578" s="5" t="n">
        <v>1530</v>
      </c>
      <c r="G578" s="5" t="n"/>
      <c r="H578" s="5" t="n"/>
      <c r="I578" s="5" t="n"/>
      <c r="J578" s="5" t="n">
        <v>306</v>
      </c>
      <c r="K578" s="5" t="n"/>
      <c r="L578" s="5" t="n"/>
      <c r="M578" s="5" t="n"/>
      <c r="N578" s="5" t="n"/>
      <c r="O578" s="5" t="n">
        <v>1836</v>
      </c>
      <c r="P578" s="5" t="n">
        <v>1836</v>
      </c>
      <c r="Q578" s="5" t="n"/>
      <c r="R578" s="5" t="n"/>
      <c r="S578" s="5">
        <f>SUM(F578:I578)+N578</f>
        <v/>
      </c>
      <c r="T578" s="5">
        <f>J578</f>
        <v/>
      </c>
      <c r="U578" s="6">
        <f>YEAR(D578)</f>
        <v/>
      </c>
      <c r="V578" s="5">
        <f>TEXT(D578,"yyyy-mm")</f>
        <v/>
      </c>
    </row>
    <row r="579">
      <c r="A579" s="2" t="inlineStr">
        <is>
          <t>EJ300924.TXT</t>
        </is>
      </c>
      <c r="B579" s="3" t="inlineStr">
        <is>
          <t>001849</t>
        </is>
      </c>
      <c r="C579" s="3" t="inlineStr">
        <is>
          <t>001186</t>
        </is>
      </c>
      <c r="D579" s="4" t="n">
        <v>45561</v>
      </c>
      <c r="E579" s="2" t="inlineStr">
        <is>
          <t>09:53</t>
        </is>
      </c>
      <c r="F579" s="5" t="n">
        <v>2261.67</v>
      </c>
      <c r="G579" s="5" t="n"/>
      <c r="H579" s="5" t="n"/>
      <c r="I579" s="5" t="n"/>
      <c r="J579" s="5" t="n">
        <v>452.33</v>
      </c>
      <c r="K579" s="5" t="n"/>
      <c r="L579" s="5" t="n"/>
      <c r="M579" s="5" t="n"/>
      <c r="N579" s="5" t="n"/>
      <c r="O579" s="5" t="n">
        <v>2714</v>
      </c>
      <c r="P579" s="5" t="n">
        <v>2714</v>
      </c>
      <c r="Q579" s="5" t="n"/>
      <c r="R579" s="5" t="n"/>
      <c r="S579" s="5">
        <f>SUM(F579:I579)+N579</f>
        <v/>
      </c>
      <c r="T579" s="5">
        <f>J579</f>
        <v/>
      </c>
      <c r="U579" s="6">
        <f>YEAR(D579)</f>
        <v/>
      </c>
      <c r="V579" s="5">
        <f>TEXT(D579,"yyyy-mm")</f>
        <v/>
      </c>
    </row>
    <row r="580">
      <c r="A580" s="2" t="inlineStr">
        <is>
          <t>EJ300924.TXT</t>
        </is>
      </c>
      <c r="B580" s="3" t="inlineStr">
        <is>
          <t>001850</t>
        </is>
      </c>
      <c r="C580" s="3" t="inlineStr">
        <is>
          <t>001187</t>
        </is>
      </c>
      <c r="D580" s="4" t="n">
        <v>45563</v>
      </c>
      <c r="E580" s="2" t="inlineStr">
        <is>
          <t>13:07</t>
        </is>
      </c>
      <c r="F580" s="5" t="n">
        <v>548.33</v>
      </c>
      <c r="G580" s="5" t="n"/>
      <c r="H580" s="5" t="n"/>
      <c r="I580" s="5" t="n"/>
      <c r="J580" s="5" t="n">
        <v>109.67</v>
      </c>
      <c r="K580" s="5" t="n"/>
      <c r="L580" s="5" t="n"/>
      <c r="M580" s="5" t="n"/>
      <c r="N580" s="5" t="n"/>
      <c r="O580" s="5" t="n">
        <v>658</v>
      </c>
      <c r="P580" s="5" t="n">
        <v>658</v>
      </c>
      <c r="Q580" s="5" t="n"/>
      <c r="R580" s="5" t="n"/>
      <c r="S580" s="5">
        <f>SUM(F580:I580)+N580</f>
        <v/>
      </c>
      <c r="T580" s="5">
        <f>J580</f>
        <v/>
      </c>
      <c r="U580" s="6">
        <f>YEAR(D580)</f>
        <v/>
      </c>
      <c r="V580" s="5">
        <f>TEXT(D580,"yyyy-mm")</f>
        <v/>
      </c>
    </row>
    <row r="581">
      <c r="A581" s="2" t="inlineStr">
        <is>
          <t>EJ021124.TXT</t>
        </is>
      </c>
      <c r="B581" s="3" t="inlineStr">
        <is>
          <t>001856</t>
        </is>
      </c>
      <c r="C581" s="3" t="inlineStr">
        <is>
          <t>001188</t>
        </is>
      </c>
      <c r="D581" s="4" t="n">
        <v>45566</v>
      </c>
      <c r="E581" s="2" t="inlineStr">
        <is>
          <t>11:37</t>
        </is>
      </c>
      <c r="F581" s="5" t="n">
        <v>49.92</v>
      </c>
      <c r="G581" s="5" t="n"/>
      <c r="H581" s="5" t="n"/>
      <c r="I581" s="5" t="n"/>
      <c r="J581" s="5" t="n">
        <v>9.98</v>
      </c>
      <c r="K581" s="5" t="n"/>
      <c r="L581" s="5" t="n"/>
      <c r="M581" s="5" t="n"/>
      <c r="N581" s="5" t="n"/>
      <c r="O581" s="5" t="n">
        <v>59.9</v>
      </c>
      <c r="P581" s="5" t="n">
        <v>59.9</v>
      </c>
      <c r="Q581" s="5" t="n"/>
      <c r="R581" s="5" t="n"/>
      <c r="S581" s="5">
        <f>SUM(F581:I581)+N581</f>
        <v/>
      </c>
      <c r="T581" s="5">
        <f>J581</f>
        <v/>
      </c>
      <c r="U581" s="6">
        <f>YEAR(D581)</f>
        <v/>
      </c>
      <c r="V581" s="5">
        <f>TEXT(D581,"yyyy-mm")</f>
        <v/>
      </c>
    </row>
    <row r="582">
      <c r="A582" s="2" t="inlineStr">
        <is>
          <t>EJ021124.TXT</t>
        </is>
      </c>
      <c r="B582" s="3" t="inlineStr">
        <is>
          <t>001857</t>
        </is>
      </c>
      <c r="C582" s="3" t="inlineStr">
        <is>
          <t>001189</t>
        </is>
      </c>
      <c r="D582" s="4" t="n">
        <v>45567</v>
      </c>
      <c r="E582" s="2" t="inlineStr">
        <is>
          <t>13:48</t>
        </is>
      </c>
      <c r="F582" s="5" t="n">
        <v>73.33</v>
      </c>
      <c r="G582" s="5" t="n"/>
      <c r="H582" s="5" t="n"/>
      <c r="I582" s="5" t="n"/>
      <c r="J582" s="5" t="n">
        <v>14.67</v>
      </c>
      <c r="K582" s="5" t="n"/>
      <c r="L582" s="5" t="n"/>
      <c r="M582" s="5" t="n"/>
      <c r="N582" s="5" t="n"/>
      <c r="O582" s="5" t="n">
        <v>88</v>
      </c>
      <c r="P582" s="5" t="n">
        <v>88</v>
      </c>
      <c r="Q582" s="5" t="n"/>
      <c r="R582" s="5" t="n"/>
      <c r="S582" s="5">
        <f>SUM(F582:I582)+N582</f>
        <v/>
      </c>
      <c r="T582" s="5">
        <f>J582</f>
        <v/>
      </c>
      <c r="U582" s="6">
        <f>YEAR(D582)</f>
        <v/>
      </c>
      <c r="V582" s="5">
        <f>TEXT(D582,"yyyy-mm")</f>
        <v/>
      </c>
    </row>
    <row r="583">
      <c r="A583" s="2" t="inlineStr">
        <is>
          <t>EJ021124.TXT</t>
        </is>
      </c>
      <c r="B583" s="3" t="inlineStr">
        <is>
          <t>001860</t>
        </is>
      </c>
      <c r="C583" s="3" t="inlineStr">
        <is>
          <t>001190</t>
        </is>
      </c>
      <c r="D583" s="4" t="n">
        <v>45569</v>
      </c>
      <c r="E583" s="2" t="inlineStr">
        <is>
          <t>16:03</t>
        </is>
      </c>
      <c r="F583" s="5" t="n">
        <v>45.75</v>
      </c>
      <c r="G583" s="5" t="n"/>
      <c r="H583" s="5" t="n"/>
      <c r="I583" s="5" t="n"/>
      <c r="J583" s="5" t="n">
        <v>9.15</v>
      </c>
      <c r="K583" s="5" t="n"/>
      <c r="L583" s="5" t="n"/>
      <c r="M583" s="5" t="n"/>
      <c r="N583" s="5" t="n"/>
      <c r="O583" s="5" t="n">
        <v>54.9</v>
      </c>
      <c r="P583" s="5" t="n">
        <v>54.9</v>
      </c>
      <c r="Q583" s="5" t="n"/>
      <c r="R583" s="5" t="n"/>
      <c r="S583" s="5">
        <f>SUM(F583:I583)+N583</f>
        <v/>
      </c>
      <c r="T583" s="5">
        <f>J583</f>
        <v/>
      </c>
      <c r="U583" s="6">
        <f>YEAR(D583)</f>
        <v/>
      </c>
      <c r="V583" s="5">
        <f>TEXT(D583,"yyyy-mm")</f>
        <v/>
      </c>
    </row>
    <row r="584">
      <c r="A584" s="2" t="inlineStr">
        <is>
          <t>EJ021124.TXT</t>
        </is>
      </c>
      <c r="B584" s="3" t="inlineStr">
        <is>
          <t>001861</t>
        </is>
      </c>
      <c r="C584" s="3" t="inlineStr">
        <is>
          <t>001191</t>
        </is>
      </c>
      <c r="D584" s="4" t="n">
        <v>45572</v>
      </c>
      <c r="E584" s="2" t="inlineStr">
        <is>
          <t>10:14</t>
        </is>
      </c>
      <c r="F584" s="5" t="n">
        <v>21000</v>
      </c>
      <c r="G584" s="5" t="n"/>
      <c r="H584" s="5" t="n"/>
      <c r="I584" s="5" t="n"/>
      <c r="J584" s="5" t="n">
        <v>4200</v>
      </c>
      <c r="K584" s="5" t="n"/>
      <c r="L584" s="5" t="n"/>
      <c r="M584" s="5" t="n"/>
      <c r="N584" s="5" t="n"/>
      <c r="O584" s="5" t="n">
        <v>25200</v>
      </c>
      <c r="P584" s="5" t="n">
        <v>25200</v>
      </c>
      <c r="Q584" s="5" t="n"/>
      <c r="R584" s="5" t="n"/>
      <c r="S584" s="5">
        <f>SUM(F584:I584)+N584</f>
        <v/>
      </c>
      <c r="T584" s="5">
        <f>J584</f>
        <v/>
      </c>
      <c r="U584" s="6">
        <f>YEAR(D584)</f>
        <v/>
      </c>
      <c r="V584" s="5">
        <f>TEXT(D584,"yyyy-mm")</f>
        <v/>
      </c>
    </row>
    <row r="585">
      <c r="A585" s="2" t="inlineStr">
        <is>
          <t>EJ021124.TXT</t>
        </is>
      </c>
      <c r="B585" s="3" t="inlineStr">
        <is>
          <t>001862</t>
        </is>
      </c>
      <c r="C585" s="3" t="inlineStr">
        <is>
          <t>001192</t>
        </is>
      </c>
      <c r="D585" s="4" t="n">
        <v>45574</v>
      </c>
      <c r="E585" s="2" t="inlineStr">
        <is>
          <t>15:23</t>
        </is>
      </c>
      <c r="F585" s="5" t="n">
        <v>274.17</v>
      </c>
      <c r="G585" s="5" t="n"/>
      <c r="H585" s="5" t="n"/>
      <c r="I585" s="5" t="n"/>
      <c r="J585" s="5" t="n">
        <v>54.83</v>
      </c>
      <c r="K585" s="5" t="n"/>
      <c r="L585" s="5" t="n"/>
      <c r="M585" s="5" t="n"/>
      <c r="N585" s="5" t="n"/>
      <c r="O585" s="5" t="n">
        <v>329</v>
      </c>
      <c r="P585" s="5" t="n">
        <v>329</v>
      </c>
      <c r="Q585" s="5" t="n"/>
      <c r="R585" s="5" t="n"/>
      <c r="S585" s="5">
        <f>SUM(F585:I585)+N585</f>
        <v/>
      </c>
      <c r="T585" s="5">
        <f>J585</f>
        <v/>
      </c>
      <c r="U585" s="6">
        <f>YEAR(D585)</f>
        <v/>
      </c>
      <c r="V585" s="5">
        <f>TEXT(D585,"yyyy-mm")</f>
        <v/>
      </c>
    </row>
    <row r="586">
      <c r="A586" s="2" t="inlineStr">
        <is>
          <t>EJ021124.TXT</t>
        </is>
      </c>
      <c r="B586" s="3" t="inlineStr">
        <is>
          <t>001863</t>
        </is>
      </c>
      <c r="C586" s="3" t="inlineStr">
        <is>
          <t>001193</t>
        </is>
      </c>
      <c r="D586" s="4" t="n">
        <v>45575</v>
      </c>
      <c r="E586" s="2" t="inlineStr">
        <is>
          <t>13:18</t>
        </is>
      </c>
      <c r="F586" s="5" t="n">
        <v>2413.33</v>
      </c>
      <c r="G586" s="5" t="n"/>
      <c r="H586" s="5" t="n"/>
      <c r="I586" s="5" t="n"/>
      <c r="J586" s="5" t="n">
        <v>482.67</v>
      </c>
      <c r="K586" s="5" t="n"/>
      <c r="L586" s="5" t="n"/>
      <c r="M586" s="5" t="n"/>
      <c r="N586" s="5" t="n"/>
      <c r="O586" s="5" t="n">
        <v>2896</v>
      </c>
      <c r="P586" s="5" t="n">
        <v>1896</v>
      </c>
      <c r="Q586" s="5" t="n">
        <v>1000</v>
      </c>
      <c r="R586" s="5" t="n"/>
      <c r="S586" s="5">
        <f>SUM(F586:I586)+N586</f>
        <v/>
      </c>
      <c r="T586" s="5">
        <f>J586</f>
        <v/>
      </c>
      <c r="U586" s="6">
        <f>YEAR(D586)</f>
        <v/>
      </c>
      <c r="V586" s="5">
        <f>TEXT(D586,"yyyy-mm")</f>
        <v/>
      </c>
    </row>
    <row r="587">
      <c r="A587" s="2" t="inlineStr">
        <is>
          <t>EJ021124.TXT</t>
        </is>
      </c>
      <c r="B587" s="3" t="inlineStr">
        <is>
          <t>001867</t>
        </is>
      </c>
      <c r="C587" s="3" t="inlineStr">
        <is>
          <t>001194</t>
        </is>
      </c>
      <c r="D587" s="4" t="n">
        <v>45581</v>
      </c>
      <c r="E587" s="2" t="inlineStr">
        <is>
          <t>14:16</t>
        </is>
      </c>
      <c r="F587" s="5" t="n">
        <v>82.33</v>
      </c>
      <c r="G587" s="5" t="n"/>
      <c r="H587" s="5" t="n"/>
      <c r="I587" s="5" t="n"/>
      <c r="J587" s="5" t="n">
        <v>16.47</v>
      </c>
      <c r="K587" s="5" t="n"/>
      <c r="L587" s="5" t="n"/>
      <c r="M587" s="5" t="n"/>
      <c r="N587" s="5" t="n"/>
      <c r="O587" s="5" t="n">
        <v>98.8</v>
      </c>
      <c r="P587" s="5" t="n"/>
      <c r="Q587" s="5" t="n">
        <v>98.8</v>
      </c>
      <c r="R587" s="5" t="n"/>
      <c r="S587" s="5">
        <f>SUM(F587:I587)+N587</f>
        <v/>
      </c>
      <c r="T587" s="5">
        <f>J587</f>
        <v/>
      </c>
      <c r="U587" s="6">
        <f>YEAR(D587)</f>
        <v/>
      </c>
      <c r="V587" s="5">
        <f>TEXT(D587,"yyyy-mm")</f>
        <v/>
      </c>
    </row>
    <row r="588">
      <c r="A588" s="2" t="inlineStr">
        <is>
          <t>EJ021124.TXT</t>
        </is>
      </c>
      <c r="B588" s="3" t="inlineStr">
        <is>
          <t>001868</t>
        </is>
      </c>
      <c r="C588" s="3" t="inlineStr">
        <is>
          <t>001195</t>
        </is>
      </c>
      <c r="D588" s="4" t="n">
        <v>45583</v>
      </c>
      <c r="E588" s="2" t="inlineStr">
        <is>
          <t>15:57</t>
        </is>
      </c>
      <c r="F588" s="5" t="n">
        <v>3200</v>
      </c>
      <c r="G588" s="5" t="n"/>
      <c r="H588" s="5" t="n"/>
      <c r="I588" s="5" t="n"/>
      <c r="J588" s="5" t="n">
        <v>640</v>
      </c>
      <c r="K588" s="5" t="n"/>
      <c r="L588" s="5" t="n"/>
      <c r="M588" s="5" t="n"/>
      <c r="N588" s="5" t="n"/>
      <c r="O588" s="5" t="n">
        <v>3840</v>
      </c>
      <c r="P588" s="5" t="n">
        <v>3840</v>
      </c>
      <c r="Q588" s="5" t="n"/>
      <c r="R588" s="5" t="n"/>
      <c r="S588" s="5">
        <f>SUM(F588:I588)+N588</f>
        <v/>
      </c>
      <c r="T588" s="5">
        <f>J588</f>
        <v/>
      </c>
      <c r="U588" s="6">
        <f>YEAR(D588)</f>
        <v/>
      </c>
      <c r="V588" s="5">
        <f>TEXT(D588,"yyyy-mm")</f>
        <v/>
      </c>
    </row>
    <row r="589">
      <c r="A589" s="2" t="inlineStr">
        <is>
          <t>EJ021124.TXT</t>
        </is>
      </c>
      <c r="B589" s="3" t="inlineStr">
        <is>
          <t>001869</t>
        </is>
      </c>
      <c r="C589" s="3" t="inlineStr">
        <is>
          <t>001196</t>
        </is>
      </c>
      <c r="D589" s="4" t="n">
        <v>45587</v>
      </c>
      <c r="E589" s="2" t="inlineStr">
        <is>
          <t>13:53</t>
        </is>
      </c>
      <c r="F589" s="5" t="n">
        <v>274.17</v>
      </c>
      <c r="G589" s="5" t="n"/>
      <c r="H589" s="5" t="n"/>
      <c r="I589" s="5" t="n"/>
      <c r="J589" s="5" t="n">
        <v>54.83</v>
      </c>
      <c r="K589" s="5" t="n"/>
      <c r="L589" s="5" t="n"/>
      <c r="M589" s="5" t="n"/>
      <c r="N589" s="5" t="n"/>
      <c r="O589" s="5" t="n">
        <v>329</v>
      </c>
      <c r="P589" s="5" t="n">
        <v>329</v>
      </c>
      <c r="Q589" s="5" t="n"/>
      <c r="R589" s="5" t="n"/>
      <c r="S589" s="5">
        <f>SUM(F589:I589)+N589</f>
        <v/>
      </c>
      <c r="T589" s="5">
        <f>J589</f>
        <v/>
      </c>
      <c r="U589" s="6">
        <f>YEAR(D589)</f>
        <v/>
      </c>
      <c r="V589" s="5">
        <f>TEXT(D589,"yyyy-mm")</f>
        <v/>
      </c>
    </row>
    <row r="590">
      <c r="A590" s="2" t="inlineStr">
        <is>
          <t>EJ021124.TXT</t>
        </is>
      </c>
      <c r="B590" s="3" t="inlineStr">
        <is>
          <t>001870</t>
        </is>
      </c>
      <c r="C590" s="3" t="inlineStr">
        <is>
          <t>001197</t>
        </is>
      </c>
      <c r="D590" s="4" t="n">
        <v>45587</v>
      </c>
      <c r="E590" s="2" t="inlineStr">
        <is>
          <t>14:42</t>
        </is>
      </c>
      <c r="F590" s="5" t="n">
        <v>175</v>
      </c>
      <c r="G590" s="5" t="n"/>
      <c r="H590" s="5" t="n"/>
      <c r="I590" s="5" t="n"/>
      <c r="J590" s="5" t="n">
        <v>35</v>
      </c>
      <c r="K590" s="5" t="n"/>
      <c r="L590" s="5" t="n"/>
      <c r="M590" s="5" t="n"/>
      <c r="N590" s="5" t="n"/>
      <c r="O590" s="5" t="n">
        <v>210</v>
      </c>
      <c r="P590" s="5" t="n"/>
      <c r="Q590" s="5" t="n">
        <v>210</v>
      </c>
      <c r="R590" s="5" t="n"/>
      <c r="S590" s="5">
        <f>SUM(F590:I590)+N590</f>
        <v/>
      </c>
      <c r="T590" s="5">
        <f>J590</f>
        <v/>
      </c>
      <c r="U590" s="6">
        <f>YEAR(D590)</f>
        <v/>
      </c>
      <c r="V590" s="5">
        <f>TEXT(D590,"yyyy-mm")</f>
        <v/>
      </c>
    </row>
    <row r="591">
      <c r="A591" s="2" t="inlineStr">
        <is>
          <t>EJ021124.TXT</t>
        </is>
      </c>
      <c r="B591" s="3" t="inlineStr">
        <is>
          <t>001871</t>
        </is>
      </c>
      <c r="C591" s="3" t="inlineStr">
        <is>
          <t>001198</t>
        </is>
      </c>
      <c r="D591" s="4" t="n">
        <v>45593</v>
      </c>
      <c r="E591" s="2" t="inlineStr">
        <is>
          <t>11:38</t>
        </is>
      </c>
      <c r="F591" s="5" t="n">
        <v>274.17</v>
      </c>
      <c r="G591" s="5" t="n"/>
      <c r="H591" s="5" t="n"/>
      <c r="I591" s="5" t="n"/>
      <c r="J591" s="5" t="n">
        <v>54.83</v>
      </c>
      <c r="K591" s="5" t="n"/>
      <c r="L591" s="5" t="n"/>
      <c r="M591" s="5" t="n"/>
      <c r="N591" s="5" t="n"/>
      <c r="O591" s="5" t="n">
        <v>329</v>
      </c>
      <c r="P591" s="5" t="n"/>
      <c r="Q591" s="5" t="n">
        <v>329</v>
      </c>
      <c r="R591" s="5" t="n"/>
      <c r="S591" s="5">
        <f>SUM(F591:I591)+N591</f>
        <v/>
      </c>
      <c r="T591" s="5">
        <f>J591</f>
        <v/>
      </c>
      <c r="U591" s="6">
        <f>YEAR(D591)</f>
        <v/>
      </c>
      <c r="V591" s="5">
        <f>TEXT(D591,"yyyy-mm")</f>
        <v/>
      </c>
    </row>
    <row r="592">
      <c r="A592" s="2" t="inlineStr">
        <is>
          <t>EJ021124.TXT</t>
        </is>
      </c>
      <c r="B592" s="3" t="inlineStr">
        <is>
          <t>001872</t>
        </is>
      </c>
      <c r="C592" s="3" t="inlineStr">
        <is>
          <t>001199</t>
        </is>
      </c>
      <c r="D592" s="4" t="n">
        <v>45594</v>
      </c>
      <c r="E592" s="2" t="inlineStr">
        <is>
          <t>16:48</t>
        </is>
      </c>
      <c r="F592" s="5" t="n">
        <v>2298.33</v>
      </c>
      <c r="G592" s="5" t="n"/>
      <c r="H592" s="5" t="n"/>
      <c r="I592" s="5" t="n"/>
      <c r="J592" s="5" t="n">
        <v>459.67</v>
      </c>
      <c r="K592" s="5" t="n"/>
      <c r="L592" s="5" t="n"/>
      <c r="M592" s="5" t="n"/>
      <c r="N592" s="5" t="n"/>
      <c r="O592" s="5" t="n">
        <v>2758</v>
      </c>
      <c r="P592" s="5" t="n">
        <v>2758</v>
      </c>
      <c r="Q592" s="5" t="n"/>
      <c r="R592" s="5" t="n"/>
      <c r="S592" s="5">
        <f>SUM(F592:I592)+N592</f>
        <v/>
      </c>
      <c r="T592" s="5">
        <f>J592</f>
        <v/>
      </c>
      <c r="U592" s="6">
        <f>YEAR(D592)</f>
        <v/>
      </c>
      <c r="V592" s="5">
        <f>TEXT(D592,"yyyy-mm")</f>
        <v/>
      </c>
    </row>
    <row r="593">
      <c r="A593" s="2" t="inlineStr">
        <is>
          <t>EJ021124.TXT</t>
        </is>
      </c>
      <c r="B593" s="3" t="inlineStr">
        <is>
          <t>001873</t>
        </is>
      </c>
      <c r="C593" s="3" t="inlineStr">
        <is>
          <t>001200</t>
        </is>
      </c>
      <c r="D593" s="4" t="n">
        <v>45596</v>
      </c>
      <c r="E593" s="2" t="inlineStr">
        <is>
          <t>12:57</t>
        </is>
      </c>
      <c r="F593" s="5" t="n">
        <v>124.17</v>
      </c>
      <c r="G593" s="5" t="n"/>
      <c r="H593" s="5" t="n"/>
      <c r="I593" s="5" t="n"/>
      <c r="J593" s="5" t="n">
        <v>24.83</v>
      </c>
      <c r="K593" s="5" t="n"/>
      <c r="L593" s="5" t="n"/>
      <c r="M593" s="5" t="n"/>
      <c r="N593" s="5" t="n"/>
      <c r="O593" s="5" t="n">
        <v>149</v>
      </c>
      <c r="P593" s="5" t="n">
        <v>149</v>
      </c>
      <c r="Q593" s="5" t="n"/>
      <c r="R593" s="5" t="n"/>
      <c r="S593" s="5">
        <f>SUM(F593:I593)+N593</f>
        <v/>
      </c>
      <c r="T593" s="5">
        <f>J593</f>
        <v/>
      </c>
      <c r="U593" s="6">
        <f>YEAR(D593)</f>
        <v/>
      </c>
      <c r="V593" s="5">
        <f>TEXT(D593,"yyyy-mm")</f>
        <v/>
      </c>
    </row>
    <row r="594">
      <c r="A594" s="2" t="inlineStr">
        <is>
          <t>EJ021124.TXT</t>
        </is>
      </c>
      <c r="B594" s="3" t="inlineStr">
        <is>
          <t>001874</t>
        </is>
      </c>
      <c r="C594" s="3" t="inlineStr">
        <is>
          <t>001201</t>
        </is>
      </c>
      <c r="D594" s="4" t="n">
        <v>45598</v>
      </c>
      <c r="E594" s="2" t="inlineStr">
        <is>
          <t>14:11</t>
        </is>
      </c>
      <c r="F594" s="5" t="n">
        <v>830</v>
      </c>
      <c r="G594" s="5" t="n"/>
      <c r="H594" s="5" t="n"/>
      <c r="I594" s="5" t="n"/>
      <c r="J594" s="5" t="n">
        <v>166</v>
      </c>
      <c r="K594" s="5" t="n"/>
      <c r="L594" s="5" t="n"/>
      <c r="M594" s="5" t="n"/>
      <c r="N594" s="5" t="n"/>
      <c r="O594" s="5" t="n">
        <v>996</v>
      </c>
      <c r="P594" s="5" t="n"/>
      <c r="Q594" s="5" t="n">
        <v>996</v>
      </c>
      <c r="R594" s="5" t="n"/>
      <c r="S594" s="5">
        <f>SUM(F594:I594)+N594</f>
        <v/>
      </c>
      <c r="T594" s="5">
        <f>J594</f>
        <v/>
      </c>
      <c r="U594" s="6">
        <f>YEAR(D594)</f>
        <v/>
      </c>
      <c r="V594" s="5">
        <f>TEXT(D594,"yyyy-mm")</f>
        <v/>
      </c>
    </row>
    <row r="595">
      <c r="A595" s="2" t="inlineStr">
        <is>
          <t>EJ021224.TXT</t>
        </is>
      </c>
      <c r="B595" s="3" t="inlineStr">
        <is>
          <t>001881</t>
        </is>
      </c>
      <c r="C595" s="3" t="inlineStr">
        <is>
          <t>001202</t>
        </is>
      </c>
      <c r="D595" s="4" t="n">
        <v>45609</v>
      </c>
      <c r="E595" s="2" t="inlineStr">
        <is>
          <t>12:46</t>
        </is>
      </c>
      <c r="F595" s="5" t="n">
        <v>1096.67</v>
      </c>
      <c r="G595" s="5" t="n"/>
      <c r="H595" s="5" t="n"/>
      <c r="I595" s="5" t="n"/>
      <c r="J595" s="5" t="n">
        <v>219.33</v>
      </c>
      <c r="K595" s="5" t="n"/>
      <c r="L595" s="5" t="n"/>
      <c r="M595" s="5" t="n"/>
      <c r="N595" s="5" t="n"/>
      <c r="O595" s="5" t="n">
        <v>1316</v>
      </c>
      <c r="P595" s="5" t="n">
        <v>1316</v>
      </c>
      <c r="Q595" s="5" t="n"/>
      <c r="R595" s="5" t="n"/>
      <c r="S595" s="5">
        <f>SUM(F595:I595)+N595</f>
        <v/>
      </c>
      <c r="T595" s="5">
        <f>J595</f>
        <v/>
      </c>
      <c r="U595" s="6">
        <f>YEAR(D595)</f>
        <v/>
      </c>
      <c r="V595" s="5">
        <f>TEXT(D595,"yyyy-mm")</f>
        <v/>
      </c>
    </row>
    <row r="596">
      <c r="A596" s="2" t="inlineStr">
        <is>
          <t>EJ021224.TXT</t>
        </is>
      </c>
      <c r="B596" s="3" t="inlineStr">
        <is>
          <t>001885</t>
        </is>
      </c>
      <c r="C596" s="3" t="inlineStr">
        <is>
          <t>001203</t>
        </is>
      </c>
      <c r="D596" s="4" t="n">
        <v>45617</v>
      </c>
      <c r="E596" s="2" t="inlineStr">
        <is>
          <t>13:23</t>
        </is>
      </c>
      <c r="F596" s="5" t="n">
        <v>73.33</v>
      </c>
      <c r="G596" s="5" t="n"/>
      <c r="H596" s="5" t="n"/>
      <c r="I596" s="5" t="n"/>
      <c r="J596" s="5" t="n">
        <v>14.67</v>
      </c>
      <c r="K596" s="5" t="n"/>
      <c r="L596" s="5" t="n"/>
      <c r="M596" s="5" t="n"/>
      <c r="N596" s="5" t="n"/>
      <c r="O596" s="5" t="n">
        <v>88</v>
      </c>
      <c r="P596" s="5" t="n">
        <v>88</v>
      </c>
      <c r="Q596" s="5" t="n"/>
      <c r="R596" s="5" t="n"/>
      <c r="S596" s="5">
        <f>SUM(F596:I596)+N596</f>
        <v/>
      </c>
      <c r="T596" s="5">
        <f>J596</f>
        <v/>
      </c>
      <c r="U596" s="6">
        <f>YEAR(D596)</f>
        <v/>
      </c>
      <c r="V596" s="5">
        <f>TEXT(D596,"yyyy-mm")</f>
        <v/>
      </c>
    </row>
    <row r="597">
      <c r="A597" s="2" t="inlineStr">
        <is>
          <t>EJ021224.TXT</t>
        </is>
      </c>
      <c r="B597" s="3" t="inlineStr">
        <is>
          <t>001886</t>
        </is>
      </c>
      <c r="C597" s="3" t="inlineStr">
        <is>
          <t>001204</t>
        </is>
      </c>
      <c r="D597" s="4" t="n">
        <v>45617</v>
      </c>
      <c r="E597" s="2" t="inlineStr">
        <is>
          <t>13:33</t>
        </is>
      </c>
      <c r="F597" s="5" t="n">
        <v>199.17</v>
      </c>
      <c r="G597" s="5" t="n"/>
      <c r="H597" s="5" t="n"/>
      <c r="I597" s="5" t="n"/>
      <c r="J597" s="5" t="n">
        <v>39.83</v>
      </c>
      <c r="K597" s="5" t="n"/>
      <c r="L597" s="5" t="n"/>
      <c r="M597" s="5" t="n"/>
      <c r="N597" s="5" t="n"/>
      <c r="O597" s="5" t="n">
        <v>239</v>
      </c>
      <c r="P597" s="5" t="n">
        <v>239</v>
      </c>
      <c r="Q597" s="5" t="n"/>
      <c r="R597" s="5" t="n"/>
      <c r="S597" s="5">
        <f>SUM(F597:I597)+N597</f>
        <v/>
      </c>
      <c r="T597" s="5">
        <f>J597</f>
        <v/>
      </c>
      <c r="U597" s="6">
        <f>YEAR(D597)</f>
        <v/>
      </c>
      <c r="V597" s="5">
        <f>TEXT(D597,"yyyy-mm")</f>
        <v/>
      </c>
    </row>
    <row r="598">
      <c r="A598" s="2" t="inlineStr">
        <is>
          <t>EJ021224.TXT</t>
        </is>
      </c>
      <c r="B598" s="3" t="inlineStr">
        <is>
          <t>001887</t>
        </is>
      </c>
      <c r="C598" s="3" t="inlineStr">
        <is>
          <t>001205</t>
        </is>
      </c>
      <c r="D598" s="4" t="n">
        <v>45618</v>
      </c>
      <c r="E598" s="2" t="inlineStr">
        <is>
          <t>13:01</t>
        </is>
      </c>
      <c r="F598" s="5" t="n">
        <v>57.42</v>
      </c>
      <c r="G598" s="5" t="n"/>
      <c r="H598" s="5" t="n"/>
      <c r="I598" s="5" t="n"/>
      <c r="J598" s="5" t="n">
        <v>11.48</v>
      </c>
      <c r="K598" s="5" t="n"/>
      <c r="L598" s="5" t="n"/>
      <c r="M598" s="5" t="n"/>
      <c r="N598" s="5" t="n"/>
      <c r="O598" s="5" t="n">
        <v>68.90000000000001</v>
      </c>
      <c r="P598" s="5" t="n">
        <v>68.90000000000001</v>
      </c>
      <c r="Q598" s="5" t="n"/>
      <c r="R598" s="5" t="n"/>
      <c r="S598" s="5">
        <f>SUM(F598:I598)+N598</f>
        <v/>
      </c>
      <c r="T598" s="5">
        <f>J598</f>
        <v/>
      </c>
      <c r="U598" s="6">
        <f>YEAR(D598)</f>
        <v/>
      </c>
      <c r="V598" s="5">
        <f>TEXT(D598,"yyyy-mm")</f>
        <v/>
      </c>
    </row>
    <row r="599">
      <c r="A599" s="2" t="inlineStr">
        <is>
          <t>EJ021224.TXT</t>
        </is>
      </c>
      <c r="B599" s="3" t="inlineStr">
        <is>
          <t>001888</t>
        </is>
      </c>
      <c r="C599" s="3" t="inlineStr">
        <is>
          <t>001206</t>
        </is>
      </c>
      <c r="D599" s="4" t="n">
        <v>45618</v>
      </c>
      <c r="E599" s="2" t="inlineStr">
        <is>
          <t>15:52</t>
        </is>
      </c>
      <c r="F599" s="5" t="n">
        <v>548.33</v>
      </c>
      <c r="G599" s="5" t="n"/>
      <c r="H599" s="5" t="n"/>
      <c r="I599" s="5" t="n"/>
      <c r="J599" s="5" t="n">
        <v>109.67</v>
      </c>
      <c r="K599" s="5" t="n"/>
      <c r="L599" s="5" t="n"/>
      <c r="M599" s="5" t="n"/>
      <c r="N599" s="5" t="n"/>
      <c r="O599" s="5" t="n">
        <v>658</v>
      </c>
      <c r="P599" s="5" t="n">
        <v>658</v>
      </c>
      <c r="Q599" s="5" t="n"/>
      <c r="R599" s="5" t="n"/>
      <c r="S599" s="5">
        <f>SUM(F599:I599)+N599</f>
        <v/>
      </c>
      <c r="T599" s="5">
        <f>J599</f>
        <v/>
      </c>
      <c r="U599" s="6">
        <f>YEAR(D599)</f>
        <v/>
      </c>
      <c r="V599" s="5">
        <f>TEXT(D599,"yyyy-mm")</f>
        <v/>
      </c>
    </row>
    <row r="600">
      <c r="A600" s="2" t="inlineStr">
        <is>
          <t>EJ021224.TXT</t>
        </is>
      </c>
      <c r="B600" s="3" t="inlineStr">
        <is>
          <t>001889</t>
        </is>
      </c>
      <c r="C600" s="3" t="inlineStr">
        <is>
          <t>001207</t>
        </is>
      </c>
      <c r="D600" s="4" t="n">
        <v>45622</v>
      </c>
      <c r="E600" s="2" t="inlineStr">
        <is>
          <t>10:35</t>
        </is>
      </c>
      <c r="F600" s="5" t="n">
        <v>1096.67</v>
      </c>
      <c r="G600" s="5" t="n"/>
      <c r="H600" s="5" t="n"/>
      <c r="I600" s="5" t="n"/>
      <c r="J600" s="5" t="n">
        <v>219.33</v>
      </c>
      <c r="K600" s="5" t="n"/>
      <c r="L600" s="5" t="n"/>
      <c r="M600" s="5" t="n"/>
      <c r="N600" s="5" t="n"/>
      <c r="O600" s="5" t="n">
        <v>1316</v>
      </c>
      <c r="P600" s="5" t="n">
        <v>1316</v>
      </c>
      <c r="Q600" s="5" t="n"/>
      <c r="R600" s="5" t="n"/>
      <c r="S600" s="5">
        <f>SUM(F600:I600)+N600</f>
        <v/>
      </c>
      <c r="T600" s="5">
        <f>J600</f>
        <v/>
      </c>
      <c r="U600" s="6">
        <f>YEAR(D600)</f>
        <v/>
      </c>
      <c r="V600" s="5">
        <f>TEXT(D600,"yyyy-mm")</f>
        <v/>
      </c>
    </row>
    <row r="601">
      <c r="A601" s="2" t="inlineStr">
        <is>
          <t>EJ021224.TXT</t>
        </is>
      </c>
      <c r="B601" s="3" t="inlineStr">
        <is>
          <t>001891</t>
        </is>
      </c>
      <c r="C601" s="3" t="inlineStr">
        <is>
          <t>001208</t>
        </is>
      </c>
      <c r="D601" s="4" t="n">
        <v>45624</v>
      </c>
      <c r="E601" s="2" t="inlineStr">
        <is>
          <t>14:31</t>
        </is>
      </c>
      <c r="F601" s="5" t="n">
        <v>1096.67</v>
      </c>
      <c r="G601" s="5" t="n"/>
      <c r="H601" s="5" t="n"/>
      <c r="I601" s="5" t="n"/>
      <c r="J601" s="5" t="n">
        <v>219.33</v>
      </c>
      <c r="K601" s="5" t="n"/>
      <c r="L601" s="5" t="n"/>
      <c r="M601" s="5" t="n"/>
      <c r="N601" s="5" t="n"/>
      <c r="O601" s="5" t="n">
        <v>1316</v>
      </c>
      <c r="P601" s="5" t="n">
        <v>1316</v>
      </c>
      <c r="Q601" s="5" t="n"/>
      <c r="R601" s="5" t="n"/>
      <c r="S601" s="5">
        <f>SUM(F601:I601)+N601</f>
        <v/>
      </c>
      <c r="T601" s="5">
        <f>J601</f>
        <v/>
      </c>
      <c r="U601" s="6">
        <f>YEAR(D601)</f>
        <v/>
      </c>
      <c r="V601" s="5">
        <f>TEXT(D601,"yyyy-mm")</f>
        <v/>
      </c>
    </row>
    <row r="602">
      <c r="A602" s="2" t="inlineStr">
        <is>
          <t>EJ311224.TXT</t>
        </is>
      </c>
      <c r="B602" s="3" t="inlineStr">
        <is>
          <t>001900</t>
        </is>
      </c>
      <c r="C602" s="3" t="inlineStr">
        <is>
          <t>001209</t>
        </is>
      </c>
      <c r="D602" s="4" t="n">
        <v>45629</v>
      </c>
      <c r="E602" s="2" t="inlineStr">
        <is>
          <t>14:03</t>
        </is>
      </c>
      <c r="F602" s="5" t="n">
        <v>531.67</v>
      </c>
      <c r="G602" s="5" t="n"/>
      <c r="H602" s="5" t="n"/>
      <c r="I602" s="5" t="n"/>
      <c r="J602" s="5" t="n">
        <v>106.33</v>
      </c>
      <c r="K602" s="5" t="n"/>
      <c r="L602" s="5" t="n"/>
      <c r="M602" s="5" t="n"/>
      <c r="N602" s="5" t="n"/>
      <c r="O602" s="5" t="n">
        <v>638</v>
      </c>
      <c r="P602" s="5" t="n">
        <v>638</v>
      </c>
      <c r="Q602" s="5" t="n"/>
      <c r="R602" s="5" t="n"/>
      <c r="S602" s="5">
        <f>SUM(F602:I602)+N602</f>
        <v/>
      </c>
      <c r="T602" s="5">
        <f>J602</f>
        <v/>
      </c>
      <c r="U602" s="6">
        <f>YEAR(D602)</f>
        <v/>
      </c>
      <c r="V602" s="5">
        <f>TEXT(D602,"yyyy-mm")</f>
        <v/>
      </c>
    </row>
    <row r="603">
      <c r="A603" s="2" t="inlineStr">
        <is>
          <t>EJ311224.TXT</t>
        </is>
      </c>
      <c r="B603" s="3" t="inlineStr">
        <is>
          <t>001901</t>
        </is>
      </c>
      <c r="C603" s="3" t="inlineStr">
        <is>
          <t>001210</t>
        </is>
      </c>
      <c r="D603" s="4" t="n">
        <v>45631</v>
      </c>
      <c r="E603" s="2" t="inlineStr">
        <is>
          <t>10:42</t>
        </is>
      </c>
      <c r="F603" s="5" t="n">
        <v>531.67</v>
      </c>
      <c r="G603" s="5" t="n"/>
      <c r="H603" s="5" t="n"/>
      <c r="I603" s="5" t="n"/>
      <c r="J603" s="5" t="n">
        <v>106.33</v>
      </c>
      <c r="K603" s="5" t="n"/>
      <c r="L603" s="5" t="n"/>
      <c r="M603" s="5" t="n"/>
      <c r="N603" s="5" t="n"/>
      <c r="O603" s="5" t="n">
        <v>638</v>
      </c>
      <c r="P603" s="5" t="n">
        <v>638</v>
      </c>
      <c r="Q603" s="5" t="n"/>
      <c r="R603" s="5" t="n"/>
      <c r="S603" s="5">
        <f>SUM(F603:I603)+N603</f>
        <v/>
      </c>
      <c r="T603" s="5">
        <f>J603</f>
        <v/>
      </c>
      <c r="U603" s="6">
        <f>YEAR(D603)</f>
        <v/>
      </c>
      <c r="V603" s="5">
        <f>TEXT(D603,"yyyy-mm")</f>
        <v/>
      </c>
    </row>
    <row r="604">
      <c r="A604" s="2" t="inlineStr">
        <is>
          <t>EJ311224.TXT</t>
        </is>
      </c>
      <c r="B604" s="3" t="inlineStr">
        <is>
          <t>001902</t>
        </is>
      </c>
      <c r="C604" s="3" t="inlineStr">
        <is>
          <t>001211</t>
        </is>
      </c>
      <c r="D604" s="4" t="n">
        <v>45631</v>
      </c>
      <c r="E604" s="2" t="inlineStr">
        <is>
          <t>13:27</t>
        </is>
      </c>
      <c r="F604" s="5" t="n">
        <v>175</v>
      </c>
      <c r="G604" s="5" t="n"/>
      <c r="H604" s="5" t="n"/>
      <c r="I604" s="5" t="n"/>
      <c r="J604" s="5" t="n">
        <v>35</v>
      </c>
      <c r="K604" s="5" t="n"/>
      <c r="L604" s="5" t="n"/>
      <c r="M604" s="5" t="n"/>
      <c r="N604" s="5" t="n"/>
      <c r="O604" s="5" t="n">
        <v>210</v>
      </c>
      <c r="P604" s="5" t="n">
        <v>210</v>
      </c>
      <c r="Q604" s="5" t="n"/>
      <c r="R604" s="5" t="n"/>
      <c r="S604" s="5">
        <f>SUM(F604:I604)+N604</f>
        <v/>
      </c>
      <c r="T604" s="5">
        <f>J604</f>
        <v/>
      </c>
      <c r="U604" s="6">
        <f>YEAR(D604)</f>
        <v/>
      </c>
      <c r="V604" s="5">
        <f>TEXT(D604,"yyyy-mm")</f>
        <v/>
      </c>
    </row>
    <row r="605">
      <c r="A605" s="2" t="inlineStr">
        <is>
          <t>EJ311224.TXT</t>
        </is>
      </c>
      <c r="B605" s="3" t="inlineStr">
        <is>
          <t>001903</t>
        </is>
      </c>
      <c r="C605" s="3" t="inlineStr">
        <is>
          <t>001212</t>
        </is>
      </c>
      <c r="D605" s="4" t="n">
        <v>45632</v>
      </c>
      <c r="E605" s="2" t="inlineStr">
        <is>
          <t>14:23</t>
        </is>
      </c>
      <c r="F605" s="5" t="n">
        <v>548.33</v>
      </c>
      <c r="G605" s="5" t="n"/>
      <c r="H605" s="5" t="n"/>
      <c r="I605" s="5" t="n"/>
      <c r="J605" s="5" t="n">
        <v>109.67</v>
      </c>
      <c r="K605" s="5" t="n"/>
      <c r="L605" s="5" t="n"/>
      <c r="M605" s="5" t="n"/>
      <c r="N605" s="5" t="n"/>
      <c r="O605" s="5" t="n">
        <v>658</v>
      </c>
      <c r="P605" s="5" t="n">
        <v>658</v>
      </c>
      <c r="Q605" s="5" t="n"/>
      <c r="R605" s="5" t="n"/>
      <c r="S605" s="5">
        <f>SUM(F605:I605)+N605</f>
        <v/>
      </c>
      <c r="T605" s="5">
        <f>J605</f>
        <v/>
      </c>
      <c r="U605" s="6">
        <f>YEAR(D605)</f>
        <v/>
      </c>
      <c r="V605" s="5">
        <f>TEXT(D605,"yyyy-mm")</f>
        <v/>
      </c>
    </row>
    <row r="606">
      <c r="A606" s="2" t="inlineStr">
        <is>
          <t>EJ311224.TXT</t>
        </is>
      </c>
      <c r="B606" s="3" t="inlineStr">
        <is>
          <t>001904</t>
        </is>
      </c>
      <c r="C606" s="3" t="inlineStr">
        <is>
          <t>001213</t>
        </is>
      </c>
      <c r="D606" s="4" t="n">
        <v>45632</v>
      </c>
      <c r="E606" s="2" t="inlineStr">
        <is>
          <t>15:51</t>
        </is>
      </c>
      <c r="F606" s="5" t="n">
        <v>199.17</v>
      </c>
      <c r="G606" s="5" t="n"/>
      <c r="H606" s="5" t="n"/>
      <c r="I606" s="5" t="n"/>
      <c r="J606" s="5" t="n">
        <v>39.83</v>
      </c>
      <c r="K606" s="5" t="n"/>
      <c r="L606" s="5" t="n"/>
      <c r="M606" s="5" t="n"/>
      <c r="N606" s="5" t="n"/>
      <c r="O606" s="5" t="n">
        <v>239</v>
      </c>
      <c r="P606" s="5" t="n">
        <v>239</v>
      </c>
      <c r="Q606" s="5" t="n"/>
      <c r="R606" s="5" t="n"/>
      <c r="S606" s="5">
        <f>SUM(F606:I606)+N606</f>
        <v/>
      </c>
      <c r="T606" s="5">
        <f>J606</f>
        <v/>
      </c>
      <c r="U606" s="6">
        <f>YEAR(D606)</f>
        <v/>
      </c>
      <c r="V606" s="5">
        <f>TEXT(D606,"yyyy-mm")</f>
        <v/>
      </c>
    </row>
    <row r="607">
      <c r="A607" s="2" t="inlineStr">
        <is>
          <t>EJ311224.TXT</t>
        </is>
      </c>
      <c r="B607" s="3" t="inlineStr">
        <is>
          <t>001905</t>
        </is>
      </c>
      <c r="C607" s="3" t="inlineStr">
        <is>
          <t>001214</t>
        </is>
      </c>
      <c r="D607" s="4" t="n">
        <v>45632</v>
      </c>
      <c r="E607" s="2" t="inlineStr">
        <is>
          <t>17:09</t>
        </is>
      </c>
      <c r="F607" s="5" t="n">
        <v>548.33</v>
      </c>
      <c r="G607" s="5" t="n"/>
      <c r="H607" s="5" t="n"/>
      <c r="I607" s="5" t="n"/>
      <c r="J607" s="5" t="n">
        <v>109.67</v>
      </c>
      <c r="K607" s="5" t="n"/>
      <c r="L607" s="5" t="n"/>
      <c r="M607" s="5" t="n"/>
      <c r="N607" s="5" t="n"/>
      <c r="O607" s="5" t="n">
        <v>658</v>
      </c>
      <c r="P607" s="5" t="n"/>
      <c r="Q607" s="5" t="n">
        <v>658</v>
      </c>
      <c r="R607" s="5" t="n"/>
      <c r="S607" s="5">
        <f>SUM(F607:I607)+N607</f>
        <v/>
      </c>
      <c r="T607" s="5">
        <f>J607</f>
        <v/>
      </c>
      <c r="U607" s="6">
        <f>YEAR(D607)</f>
        <v/>
      </c>
      <c r="V607" s="5">
        <f>TEXT(D607,"yyyy-mm")</f>
        <v/>
      </c>
    </row>
    <row r="608">
      <c r="A608" s="2" t="inlineStr">
        <is>
          <t>EJ311224.TXT</t>
        </is>
      </c>
      <c r="B608" s="3" t="inlineStr">
        <is>
          <t>001906</t>
        </is>
      </c>
      <c r="C608" s="3" t="inlineStr">
        <is>
          <t>001215</t>
        </is>
      </c>
      <c r="D608" s="4" t="n">
        <v>45643</v>
      </c>
      <c r="E608" s="2" t="inlineStr">
        <is>
          <t>10:06</t>
        </is>
      </c>
      <c r="F608" s="5" t="n">
        <v>548.33</v>
      </c>
      <c r="G608" s="5" t="n"/>
      <c r="H608" s="5" t="n"/>
      <c r="I608" s="5" t="n"/>
      <c r="J608" s="5" t="n">
        <v>109.67</v>
      </c>
      <c r="K608" s="5" t="n"/>
      <c r="L608" s="5" t="n"/>
      <c r="M608" s="5" t="n"/>
      <c r="N608" s="5" t="n"/>
      <c r="O608" s="5" t="n">
        <v>658</v>
      </c>
      <c r="P608" s="5" t="n">
        <v>658</v>
      </c>
      <c r="Q608" s="5" t="n"/>
      <c r="R608" s="5" t="n"/>
      <c r="S608" s="5">
        <f>SUM(F608:I608)+N608</f>
        <v/>
      </c>
      <c r="T608" s="5">
        <f>J608</f>
        <v/>
      </c>
      <c r="U608" s="6">
        <f>YEAR(D608)</f>
        <v/>
      </c>
      <c r="V608" s="5">
        <f>TEXT(D608,"yyyy-mm")</f>
        <v/>
      </c>
    </row>
    <row r="609">
      <c r="A609" s="2" t="inlineStr">
        <is>
          <t>EJ311224.TXT</t>
        </is>
      </c>
      <c r="B609" s="3" t="inlineStr">
        <is>
          <t>001907</t>
        </is>
      </c>
      <c r="C609" s="3" t="inlineStr">
        <is>
          <t>001216</t>
        </is>
      </c>
      <c r="D609" s="4" t="n">
        <v>45643</v>
      </c>
      <c r="E609" s="2" t="inlineStr">
        <is>
          <t>10:06</t>
        </is>
      </c>
      <c r="F609" s="5" t="n">
        <v>548.33</v>
      </c>
      <c r="G609" s="5" t="n"/>
      <c r="H609" s="5" t="n"/>
      <c r="I609" s="5" t="n"/>
      <c r="J609" s="5" t="n">
        <v>109.67</v>
      </c>
      <c r="K609" s="5" t="n"/>
      <c r="L609" s="5" t="n"/>
      <c r="M609" s="5" t="n"/>
      <c r="N609" s="5" t="n"/>
      <c r="O609" s="5" t="n">
        <v>658</v>
      </c>
      <c r="P609" s="5" t="n">
        <v>658</v>
      </c>
      <c r="Q609" s="5" t="n"/>
      <c r="R609" s="5" t="n"/>
      <c r="S609" s="5">
        <f>SUM(F609:I609)+N609</f>
        <v/>
      </c>
      <c r="T609" s="5">
        <f>J609</f>
        <v/>
      </c>
      <c r="U609" s="6">
        <f>YEAR(D609)</f>
        <v/>
      </c>
      <c r="V609" s="5">
        <f>TEXT(D609,"yyyy-mm")</f>
        <v/>
      </c>
    </row>
    <row r="610">
      <c r="A610" s="2" t="inlineStr">
        <is>
          <t>EJ311224.TXT</t>
        </is>
      </c>
      <c r="B610" s="3" t="inlineStr">
        <is>
          <t>001908</t>
        </is>
      </c>
      <c r="C610" s="3" t="inlineStr">
        <is>
          <t>001217</t>
        </is>
      </c>
      <c r="D610" s="4" t="n">
        <v>45643</v>
      </c>
      <c r="E610" s="2" t="inlineStr">
        <is>
          <t>12:32</t>
        </is>
      </c>
      <c r="F610" s="5" t="n">
        <v>58.25</v>
      </c>
      <c r="G610" s="5" t="n"/>
      <c r="H610" s="5" t="n"/>
      <c r="I610" s="5" t="n"/>
      <c r="J610" s="5" t="n">
        <v>11.65</v>
      </c>
      <c r="K610" s="5" t="n"/>
      <c r="L610" s="5" t="n"/>
      <c r="M610" s="5" t="n"/>
      <c r="N610" s="5" t="n"/>
      <c r="O610" s="5" t="n">
        <v>69.90000000000001</v>
      </c>
      <c r="P610" s="5" t="n">
        <v>69.90000000000001</v>
      </c>
      <c r="Q610" s="5" t="n"/>
      <c r="R610" s="5" t="n"/>
      <c r="S610" s="5">
        <f>SUM(F610:I610)+N610</f>
        <v/>
      </c>
      <c r="T610" s="5">
        <f>J610</f>
        <v/>
      </c>
      <c r="U610" s="6">
        <f>YEAR(D610)</f>
        <v/>
      </c>
      <c r="V610" s="5">
        <f>TEXT(D610,"yyyy-mm")</f>
        <v/>
      </c>
    </row>
    <row r="611">
      <c r="A611" s="2" t="inlineStr">
        <is>
          <t>EJ311224.TXT</t>
        </is>
      </c>
      <c r="B611" s="3" t="inlineStr">
        <is>
          <t>001909</t>
        </is>
      </c>
      <c r="C611" s="3" t="inlineStr">
        <is>
          <t>001218</t>
        </is>
      </c>
      <c r="D611" s="4" t="n">
        <v>45645</v>
      </c>
      <c r="E611" s="2" t="inlineStr">
        <is>
          <t>13:54</t>
        </is>
      </c>
      <c r="F611" s="5" t="n">
        <v>574</v>
      </c>
      <c r="G611" s="5" t="n"/>
      <c r="H611" s="5" t="n"/>
      <c r="I611" s="5" t="n"/>
      <c r="J611" s="5" t="n">
        <v>114.8</v>
      </c>
      <c r="K611" s="5" t="n"/>
      <c r="L611" s="5" t="n"/>
      <c r="M611" s="5" t="n"/>
      <c r="N611" s="5" t="n"/>
      <c r="O611" s="5" t="n">
        <v>688.8</v>
      </c>
      <c r="P611" s="5" t="n">
        <v>688.8</v>
      </c>
      <c r="Q611" s="5" t="n"/>
      <c r="R611" s="5" t="n"/>
      <c r="S611" s="5">
        <f>SUM(F611:I611)+N611</f>
        <v/>
      </c>
      <c r="T611" s="5">
        <f>J611</f>
        <v/>
      </c>
      <c r="U611" s="6">
        <f>YEAR(D611)</f>
        <v/>
      </c>
      <c r="V611" s="5">
        <f>TEXT(D611,"yyyy-mm")</f>
        <v/>
      </c>
    </row>
    <row r="612">
      <c r="A612" s="2" t="inlineStr">
        <is>
          <t>EJ311224.TXT</t>
        </is>
      </c>
      <c r="B612" s="3" t="inlineStr">
        <is>
          <t>001910</t>
        </is>
      </c>
      <c r="C612" s="3" t="inlineStr">
        <is>
          <t>001219</t>
        </is>
      </c>
      <c r="D612" s="4" t="n">
        <v>45646</v>
      </c>
      <c r="E612" s="2" t="inlineStr">
        <is>
          <t>15:26</t>
        </is>
      </c>
      <c r="F612" s="5" t="n">
        <v>948.33</v>
      </c>
      <c r="G612" s="5" t="n"/>
      <c r="H612" s="5" t="n"/>
      <c r="I612" s="5" t="n"/>
      <c r="J612" s="5" t="n">
        <v>189.67</v>
      </c>
      <c r="K612" s="5" t="n"/>
      <c r="L612" s="5" t="n"/>
      <c r="M612" s="5" t="n"/>
      <c r="N612" s="5" t="n"/>
      <c r="O612" s="5" t="n">
        <v>1138</v>
      </c>
      <c r="P612" s="5" t="n">
        <v>1138</v>
      </c>
      <c r="Q612" s="5" t="n"/>
      <c r="R612" s="5" t="n"/>
      <c r="S612" s="5">
        <f>SUM(F612:I612)+N612</f>
        <v/>
      </c>
      <c r="T612" s="5">
        <f>J612</f>
        <v/>
      </c>
      <c r="U612" s="6">
        <f>YEAR(D612)</f>
        <v/>
      </c>
      <c r="V612" s="5">
        <f>TEXT(D612,"yyyy-mm")</f>
        <v/>
      </c>
    </row>
    <row r="613">
      <c r="A613" s="2" t="inlineStr">
        <is>
          <t>EJ311224.TXT</t>
        </is>
      </c>
      <c r="B613" s="3" t="inlineStr">
        <is>
          <t>001911</t>
        </is>
      </c>
      <c r="C613" s="3" t="inlineStr">
        <is>
          <t>001220</t>
        </is>
      </c>
      <c r="D613" s="4" t="n">
        <v>45649</v>
      </c>
      <c r="E613" s="2" t="inlineStr">
        <is>
          <t>16:49</t>
        </is>
      </c>
      <c r="F613" s="5" t="n">
        <v>58.25</v>
      </c>
      <c r="G613" s="5" t="n"/>
      <c r="H613" s="5" t="n"/>
      <c r="I613" s="5" t="n"/>
      <c r="J613" s="5" t="n">
        <v>11.65</v>
      </c>
      <c r="K613" s="5" t="n"/>
      <c r="L613" s="5" t="n"/>
      <c r="M613" s="5" t="n"/>
      <c r="N613" s="5" t="n"/>
      <c r="O613" s="5" t="n">
        <v>69.90000000000001</v>
      </c>
      <c r="P613" s="5" t="n">
        <v>69.90000000000001</v>
      </c>
      <c r="Q613" s="5" t="n"/>
      <c r="R613" s="5" t="n"/>
      <c r="S613" s="5">
        <f>SUM(F613:I613)+N613</f>
        <v/>
      </c>
      <c r="T613" s="5">
        <f>J613</f>
        <v/>
      </c>
      <c r="U613" s="6">
        <f>YEAR(D613)</f>
        <v/>
      </c>
      <c r="V613" s="5">
        <f>TEXT(D613,"yyyy-mm")</f>
        <v/>
      </c>
    </row>
    <row r="614">
      <c r="A614" s="2" t="inlineStr">
        <is>
          <t>EJ311224.TXT</t>
        </is>
      </c>
      <c r="B614" s="3" t="inlineStr">
        <is>
          <t>001912</t>
        </is>
      </c>
      <c r="C614" s="3" t="inlineStr">
        <is>
          <t>001221</t>
        </is>
      </c>
      <c r="D614" s="4" t="n">
        <v>45649</v>
      </c>
      <c r="E614" s="2" t="inlineStr">
        <is>
          <t>17:18</t>
        </is>
      </c>
      <c r="F614" s="5" t="n">
        <v>274.17</v>
      </c>
      <c r="G614" s="5" t="n"/>
      <c r="H614" s="5" t="n"/>
      <c r="I614" s="5" t="n"/>
      <c r="J614" s="5" t="n">
        <v>54.83</v>
      </c>
      <c r="K614" s="5" t="n"/>
      <c r="L614" s="5" t="n"/>
      <c r="M614" s="5" t="n"/>
      <c r="N614" s="5" t="n"/>
      <c r="O614" s="5" t="n">
        <v>329</v>
      </c>
      <c r="P614" s="5" t="n">
        <v>329</v>
      </c>
      <c r="Q614" s="5" t="n"/>
      <c r="R614" s="5" t="n"/>
      <c r="S614" s="5">
        <f>SUM(F614:I614)+N614</f>
        <v/>
      </c>
      <c r="T614" s="5">
        <f>J614</f>
        <v/>
      </c>
      <c r="U614" s="6">
        <f>YEAR(D614)</f>
        <v/>
      </c>
      <c r="V614" s="5">
        <f>TEXT(D614,"yyyy-mm")</f>
        <v/>
      </c>
    </row>
    <row r="615">
      <c r="A615" s="2" t="inlineStr">
        <is>
          <t>EJ311224.TXT</t>
        </is>
      </c>
      <c r="B615" s="3" t="inlineStr">
        <is>
          <t>001913</t>
        </is>
      </c>
      <c r="C615" s="3" t="inlineStr">
        <is>
          <t>001222</t>
        </is>
      </c>
      <c r="D615" s="4" t="n">
        <v>45654</v>
      </c>
      <c r="E615" s="2" t="inlineStr">
        <is>
          <t>14:18</t>
        </is>
      </c>
      <c r="F615" s="5" t="n">
        <v>274.17</v>
      </c>
      <c r="G615" s="5" t="n"/>
      <c r="H615" s="5" t="n"/>
      <c r="I615" s="5" t="n"/>
      <c r="J615" s="5" t="n">
        <v>54.83</v>
      </c>
      <c r="K615" s="5" t="n"/>
      <c r="L615" s="5" t="n"/>
      <c r="M615" s="5" t="n"/>
      <c r="N615" s="5" t="n"/>
      <c r="O615" s="5" t="n">
        <v>329</v>
      </c>
      <c r="P615" s="5" t="n"/>
      <c r="Q615" s="5" t="n">
        <v>329</v>
      </c>
      <c r="R615" s="5" t="n"/>
      <c r="S615" s="5">
        <f>SUM(F615:I615)+N615</f>
        <v/>
      </c>
      <c r="T615" s="5">
        <f>J615</f>
        <v/>
      </c>
      <c r="U615" s="6">
        <f>YEAR(D615)</f>
        <v/>
      </c>
      <c r="V615" s="5">
        <f>TEXT(D615,"yyyy-mm")</f>
        <v/>
      </c>
    </row>
    <row r="616">
      <c r="A616" s="2" t="inlineStr">
        <is>
          <t>EJ311224.TXT</t>
        </is>
      </c>
      <c r="B616" s="3" t="inlineStr">
        <is>
          <t>001914</t>
        </is>
      </c>
      <c r="C616" s="3" t="inlineStr">
        <is>
          <t>001223</t>
        </is>
      </c>
      <c r="D616" s="4" t="n">
        <v>45654</v>
      </c>
      <c r="E616" s="2" t="inlineStr">
        <is>
          <t>15:24</t>
        </is>
      </c>
      <c r="F616" s="5" t="n">
        <v>822.5</v>
      </c>
      <c r="G616" s="5" t="n"/>
      <c r="H616" s="5" t="n"/>
      <c r="I616" s="5" t="n"/>
      <c r="J616" s="5" t="n">
        <v>164.5</v>
      </c>
      <c r="K616" s="5" t="n"/>
      <c r="L616" s="5" t="n"/>
      <c r="M616" s="5" t="n"/>
      <c r="N616" s="5" t="n"/>
      <c r="O616" s="5" t="n">
        <v>987</v>
      </c>
      <c r="P616" s="5" t="n"/>
      <c r="Q616" s="5" t="n">
        <v>987</v>
      </c>
      <c r="R616" s="5" t="n"/>
      <c r="S616" s="5">
        <f>SUM(F616:I616)+N616</f>
        <v/>
      </c>
      <c r="T616" s="5">
        <f>J616</f>
        <v/>
      </c>
      <c r="U616" s="6">
        <f>YEAR(D616)</f>
        <v/>
      </c>
      <c r="V616" s="5">
        <f>TEXT(D616,"yyyy-mm")</f>
        <v/>
      </c>
    </row>
    <row r="617">
      <c r="A617" s="2" t="inlineStr">
        <is>
          <t>EJ311224.TXT</t>
        </is>
      </c>
      <c r="B617" s="3" t="inlineStr">
        <is>
          <t>001915</t>
        </is>
      </c>
      <c r="C617" s="3" t="inlineStr">
        <is>
          <t>001224</t>
        </is>
      </c>
      <c r="D617" s="4" t="n">
        <v>45656</v>
      </c>
      <c r="E617" s="2" t="inlineStr">
        <is>
          <t>15:06</t>
        </is>
      </c>
      <c r="F617" s="5" t="n">
        <v>2392.5</v>
      </c>
      <c r="G617" s="5" t="n"/>
      <c r="H617" s="5" t="n"/>
      <c r="I617" s="5" t="n"/>
      <c r="J617" s="5" t="n">
        <v>478.5</v>
      </c>
      <c r="K617" s="5" t="n"/>
      <c r="L617" s="5" t="n"/>
      <c r="M617" s="5" t="n"/>
      <c r="N617" s="5" t="n"/>
      <c r="O617" s="5" t="n">
        <v>2871</v>
      </c>
      <c r="P617" s="5" t="n">
        <v>1871</v>
      </c>
      <c r="Q617" s="5" t="n">
        <v>1000</v>
      </c>
      <c r="R617" s="5" t="n"/>
      <c r="S617" s="5">
        <f>SUM(F617:I617)+N617</f>
        <v/>
      </c>
      <c r="T617" s="5">
        <f>J617</f>
        <v/>
      </c>
      <c r="U617" s="6">
        <f>YEAR(D617)</f>
        <v/>
      </c>
      <c r="V617" s="5">
        <f>TEXT(D617,"yyyy-mm")</f>
        <v/>
      </c>
    </row>
    <row r="618">
      <c r="A618" s="2" t="inlineStr">
        <is>
          <t>EJ311224.TXT</t>
        </is>
      </c>
      <c r="B618" s="3" t="inlineStr">
        <is>
          <t>001917</t>
        </is>
      </c>
      <c r="C618" s="3" t="inlineStr">
        <is>
          <t>001225</t>
        </is>
      </c>
      <c r="D618" s="4" t="n">
        <v>45657</v>
      </c>
      <c r="E618" s="2" t="inlineStr">
        <is>
          <t>10:55</t>
        </is>
      </c>
      <c r="F618" s="5" t="n">
        <v>73.33</v>
      </c>
      <c r="G618" s="5" t="n"/>
      <c r="H618" s="5" t="n"/>
      <c r="I618" s="5" t="n"/>
      <c r="J618" s="5" t="n">
        <v>14.67</v>
      </c>
      <c r="K618" s="5" t="n"/>
      <c r="L618" s="5" t="n"/>
      <c r="M618" s="5" t="n"/>
      <c r="N618" s="5" t="n"/>
      <c r="O618" s="5" t="n">
        <v>88</v>
      </c>
      <c r="P618" s="5" t="n"/>
      <c r="Q618" s="5" t="n">
        <v>88</v>
      </c>
      <c r="R618" s="5" t="n"/>
      <c r="S618" s="5">
        <f>SUM(F618:I618)+N618</f>
        <v/>
      </c>
      <c r="T618" s="5">
        <f>J618</f>
        <v/>
      </c>
      <c r="U618" s="6">
        <f>YEAR(D618)</f>
        <v/>
      </c>
      <c r="V618" s="5">
        <f>TEXT(D618,"yyyy-mm")</f>
        <v/>
      </c>
    </row>
    <row r="619">
      <c r="A619" s="2" t="inlineStr">
        <is>
          <t>EJ010225.TXT</t>
        </is>
      </c>
      <c r="B619" s="3" t="inlineStr">
        <is>
          <t>001925</t>
        </is>
      </c>
      <c r="C619" s="3" t="inlineStr">
        <is>
          <t>001226</t>
        </is>
      </c>
      <c r="D619" s="4" t="n">
        <v>45661</v>
      </c>
      <c r="E619" s="2" t="inlineStr">
        <is>
          <t>14:58</t>
        </is>
      </c>
      <c r="F619" s="5" t="n">
        <v>548.33</v>
      </c>
      <c r="G619" s="5" t="n"/>
      <c r="H619" s="5" t="n"/>
      <c r="I619" s="5" t="n"/>
      <c r="J619" s="5" t="n">
        <v>109.67</v>
      </c>
      <c r="K619" s="5" t="n"/>
      <c r="L619" s="5" t="n"/>
      <c r="M619" s="5" t="n"/>
      <c r="N619" s="5" t="n"/>
      <c r="O619" s="5" t="n">
        <v>658</v>
      </c>
      <c r="P619" s="5" t="n"/>
      <c r="Q619" s="5" t="n">
        <v>658</v>
      </c>
      <c r="R619" s="5" t="n"/>
      <c r="S619" s="5">
        <f>SUM(F619:I619)+N619</f>
        <v/>
      </c>
      <c r="T619" s="5">
        <f>J619</f>
        <v/>
      </c>
      <c r="U619" s="6">
        <f>YEAR(D619)</f>
        <v/>
      </c>
      <c r="V619" s="5">
        <f>TEXT(D619,"yyyy-mm")</f>
        <v/>
      </c>
    </row>
    <row r="620">
      <c r="A620" s="2" t="inlineStr">
        <is>
          <t>EJ010225.TXT</t>
        </is>
      </c>
      <c r="B620" s="3" t="inlineStr">
        <is>
          <t>001926</t>
        </is>
      </c>
      <c r="C620" s="3" t="inlineStr">
        <is>
          <t>001227</t>
        </is>
      </c>
      <c r="D620" s="4" t="n">
        <v>45663</v>
      </c>
      <c r="E620" s="2" t="inlineStr">
        <is>
          <t>10:57</t>
        </is>
      </c>
      <c r="F620" s="5" t="n">
        <v>4275</v>
      </c>
      <c r="G620" s="5" t="n"/>
      <c r="H620" s="5" t="n"/>
      <c r="I620" s="5" t="n"/>
      <c r="J620" s="5" t="n">
        <v>855</v>
      </c>
      <c r="K620" s="5" t="n"/>
      <c r="L620" s="5" t="n"/>
      <c r="M620" s="5" t="n"/>
      <c r="N620" s="5" t="n"/>
      <c r="O620" s="5" t="n">
        <v>5130</v>
      </c>
      <c r="P620" s="5" t="n">
        <v>5130</v>
      </c>
      <c r="Q620" s="5" t="n"/>
      <c r="R620" s="5" t="n"/>
      <c r="S620" s="5">
        <f>SUM(F620:I620)+N620</f>
        <v/>
      </c>
      <c r="T620" s="5">
        <f>J620</f>
        <v/>
      </c>
      <c r="U620" s="6">
        <f>YEAR(D620)</f>
        <v/>
      </c>
      <c r="V620" s="5">
        <f>TEXT(D620,"yyyy-mm")</f>
        <v/>
      </c>
    </row>
    <row r="621">
      <c r="A621" s="2" t="inlineStr">
        <is>
          <t>EJ010225.TXT</t>
        </is>
      </c>
      <c r="B621" s="3" t="inlineStr">
        <is>
          <t>001927</t>
        </is>
      </c>
      <c r="C621" s="3" t="inlineStr">
        <is>
          <t>001228</t>
        </is>
      </c>
      <c r="D621" s="4" t="n">
        <v>45664</v>
      </c>
      <c r="E621" s="2" t="inlineStr">
        <is>
          <t>17:38</t>
        </is>
      </c>
      <c r="F621" s="5" t="n">
        <v>548.33</v>
      </c>
      <c r="G621" s="5" t="n"/>
      <c r="H621" s="5" t="n"/>
      <c r="I621" s="5" t="n"/>
      <c r="J621" s="5" t="n">
        <v>109.67</v>
      </c>
      <c r="K621" s="5" t="n"/>
      <c r="L621" s="5" t="n"/>
      <c r="M621" s="5" t="n"/>
      <c r="N621" s="5" t="n"/>
      <c r="O621" s="5" t="n">
        <v>658</v>
      </c>
      <c r="P621" s="5" t="n">
        <v>658</v>
      </c>
      <c r="Q621" s="5" t="n"/>
      <c r="R621" s="5" t="n"/>
      <c r="S621" s="5">
        <f>SUM(F621:I621)+N621</f>
        <v/>
      </c>
      <c r="T621" s="5">
        <f>J621</f>
        <v/>
      </c>
      <c r="U621" s="6">
        <f>YEAR(D621)</f>
        <v/>
      </c>
      <c r="V621" s="5">
        <f>TEXT(D621,"yyyy-mm")</f>
        <v/>
      </c>
    </row>
    <row r="622">
      <c r="A622" s="2" t="inlineStr">
        <is>
          <t>EJ010225.TXT</t>
        </is>
      </c>
      <c r="B622" s="3" t="inlineStr">
        <is>
          <t>001928</t>
        </is>
      </c>
      <c r="C622" s="3" t="inlineStr">
        <is>
          <t>001229</t>
        </is>
      </c>
      <c r="D622" s="4" t="n">
        <v>45667</v>
      </c>
      <c r="E622" s="2" t="inlineStr">
        <is>
          <t>17:10</t>
        </is>
      </c>
      <c r="F622" s="5" t="n">
        <v>395</v>
      </c>
      <c r="G622" s="5" t="n"/>
      <c r="H622" s="5" t="n"/>
      <c r="I622" s="5" t="n"/>
      <c r="J622" s="5" t="n">
        <v>79</v>
      </c>
      <c r="K622" s="5" t="n"/>
      <c r="L622" s="5" t="n"/>
      <c r="M622" s="5" t="n"/>
      <c r="N622" s="5" t="n"/>
      <c r="O622" s="5" t="n">
        <v>474</v>
      </c>
      <c r="P622" s="5" t="n">
        <v>474</v>
      </c>
      <c r="Q622" s="5" t="n"/>
      <c r="R622" s="5" t="n"/>
      <c r="S622" s="5">
        <f>SUM(F622:I622)+N622</f>
        <v/>
      </c>
      <c r="T622" s="5">
        <f>J622</f>
        <v/>
      </c>
      <c r="U622" s="6">
        <f>YEAR(D622)</f>
        <v/>
      </c>
      <c r="V622" s="5">
        <f>TEXT(D622,"yyyy-mm")</f>
        <v/>
      </c>
    </row>
    <row r="623">
      <c r="A623" s="2" t="inlineStr">
        <is>
          <t>EJ010225.TXT</t>
        </is>
      </c>
      <c r="B623" s="3" t="inlineStr">
        <is>
          <t>001929</t>
        </is>
      </c>
      <c r="C623" s="3" t="inlineStr">
        <is>
          <t>001230</t>
        </is>
      </c>
      <c r="D623" s="4" t="n">
        <v>45672</v>
      </c>
      <c r="E623" s="2" t="inlineStr">
        <is>
          <t>16:06</t>
        </is>
      </c>
      <c r="F623" s="5" t="n">
        <v>340.67</v>
      </c>
      <c r="G623" s="5" t="n"/>
      <c r="H623" s="5" t="n"/>
      <c r="I623" s="5" t="n"/>
      <c r="J623" s="5" t="n">
        <v>68.13</v>
      </c>
      <c r="K623" s="5" t="n"/>
      <c r="L623" s="5" t="n"/>
      <c r="M623" s="5" t="n"/>
      <c r="N623" s="5" t="n"/>
      <c r="O623" s="5" t="n">
        <v>408.8</v>
      </c>
      <c r="P623" s="5" t="n"/>
      <c r="Q623" s="5" t="n">
        <v>408.8</v>
      </c>
      <c r="R623" s="5" t="n"/>
      <c r="S623" s="5">
        <f>SUM(F623:I623)+N623</f>
        <v/>
      </c>
      <c r="T623" s="5">
        <f>J623</f>
        <v/>
      </c>
      <c r="U623" s="6">
        <f>YEAR(D623)</f>
        <v/>
      </c>
      <c r="V623" s="5">
        <f>TEXT(D623,"yyyy-mm")</f>
        <v/>
      </c>
    </row>
    <row r="624">
      <c r="A624" s="2" t="inlineStr">
        <is>
          <t>EJ010225.TXT</t>
        </is>
      </c>
      <c r="B624" s="3" t="inlineStr">
        <is>
          <t>001931</t>
        </is>
      </c>
      <c r="C624" s="3" t="inlineStr">
        <is>
          <t>001231</t>
        </is>
      </c>
      <c r="D624" s="4" t="n">
        <v>45678</v>
      </c>
      <c r="E624" s="2" t="inlineStr">
        <is>
          <t>14:24</t>
        </is>
      </c>
      <c r="F624" s="5" t="n">
        <v>274.17</v>
      </c>
      <c r="G624" s="5" t="n"/>
      <c r="H624" s="5" t="n"/>
      <c r="I624" s="5" t="n"/>
      <c r="J624" s="5" t="n">
        <v>54.83</v>
      </c>
      <c r="K624" s="5" t="n"/>
      <c r="L624" s="5" t="n"/>
      <c r="M624" s="5" t="n"/>
      <c r="N624" s="5" t="n"/>
      <c r="O624" s="5" t="n">
        <v>329</v>
      </c>
      <c r="P624" s="5" t="n">
        <v>329</v>
      </c>
      <c r="Q624" s="5" t="n"/>
      <c r="R624" s="5" t="n"/>
      <c r="S624" s="5">
        <f>SUM(F624:I624)+N624</f>
        <v/>
      </c>
      <c r="T624" s="5">
        <f>J624</f>
        <v/>
      </c>
      <c r="U624" s="6">
        <f>YEAR(D624)</f>
        <v/>
      </c>
      <c r="V624" s="5">
        <f>TEXT(D624,"yyyy-mm")</f>
        <v/>
      </c>
    </row>
    <row r="625">
      <c r="A625" s="2" t="inlineStr">
        <is>
          <t>EJ010225.TXT</t>
        </is>
      </c>
      <c r="B625" s="3" t="inlineStr">
        <is>
          <t>001932</t>
        </is>
      </c>
      <c r="C625" s="3" t="inlineStr">
        <is>
          <t>001232</t>
        </is>
      </c>
      <c r="D625" s="4" t="n">
        <v>45678</v>
      </c>
      <c r="E625" s="2" t="inlineStr">
        <is>
          <t>14:27</t>
        </is>
      </c>
      <c r="F625" s="5" t="n">
        <v>274.17</v>
      </c>
      <c r="G625" s="5" t="n"/>
      <c r="H625" s="5" t="n"/>
      <c r="I625" s="5" t="n"/>
      <c r="J625" s="5" t="n">
        <v>54.83</v>
      </c>
      <c r="K625" s="5" t="n"/>
      <c r="L625" s="5" t="n"/>
      <c r="M625" s="5" t="n"/>
      <c r="N625" s="5" t="n"/>
      <c r="O625" s="5" t="n">
        <v>329</v>
      </c>
      <c r="P625" s="5" t="n">
        <v>329</v>
      </c>
      <c r="Q625" s="5" t="n"/>
      <c r="R625" s="5" t="n"/>
      <c r="S625" s="5">
        <f>SUM(F625:I625)+N625</f>
        <v/>
      </c>
      <c r="T625" s="5">
        <f>J625</f>
        <v/>
      </c>
      <c r="U625" s="6">
        <f>YEAR(D625)</f>
        <v/>
      </c>
      <c r="V625" s="5">
        <f>TEXT(D625,"yyyy-mm")</f>
        <v/>
      </c>
    </row>
    <row r="626">
      <c r="A626" s="2" t="inlineStr">
        <is>
          <t>EJ010225.TXT</t>
        </is>
      </c>
      <c r="B626" s="3" t="inlineStr">
        <is>
          <t>001933</t>
        </is>
      </c>
      <c r="C626" s="3" t="inlineStr">
        <is>
          <t>001233</t>
        </is>
      </c>
      <c r="D626" s="4" t="n">
        <v>45678</v>
      </c>
      <c r="E626" s="2" t="inlineStr">
        <is>
          <t>17:18</t>
        </is>
      </c>
      <c r="F626" s="5" t="n">
        <v>73.33</v>
      </c>
      <c r="G626" s="5" t="n"/>
      <c r="H626" s="5" t="n"/>
      <c r="I626" s="5" t="n"/>
      <c r="J626" s="5" t="n">
        <v>14.67</v>
      </c>
      <c r="K626" s="5" t="n"/>
      <c r="L626" s="5" t="n"/>
      <c r="M626" s="5" t="n"/>
      <c r="N626" s="5" t="n"/>
      <c r="O626" s="5" t="n">
        <v>88</v>
      </c>
      <c r="P626" s="5" t="n">
        <v>88</v>
      </c>
      <c r="Q626" s="5" t="n"/>
      <c r="R626" s="5" t="n"/>
      <c r="S626" s="5">
        <f>SUM(F626:I626)+N626</f>
        <v/>
      </c>
      <c r="T626" s="5">
        <f>J626</f>
        <v/>
      </c>
      <c r="U626" s="6">
        <f>YEAR(D626)</f>
        <v/>
      </c>
      <c r="V626" s="5">
        <f>TEXT(D626,"yyyy-mm")</f>
        <v/>
      </c>
    </row>
    <row r="627">
      <c r="A627" s="2" t="inlineStr">
        <is>
          <t>EJ010225.TXT</t>
        </is>
      </c>
      <c r="B627" s="3" t="inlineStr">
        <is>
          <t>001935</t>
        </is>
      </c>
      <c r="C627" s="3" t="inlineStr">
        <is>
          <t>001234</t>
        </is>
      </c>
      <c r="D627" s="4" t="n">
        <v>45679</v>
      </c>
      <c r="E627" s="2" t="inlineStr">
        <is>
          <t>15:13</t>
        </is>
      </c>
      <c r="F627" s="5" t="n">
        <v>49.92</v>
      </c>
      <c r="G627" s="5" t="n"/>
      <c r="H627" s="5" t="n"/>
      <c r="I627" s="5" t="n"/>
      <c r="J627" s="5" t="n">
        <v>9.98</v>
      </c>
      <c r="K627" s="5" t="n"/>
      <c r="L627" s="5" t="n"/>
      <c r="M627" s="5" t="n"/>
      <c r="N627" s="5" t="n"/>
      <c r="O627" s="5" t="n">
        <v>59.9</v>
      </c>
      <c r="P627" s="5" t="n">
        <v>59.9</v>
      </c>
      <c r="Q627" s="5" t="n"/>
      <c r="R627" s="5" t="n"/>
      <c r="S627" s="5">
        <f>SUM(F627:I627)+N627</f>
        <v/>
      </c>
      <c r="T627" s="5">
        <f>J627</f>
        <v/>
      </c>
      <c r="U627" s="6">
        <f>YEAR(D627)</f>
        <v/>
      </c>
      <c r="V627" s="5">
        <f>TEXT(D627,"yyyy-mm")</f>
        <v/>
      </c>
    </row>
    <row r="628">
      <c r="A628" s="2" t="inlineStr">
        <is>
          <t>EJ010225.TXT</t>
        </is>
      </c>
      <c r="B628" s="3" t="inlineStr">
        <is>
          <t>001937</t>
        </is>
      </c>
      <c r="C628" s="3" t="inlineStr">
        <is>
          <t>001235</t>
        </is>
      </c>
      <c r="D628" s="4" t="n">
        <v>45680</v>
      </c>
      <c r="E628" s="2" t="inlineStr">
        <is>
          <t>10:20</t>
        </is>
      </c>
      <c r="F628" s="5" t="n">
        <v>548.33</v>
      </c>
      <c r="G628" s="5" t="n"/>
      <c r="H628" s="5" t="n"/>
      <c r="I628" s="5" t="n"/>
      <c r="J628" s="5" t="n">
        <v>109.67</v>
      </c>
      <c r="K628" s="5" t="n"/>
      <c r="L628" s="5" t="n"/>
      <c r="M628" s="5" t="n"/>
      <c r="N628" s="5" t="n"/>
      <c r="O628" s="5" t="n">
        <v>658</v>
      </c>
      <c r="P628" s="5" t="n"/>
      <c r="Q628" s="5" t="n">
        <v>658</v>
      </c>
      <c r="R628" s="5" t="n"/>
      <c r="S628" s="5">
        <f>SUM(F628:I628)+N628</f>
        <v/>
      </c>
      <c r="T628" s="5">
        <f>J628</f>
        <v/>
      </c>
      <c r="U628" s="6">
        <f>YEAR(D628)</f>
        <v/>
      </c>
      <c r="V628" s="5">
        <f>TEXT(D628,"yyyy-mm")</f>
        <v/>
      </c>
    </row>
    <row r="629">
      <c r="A629" s="2" t="inlineStr">
        <is>
          <t>EJ010225.TXT</t>
        </is>
      </c>
      <c r="B629" s="3" t="inlineStr">
        <is>
          <t>001938</t>
        </is>
      </c>
      <c r="C629" s="3" t="inlineStr">
        <is>
          <t>001236</t>
        </is>
      </c>
      <c r="D629" s="4" t="n">
        <v>45681</v>
      </c>
      <c r="E629" s="2" t="inlineStr">
        <is>
          <t>15:36</t>
        </is>
      </c>
      <c r="F629" s="5" t="n">
        <v>49.92</v>
      </c>
      <c r="G629" s="5" t="n"/>
      <c r="H629" s="5" t="n"/>
      <c r="I629" s="5" t="n"/>
      <c r="J629" s="5" t="n">
        <v>9.98</v>
      </c>
      <c r="K629" s="5" t="n"/>
      <c r="L629" s="5" t="n"/>
      <c r="M629" s="5" t="n"/>
      <c r="N629" s="5" t="n"/>
      <c r="O629" s="5" t="n">
        <v>59.9</v>
      </c>
      <c r="P629" s="5" t="n"/>
      <c r="Q629" s="5" t="n">
        <v>59.9</v>
      </c>
      <c r="R629" s="5" t="n"/>
      <c r="S629" s="5">
        <f>SUM(F629:I629)+N629</f>
        <v/>
      </c>
      <c r="T629" s="5">
        <f>J629</f>
        <v/>
      </c>
      <c r="U629" s="6">
        <f>YEAR(D629)</f>
        <v/>
      </c>
      <c r="V629" s="5">
        <f>TEXT(D629,"yyyy-mm")</f>
        <v/>
      </c>
    </row>
    <row r="630">
      <c r="A630" s="2" t="inlineStr">
        <is>
          <t>EJ010225.TXT</t>
        </is>
      </c>
      <c r="B630" s="3" t="inlineStr">
        <is>
          <t>001939</t>
        </is>
      </c>
      <c r="C630" s="3" t="inlineStr">
        <is>
          <t>001237</t>
        </is>
      </c>
      <c r="D630" s="4" t="n">
        <v>45682</v>
      </c>
      <c r="E630" s="2" t="inlineStr">
        <is>
          <t>16:41</t>
        </is>
      </c>
      <c r="F630" s="5" t="n">
        <v>548.33</v>
      </c>
      <c r="G630" s="5" t="n"/>
      <c r="H630" s="5" t="n"/>
      <c r="I630" s="5" t="n"/>
      <c r="J630" s="5" t="n">
        <v>109.67</v>
      </c>
      <c r="K630" s="5" t="n"/>
      <c r="L630" s="5" t="n"/>
      <c r="M630" s="5" t="n"/>
      <c r="N630" s="5" t="n"/>
      <c r="O630" s="5" t="n">
        <v>658</v>
      </c>
      <c r="P630" s="5" t="n">
        <v>658</v>
      </c>
      <c r="Q630" s="5" t="n"/>
      <c r="R630" s="5" t="n"/>
      <c r="S630" s="5">
        <f>SUM(F630:I630)+N630</f>
        <v/>
      </c>
      <c r="T630" s="5">
        <f>J630</f>
        <v/>
      </c>
      <c r="U630" s="6">
        <f>YEAR(D630)</f>
        <v/>
      </c>
      <c r="V630" s="5">
        <f>TEXT(D630,"yyyy-mm")</f>
        <v/>
      </c>
    </row>
    <row r="631">
      <c r="A631" s="2" t="inlineStr">
        <is>
          <t>EJ010225.TXT</t>
        </is>
      </c>
      <c r="B631" s="3" t="inlineStr">
        <is>
          <t>001940</t>
        </is>
      </c>
      <c r="C631" s="3" t="inlineStr">
        <is>
          <t>001238</t>
        </is>
      </c>
      <c r="D631" s="4" t="n">
        <v>45682</v>
      </c>
      <c r="E631" s="2" t="inlineStr">
        <is>
          <t>16:59</t>
        </is>
      </c>
      <c r="F631" s="5" t="n">
        <v>73.33</v>
      </c>
      <c r="G631" s="5" t="n"/>
      <c r="H631" s="5" t="n"/>
      <c r="I631" s="5" t="n"/>
      <c r="J631" s="5" t="n">
        <v>14.67</v>
      </c>
      <c r="K631" s="5" t="n"/>
      <c r="L631" s="5" t="n"/>
      <c r="M631" s="5" t="n"/>
      <c r="N631" s="5" t="n"/>
      <c r="O631" s="5" t="n">
        <v>88</v>
      </c>
      <c r="P631" s="5" t="n">
        <v>88</v>
      </c>
      <c r="Q631" s="5" t="n"/>
      <c r="R631" s="5" t="n"/>
      <c r="S631" s="5">
        <f>SUM(F631:I631)+N631</f>
        <v/>
      </c>
      <c r="T631" s="5">
        <f>J631</f>
        <v/>
      </c>
      <c r="U631" s="6">
        <f>YEAR(D631)</f>
        <v/>
      </c>
      <c r="V631" s="5">
        <f>TEXT(D631,"yyyy-mm")</f>
        <v/>
      </c>
    </row>
    <row r="632">
      <c r="A632" s="2" t="inlineStr">
        <is>
          <t>EJ010225.TXT</t>
        </is>
      </c>
      <c r="B632" s="3" t="inlineStr">
        <is>
          <t>001941</t>
        </is>
      </c>
      <c r="C632" s="3" t="inlineStr">
        <is>
          <t>001239</t>
        </is>
      </c>
      <c r="D632" s="4" t="n">
        <v>45682</v>
      </c>
      <c r="E632" s="2" t="inlineStr">
        <is>
          <t>17:48</t>
        </is>
      </c>
      <c r="F632" s="5" t="n">
        <v>347.5</v>
      </c>
      <c r="G632" s="5" t="n"/>
      <c r="H632" s="5" t="n"/>
      <c r="I632" s="5" t="n"/>
      <c r="J632" s="5" t="n">
        <v>69.5</v>
      </c>
      <c r="K632" s="5" t="n"/>
      <c r="L632" s="5" t="n"/>
      <c r="M632" s="5" t="n"/>
      <c r="N632" s="5" t="n"/>
      <c r="O632" s="5" t="n">
        <v>417</v>
      </c>
      <c r="P632" s="5" t="n">
        <v>417</v>
      </c>
      <c r="Q632" s="5" t="n"/>
      <c r="R632" s="5" t="n"/>
      <c r="S632" s="5">
        <f>SUM(F632:I632)+N632</f>
        <v/>
      </c>
      <c r="T632" s="5">
        <f>J632</f>
        <v/>
      </c>
      <c r="U632" s="6">
        <f>YEAR(D632)</f>
        <v/>
      </c>
      <c r="V632" s="5">
        <f>TEXT(D632,"yyyy-mm")</f>
        <v/>
      </c>
    </row>
    <row r="633">
      <c r="A633" s="2" t="inlineStr">
        <is>
          <t>EJ010225.TXT</t>
        </is>
      </c>
      <c r="B633" s="3" t="inlineStr">
        <is>
          <t>001942</t>
        </is>
      </c>
      <c r="C633" s="3" t="inlineStr">
        <is>
          <t>001240</t>
        </is>
      </c>
      <c r="D633" s="4" t="n">
        <v>45684</v>
      </c>
      <c r="E633" s="2" t="inlineStr">
        <is>
          <t>12:13</t>
        </is>
      </c>
      <c r="F633" s="5" t="n">
        <v>489.17</v>
      </c>
      <c r="G633" s="5" t="n"/>
      <c r="H633" s="5" t="n"/>
      <c r="I633" s="5" t="n"/>
      <c r="J633" s="5" t="n">
        <v>97.83</v>
      </c>
      <c r="K633" s="5" t="n"/>
      <c r="L633" s="5" t="n"/>
      <c r="M633" s="5" t="n"/>
      <c r="N633" s="5" t="n"/>
      <c r="O633" s="5" t="n">
        <v>587</v>
      </c>
      <c r="P633" s="5" t="n"/>
      <c r="Q633" s="5" t="n">
        <v>587</v>
      </c>
      <c r="R633" s="5" t="n"/>
      <c r="S633" s="5">
        <f>SUM(F633:I633)+N633</f>
        <v/>
      </c>
      <c r="T633" s="5">
        <f>J633</f>
        <v/>
      </c>
      <c r="U633" s="6">
        <f>YEAR(D633)</f>
        <v/>
      </c>
      <c r="V633" s="5">
        <f>TEXT(D633,"yyyy-mm")</f>
        <v/>
      </c>
    </row>
    <row r="634">
      <c r="A634" s="2" t="inlineStr">
        <is>
          <t>EJ010225.TXT</t>
        </is>
      </c>
      <c r="B634" s="3" t="inlineStr">
        <is>
          <t>001945</t>
        </is>
      </c>
      <c r="C634" s="3" t="inlineStr">
        <is>
          <t>001241</t>
        </is>
      </c>
      <c r="D634" s="4" t="n">
        <v>45685</v>
      </c>
      <c r="E634" s="2" t="inlineStr">
        <is>
          <t>11:34</t>
        </is>
      </c>
      <c r="F634" s="5" t="n">
        <v>274.17</v>
      </c>
      <c r="G634" s="5" t="n"/>
      <c r="H634" s="5" t="n"/>
      <c r="I634" s="5" t="n"/>
      <c r="J634" s="5" t="n">
        <v>54.83</v>
      </c>
      <c r="K634" s="5" t="n"/>
      <c r="L634" s="5" t="n"/>
      <c r="M634" s="5" t="n"/>
      <c r="N634" s="5" t="n"/>
      <c r="O634" s="5" t="n">
        <v>329</v>
      </c>
      <c r="P634" s="5" t="n">
        <v>329</v>
      </c>
      <c r="Q634" s="5" t="n"/>
      <c r="R634" s="5" t="n"/>
      <c r="S634" s="5">
        <f>SUM(F634:I634)+N634</f>
        <v/>
      </c>
      <c r="T634" s="5">
        <f>J634</f>
        <v/>
      </c>
      <c r="U634" s="6">
        <f>YEAR(D634)</f>
        <v/>
      </c>
      <c r="V634" s="5">
        <f>TEXT(D634,"yyyy-mm")</f>
        <v/>
      </c>
    </row>
    <row r="635">
      <c r="A635" s="2" t="inlineStr">
        <is>
          <t>EJ010225.TXT</t>
        </is>
      </c>
      <c r="B635" s="3" t="inlineStr">
        <is>
          <t>001946</t>
        </is>
      </c>
      <c r="C635" s="3" t="inlineStr">
        <is>
          <t>001242</t>
        </is>
      </c>
      <c r="D635" s="4" t="n">
        <v>45685</v>
      </c>
      <c r="E635" s="2" t="inlineStr">
        <is>
          <t>15:48</t>
        </is>
      </c>
      <c r="F635" s="5" t="n">
        <v>299.83</v>
      </c>
      <c r="G635" s="5" t="n"/>
      <c r="H635" s="5" t="n"/>
      <c r="I635" s="5" t="n"/>
      <c r="J635" s="5" t="n">
        <v>59.97</v>
      </c>
      <c r="K635" s="5" t="n"/>
      <c r="L635" s="5" t="n"/>
      <c r="M635" s="5" t="n"/>
      <c r="N635" s="5" t="n"/>
      <c r="O635" s="5" t="n">
        <v>359.8</v>
      </c>
      <c r="P635" s="5" t="n"/>
      <c r="Q635" s="5" t="n">
        <v>359.8</v>
      </c>
      <c r="R635" s="5" t="n"/>
      <c r="S635" s="5">
        <f>SUM(F635:I635)+N635</f>
        <v/>
      </c>
      <c r="T635" s="5">
        <f>J635</f>
        <v/>
      </c>
      <c r="U635" s="6">
        <f>YEAR(D635)</f>
        <v/>
      </c>
      <c r="V635" s="5">
        <f>TEXT(D635,"yyyy-mm")</f>
        <v/>
      </c>
    </row>
    <row r="636">
      <c r="A636" s="2" t="inlineStr">
        <is>
          <t>EJ010225.TXT</t>
        </is>
      </c>
      <c r="B636" s="3" t="inlineStr">
        <is>
          <t>001950</t>
        </is>
      </c>
      <c r="C636" s="3" t="inlineStr">
        <is>
          <t>001243</t>
        </is>
      </c>
      <c r="D636" s="4" t="n">
        <v>45686</v>
      </c>
      <c r="E636" s="2" t="inlineStr">
        <is>
          <t>16:28</t>
        </is>
      </c>
      <c r="F636" s="5" t="n">
        <v>49.92</v>
      </c>
      <c r="G636" s="5" t="n"/>
      <c r="H636" s="5" t="n"/>
      <c r="I636" s="5" t="n"/>
      <c r="J636" s="5" t="n">
        <v>9.98</v>
      </c>
      <c r="K636" s="5" t="n"/>
      <c r="L636" s="5" t="n"/>
      <c r="M636" s="5" t="n"/>
      <c r="N636" s="5" t="n"/>
      <c r="O636" s="5" t="n">
        <v>59.9</v>
      </c>
      <c r="P636" s="5" t="n">
        <v>59.9</v>
      </c>
      <c r="Q636" s="5" t="n"/>
      <c r="R636" s="5" t="n"/>
      <c r="S636" s="5">
        <f>SUM(F636:I636)+N636</f>
        <v/>
      </c>
      <c r="T636" s="5">
        <f>J636</f>
        <v/>
      </c>
      <c r="U636" s="6">
        <f>YEAR(D636)</f>
        <v/>
      </c>
      <c r="V636" s="5">
        <f>TEXT(D636,"yyyy-mm")</f>
        <v/>
      </c>
    </row>
    <row r="637">
      <c r="A637" s="2" t="inlineStr">
        <is>
          <t>EJ010225.TXT</t>
        </is>
      </c>
      <c r="B637" s="3" t="inlineStr">
        <is>
          <t>001951</t>
        </is>
      </c>
      <c r="C637" s="3" t="inlineStr">
        <is>
          <t>001244</t>
        </is>
      </c>
      <c r="D637" s="4" t="n">
        <v>45689</v>
      </c>
      <c r="E637" s="2" t="inlineStr">
        <is>
          <t>15:51</t>
        </is>
      </c>
      <c r="F637" s="5" t="n">
        <v>274.17</v>
      </c>
      <c r="G637" s="5" t="n"/>
      <c r="H637" s="5" t="n"/>
      <c r="I637" s="5" t="n"/>
      <c r="J637" s="5" t="n">
        <v>54.83</v>
      </c>
      <c r="K637" s="5" t="n"/>
      <c r="L637" s="5" t="n"/>
      <c r="M637" s="5" t="n"/>
      <c r="N637" s="5" t="n"/>
      <c r="O637" s="5" t="n">
        <v>329</v>
      </c>
      <c r="P637" s="5" t="n">
        <v>329</v>
      </c>
      <c r="Q637" s="5" t="n"/>
      <c r="R637" s="5" t="n"/>
      <c r="S637" s="5">
        <f>SUM(F637:I637)+N637</f>
        <v/>
      </c>
      <c r="T637" s="5">
        <f>J637</f>
        <v/>
      </c>
      <c r="U637" s="6">
        <f>YEAR(D637)</f>
        <v/>
      </c>
      <c r="V637" s="5">
        <f>TEXT(D637,"yyyy-mm")</f>
        <v/>
      </c>
    </row>
    <row r="638">
      <c r="A638" s="2" t="inlineStr">
        <is>
          <t>EJ010325.TXT</t>
        </is>
      </c>
      <c r="B638" s="3" t="inlineStr">
        <is>
          <t>001960</t>
        </is>
      </c>
      <c r="C638" s="3" t="inlineStr">
        <is>
          <t>001245</t>
        </is>
      </c>
      <c r="D638" s="4" t="n">
        <v>45695</v>
      </c>
      <c r="E638" s="2" t="inlineStr">
        <is>
          <t>15:24</t>
        </is>
      </c>
      <c r="F638" s="5" t="n">
        <v>274.17</v>
      </c>
      <c r="G638" s="5" t="n"/>
      <c r="H638" s="5" t="n"/>
      <c r="I638" s="5" t="n"/>
      <c r="J638" s="5" t="n">
        <v>54.83</v>
      </c>
      <c r="K638" s="5" t="n"/>
      <c r="L638" s="5" t="n"/>
      <c r="M638" s="5" t="n"/>
      <c r="N638" s="5" t="n"/>
      <c r="O638" s="5" t="n">
        <v>329</v>
      </c>
      <c r="P638" s="5" t="n"/>
      <c r="Q638" s="5" t="n">
        <v>329</v>
      </c>
      <c r="R638" s="5" t="n"/>
      <c r="S638" s="5">
        <f>SUM(F638:I638)+N638</f>
        <v/>
      </c>
      <c r="T638" s="5">
        <f>J638</f>
        <v/>
      </c>
      <c r="U638" s="6">
        <f>YEAR(D638)</f>
        <v/>
      </c>
      <c r="V638" s="5">
        <f>TEXT(D638,"yyyy-mm")</f>
        <v/>
      </c>
    </row>
    <row r="639">
      <c r="A639" s="2" t="inlineStr">
        <is>
          <t>EJ010325.TXT</t>
        </is>
      </c>
      <c r="B639" s="3" t="inlineStr">
        <is>
          <t>001962</t>
        </is>
      </c>
      <c r="C639" s="3" t="inlineStr">
        <is>
          <t>001246</t>
        </is>
      </c>
      <c r="D639" s="4" t="n">
        <v>45696</v>
      </c>
      <c r="E639" s="2" t="inlineStr">
        <is>
          <t>16:55</t>
        </is>
      </c>
      <c r="F639" s="5" t="n">
        <v>41.58</v>
      </c>
      <c r="G639" s="5" t="n"/>
      <c r="H639" s="5" t="n"/>
      <c r="I639" s="5" t="n"/>
      <c r="J639" s="5" t="n">
        <v>8.32</v>
      </c>
      <c r="K639" s="5" t="n"/>
      <c r="L639" s="5" t="n"/>
      <c r="M639" s="5" t="n"/>
      <c r="N639" s="5" t="n"/>
      <c r="O639" s="5" t="n">
        <v>49.9</v>
      </c>
      <c r="P639" s="5" t="n">
        <v>49.9</v>
      </c>
      <c r="Q639" s="5" t="n"/>
      <c r="R639" s="5" t="n"/>
      <c r="S639" s="5">
        <f>SUM(F639:I639)+N639</f>
        <v/>
      </c>
      <c r="T639" s="5">
        <f>J639</f>
        <v/>
      </c>
      <c r="U639" s="6">
        <f>YEAR(D639)</f>
        <v/>
      </c>
      <c r="V639" s="5">
        <f>TEXT(D639,"yyyy-mm")</f>
        <v/>
      </c>
    </row>
    <row r="640">
      <c r="A640" s="2" t="inlineStr">
        <is>
          <t>EJ010325.TXT</t>
        </is>
      </c>
      <c r="B640" s="3" t="inlineStr">
        <is>
          <t>001963</t>
        </is>
      </c>
      <c r="C640" s="3" t="inlineStr">
        <is>
          <t>001247</t>
        </is>
      </c>
      <c r="D640" s="4" t="n">
        <v>45698</v>
      </c>
      <c r="E640" s="2" t="inlineStr">
        <is>
          <t>11:23</t>
        </is>
      </c>
      <c r="F640" s="5" t="n">
        <v>274.17</v>
      </c>
      <c r="G640" s="5" t="n"/>
      <c r="H640" s="5" t="n"/>
      <c r="I640" s="5" t="n"/>
      <c r="J640" s="5" t="n">
        <v>54.83</v>
      </c>
      <c r="K640" s="5" t="n"/>
      <c r="L640" s="5" t="n"/>
      <c r="M640" s="5" t="n"/>
      <c r="N640" s="5" t="n"/>
      <c r="O640" s="5" t="n">
        <v>329</v>
      </c>
      <c r="P640" s="5" t="n"/>
      <c r="Q640" s="5" t="n">
        <v>329</v>
      </c>
      <c r="R640" s="5" t="n"/>
      <c r="S640" s="5">
        <f>SUM(F640:I640)+N640</f>
        <v/>
      </c>
      <c r="T640" s="5">
        <f>J640</f>
        <v/>
      </c>
      <c r="U640" s="6">
        <f>YEAR(D640)</f>
        <v/>
      </c>
      <c r="V640" s="5">
        <f>TEXT(D640,"yyyy-mm")</f>
        <v/>
      </c>
    </row>
    <row r="641">
      <c r="A641" s="2" t="inlineStr">
        <is>
          <t>EJ010325.TXT</t>
        </is>
      </c>
      <c r="B641" s="3" t="inlineStr">
        <is>
          <t>001964</t>
        </is>
      </c>
      <c r="C641" s="3" t="inlineStr">
        <is>
          <t>001248</t>
        </is>
      </c>
      <c r="D641" s="4" t="n">
        <v>45698</v>
      </c>
      <c r="E641" s="2" t="inlineStr">
        <is>
          <t>13:35</t>
        </is>
      </c>
      <c r="F641" s="5" t="n">
        <v>830</v>
      </c>
      <c r="G641" s="5" t="n"/>
      <c r="H641" s="5" t="n"/>
      <c r="I641" s="5" t="n"/>
      <c r="J641" s="5" t="n">
        <v>166</v>
      </c>
      <c r="K641" s="5" t="n"/>
      <c r="L641" s="5" t="n"/>
      <c r="M641" s="5" t="n"/>
      <c r="N641" s="5" t="n"/>
      <c r="O641" s="5" t="n">
        <v>996</v>
      </c>
      <c r="P641" s="5" t="n"/>
      <c r="Q641" s="5" t="n">
        <v>996</v>
      </c>
      <c r="R641" s="5" t="n"/>
      <c r="S641" s="5">
        <f>SUM(F641:I641)+N641</f>
        <v/>
      </c>
      <c r="T641" s="5">
        <f>J641</f>
        <v/>
      </c>
      <c r="U641" s="6">
        <f>YEAR(D641)</f>
        <v/>
      </c>
      <c r="V641" s="5">
        <f>TEXT(D641,"yyyy-mm")</f>
        <v/>
      </c>
    </row>
    <row r="642">
      <c r="A642" s="2" t="inlineStr">
        <is>
          <t>EJ010325.TXT</t>
        </is>
      </c>
      <c r="B642" s="3" t="inlineStr">
        <is>
          <t>001965</t>
        </is>
      </c>
      <c r="C642" s="3" t="inlineStr">
        <is>
          <t>001249</t>
        </is>
      </c>
      <c r="D642" s="4" t="n">
        <v>45699</v>
      </c>
      <c r="E642" s="2" t="inlineStr">
        <is>
          <t>16:48</t>
        </is>
      </c>
      <c r="F642" s="5" t="n">
        <v>57.5</v>
      </c>
      <c r="G642" s="5" t="n"/>
      <c r="H642" s="5" t="n"/>
      <c r="I642" s="5" t="n"/>
      <c r="J642" s="5" t="n">
        <v>11.5</v>
      </c>
      <c r="K642" s="5" t="n"/>
      <c r="L642" s="5" t="n"/>
      <c r="M642" s="5" t="n"/>
      <c r="N642" s="5" t="n"/>
      <c r="O642" s="5" t="n">
        <v>69</v>
      </c>
      <c r="P642" s="5" t="n"/>
      <c r="Q642" s="5" t="n">
        <v>69</v>
      </c>
      <c r="R642" s="5" t="n"/>
      <c r="S642" s="5">
        <f>SUM(F642:I642)+N642</f>
        <v/>
      </c>
      <c r="T642" s="5">
        <f>J642</f>
        <v/>
      </c>
      <c r="U642" s="6">
        <f>YEAR(D642)</f>
        <v/>
      </c>
      <c r="V642" s="5">
        <f>TEXT(D642,"yyyy-mm")</f>
        <v/>
      </c>
    </row>
    <row r="643">
      <c r="A643" s="2" t="inlineStr">
        <is>
          <t>EJ010325.TXT</t>
        </is>
      </c>
      <c r="B643" s="3" t="inlineStr">
        <is>
          <t>001968</t>
        </is>
      </c>
      <c r="C643" s="3" t="inlineStr">
        <is>
          <t>001250</t>
        </is>
      </c>
      <c r="D643" s="4" t="n">
        <v>45701</v>
      </c>
      <c r="E643" s="2" t="inlineStr">
        <is>
          <t>11:18</t>
        </is>
      </c>
      <c r="F643" s="5" t="n">
        <v>274.17</v>
      </c>
      <c r="G643" s="5" t="n"/>
      <c r="H643" s="5" t="n"/>
      <c r="I643" s="5" t="n"/>
      <c r="J643" s="5" t="n">
        <v>54.83</v>
      </c>
      <c r="K643" s="5" t="n"/>
      <c r="L643" s="5" t="n"/>
      <c r="M643" s="5" t="n"/>
      <c r="N643" s="5" t="n"/>
      <c r="O643" s="5" t="n">
        <v>329</v>
      </c>
      <c r="P643" s="5" t="n"/>
      <c r="Q643" s="5" t="n">
        <v>329</v>
      </c>
      <c r="R643" s="5" t="n"/>
      <c r="S643" s="5">
        <f>SUM(F643:I643)+N643</f>
        <v/>
      </c>
      <c r="T643" s="5">
        <f>J643</f>
        <v/>
      </c>
      <c r="U643" s="6">
        <f>YEAR(D643)</f>
        <v/>
      </c>
      <c r="V643" s="5">
        <f>TEXT(D643,"yyyy-mm")</f>
        <v/>
      </c>
    </row>
    <row r="644">
      <c r="A644" s="2" t="inlineStr">
        <is>
          <t>EJ010325.TXT</t>
        </is>
      </c>
      <c r="B644" s="3" t="inlineStr">
        <is>
          <t>001969</t>
        </is>
      </c>
      <c r="C644" s="3" t="inlineStr">
        <is>
          <t>001251</t>
        </is>
      </c>
      <c r="D644" s="4" t="n">
        <v>45703</v>
      </c>
      <c r="E644" s="2" t="inlineStr">
        <is>
          <t>14:16</t>
        </is>
      </c>
      <c r="F644" s="5" t="n">
        <v>124.17</v>
      </c>
      <c r="G644" s="5" t="n"/>
      <c r="H644" s="5" t="n"/>
      <c r="I644" s="5" t="n"/>
      <c r="J644" s="5" t="n">
        <v>24.83</v>
      </c>
      <c r="K644" s="5" t="n"/>
      <c r="L644" s="5" t="n"/>
      <c r="M644" s="5" t="n"/>
      <c r="N644" s="5" t="n"/>
      <c r="O644" s="5" t="n">
        <v>149</v>
      </c>
      <c r="P644" s="5" t="n"/>
      <c r="Q644" s="5" t="n">
        <v>149</v>
      </c>
      <c r="R644" s="5" t="n"/>
      <c r="S644" s="5">
        <f>SUM(F644:I644)+N644</f>
        <v/>
      </c>
      <c r="T644" s="5">
        <f>J644</f>
        <v/>
      </c>
      <c r="U644" s="6">
        <f>YEAR(D644)</f>
        <v/>
      </c>
      <c r="V644" s="5">
        <f>TEXT(D644,"yyyy-mm")</f>
        <v/>
      </c>
    </row>
    <row r="645">
      <c r="A645" s="2" t="inlineStr">
        <is>
          <t>EJ010325.TXT</t>
        </is>
      </c>
      <c r="B645" s="3" t="inlineStr">
        <is>
          <t>001971</t>
        </is>
      </c>
      <c r="C645" s="3" t="inlineStr">
        <is>
          <t>001252</t>
        </is>
      </c>
      <c r="D645" s="4" t="n">
        <v>45703</v>
      </c>
      <c r="E645" s="2" t="inlineStr">
        <is>
          <t>17:35</t>
        </is>
      </c>
      <c r="F645" s="5" t="n">
        <v>398.33</v>
      </c>
      <c r="G645" s="5" t="n"/>
      <c r="H645" s="5" t="n"/>
      <c r="I645" s="5" t="n"/>
      <c r="J645" s="5" t="n">
        <v>79.67</v>
      </c>
      <c r="K645" s="5" t="n"/>
      <c r="L645" s="5" t="n"/>
      <c r="M645" s="5" t="n"/>
      <c r="N645" s="5" t="n"/>
      <c r="O645" s="5" t="n">
        <v>478</v>
      </c>
      <c r="P645" s="5" t="n">
        <v>478</v>
      </c>
      <c r="Q645" s="5" t="n"/>
      <c r="R645" s="5" t="n"/>
      <c r="S645" s="5">
        <f>SUM(F645:I645)+N645</f>
        <v/>
      </c>
      <c r="T645" s="5">
        <f>J645</f>
        <v/>
      </c>
      <c r="U645" s="6">
        <f>YEAR(D645)</f>
        <v/>
      </c>
      <c r="V645" s="5">
        <f>TEXT(D645,"yyyy-mm")</f>
        <v/>
      </c>
    </row>
    <row r="646">
      <c r="A646" s="2" t="inlineStr">
        <is>
          <t>EJ010325.TXT</t>
        </is>
      </c>
      <c r="B646" s="3" t="inlineStr">
        <is>
          <t>001973</t>
        </is>
      </c>
      <c r="C646" s="3" t="inlineStr">
        <is>
          <t>001253</t>
        </is>
      </c>
      <c r="D646" s="4" t="n">
        <v>45705</v>
      </c>
      <c r="E646" s="2" t="inlineStr">
        <is>
          <t>13:42</t>
        </is>
      </c>
      <c r="F646" s="5" t="n">
        <v>548.33</v>
      </c>
      <c r="G646" s="5" t="n"/>
      <c r="H646" s="5" t="n"/>
      <c r="I646" s="5" t="n"/>
      <c r="J646" s="5" t="n">
        <v>109.67</v>
      </c>
      <c r="K646" s="5" t="n"/>
      <c r="L646" s="5" t="n"/>
      <c r="M646" s="5" t="n"/>
      <c r="N646" s="5" t="n"/>
      <c r="O646" s="5" t="n">
        <v>658</v>
      </c>
      <c r="P646" s="5" t="n">
        <v>658</v>
      </c>
      <c r="Q646" s="5" t="n"/>
      <c r="R646" s="5" t="n"/>
      <c r="S646" s="5">
        <f>SUM(F646:I646)+N646</f>
        <v/>
      </c>
      <c r="T646" s="5">
        <f>J646</f>
        <v/>
      </c>
      <c r="U646" s="6">
        <f>YEAR(D646)</f>
        <v/>
      </c>
      <c r="V646" s="5">
        <f>TEXT(D646,"yyyy-mm")</f>
        <v/>
      </c>
    </row>
    <row r="647">
      <c r="A647" s="2" t="inlineStr">
        <is>
          <t>EJ010325.TXT</t>
        </is>
      </c>
      <c r="B647" s="3" t="inlineStr">
        <is>
          <t>001974</t>
        </is>
      </c>
      <c r="C647" s="3" t="inlineStr">
        <is>
          <t>001254</t>
        </is>
      </c>
      <c r="D647" s="4" t="n">
        <v>45707</v>
      </c>
      <c r="E647" s="2" t="inlineStr">
        <is>
          <t>13:56</t>
        </is>
      </c>
      <c r="F647" s="5" t="n">
        <v>274.17</v>
      </c>
      <c r="G647" s="5" t="n"/>
      <c r="H647" s="5" t="n"/>
      <c r="I647" s="5" t="n"/>
      <c r="J647" s="5" t="n">
        <v>54.83</v>
      </c>
      <c r="K647" s="5" t="n"/>
      <c r="L647" s="5" t="n"/>
      <c r="M647" s="5" t="n"/>
      <c r="N647" s="5" t="n"/>
      <c r="O647" s="5" t="n">
        <v>329</v>
      </c>
      <c r="P647" s="5" t="n"/>
      <c r="Q647" s="5" t="n">
        <v>329</v>
      </c>
      <c r="R647" s="5" t="n"/>
      <c r="S647" s="5">
        <f>SUM(F647:I647)+N647</f>
        <v/>
      </c>
      <c r="T647" s="5">
        <f>J647</f>
        <v/>
      </c>
      <c r="U647" s="6">
        <f>YEAR(D647)</f>
        <v/>
      </c>
      <c r="V647" s="5">
        <f>TEXT(D647,"yyyy-mm")</f>
        <v/>
      </c>
    </row>
    <row r="648">
      <c r="A648" s="2" t="inlineStr">
        <is>
          <t>EJ010325.TXT</t>
        </is>
      </c>
      <c r="B648" s="3" t="inlineStr">
        <is>
          <t>001975</t>
        </is>
      </c>
      <c r="C648" s="3" t="inlineStr">
        <is>
          <t>001255</t>
        </is>
      </c>
      <c r="D648" s="4" t="n">
        <v>45710</v>
      </c>
      <c r="E648" s="2" t="inlineStr">
        <is>
          <t>17:57</t>
        </is>
      </c>
      <c r="F648" s="5" t="n">
        <v>49.92</v>
      </c>
      <c r="G648" s="5" t="n"/>
      <c r="H648" s="5" t="n"/>
      <c r="I648" s="5" t="n"/>
      <c r="J648" s="5" t="n">
        <v>9.98</v>
      </c>
      <c r="K648" s="5" t="n"/>
      <c r="L648" s="5" t="n"/>
      <c r="M648" s="5" t="n"/>
      <c r="N648" s="5" t="n"/>
      <c r="O648" s="5" t="n">
        <v>59.9</v>
      </c>
      <c r="P648" s="5" t="n">
        <v>59.9</v>
      </c>
      <c r="Q648" s="5" t="n"/>
      <c r="R648" s="5" t="n"/>
      <c r="S648" s="5">
        <f>SUM(F648:I648)+N648</f>
        <v/>
      </c>
      <c r="T648" s="5">
        <f>J648</f>
        <v/>
      </c>
      <c r="U648" s="6">
        <f>YEAR(D648)</f>
        <v/>
      </c>
      <c r="V648" s="5">
        <f>TEXT(D648,"yyyy-mm")</f>
        <v/>
      </c>
    </row>
    <row r="649">
      <c r="A649" s="2" t="inlineStr">
        <is>
          <t>EJ010325.TXT</t>
        </is>
      </c>
      <c r="B649" s="3" t="inlineStr">
        <is>
          <t>001976</t>
        </is>
      </c>
      <c r="C649" s="3" t="inlineStr">
        <is>
          <t>001256</t>
        </is>
      </c>
      <c r="D649" s="4" t="n">
        <v>45714</v>
      </c>
      <c r="E649" s="2" t="inlineStr">
        <is>
          <t>16:49</t>
        </is>
      </c>
      <c r="F649" s="5" t="n">
        <v>395</v>
      </c>
      <c r="G649" s="5" t="n"/>
      <c r="H649" s="5" t="n"/>
      <c r="I649" s="5" t="n"/>
      <c r="J649" s="5" t="n">
        <v>79</v>
      </c>
      <c r="K649" s="5" t="n"/>
      <c r="L649" s="5" t="n"/>
      <c r="M649" s="5" t="n"/>
      <c r="N649" s="5" t="n"/>
      <c r="O649" s="5" t="n">
        <v>474</v>
      </c>
      <c r="P649" s="5" t="n">
        <v>474</v>
      </c>
      <c r="Q649" s="5" t="n"/>
      <c r="R649" s="5" t="n"/>
      <c r="S649" s="5">
        <f>SUM(F649:I649)+N649</f>
        <v/>
      </c>
      <c r="T649" s="5">
        <f>J649</f>
        <v/>
      </c>
      <c r="U649" s="6">
        <f>YEAR(D649)</f>
        <v/>
      </c>
      <c r="V649" s="5">
        <f>TEXT(D649,"yyyy-mm")</f>
        <v/>
      </c>
    </row>
    <row r="650">
      <c r="A650" s="2" t="inlineStr">
        <is>
          <t>EJ010325.TXT</t>
        </is>
      </c>
      <c r="B650" s="3" t="inlineStr">
        <is>
          <t>001979</t>
        </is>
      </c>
      <c r="C650" s="3" t="inlineStr">
        <is>
          <t>001257</t>
        </is>
      </c>
      <c r="D650" s="4" t="n">
        <v>45716</v>
      </c>
      <c r="E650" s="2" t="inlineStr">
        <is>
          <t>14:59</t>
        </is>
      </c>
      <c r="F650" s="5" t="n">
        <v>274.17</v>
      </c>
      <c r="G650" s="5" t="n"/>
      <c r="H650" s="5" t="n"/>
      <c r="I650" s="5" t="n"/>
      <c r="J650" s="5" t="n">
        <v>54.83</v>
      </c>
      <c r="K650" s="5" t="n"/>
      <c r="L650" s="5" t="n"/>
      <c r="M650" s="5" t="n"/>
      <c r="N650" s="5" t="n"/>
      <c r="O650" s="5" t="n">
        <v>329</v>
      </c>
      <c r="P650" s="5" t="n">
        <v>329</v>
      </c>
      <c r="Q650" s="5" t="n"/>
      <c r="R650" s="5" t="n"/>
      <c r="S650" s="5">
        <f>SUM(F650:I650)+N650</f>
        <v/>
      </c>
      <c r="T650" s="5">
        <f>J650</f>
        <v/>
      </c>
      <c r="U650" s="6">
        <f>YEAR(D650)</f>
        <v/>
      </c>
      <c r="V650" s="5">
        <f>TEXT(D650,"yyyy-mm")</f>
        <v/>
      </c>
    </row>
    <row r="651">
      <c r="A651" s="2" t="inlineStr">
        <is>
          <t>EJ010425.TXT</t>
        </is>
      </c>
      <c r="B651" s="3" t="inlineStr">
        <is>
          <t>001991</t>
        </is>
      </c>
      <c r="C651" s="3" t="inlineStr">
        <is>
          <t>001258</t>
        </is>
      </c>
      <c r="D651" s="4" t="n">
        <v>45723</v>
      </c>
      <c r="E651" s="2" t="inlineStr">
        <is>
          <t>15:21</t>
        </is>
      </c>
      <c r="F651" s="5" t="n">
        <v>199.17</v>
      </c>
      <c r="G651" s="5" t="n"/>
      <c r="H651" s="5" t="n"/>
      <c r="I651" s="5" t="n"/>
      <c r="J651" s="5" t="n">
        <v>39.83</v>
      </c>
      <c r="K651" s="5" t="n"/>
      <c r="L651" s="5" t="n"/>
      <c r="M651" s="5" t="n"/>
      <c r="N651" s="5" t="n"/>
      <c r="O651" s="5" t="n">
        <v>239</v>
      </c>
      <c r="P651" s="5" t="n">
        <v>239</v>
      </c>
      <c r="Q651" s="5" t="n"/>
      <c r="R651" s="5" t="n"/>
      <c r="S651" s="5">
        <f>SUM(F651:I651)+N651</f>
        <v/>
      </c>
      <c r="T651" s="5">
        <f>J651</f>
        <v/>
      </c>
      <c r="U651" s="6">
        <f>YEAR(D651)</f>
        <v/>
      </c>
      <c r="V651" s="5">
        <f>TEXT(D651,"yyyy-mm")</f>
        <v/>
      </c>
    </row>
    <row r="652">
      <c r="A652" s="2" t="inlineStr">
        <is>
          <t>EJ010425.TXT</t>
        </is>
      </c>
      <c r="B652" s="3" t="inlineStr">
        <is>
          <t>001992</t>
        </is>
      </c>
      <c r="C652" s="3" t="inlineStr">
        <is>
          <t>001259</t>
        </is>
      </c>
      <c r="D652" s="4" t="n">
        <v>45728</v>
      </c>
      <c r="E652" s="2" t="inlineStr">
        <is>
          <t>15:03</t>
        </is>
      </c>
      <c r="F652" s="5" t="n">
        <v>123.25</v>
      </c>
      <c r="G652" s="5" t="n"/>
      <c r="H652" s="5" t="n"/>
      <c r="I652" s="5" t="n"/>
      <c r="J652" s="5" t="n">
        <v>24.65</v>
      </c>
      <c r="K652" s="5" t="n"/>
      <c r="L652" s="5" t="n"/>
      <c r="M652" s="5" t="n"/>
      <c r="N652" s="5" t="n"/>
      <c r="O652" s="5" t="n">
        <v>147.9</v>
      </c>
      <c r="P652" s="5" t="n">
        <v>147.9</v>
      </c>
      <c r="Q652" s="5" t="n"/>
      <c r="R652" s="5" t="n"/>
      <c r="S652" s="5">
        <f>SUM(F652:I652)+N652</f>
        <v/>
      </c>
      <c r="T652" s="5">
        <f>J652</f>
        <v/>
      </c>
      <c r="U652" s="6">
        <f>YEAR(D652)</f>
        <v/>
      </c>
      <c r="V652" s="5">
        <f>TEXT(D652,"yyyy-mm")</f>
        <v/>
      </c>
    </row>
    <row r="653">
      <c r="A653" s="2" t="inlineStr">
        <is>
          <t>EJ010425.TXT</t>
        </is>
      </c>
      <c r="B653" s="3" t="inlineStr">
        <is>
          <t>001993</t>
        </is>
      </c>
      <c r="C653" s="3" t="inlineStr">
        <is>
          <t>001260</t>
        </is>
      </c>
      <c r="D653" s="4" t="n">
        <v>45729</v>
      </c>
      <c r="E653" s="2" t="inlineStr">
        <is>
          <t>12:01</t>
        </is>
      </c>
      <c r="F653" s="5" t="n">
        <v>41.58</v>
      </c>
      <c r="G653" s="5" t="n"/>
      <c r="H653" s="5" t="n"/>
      <c r="I653" s="5" t="n"/>
      <c r="J653" s="5" t="n">
        <v>8.32</v>
      </c>
      <c r="K653" s="5" t="n"/>
      <c r="L653" s="5" t="n"/>
      <c r="M653" s="5" t="n"/>
      <c r="N653" s="5" t="n"/>
      <c r="O653" s="5" t="n">
        <v>49.9</v>
      </c>
      <c r="P653" s="5" t="n">
        <v>49.9</v>
      </c>
      <c r="Q653" s="5" t="n"/>
      <c r="R653" s="5" t="n"/>
      <c r="S653" s="5">
        <f>SUM(F653:I653)+N653</f>
        <v/>
      </c>
      <c r="T653" s="5">
        <f>J653</f>
        <v/>
      </c>
      <c r="U653" s="6">
        <f>YEAR(D653)</f>
        <v/>
      </c>
      <c r="V653" s="5">
        <f>TEXT(D653,"yyyy-mm")</f>
        <v/>
      </c>
    </row>
    <row r="654">
      <c r="A654" s="2" t="inlineStr">
        <is>
          <t>EJ010425.TXT</t>
        </is>
      </c>
      <c r="B654" s="3" t="inlineStr">
        <is>
          <t>001994</t>
        </is>
      </c>
      <c r="C654" s="3" t="inlineStr">
        <is>
          <t>001261</t>
        </is>
      </c>
      <c r="D654" s="4" t="n">
        <v>45729</v>
      </c>
      <c r="E654" s="2" t="inlineStr">
        <is>
          <t>14:51</t>
        </is>
      </c>
      <c r="F654" s="5" t="n">
        <v>274.17</v>
      </c>
      <c r="G654" s="5" t="n"/>
      <c r="H654" s="5" t="n"/>
      <c r="I654" s="5" t="n"/>
      <c r="J654" s="5" t="n">
        <v>54.83</v>
      </c>
      <c r="K654" s="5" t="n"/>
      <c r="L654" s="5" t="n"/>
      <c r="M654" s="5" t="n"/>
      <c r="N654" s="5" t="n"/>
      <c r="O654" s="5" t="n">
        <v>329</v>
      </c>
      <c r="P654" s="5" t="n">
        <v>329</v>
      </c>
      <c r="Q654" s="5" t="n"/>
      <c r="R654" s="5" t="n"/>
      <c r="S654" s="5">
        <f>SUM(F654:I654)+N654</f>
        <v/>
      </c>
      <c r="T654" s="5">
        <f>J654</f>
        <v/>
      </c>
      <c r="U654" s="6">
        <f>YEAR(D654)</f>
        <v/>
      </c>
      <c r="V654" s="5">
        <f>TEXT(D654,"yyyy-mm")</f>
        <v/>
      </c>
    </row>
    <row r="655">
      <c r="A655" s="2" t="inlineStr">
        <is>
          <t>EJ010425.TXT</t>
        </is>
      </c>
      <c r="B655" s="3" t="inlineStr">
        <is>
          <t>001995</t>
        </is>
      </c>
      <c r="C655" s="3" t="inlineStr">
        <is>
          <t>001262</t>
        </is>
      </c>
      <c r="D655" s="4" t="n">
        <v>45730</v>
      </c>
      <c r="E655" s="2" t="inlineStr">
        <is>
          <t>16:44</t>
        </is>
      </c>
      <c r="F655" s="5" t="n">
        <v>548.33</v>
      </c>
      <c r="G655" s="5" t="n"/>
      <c r="H655" s="5" t="n"/>
      <c r="I655" s="5" t="n"/>
      <c r="J655" s="5" t="n">
        <v>109.67</v>
      </c>
      <c r="K655" s="5" t="n"/>
      <c r="L655" s="5" t="n"/>
      <c r="M655" s="5" t="n"/>
      <c r="N655" s="5" t="n"/>
      <c r="O655" s="5" t="n">
        <v>658</v>
      </c>
      <c r="P655" s="5" t="n">
        <v>658</v>
      </c>
      <c r="Q655" s="5" t="n"/>
      <c r="R655" s="5" t="n"/>
      <c r="S655" s="5">
        <f>SUM(F655:I655)+N655</f>
        <v/>
      </c>
      <c r="T655" s="5">
        <f>J655</f>
        <v/>
      </c>
      <c r="U655" s="6">
        <f>YEAR(D655)</f>
        <v/>
      </c>
      <c r="V655" s="5">
        <f>TEXT(D655,"yyyy-mm")</f>
        <v/>
      </c>
    </row>
    <row r="656">
      <c r="A656" s="2" t="inlineStr">
        <is>
          <t>EJ010425.TXT</t>
        </is>
      </c>
      <c r="B656" s="3" t="inlineStr">
        <is>
          <t>001997</t>
        </is>
      </c>
      <c r="C656" s="3" t="inlineStr">
        <is>
          <t>001263</t>
        </is>
      </c>
      <c r="D656" s="4" t="n">
        <v>45731</v>
      </c>
      <c r="E656" s="2" t="inlineStr">
        <is>
          <t>17:33</t>
        </is>
      </c>
      <c r="F656" s="5" t="n">
        <v>124.17</v>
      </c>
      <c r="G656" s="5" t="n"/>
      <c r="H656" s="5" t="n"/>
      <c r="I656" s="5" t="n"/>
      <c r="J656" s="5" t="n">
        <v>24.83</v>
      </c>
      <c r="K656" s="5" t="n"/>
      <c r="L656" s="5" t="n"/>
      <c r="M656" s="5" t="n"/>
      <c r="N656" s="5" t="n"/>
      <c r="O656" s="5" t="n">
        <v>149</v>
      </c>
      <c r="P656" s="5" t="n">
        <v>149</v>
      </c>
      <c r="Q656" s="5" t="n"/>
      <c r="R656" s="5" t="n"/>
      <c r="S656" s="5">
        <f>SUM(F656:I656)+N656</f>
        <v/>
      </c>
      <c r="T656" s="5">
        <f>J656</f>
        <v/>
      </c>
      <c r="U656" s="6">
        <f>YEAR(D656)</f>
        <v/>
      </c>
      <c r="V656" s="5">
        <f>TEXT(D656,"yyyy-mm")</f>
        <v/>
      </c>
    </row>
    <row r="657">
      <c r="A657" s="2" t="inlineStr">
        <is>
          <t>EJ010425.TXT</t>
        </is>
      </c>
      <c r="B657" s="3" t="inlineStr">
        <is>
          <t>001998</t>
        </is>
      </c>
      <c r="C657" s="3" t="inlineStr">
        <is>
          <t>001264</t>
        </is>
      </c>
      <c r="D657" s="4" t="n">
        <v>45731</v>
      </c>
      <c r="E657" s="2" t="inlineStr">
        <is>
          <t>17:39</t>
        </is>
      </c>
      <c r="F657" s="5" t="n">
        <v>274.17</v>
      </c>
      <c r="G657" s="5" t="n"/>
      <c r="H657" s="5" t="n"/>
      <c r="I657" s="5" t="n"/>
      <c r="J657" s="5" t="n">
        <v>54.83</v>
      </c>
      <c r="K657" s="5" t="n"/>
      <c r="L657" s="5" t="n"/>
      <c r="M657" s="5" t="n"/>
      <c r="N657" s="5" t="n"/>
      <c r="O657" s="5" t="n">
        <v>329</v>
      </c>
      <c r="P657" s="5" t="n"/>
      <c r="Q657" s="5" t="n">
        <v>329</v>
      </c>
      <c r="R657" s="5" t="n"/>
      <c r="S657" s="5">
        <f>SUM(F657:I657)+N657</f>
        <v/>
      </c>
      <c r="T657" s="5">
        <f>J657</f>
        <v/>
      </c>
      <c r="U657" s="6">
        <f>YEAR(D657)</f>
        <v/>
      </c>
      <c r="V657" s="5">
        <f>TEXT(D657,"yyyy-mm")</f>
        <v/>
      </c>
    </row>
    <row r="658">
      <c r="A658" s="2" t="inlineStr">
        <is>
          <t>EJ010425.TXT</t>
        </is>
      </c>
      <c r="B658" s="3" t="inlineStr">
        <is>
          <t>001999</t>
        </is>
      </c>
      <c r="C658" s="3" t="inlineStr">
        <is>
          <t>001265</t>
        </is>
      </c>
      <c r="D658" s="4" t="n">
        <v>45731</v>
      </c>
      <c r="E658" s="2" t="inlineStr">
        <is>
          <t>17:58</t>
        </is>
      </c>
      <c r="F658" s="5" t="n">
        <v>1195.83</v>
      </c>
      <c r="G658" s="5" t="n"/>
      <c r="H658" s="5" t="n"/>
      <c r="I658" s="5" t="n"/>
      <c r="J658" s="5" t="n">
        <v>239.17</v>
      </c>
      <c r="K658" s="5" t="n"/>
      <c r="L658" s="5" t="n"/>
      <c r="M658" s="5" t="n"/>
      <c r="N658" s="5" t="n"/>
      <c r="O658" s="5" t="n">
        <v>1435</v>
      </c>
      <c r="P658" s="5" t="n">
        <v>1435</v>
      </c>
      <c r="Q658" s="5" t="n"/>
      <c r="R658" s="5" t="n"/>
      <c r="S658" s="5">
        <f>SUM(F658:I658)+N658</f>
        <v/>
      </c>
      <c r="T658" s="5">
        <f>J658</f>
        <v/>
      </c>
      <c r="U658" s="6">
        <f>YEAR(D658)</f>
        <v/>
      </c>
      <c r="V658" s="5">
        <f>TEXT(D658,"yyyy-mm")</f>
        <v/>
      </c>
    </row>
    <row r="659">
      <c r="A659" s="2" t="inlineStr">
        <is>
          <t>EJ010425.TXT</t>
        </is>
      </c>
      <c r="B659" s="3" t="inlineStr">
        <is>
          <t>002000</t>
        </is>
      </c>
      <c r="C659" s="3" t="inlineStr">
        <is>
          <t>001266</t>
        </is>
      </c>
      <c r="D659" s="4" t="n">
        <v>45736</v>
      </c>
      <c r="E659" s="2" t="inlineStr">
        <is>
          <t>16:21</t>
        </is>
      </c>
      <c r="F659" s="5" t="n">
        <v>36.67</v>
      </c>
      <c r="G659" s="5" t="n"/>
      <c r="H659" s="5" t="n"/>
      <c r="I659" s="5" t="n"/>
      <c r="J659" s="5" t="n">
        <v>7.33</v>
      </c>
      <c r="K659" s="5" t="n"/>
      <c r="L659" s="5" t="n"/>
      <c r="M659" s="5" t="n"/>
      <c r="N659" s="5" t="n"/>
      <c r="O659" s="5" t="n">
        <v>44</v>
      </c>
      <c r="P659" s="5" t="n">
        <v>44</v>
      </c>
      <c r="Q659" s="5" t="n"/>
      <c r="R659" s="5" t="n"/>
      <c r="S659" s="5">
        <f>SUM(F659:I659)+N659</f>
        <v/>
      </c>
      <c r="T659" s="5">
        <f>J659</f>
        <v/>
      </c>
      <c r="U659" s="6">
        <f>YEAR(D659)</f>
        <v/>
      </c>
      <c r="V659" s="5">
        <f>TEXT(D659,"yyyy-mm")</f>
        <v/>
      </c>
    </row>
    <row r="660">
      <c r="A660" s="2" t="inlineStr">
        <is>
          <t>EJ010425.TXT</t>
        </is>
      </c>
      <c r="B660" s="3" t="inlineStr">
        <is>
          <t>002001</t>
        </is>
      </c>
      <c r="C660" s="3" t="inlineStr">
        <is>
          <t>001267</t>
        </is>
      </c>
      <c r="D660" s="4" t="n">
        <v>45737</v>
      </c>
      <c r="E660" s="2" t="inlineStr">
        <is>
          <t>11:01</t>
        </is>
      </c>
      <c r="F660" s="5" t="n">
        <v>73.33</v>
      </c>
      <c r="G660" s="5" t="n"/>
      <c r="H660" s="5" t="n"/>
      <c r="I660" s="5" t="n"/>
      <c r="J660" s="5" t="n">
        <v>14.67</v>
      </c>
      <c r="K660" s="5" t="n"/>
      <c r="L660" s="5" t="n"/>
      <c r="M660" s="5" t="n"/>
      <c r="N660" s="5" t="n"/>
      <c r="O660" s="5" t="n">
        <v>88</v>
      </c>
      <c r="P660" s="5" t="n">
        <v>88</v>
      </c>
      <c r="Q660" s="5" t="n"/>
      <c r="R660" s="5" t="n"/>
      <c r="S660" s="5">
        <f>SUM(F660:I660)+N660</f>
        <v/>
      </c>
      <c r="T660" s="5">
        <f>J660</f>
        <v/>
      </c>
      <c r="U660" s="6">
        <f>YEAR(D660)</f>
        <v/>
      </c>
      <c r="V660" s="5">
        <f>TEXT(D660,"yyyy-mm")</f>
        <v/>
      </c>
    </row>
    <row r="661">
      <c r="A661" s="2" t="inlineStr">
        <is>
          <t>EJ010425.TXT</t>
        </is>
      </c>
      <c r="B661" s="3" t="inlineStr">
        <is>
          <t>002002</t>
        </is>
      </c>
      <c r="C661" s="3" t="inlineStr">
        <is>
          <t>001268</t>
        </is>
      </c>
      <c r="D661" s="4" t="n">
        <v>45738</v>
      </c>
      <c r="E661" s="2" t="inlineStr">
        <is>
          <t>13:59</t>
        </is>
      </c>
      <c r="F661" s="5" t="n">
        <v>146.67</v>
      </c>
      <c r="G661" s="5" t="n"/>
      <c r="H661" s="5" t="n"/>
      <c r="I661" s="5" t="n"/>
      <c r="J661" s="5" t="n">
        <v>29.33</v>
      </c>
      <c r="K661" s="5" t="n"/>
      <c r="L661" s="5" t="n"/>
      <c r="M661" s="5" t="n"/>
      <c r="N661" s="5" t="n"/>
      <c r="O661" s="5" t="n">
        <v>176</v>
      </c>
      <c r="P661" s="5" t="n"/>
      <c r="Q661" s="5" t="n">
        <v>176</v>
      </c>
      <c r="R661" s="5" t="n"/>
      <c r="S661" s="5">
        <f>SUM(F661:I661)+N661</f>
        <v/>
      </c>
      <c r="T661" s="5">
        <f>J661</f>
        <v/>
      </c>
      <c r="U661" s="6">
        <f>YEAR(D661)</f>
        <v/>
      </c>
      <c r="V661" s="5">
        <f>TEXT(D661,"yyyy-mm")</f>
        <v/>
      </c>
    </row>
    <row r="662">
      <c r="A662" s="2" t="inlineStr">
        <is>
          <t>EJ010425.TXT</t>
        </is>
      </c>
      <c r="B662" s="3" t="inlineStr">
        <is>
          <t>002003</t>
        </is>
      </c>
      <c r="C662" s="3" t="inlineStr">
        <is>
          <t>001269</t>
        </is>
      </c>
      <c r="D662" s="4" t="n">
        <v>45743</v>
      </c>
      <c r="E662" s="2" t="inlineStr">
        <is>
          <t>12:55</t>
        </is>
      </c>
      <c r="F662" s="5" t="n">
        <v>174.08</v>
      </c>
      <c r="G662" s="5" t="n"/>
      <c r="H662" s="5" t="n"/>
      <c r="I662" s="5" t="n"/>
      <c r="J662" s="5" t="n">
        <v>34.82</v>
      </c>
      <c r="K662" s="5" t="n"/>
      <c r="L662" s="5" t="n"/>
      <c r="M662" s="5" t="n"/>
      <c r="N662" s="5" t="n"/>
      <c r="O662" s="5" t="n">
        <v>208.9</v>
      </c>
      <c r="P662" s="5" t="n">
        <v>208.9</v>
      </c>
      <c r="Q662" s="5" t="n"/>
      <c r="R662" s="5" t="n"/>
      <c r="S662" s="5">
        <f>SUM(F662:I662)+N662</f>
        <v/>
      </c>
      <c r="T662" s="5">
        <f>J662</f>
        <v/>
      </c>
      <c r="U662" s="6">
        <f>YEAR(D662)</f>
        <v/>
      </c>
      <c r="V662" s="5">
        <f>TEXT(D662,"yyyy-mm")</f>
        <v/>
      </c>
    </row>
    <row r="663">
      <c r="A663" s="2" t="inlineStr">
        <is>
          <t>EJ020525.TXT</t>
        </is>
      </c>
      <c r="B663" s="3" t="inlineStr">
        <is>
          <t>002007</t>
        </is>
      </c>
      <c r="C663" s="3" t="inlineStr">
        <is>
          <t>001270</t>
        </is>
      </c>
      <c r="D663" s="4" t="n">
        <v>45748</v>
      </c>
      <c r="E663" s="2" t="inlineStr">
        <is>
          <t>17:04</t>
        </is>
      </c>
      <c r="F663" s="5" t="n">
        <v>822.5</v>
      </c>
      <c r="G663" s="5" t="n"/>
      <c r="H663" s="5" t="n"/>
      <c r="I663" s="5" t="n"/>
      <c r="J663" s="5" t="n">
        <v>164.5</v>
      </c>
      <c r="K663" s="5" t="n"/>
      <c r="L663" s="5" t="n"/>
      <c r="M663" s="5" t="n"/>
      <c r="N663" s="5" t="n"/>
      <c r="O663" s="5" t="n">
        <v>987</v>
      </c>
      <c r="P663" s="5" t="n"/>
      <c r="Q663" s="5" t="n">
        <v>987</v>
      </c>
      <c r="R663" s="5" t="n"/>
      <c r="S663" s="5">
        <f>SUM(F663:I663)+N663</f>
        <v/>
      </c>
      <c r="T663" s="5">
        <f>J663</f>
        <v/>
      </c>
      <c r="U663" s="6">
        <f>YEAR(D663)</f>
        <v/>
      </c>
      <c r="V663" s="5">
        <f>TEXT(D663,"yyyy-mm")</f>
        <v/>
      </c>
    </row>
    <row r="664">
      <c r="A664" s="2" t="inlineStr">
        <is>
          <t>EJ020525.TXT</t>
        </is>
      </c>
      <c r="B664" s="3" t="inlineStr">
        <is>
          <t>002012</t>
        </is>
      </c>
      <c r="C664" s="3" t="inlineStr">
        <is>
          <t>001271</t>
        </is>
      </c>
      <c r="D664" s="4" t="n">
        <v>45749</v>
      </c>
      <c r="E664" s="2" t="inlineStr">
        <is>
          <t>14:28</t>
        </is>
      </c>
      <c r="F664" s="5" t="n">
        <v>797.5</v>
      </c>
      <c r="G664" s="5" t="n"/>
      <c r="H664" s="5" t="n"/>
      <c r="I664" s="5" t="n"/>
      <c r="J664" s="5" t="n">
        <v>159.5</v>
      </c>
      <c r="K664" s="5" t="n"/>
      <c r="L664" s="5" t="n"/>
      <c r="M664" s="5" t="n"/>
      <c r="N664" s="5" t="n"/>
      <c r="O664" s="5" t="n">
        <v>957</v>
      </c>
      <c r="P664" s="5" t="n"/>
      <c r="Q664" s="5" t="n">
        <v>957</v>
      </c>
      <c r="R664" s="5" t="n"/>
      <c r="S664" s="5">
        <f>SUM(F664:I664)+N664</f>
        <v/>
      </c>
      <c r="T664" s="5">
        <f>J664</f>
        <v/>
      </c>
      <c r="U664" s="6">
        <f>YEAR(D664)</f>
        <v/>
      </c>
      <c r="V664" s="5">
        <f>TEXT(D664,"yyyy-mm")</f>
        <v/>
      </c>
    </row>
    <row r="665">
      <c r="A665" s="2" t="inlineStr">
        <is>
          <t>EJ020525.TXT</t>
        </is>
      </c>
      <c r="B665" s="3" t="inlineStr">
        <is>
          <t>002014</t>
        </is>
      </c>
      <c r="C665" s="3" t="inlineStr">
        <is>
          <t>001272</t>
        </is>
      </c>
      <c r="D665" s="4" t="n">
        <v>45751</v>
      </c>
      <c r="E665" s="2" t="inlineStr">
        <is>
          <t>10:29</t>
        </is>
      </c>
      <c r="F665" s="5" t="n">
        <v>548.33</v>
      </c>
      <c r="G665" s="5" t="n"/>
      <c r="H665" s="5" t="n"/>
      <c r="I665" s="5" t="n"/>
      <c r="J665" s="5" t="n">
        <v>109.67</v>
      </c>
      <c r="K665" s="5" t="n"/>
      <c r="L665" s="5" t="n"/>
      <c r="M665" s="5" t="n"/>
      <c r="N665" s="5" t="n"/>
      <c r="O665" s="5" t="n">
        <v>658</v>
      </c>
      <c r="P665" s="5" t="n">
        <v>658</v>
      </c>
      <c r="Q665" s="5" t="n"/>
      <c r="R665" s="5" t="n"/>
      <c r="S665" s="5">
        <f>SUM(F665:I665)+N665</f>
        <v/>
      </c>
      <c r="T665" s="5">
        <f>J665</f>
        <v/>
      </c>
      <c r="U665" s="6">
        <f>YEAR(D665)</f>
        <v/>
      </c>
      <c r="V665" s="5">
        <f>TEXT(D665,"yyyy-mm")</f>
        <v/>
      </c>
    </row>
    <row r="666">
      <c r="A666" s="2" t="inlineStr">
        <is>
          <t>EJ020525.TXT</t>
        </is>
      </c>
      <c r="B666" s="3" t="inlineStr">
        <is>
          <t>002017</t>
        </is>
      </c>
      <c r="C666" s="3" t="inlineStr">
        <is>
          <t>001273</t>
        </is>
      </c>
      <c r="D666" s="4" t="n">
        <v>45755</v>
      </c>
      <c r="E666" s="2" t="inlineStr">
        <is>
          <t>13:37</t>
        </is>
      </c>
      <c r="F666" s="5" t="n">
        <v>781.67</v>
      </c>
      <c r="G666" s="5" t="n"/>
      <c r="H666" s="5" t="n"/>
      <c r="I666" s="5" t="n"/>
      <c r="J666" s="5" t="n">
        <v>156.33</v>
      </c>
      <c r="K666" s="5" t="n"/>
      <c r="L666" s="5" t="n"/>
      <c r="M666" s="5" t="n"/>
      <c r="N666" s="5" t="n"/>
      <c r="O666" s="5" t="n">
        <v>938</v>
      </c>
      <c r="P666" s="5" t="n"/>
      <c r="Q666" s="5" t="n">
        <v>938</v>
      </c>
      <c r="R666" s="5" t="n"/>
      <c r="S666" s="5">
        <f>SUM(F666:I666)+N666</f>
        <v/>
      </c>
      <c r="T666" s="5">
        <f>J666</f>
        <v/>
      </c>
      <c r="U666" s="6">
        <f>YEAR(D666)</f>
        <v/>
      </c>
      <c r="V666" s="5">
        <f>TEXT(D666,"yyyy-mm")</f>
        <v/>
      </c>
    </row>
    <row r="667">
      <c r="A667" s="2" t="inlineStr">
        <is>
          <t>EJ020525.TXT</t>
        </is>
      </c>
      <c r="B667" s="3" t="inlineStr">
        <is>
          <t>002018</t>
        </is>
      </c>
      <c r="C667" s="3" t="inlineStr">
        <is>
          <t>001274</t>
        </is>
      </c>
      <c r="D667" s="4" t="n">
        <v>45756</v>
      </c>
      <c r="E667" s="2" t="inlineStr">
        <is>
          <t>12:38</t>
        </is>
      </c>
      <c r="F667" s="5" t="n">
        <v>57.5</v>
      </c>
      <c r="G667" s="5" t="n"/>
      <c r="H667" s="5" t="n"/>
      <c r="I667" s="5" t="n"/>
      <c r="J667" s="5" t="n">
        <v>11.5</v>
      </c>
      <c r="K667" s="5" t="n"/>
      <c r="L667" s="5" t="n"/>
      <c r="M667" s="5" t="n"/>
      <c r="N667" s="5" t="n"/>
      <c r="O667" s="5" t="n">
        <v>69</v>
      </c>
      <c r="P667" s="5" t="n">
        <v>69</v>
      </c>
      <c r="Q667" s="5" t="n"/>
      <c r="R667" s="5" t="n"/>
      <c r="S667" s="5">
        <f>SUM(F667:I667)+N667</f>
        <v/>
      </c>
      <c r="T667" s="5">
        <f>J667</f>
        <v/>
      </c>
      <c r="U667" s="6">
        <f>YEAR(D667)</f>
        <v/>
      </c>
      <c r="V667" s="5">
        <f>TEXT(D667,"yyyy-mm")</f>
        <v/>
      </c>
    </row>
    <row r="668">
      <c r="A668" s="2" t="inlineStr">
        <is>
          <t>EJ020525.TXT</t>
        </is>
      </c>
      <c r="B668" s="3" t="inlineStr">
        <is>
          <t>002019</t>
        </is>
      </c>
      <c r="C668" s="3" t="inlineStr">
        <is>
          <t>001275</t>
        </is>
      </c>
      <c r="D668" s="4" t="n">
        <v>45757</v>
      </c>
      <c r="E668" s="2" t="inlineStr">
        <is>
          <t>12:01</t>
        </is>
      </c>
      <c r="F668" s="5" t="n">
        <v>274.17</v>
      </c>
      <c r="G668" s="5" t="n"/>
      <c r="H668" s="5" t="n"/>
      <c r="I668" s="5" t="n"/>
      <c r="J668" s="5" t="n">
        <v>54.83</v>
      </c>
      <c r="K668" s="5" t="n"/>
      <c r="L668" s="5" t="n"/>
      <c r="M668" s="5" t="n"/>
      <c r="N668" s="5" t="n"/>
      <c r="O668" s="5" t="n">
        <v>329</v>
      </c>
      <c r="P668" s="5" t="n"/>
      <c r="Q668" s="5" t="n">
        <v>329</v>
      </c>
      <c r="R668" s="5" t="n"/>
      <c r="S668" s="5">
        <f>SUM(F668:I668)+N668</f>
        <v/>
      </c>
      <c r="T668" s="5">
        <f>J668</f>
        <v/>
      </c>
      <c r="U668" s="6">
        <f>YEAR(D668)</f>
        <v/>
      </c>
      <c r="V668" s="5">
        <f>TEXT(D668,"yyyy-mm")</f>
        <v/>
      </c>
    </row>
    <row r="669">
      <c r="A669" s="2" t="inlineStr">
        <is>
          <t>EJ020525.TXT</t>
        </is>
      </c>
      <c r="B669" s="3" t="inlineStr">
        <is>
          <t>002021</t>
        </is>
      </c>
      <c r="C669" s="3" t="inlineStr">
        <is>
          <t>001276</t>
        </is>
      </c>
      <c r="D669" s="4" t="n">
        <v>45757</v>
      </c>
      <c r="E669" s="2" t="inlineStr">
        <is>
          <t>15:43</t>
        </is>
      </c>
      <c r="F669" s="5" t="n">
        <v>274.17</v>
      </c>
      <c r="G669" s="5" t="n"/>
      <c r="H669" s="5" t="n"/>
      <c r="I669" s="5" t="n"/>
      <c r="J669" s="5" t="n">
        <v>54.83</v>
      </c>
      <c r="K669" s="5" t="n"/>
      <c r="L669" s="5" t="n"/>
      <c r="M669" s="5" t="n"/>
      <c r="N669" s="5" t="n"/>
      <c r="O669" s="5" t="n">
        <v>329</v>
      </c>
      <c r="P669" s="5" t="n">
        <v>329</v>
      </c>
      <c r="Q669" s="5" t="n"/>
      <c r="R669" s="5" t="n"/>
      <c r="S669" s="5">
        <f>SUM(F669:I669)+N669</f>
        <v/>
      </c>
      <c r="T669" s="5">
        <f>J669</f>
        <v/>
      </c>
      <c r="U669" s="6">
        <f>YEAR(D669)</f>
        <v/>
      </c>
      <c r="V669" s="5">
        <f>TEXT(D669,"yyyy-mm")</f>
        <v/>
      </c>
    </row>
    <row r="670">
      <c r="A670" s="2" t="inlineStr">
        <is>
          <t>EJ020525.TXT</t>
        </is>
      </c>
      <c r="B670" s="3" t="inlineStr">
        <is>
          <t>002022</t>
        </is>
      </c>
      <c r="C670" s="3" t="inlineStr">
        <is>
          <t>001277</t>
        </is>
      </c>
      <c r="D670" s="4" t="n">
        <v>45758</v>
      </c>
      <c r="E670" s="2" t="inlineStr">
        <is>
          <t>13:52</t>
        </is>
      </c>
      <c r="F670" s="5" t="n">
        <v>274.17</v>
      </c>
      <c r="G670" s="5" t="n"/>
      <c r="H670" s="5" t="n"/>
      <c r="I670" s="5" t="n"/>
      <c r="J670" s="5" t="n">
        <v>54.83</v>
      </c>
      <c r="K670" s="5" t="n"/>
      <c r="L670" s="5" t="n"/>
      <c r="M670" s="5" t="n"/>
      <c r="N670" s="5" t="n"/>
      <c r="O670" s="5" t="n">
        <v>329</v>
      </c>
      <c r="P670" s="5" t="n">
        <v>329</v>
      </c>
      <c r="Q670" s="5" t="n"/>
      <c r="R670" s="5" t="n"/>
      <c r="S670" s="5">
        <f>SUM(F670:I670)+N670</f>
        <v/>
      </c>
      <c r="T670" s="5">
        <f>J670</f>
        <v/>
      </c>
      <c r="U670" s="6">
        <f>YEAR(D670)</f>
        <v/>
      </c>
      <c r="V670" s="5">
        <f>TEXT(D670,"yyyy-mm")</f>
        <v/>
      </c>
    </row>
    <row r="671">
      <c r="A671" s="2" t="inlineStr">
        <is>
          <t>EJ020525.TXT</t>
        </is>
      </c>
      <c r="B671" s="3" t="inlineStr">
        <is>
          <t>002023</t>
        </is>
      </c>
      <c r="C671" s="3" t="inlineStr">
        <is>
          <t>001278</t>
        </is>
      </c>
      <c r="D671" s="4" t="n">
        <v>45761</v>
      </c>
      <c r="E671" s="2" t="inlineStr">
        <is>
          <t>09:40</t>
        </is>
      </c>
      <c r="F671" s="5" t="n">
        <v>726.67</v>
      </c>
      <c r="G671" s="5" t="n"/>
      <c r="H671" s="5" t="n"/>
      <c r="I671" s="5" t="n"/>
      <c r="J671" s="5" t="n">
        <v>145.33</v>
      </c>
      <c r="K671" s="5" t="n"/>
      <c r="L671" s="5" t="n"/>
      <c r="M671" s="5" t="n"/>
      <c r="N671" s="5" t="n"/>
      <c r="O671" s="5" t="n">
        <v>872</v>
      </c>
      <c r="P671" s="5" t="n"/>
      <c r="Q671" s="5" t="n">
        <v>872</v>
      </c>
      <c r="R671" s="5" t="n"/>
      <c r="S671" s="5">
        <f>SUM(F671:I671)+N671</f>
        <v/>
      </c>
      <c r="T671" s="5">
        <f>J671</f>
        <v/>
      </c>
      <c r="U671" s="6">
        <f>YEAR(D671)</f>
        <v/>
      </c>
      <c r="V671" s="5">
        <f>TEXT(D671,"yyyy-mm")</f>
        <v/>
      </c>
    </row>
    <row r="672">
      <c r="A672" s="2" t="inlineStr">
        <is>
          <t>EJ020525.TXT</t>
        </is>
      </c>
      <c r="B672" s="3" t="inlineStr">
        <is>
          <t>002024</t>
        </is>
      </c>
      <c r="C672" s="3" t="inlineStr">
        <is>
          <t>001279</t>
        </is>
      </c>
      <c r="D672" s="4" t="n">
        <v>45761</v>
      </c>
      <c r="E672" s="2" t="inlineStr">
        <is>
          <t>16:51</t>
        </is>
      </c>
      <c r="F672" s="5" t="n">
        <v>398.33</v>
      </c>
      <c r="G672" s="5" t="n"/>
      <c r="H672" s="5" t="n"/>
      <c r="I672" s="5" t="n"/>
      <c r="J672" s="5" t="n">
        <v>79.67</v>
      </c>
      <c r="K672" s="5" t="n"/>
      <c r="L672" s="5" t="n"/>
      <c r="M672" s="5" t="n"/>
      <c r="N672" s="5" t="n"/>
      <c r="O672" s="5" t="n">
        <v>478</v>
      </c>
      <c r="P672" s="5" t="n">
        <v>478</v>
      </c>
      <c r="Q672" s="5" t="n"/>
      <c r="R672" s="5" t="n"/>
      <c r="S672" s="5">
        <f>SUM(F672:I672)+N672</f>
        <v/>
      </c>
      <c r="T672" s="5">
        <f>J672</f>
        <v/>
      </c>
      <c r="U672" s="6">
        <f>YEAR(D672)</f>
        <v/>
      </c>
      <c r="V672" s="5">
        <f>TEXT(D672,"yyyy-mm")</f>
        <v/>
      </c>
    </row>
    <row r="673">
      <c r="A673" s="2" t="inlineStr">
        <is>
          <t>EJ020525.TXT</t>
        </is>
      </c>
      <c r="B673" s="3" t="inlineStr">
        <is>
          <t>002025</t>
        </is>
      </c>
      <c r="C673" s="3" t="inlineStr">
        <is>
          <t>001280</t>
        </is>
      </c>
      <c r="D673" s="4" t="n">
        <v>45762</v>
      </c>
      <c r="E673" s="2" t="inlineStr">
        <is>
          <t>11:52</t>
        </is>
      </c>
      <c r="F673" s="5" t="n">
        <v>548.33</v>
      </c>
      <c r="G673" s="5" t="n"/>
      <c r="H673" s="5" t="n"/>
      <c r="I673" s="5" t="n"/>
      <c r="J673" s="5" t="n">
        <v>109.67</v>
      </c>
      <c r="K673" s="5" t="n"/>
      <c r="L673" s="5" t="n"/>
      <c r="M673" s="5" t="n"/>
      <c r="N673" s="5" t="n"/>
      <c r="O673" s="5" t="n">
        <v>658</v>
      </c>
      <c r="P673" s="5" t="n"/>
      <c r="Q673" s="5" t="n">
        <v>658</v>
      </c>
      <c r="R673" s="5" t="n"/>
      <c r="S673" s="5">
        <f>SUM(F673:I673)+N673</f>
        <v/>
      </c>
      <c r="T673" s="5">
        <f>J673</f>
        <v/>
      </c>
      <c r="U673" s="6">
        <f>YEAR(D673)</f>
        <v/>
      </c>
      <c r="V673" s="5">
        <f>TEXT(D673,"yyyy-mm")</f>
        <v/>
      </c>
    </row>
    <row r="674">
      <c r="A674" s="2" t="inlineStr">
        <is>
          <t>EJ020525.TXT</t>
        </is>
      </c>
      <c r="B674" s="3" t="inlineStr">
        <is>
          <t>002028</t>
        </is>
      </c>
      <c r="C674" s="3" t="inlineStr">
        <is>
          <t>001281</t>
        </is>
      </c>
      <c r="D674" s="4" t="n">
        <v>45763</v>
      </c>
      <c r="E674" s="2" t="inlineStr">
        <is>
          <t>09:19</t>
        </is>
      </c>
      <c r="F674" s="5" t="n">
        <v>790.83</v>
      </c>
      <c r="G674" s="5" t="n"/>
      <c r="H674" s="5" t="n"/>
      <c r="I674" s="5" t="n"/>
      <c r="J674" s="5" t="n">
        <v>158.17</v>
      </c>
      <c r="K674" s="5" t="n"/>
      <c r="L674" s="5" t="n"/>
      <c r="M674" s="5" t="n"/>
      <c r="N674" s="5" t="n"/>
      <c r="O674" s="5" t="n">
        <v>949</v>
      </c>
      <c r="P674" s="5" t="n"/>
      <c r="Q674" s="5" t="n">
        <v>949</v>
      </c>
      <c r="R674" s="5" t="n"/>
      <c r="S674" s="5">
        <f>SUM(F674:I674)+N674</f>
        <v/>
      </c>
      <c r="T674" s="5">
        <f>J674</f>
        <v/>
      </c>
      <c r="U674" s="6">
        <f>YEAR(D674)</f>
        <v/>
      </c>
      <c r="V674" s="5">
        <f>TEXT(D674,"yyyy-mm")</f>
        <v/>
      </c>
    </row>
    <row r="675">
      <c r="A675" s="2" t="inlineStr">
        <is>
          <t>EJ020525.TXT</t>
        </is>
      </c>
      <c r="B675" s="3" t="inlineStr">
        <is>
          <t>002029</t>
        </is>
      </c>
      <c r="C675" s="3" t="inlineStr">
        <is>
          <t>001282</t>
        </is>
      </c>
      <c r="D675" s="4" t="n">
        <v>45764</v>
      </c>
      <c r="E675" s="2" t="inlineStr">
        <is>
          <t>11:57</t>
        </is>
      </c>
      <c r="F675" s="5" t="n">
        <v>73.33</v>
      </c>
      <c r="G675" s="5" t="n"/>
      <c r="H675" s="5" t="n"/>
      <c r="I675" s="5" t="n"/>
      <c r="J675" s="5" t="n">
        <v>14.67</v>
      </c>
      <c r="K675" s="5" t="n"/>
      <c r="L675" s="5" t="n"/>
      <c r="M675" s="5" t="n"/>
      <c r="N675" s="5" t="n"/>
      <c r="O675" s="5" t="n">
        <v>88</v>
      </c>
      <c r="P675" s="5" t="n">
        <v>88</v>
      </c>
      <c r="Q675" s="5" t="n"/>
      <c r="R675" s="5" t="n"/>
      <c r="S675" s="5">
        <f>SUM(F675:I675)+N675</f>
        <v/>
      </c>
      <c r="T675" s="5">
        <f>J675</f>
        <v/>
      </c>
      <c r="U675" s="6">
        <f>YEAR(D675)</f>
        <v/>
      </c>
      <c r="V675" s="5">
        <f>TEXT(D675,"yyyy-mm")</f>
        <v/>
      </c>
    </row>
    <row r="676">
      <c r="A676" s="2" t="inlineStr">
        <is>
          <t>EJ020525.TXT</t>
        </is>
      </c>
      <c r="B676" s="3" t="inlineStr">
        <is>
          <t>002031</t>
        </is>
      </c>
      <c r="C676" s="3" t="inlineStr">
        <is>
          <t>001283</t>
        </is>
      </c>
      <c r="D676" s="4" t="n">
        <v>45766</v>
      </c>
      <c r="E676" s="2" t="inlineStr">
        <is>
          <t>13:51</t>
        </is>
      </c>
      <c r="F676" s="5" t="n">
        <v>248.33</v>
      </c>
      <c r="G676" s="5" t="n"/>
      <c r="H676" s="5" t="n"/>
      <c r="I676" s="5" t="n"/>
      <c r="J676" s="5" t="n">
        <v>49.67</v>
      </c>
      <c r="K676" s="5" t="n"/>
      <c r="L676" s="5" t="n"/>
      <c r="M676" s="5" t="n"/>
      <c r="N676" s="5" t="n"/>
      <c r="O676" s="5" t="n">
        <v>298</v>
      </c>
      <c r="P676" s="5" t="n">
        <v>298</v>
      </c>
      <c r="Q676" s="5" t="n"/>
      <c r="R676" s="5" t="n"/>
      <c r="S676" s="5">
        <f>SUM(F676:I676)+N676</f>
        <v/>
      </c>
      <c r="T676" s="5">
        <f>J676</f>
        <v/>
      </c>
      <c r="U676" s="6">
        <f>YEAR(D676)</f>
        <v/>
      </c>
      <c r="V676" s="5">
        <f>TEXT(D676,"yyyy-mm")</f>
        <v/>
      </c>
    </row>
    <row r="677">
      <c r="A677" s="2" t="inlineStr">
        <is>
          <t>EJ020525.TXT</t>
        </is>
      </c>
      <c r="B677" s="3" t="inlineStr">
        <is>
          <t>002032</t>
        </is>
      </c>
      <c r="C677" s="3" t="inlineStr">
        <is>
          <t>001284</t>
        </is>
      </c>
      <c r="D677" s="4" t="n">
        <v>45769</v>
      </c>
      <c r="E677" s="2" t="inlineStr">
        <is>
          <t>09:22</t>
        </is>
      </c>
      <c r="F677" s="5" t="n">
        <v>783.33</v>
      </c>
      <c r="G677" s="5" t="n"/>
      <c r="H677" s="5" t="n"/>
      <c r="I677" s="5" t="n"/>
      <c r="J677" s="5" t="n">
        <v>156.67</v>
      </c>
      <c r="K677" s="5" t="n"/>
      <c r="L677" s="5" t="n"/>
      <c r="M677" s="5" t="n"/>
      <c r="N677" s="5" t="n"/>
      <c r="O677" s="5" t="n">
        <v>940</v>
      </c>
      <c r="P677" s="5" t="n"/>
      <c r="Q677" s="5" t="n">
        <v>940</v>
      </c>
      <c r="R677" s="5" t="n"/>
      <c r="S677" s="5">
        <f>SUM(F677:I677)+N677</f>
        <v/>
      </c>
      <c r="T677" s="5">
        <f>J677</f>
        <v/>
      </c>
      <c r="U677" s="6">
        <f>YEAR(D677)</f>
        <v/>
      </c>
      <c r="V677" s="5">
        <f>TEXT(D677,"yyyy-mm")</f>
        <v/>
      </c>
    </row>
    <row r="678">
      <c r="A678" s="2" t="inlineStr">
        <is>
          <t>EJ020525.TXT</t>
        </is>
      </c>
      <c r="B678" s="3" t="inlineStr">
        <is>
          <t>002036</t>
        </is>
      </c>
      <c r="C678" s="3" t="inlineStr">
        <is>
          <t>001285</t>
        </is>
      </c>
      <c r="D678" s="4" t="n">
        <v>45772</v>
      </c>
      <c r="E678" s="2" t="inlineStr">
        <is>
          <t>16:45</t>
        </is>
      </c>
      <c r="F678" s="5" t="n">
        <v>724.17</v>
      </c>
      <c r="G678" s="5" t="n"/>
      <c r="H678" s="5" t="n"/>
      <c r="I678" s="5" t="n"/>
      <c r="J678" s="5" t="n">
        <v>144.83</v>
      </c>
      <c r="K678" s="5" t="n"/>
      <c r="L678" s="5" t="n"/>
      <c r="M678" s="5" t="n"/>
      <c r="N678" s="5" t="n"/>
      <c r="O678" s="5" t="n">
        <v>869</v>
      </c>
      <c r="P678" s="5" t="n"/>
      <c r="Q678" s="5" t="n">
        <v>869</v>
      </c>
      <c r="R678" s="5" t="n"/>
      <c r="S678" s="5">
        <f>SUM(F678:I678)+N678</f>
        <v/>
      </c>
      <c r="T678" s="5">
        <f>J678</f>
        <v/>
      </c>
      <c r="U678" s="6">
        <f>YEAR(D678)</f>
        <v/>
      </c>
      <c r="V678" s="5">
        <f>TEXT(D678,"yyyy-mm")</f>
        <v/>
      </c>
    </row>
    <row r="679">
      <c r="A679" s="2" t="inlineStr">
        <is>
          <t>EJ020525.TXT</t>
        </is>
      </c>
      <c r="B679" s="3" t="inlineStr">
        <is>
          <t>002037</t>
        </is>
      </c>
      <c r="C679" s="3" t="inlineStr">
        <is>
          <t>001286</t>
        </is>
      </c>
      <c r="D679" s="4" t="n">
        <v>45773</v>
      </c>
      <c r="E679" s="2" t="inlineStr">
        <is>
          <t>13:11</t>
        </is>
      </c>
      <c r="F679" s="5" t="n">
        <v>822.5</v>
      </c>
      <c r="G679" s="5" t="n"/>
      <c r="H679" s="5" t="n"/>
      <c r="I679" s="5" t="n"/>
      <c r="J679" s="5" t="n">
        <v>164.5</v>
      </c>
      <c r="K679" s="5" t="n"/>
      <c r="L679" s="5" t="n"/>
      <c r="M679" s="5" t="n"/>
      <c r="N679" s="5" t="n"/>
      <c r="O679" s="5" t="n">
        <v>987</v>
      </c>
      <c r="P679" s="5" t="n"/>
      <c r="Q679" s="5" t="n">
        <v>987</v>
      </c>
      <c r="R679" s="5" t="n"/>
      <c r="S679" s="5">
        <f>SUM(F679:I679)+N679</f>
        <v/>
      </c>
      <c r="T679" s="5">
        <f>J679</f>
        <v/>
      </c>
      <c r="U679" s="6">
        <f>YEAR(D679)</f>
        <v/>
      </c>
      <c r="V679" s="5">
        <f>TEXT(D679,"yyyy-mm")</f>
        <v/>
      </c>
    </row>
    <row r="680">
      <c r="A680" s="2" t="inlineStr">
        <is>
          <t>EJ020525.TXT</t>
        </is>
      </c>
      <c r="B680" s="3" t="inlineStr">
        <is>
          <t>002038</t>
        </is>
      </c>
      <c r="C680" s="3" t="inlineStr">
        <is>
          <t>001287</t>
        </is>
      </c>
      <c r="D680" s="4" t="n">
        <v>45775</v>
      </c>
      <c r="E680" s="2" t="inlineStr">
        <is>
          <t>10:28</t>
        </is>
      </c>
      <c r="F680" s="5" t="n">
        <v>548.33</v>
      </c>
      <c r="G680" s="5" t="n"/>
      <c r="H680" s="5" t="n"/>
      <c r="I680" s="5" t="n"/>
      <c r="J680" s="5" t="n">
        <v>109.67</v>
      </c>
      <c r="K680" s="5" t="n"/>
      <c r="L680" s="5" t="n"/>
      <c r="M680" s="5" t="n"/>
      <c r="N680" s="5" t="n"/>
      <c r="O680" s="5" t="n">
        <v>658</v>
      </c>
      <c r="P680" s="5" t="n"/>
      <c r="Q680" s="5" t="n">
        <v>658</v>
      </c>
      <c r="R680" s="5" t="n"/>
      <c r="S680" s="5">
        <f>SUM(F680:I680)+N680</f>
        <v/>
      </c>
      <c r="T680" s="5">
        <f>J680</f>
        <v/>
      </c>
      <c r="U680" s="6">
        <f>YEAR(D680)</f>
        <v/>
      </c>
      <c r="V680" s="5">
        <f>TEXT(D680,"yyyy-mm")</f>
        <v/>
      </c>
    </row>
    <row r="681">
      <c r="A681" s="2" t="inlineStr">
        <is>
          <t>EJ020525.TXT</t>
        </is>
      </c>
      <c r="B681" s="3" t="inlineStr">
        <is>
          <t>002039</t>
        </is>
      </c>
      <c r="C681" s="3" t="inlineStr">
        <is>
          <t>001288</t>
        </is>
      </c>
      <c r="D681" s="4" t="n">
        <v>45776</v>
      </c>
      <c r="E681" s="2" t="inlineStr">
        <is>
          <t>16:20</t>
        </is>
      </c>
      <c r="F681" s="5" t="n">
        <v>1096.67</v>
      </c>
      <c r="G681" s="5" t="n"/>
      <c r="H681" s="5" t="n"/>
      <c r="I681" s="5" t="n"/>
      <c r="J681" s="5" t="n">
        <v>219.33</v>
      </c>
      <c r="K681" s="5" t="n"/>
      <c r="L681" s="5" t="n"/>
      <c r="M681" s="5" t="n"/>
      <c r="N681" s="5" t="n"/>
      <c r="O681" s="5" t="n">
        <v>1316</v>
      </c>
      <c r="P681" s="5" t="n">
        <v>1316</v>
      </c>
      <c r="Q681" s="5" t="n"/>
      <c r="R681" s="5" t="n"/>
      <c r="S681" s="5">
        <f>SUM(F681:I681)+N681</f>
        <v/>
      </c>
      <c r="T681" s="5">
        <f>J681</f>
        <v/>
      </c>
      <c r="U681" s="6">
        <f>YEAR(D681)</f>
        <v/>
      </c>
      <c r="V681" s="5">
        <f>TEXT(D681,"yyyy-mm")</f>
        <v/>
      </c>
    </row>
    <row r="682">
      <c r="A682" s="2" t="inlineStr">
        <is>
          <t>EJ020525.TXT</t>
        </is>
      </c>
      <c r="B682" s="3" t="inlineStr">
        <is>
          <t>002040</t>
        </is>
      </c>
      <c r="C682" s="3" t="inlineStr">
        <is>
          <t>001289</t>
        </is>
      </c>
      <c r="D682" s="4" t="n">
        <v>45777</v>
      </c>
      <c r="E682" s="2" t="inlineStr">
        <is>
          <t>08:48</t>
        </is>
      </c>
      <c r="F682" s="5" t="n">
        <v>405</v>
      </c>
      <c r="G682" s="5" t="n"/>
      <c r="H682" s="5" t="n"/>
      <c r="I682" s="5" t="n"/>
      <c r="J682" s="5" t="n">
        <v>81</v>
      </c>
      <c r="K682" s="5" t="n"/>
      <c r="L682" s="5" t="n"/>
      <c r="M682" s="5" t="n"/>
      <c r="N682" s="5" t="n"/>
      <c r="O682" s="5" t="n">
        <v>486</v>
      </c>
      <c r="P682" s="5" t="n"/>
      <c r="Q682" s="5" t="n">
        <v>486</v>
      </c>
      <c r="R682" s="5" t="n"/>
      <c r="S682" s="5">
        <f>SUM(F682:I682)+N682</f>
        <v/>
      </c>
      <c r="T682" s="5">
        <f>J682</f>
        <v/>
      </c>
      <c r="U682" s="6">
        <f>YEAR(D682)</f>
        <v/>
      </c>
      <c r="V682" s="5">
        <f>TEXT(D682,"yyyy-mm")</f>
        <v/>
      </c>
    </row>
    <row r="683">
      <c r="A683" s="2" t="inlineStr">
        <is>
          <t>EJ020625.TXT</t>
        </is>
      </c>
      <c r="B683" s="3" t="inlineStr">
        <is>
          <t>002045</t>
        </is>
      </c>
      <c r="C683" s="3" t="inlineStr">
        <is>
          <t>001290</t>
        </is>
      </c>
      <c r="D683" s="4" t="n">
        <v>45779</v>
      </c>
      <c r="E683" s="2" t="inlineStr">
        <is>
          <t>09:50</t>
        </is>
      </c>
      <c r="F683" s="5" t="n">
        <v>265.83</v>
      </c>
      <c r="G683" s="5" t="n"/>
      <c r="H683" s="5" t="n"/>
      <c r="I683" s="5" t="n"/>
      <c r="J683" s="5" t="n">
        <v>53.17</v>
      </c>
      <c r="K683" s="5" t="n"/>
      <c r="L683" s="5" t="n"/>
      <c r="M683" s="5" t="n"/>
      <c r="N683" s="5" t="n"/>
      <c r="O683" s="5" t="n">
        <v>319</v>
      </c>
      <c r="P683" s="5" t="n"/>
      <c r="Q683" s="5" t="n">
        <v>319</v>
      </c>
      <c r="R683" s="5" t="n"/>
      <c r="S683" s="5">
        <f>SUM(F683:I683)+N683</f>
        <v/>
      </c>
      <c r="T683" s="5">
        <f>J683</f>
        <v/>
      </c>
      <c r="U683" s="6">
        <f>YEAR(D683)</f>
        <v/>
      </c>
      <c r="V683" s="5">
        <f>TEXT(D683,"yyyy-mm")</f>
        <v/>
      </c>
    </row>
    <row r="684">
      <c r="A684" s="2" t="inlineStr">
        <is>
          <t>EJ020625.TXT</t>
        </is>
      </c>
      <c r="B684" s="3" t="inlineStr">
        <is>
          <t>002047</t>
        </is>
      </c>
      <c r="C684" s="3" t="inlineStr">
        <is>
          <t>001291</t>
        </is>
      </c>
      <c r="D684" s="4" t="n">
        <v>45779</v>
      </c>
      <c r="E684" s="2" t="inlineStr">
        <is>
          <t>16:26</t>
        </is>
      </c>
      <c r="F684" s="5" t="n">
        <v>293.33</v>
      </c>
      <c r="G684" s="5" t="n"/>
      <c r="H684" s="5" t="n"/>
      <c r="I684" s="5" t="n"/>
      <c r="J684" s="5" t="n">
        <v>58.67</v>
      </c>
      <c r="K684" s="5" t="n"/>
      <c r="L684" s="5" t="n"/>
      <c r="M684" s="5" t="n"/>
      <c r="N684" s="5" t="n"/>
      <c r="O684" s="5" t="n">
        <v>352</v>
      </c>
      <c r="P684" s="5" t="n">
        <v>352</v>
      </c>
      <c r="Q684" s="5" t="n"/>
      <c r="R684" s="5" t="n"/>
      <c r="S684" s="5">
        <f>SUM(F684:I684)+N684</f>
        <v/>
      </c>
      <c r="T684" s="5">
        <f>J684</f>
        <v/>
      </c>
      <c r="U684" s="6">
        <f>YEAR(D684)</f>
        <v/>
      </c>
      <c r="V684" s="5">
        <f>TEXT(D684,"yyyy-mm")</f>
        <v/>
      </c>
    </row>
    <row r="685">
      <c r="A685" s="2" t="inlineStr">
        <is>
          <t>EJ020625.TXT</t>
        </is>
      </c>
      <c r="B685" s="3" t="inlineStr">
        <is>
          <t>002048</t>
        </is>
      </c>
      <c r="C685" s="3" t="inlineStr">
        <is>
          <t>001292</t>
        </is>
      </c>
      <c r="D685" s="4" t="n">
        <v>45782</v>
      </c>
      <c r="E685" s="2" t="inlineStr">
        <is>
          <t>13:29</t>
        </is>
      </c>
      <c r="F685" s="5" t="n">
        <v>33.33</v>
      </c>
      <c r="G685" s="5" t="n"/>
      <c r="H685" s="5" t="n"/>
      <c r="I685" s="5" t="n"/>
      <c r="J685" s="5" t="n">
        <v>6.67</v>
      </c>
      <c r="K685" s="5" t="n"/>
      <c r="L685" s="5" t="n"/>
      <c r="M685" s="5" t="n"/>
      <c r="N685" s="5" t="n"/>
      <c r="O685" s="5" t="n">
        <v>40</v>
      </c>
      <c r="P685" s="5" t="n"/>
      <c r="Q685" s="5" t="n"/>
      <c r="R685" s="5" t="n">
        <v>40</v>
      </c>
      <c r="S685" s="5">
        <f>SUM(F685:I685)+N685</f>
        <v/>
      </c>
      <c r="T685" s="5">
        <f>J685</f>
        <v/>
      </c>
      <c r="U685" s="6">
        <f>YEAR(D685)</f>
        <v/>
      </c>
      <c r="V685" s="5">
        <f>TEXT(D685,"yyyy-mm")</f>
        <v/>
      </c>
    </row>
    <row r="686">
      <c r="A686" s="2" t="inlineStr">
        <is>
          <t>EJ020625.TXT</t>
        </is>
      </c>
      <c r="B686" s="3" t="inlineStr">
        <is>
          <t>002049</t>
        </is>
      </c>
      <c r="C686" s="3" t="inlineStr">
        <is>
          <t>001293</t>
        </is>
      </c>
      <c r="D686" s="4" t="n">
        <v>45786</v>
      </c>
      <c r="E686" s="2" t="inlineStr">
        <is>
          <t>12:49</t>
        </is>
      </c>
      <c r="F686" s="5" t="n">
        <v>73.33</v>
      </c>
      <c r="G686" s="5" t="n"/>
      <c r="H686" s="5" t="n"/>
      <c r="I686" s="5" t="n"/>
      <c r="J686" s="5" t="n">
        <v>14.67</v>
      </c>
      <c r="K686" s="5" t="n"/>
      <c r="L686" s="5" t="n"/>
      <c r="M686" s="5" t="n"/>
      <c r="N686" s="5" t="n"/>
      <c r="O686" s="5" t="n">
        <v>88</v>
      </c>
      <c r="P686" s="5" t="n">
        <v>88</v>
      </c>
      <c r="Q686" s="5" t="n"/>
      <c r="R686" s="5" t="n"/>
      <c r="S686" s="5">
        <f>SUM(F686:I686)+N686</f>
        <v/>
      </c>
      <c r="T686" s="5">
        <f>J686</f>
        <v/>
      </c>
      <c r="U686" s="6">
        <f>YEAR(D686)</f>
        <v/>
      </c>
      <c r="V686" s="5">
        <f>TEXT(D686,"yyyy-mm")</f>
        <v/>
      </c>
    </row>
    <row r="687">
      <c r="A687" s="2" t="inlineStr">
        <is>
          <t>EJ020625.TXT</t>
        </is>
      </c>
      <c r="B687" s="3" t="inlineStr">
        <is>
          <t>002057</t>
        </is>
      </c>
      <c r="C687" s="3" t="inlineStr">
        <is>
          <t>001294</t>
        </is>
      </c>
      <c r="D687" s="4" t="n">
        <v>45792</v>
      </c>
      <c r="E687" s="2" t="inlineStr">
        <is>
          <t>16:08</t>
        </is>
      </c>
      <c r="F687" s="5" t="n">
        <v>465.83</v>
      </c>
      <c r="G687" s="5" t="n"/>
      <c r="H687" s="5" t="n"/>
      <c r="I687" s="5" t="n"/>
      <c r="J687" s="5" t="n">
        <v>93.17</v>
      </c>
      <c r="K687" s="5" t="n"/>
      <c r="L687" s="5" t="n"/>
      <c r="M687" s="5" t="n"/>
      <c r="N687" s="5" t="n"/>
      <c r="O687" s="5" t="n">
        <v>559</v>
      </c>
      <c r="P687" s="5" t="n"/>
      <c r="Q687" s="5" t="n">
        <v>559</v>
      </c>
      <c r="R687" s="5" t="n"/>
      <c r="S687" s="5">
        <f>SUM(F687:I687)+N687</f>
        <v/>
      </c>
      <c r="T687" s="5">
        <f>J687</f>
        <v/>
      </c>
      <c r="U687" s="6">
        <f>YEAR(D687)</f>
        <v/>
      </c>
      <c r="V687" s="5">
        <f>TEXT(D687,"yyyy-mm")</f>
        <v/>
      </c>
    </row>
    <row r="688">
      <c r="A688" s="2" t="inlineStr">
        <is>
          <t>EJ020625.TXT</t>
        </is>
      </c>
      <c r="B688" s="3" t="inlineStr">
        <is>
          <t>002058</t>
        </is>
      </c>
      <c r="C688" s="3" t="inlineStr">
        <is>
          <t>001295</t>
        </is>
      </c>
      <c r="D688" s="4" t="n">
        <v>45792</v>
      </c>
      <c r="E688" s="2" t="inlineStr">
        <is>
          <t>16:08</t>
        </is>
      </c>
      <c r="F688" s="5" t="n">
        <v>465.83</v>
      </c>
      <c r="G688" s="5" t="n"/>
      <c r="H688" s="5" t="n"/>
      <c r="I688" s="5" t="n"/>
      <c r="J688" s="5" t="n">
        <v>93.17</v>
      </c>
      <c r="K688" s="5" t="n"/>
      <c r="L688" s="5" t="n"/>
      <c r="M688" s="5" t="n"/>
      <c r="N688" s="5" t="n"/>
      <c r="O688" s="5" t="n">
        <v>559</v>
      </c>
      <c r="P688" s="5" t="n"/>
      <c r="Q688" s="5" t="n">
        <v>559</v>
      </c>
      <c r="R688" s="5" t="n"/>
      <c r="S688" s="5">
        <f>SUM(F688:I688)+N688</f>
        <v/>
      </c>
      <c r="T688" s="5">
        <f>J688</f>
        <v/>
      </c>
      <c r="U688" s="6">
        <f>YEAR(D688)</f>
        <v/>
      </c>
      <c r="V688" s="5">
        <f>TEXT(D688,"yyyy-mm")</f>
        <v/>
      </c>
    </row>
    <row r="689">
      <c r="A689" s="2" t="inlineStr">
        <is>
          <t>EJ020625.TXT</t>
        </is>
      </c>
      <c r="B689" s="3" t="inlineStr">
        <is>
          <t>002059</t>
        </is>
      </c>
      <c r="C689" s="3" t="inlineStr">
        <is>
          <t>001296</t>
        </is>
      </c>
      <c r="D689" s="4" t="n">
        <v>45793</v>
      </c>
      <c r="E689" s="2" t="inlineStr">
        <is>
          <t>09:50</t>
        </is>
      </c>
      <c r="F689" s="5" t="n">
        <v>36.67</v>
      </c>
      <c r="G689" s="5" t="n"/>
      <c r="H689" s="5" t="n"/>
      <c r="I689" s="5" t="n"/>
      <c r="J689" s="5" t="n">
        <v>7.33</v>
      </c>
      <c r="K689" s="5" t="n"/>
      <c r="L689" s="5" t="n"/>
      <c r="M689" s="5" t="n"/>
      <c r="N689" s="5" t="n"/>
      <c r="O689" s="5" t="n">
        <v>44</v>
      </c>
      <c r="P689" s="5" t="n">
        <v>44</v>
      </c>
      <c r="Q689" s="5" t="n"/>
      <c r="R689" s="5" t="n"/>
      <c r="S689" s="5">
        <f>SUM(F689:I689)+N689</f>
        <v/>
      </c>
      <c r="T689" s="5">
        <f>J689</f>
        <v/>
      </c>
      <c r="U689" s="6">
        <f>YEAR(D689)</f>
        <v/>
      </c>
      <c r="V689" s="5">
        <f>TEXT(D689,"yyyy-mm")</f>
        <v/>
      </c>
    </row>
    <row r="690">
      <c r="A690" s="2" t="inlineStr">
        <is>
          <t>EJ020625.TXT</t>
        </is>
      </c>
      <c r="B690" s="3" t="inlineStr">
        <is>
          <t>002060</t>
        </is>
      </c>
      <c r="C690" s="3" t="inlineStr">
        <is>
          <t>001297</t>
        </is>
      </c>
      <c r="D690" s="4" t="n">
        <v>45793</v>
      </c>
      <c r="E690" s="2" t="inlineStr">
        <is>
          <t>14:48</t>
        </is>
      </c>
      <c r="F690" s="5" t="n">
        <v>274.17</v>
      </c>
      <c r="G690" s="5" t="n"/>
      <c r="H690" s="5" t="n"/>
      <c r="I690" s="5" t="n"/>
      <c r="J690" s="5" t="n">
        <v>54.83</v>
      </c>
      <c r="K690" s="5" t="n"/>
      <c r="L690" s="5" t="n"/>
      <c r="M690" s="5" t="n"/>
      <c r="N690" s="5" t="n"/>
      <c r="O690" s="5" t="n">
        <v>329</v>
      </c>
      <c r="P690" s="5" t="n"/>
      <c r="Q690" s="5" t="n">
        <v>329</v>
      </c>
      <c r="R690" s="5" t="n"/>
      <c r="S690" s="5">
        <f>SUM(F690:I690)+N690</f>
        <v/>
      </c>
      <c r="T690" s="5">
        <f>J690</f>
        <v/>
      </c>
      <c r="U690" s="6">
        <f>YEAR(D690)</f>
        <v/>
      </c>
      <c r="V690" s="5">
        <f>TEXT(D690,"yyyy-mm")</f>
        <v/>
      </c>
    </row>
    <row r="691">
      <c r="A691" s="2" t="inlineStr">
        <is>
          <t>EJ020625.TXT</t>
        </is>
      </c>
      <c r="B691" s="3" t="inlineStr">
        <is>
          <t>002062</t>
        </is>
      </c>
      <c r="C691" s="3" t="inlineStr">
        <is>
          <t>001298</t>
        </is>
      </c>
      <c r="D691" s="4" t="n">
        <v>45794</v>
      </c>
      <c r="E691" s="2" t="inlineStr">
        <is>
          <t>14:04</t>
        </is>
      </c>
      <c r="F691" s="5" t="n">
        <v>274.17</v>
      </c>
      <c r="G691" s="5" t="n"/>
      <c r="H691" s="5" t="n"/>
      <c r="I691" s="5" t="n"/>
      <c r="J691" s="5" t="n">
        <v>54.83</v>
      </c>
      <c r="K691" s="5" t="n"/>
      <c r="L691" s="5" t="n"/>
      <c r="M691" s="5" t="n"/>
      <c r="N691" s="5" t="n"/>
      <c r="O691" s="5" t="n">
        <v>329</v>
      </c>
      <c r="P691" s="5" t="n">
        <v>329</v>
      </c>
      <c r="Q691" s="5" t="n"/>
      <c r="R691" s="5" t="n"/>
      <c r="S691" s="5">
        <f>SUM(F691:I691)+N691</f>
        <v/>
      </c>
      <c r="T691" s="5">
        <f>J691</f>
        <v/>
      </c>
      <c r="U691" s="6">
        <f>YEAR(D691)</f>
        <v/>
      </c>
      <c r="V691" s="5">
        <f>TEXT(D691,"yyyy-mm")</f>
        <v/>
      </c>
    </row>
    <row r="692">
      <c r="A692" s="2" t="inlineStr">
        <is>
          <t>EJ020625.TXT</t>
        </is>
      </c>
      <c r="B692" s="3" t="inlineStr">
        <is>
          <t>002063</t>
        </is>
      </c>
      <c r="C692" s="3" t="inlineStr">
        <is>
          <t>001299</t>
        </is>
      </c>
      <c r="D692" s="4" t="n">
        <v>45796</v>
      </c>
      <c r="E692" s="2" t="inlineStr">
        <is>
          <t>16:20</t>
        </is>
      </c>
      <c r="F692" s="5" t="n">
        <v>41.58</v>
      </c>
      <c r="G692" s="5" t="n"/>
      <c r="H692" s="5" t="n"/>
      <c r="I692" s="5" t="n"/>
      <c r="J692" s="5" t="n">
        <v>8.32</v>
      </c>
      <c r="K692" s="5" t="n"/>
      <c r="L692" s="5" t="n"/>
      <c r="M692" s="5" t="n"/>
      <c r="N692" s="5" t="n"/>
      <c r="O692" s="5" t="n">
        <v>49.9</v>
      </c>
      <c r="P692" s="5" t="n">
        <v>49.9</v>
      </c>
      <c r="Q692" s="5" t="n"/>
      <c r="R692" s="5" t="n"/>
      <c r="S692" s="5">
        <f>SUM(F692:I692)+N692</f>
        <v/>
      </c>
      <c r="T692" s="5">
        <f>J692</f>
        <v/>
      </c>
      <c r="U692" s="6">
        <f>YEAR(D692)</f>
        <v/>
      </c>
      <c r="V692" s="5">
        <f>TEXT(D692,"yyyy-mm")</f>
        <v/>
      </c>
    </row>
    <row r="693">
      <c r="A693" s="2" t="inlineStr">
        <is>
          <t>EJ020625.TXT</t>
        </is>
      </c>
      <c r="B693" s="3" t="inlineStr">
        <is>
          <t>002064</t>
        </is>
      </c>
      <c r="C693" s="3" t="inlineStr">
        <is>
          <t>001300</t>
        </is>
      </c>
      <c r="D693" s="4" t="n">
        <v>45797</v>
      </c>
      <c r="E693" s="2" t="inlineStr">
        <is>
          <t>14:19</t>
        </is>
      </c>
      <c r="F693" s="5" t="n">
        <v>207.5</v>
      </c>
      <c r="G693" s="5" t="n"/>
      <c r="H693" s="5" t="n"/>
      <c r="I693" s="5" t="n"/>
      <c r="J693" s="5" t="n">
        <v>41.5</v>
      </c>
      <c r="K693" s="5" t="n"/>
      <c r="L693" s="5" t="n"/>
      <c r="M693" s="5" t="n"/>
      <c r="N693" s="5" t="n"/>
      <c r="O693" s="5" t="n">
        <v>249</v>
      </c>
      <c r="P693" s="5" t="n">
        <v>249</v>
      </c>
      <c r="Q693" s="5" t="n"/>
      <c r="R693" s="5" t="n"/>
      <c r="S693" s="5">
        <f>SUM(F693:I693)+N693</f>
        <v/>
      </c>
      <c r="T693" s="5">
        <f>J693</f>
        <v/>
      </c>
      <c r="U693" s="6">
        <f>YEAR(D693)</f>
        <v/>
      </c>
      <c r="V693" s="5">
        <f>TEXT(D693,"yyyy-mm")</f>
        <v/>
      </c>
    </row>
    <row r="694">
      <c r="A694" s="2" t="inlineStr">
        <is>
          <t>EJ020625.TXT</t>
        </is>
      </c>
      <c r="B694" s="3" t="inlineStr">
        <is>
          <t>002067</t>
        </is>
      </c>
      <c r="C694" s="3" t="inlineStr">
        <is>
          <t>001301</t>
        </is>
      </c>
      <c r="D694" s="4" t="n">
        <v>45803</v>
      </c>
      <c r="E694" s="2" t="inlineStr">
        <is>
          <t>08:55</t>
        </is>
      </c>
      <c r="F694" s="5" t="n">
        <v>548.33</v>
      </c>
      <c r="G694" s="5" t="n"/>
      <c r="H694" s="5" t="n"/>
      <c r="I694" s="5" t="n"/>
      <c r="J694" s="5" t="n">
        <v>109.67</v>
      </c>
      <c r="K694" s="5" t="n"/>
      <c r="L694" s="5" t="n"/>
      <c r="M694" s="5" t="n"/>
      <c r="N694" s="5" t="n"/>
      <c r="O694" s="5" t="n">
        <v>658</v>
      </c>
      <c r="P694" s="5" t="n"/>
      <c r="Q694" s="5" t="n">
        <v>658</v>
      </c>
      <c r="R694" s="5" t="n"/>
      <c r="S694" s="5">
        <f>SUM(F694:I694)+N694</f>
        <v/>
      </c>
      <c r="T694" s="5">
        <f>J694</f>
        <v/>
      </c>
      <c r="U694" s="6">
        <f>YEAR(D694)</f>
        <v/>
      </c>
      <c r="V694" s="5">
        <f>TEXT(D694,"yyyy-mm")</f>
        <v/>
      </c>
    </row>
    <row r="695">
      <c r="A695" s="2" t="inlineStr">
        <is>
          <t>EJ020625.TXT</t>
        </is>
      </c>
      <c r="B695" s="3" t="inlineStr">
        <is>
          <t>002068</t>
        </is>
      </c>
      <c r="C695" s="3" t="inlineStr">
        <is>
          <t>001302</t>
        </is>
      </c>
      <c r="D695" s="4" t="n">
        <v>45805</v>
      </c>
      <c r="E695" s="2" t="inlineStr">
        <is>
          <t>16:08</t>
        </is>
      </c>
      <c r="F695" s="5" t="n">
        <v>41.58</v>
      </c>
      <c r="G695" s="5" t="n"/>
      <c r="H695" s="5" t="n"/>
      <c r="I695" s="5" t="n"/>
      <c r="J695" s="5" t="n">
        <v>8.32</v>
      </c>
      <c r="K695" s="5" t="n"/>
      <c r="L695" s="5" t="n"/>
      <c r="M695" s="5" t="n"/>
      <c r="N695" s="5" t="n"/>
      <c r="O695" s="5" t="n">
        <v>49.9</v>
      </c>
      <c r="P695" s="5" t="n">
        <v>49.9</v>
      </c>
      <c r="Q695" s="5" t="n"/>
      <c r="R695" s="5" t="n"/>
      <c r="S695" s="5">
        <f>SUM(F695:I695)+N695</f>
        <v/>
      </c>
      <c r="T695" s="5">
        <f>J695</f>
        <v/>
      </c>
      <c r="U695" s="6">
        <f>YEAR(D695)</f>
        <v/>
      </c>
      <c r="V695" s="5">
        <f>TEXT(D695,"yyyy-mm")</f>
        <v/>
      </c>
    </row>
    <row r="696">
      <c r="A696" s="2" t="inlineStr">
        <is>
          <t>EJ020625.TXT</t>
        </is>
      </c>
      <c r="B696" s="3" t="inlineStr">
        <is>
          <t>002069</t>
        </is>
      </c>
      <c r="C696" s="3" t="inlineStr">
        <is>
          <t>001303</t>
        </is>
      </c>
      <c r="D696" s="4" t="n">
        <v>45807</v>
      </c>
      <c r="E696" s="2" t="inlineStr">
        <is>
          <t>16:12</t>
        </is>
      </c>
      <c r="F696" s="5" t="n">
        <v>149.92</v>
      </c>
      <c r="G696" s="5" t="n"/>
      <c r="H696" s="5" t="n"/>
      <c r="I696" s="5" t="n"/>
      <c r="J696" s="5" t="n">
        <v>29.98</v>
      </c>
      <c r="K696" s="5" t="n"/>
      <c r="L696" s="5" t="n"/>
      <c r="M696" s="5" t="n"/>
      <c r="N696" s="5" t="n"/>
      <c r="O696" s="5" t="n">
        <v>179.9</v>
      </c>
      <c r="P696" s="5" t="n">
        <v>179.9</v>
      </c>
      <c r="Q696" s="5" t="n"/>
      <c r="R696" s="5" t="n"/>
      <c r="S696" s="5">
        <f>SUM(F696:I696)+N696</f>
        <v/>
      </c>
      <c r="T696" s="5">
        <f>J696</f>
        <v/>
      </c>
      <c r="U696" s="6">
        <f>YEAR(D696)</f>
        <v/>
      </c>
      <c r="V696" s="5">
        <f>TEXT(D696,"yyyy-mm")</f>
        <v/>
      </c>
    </row>
    <row r="697">
      <c r="A697" s="2" t="inlineStr">
        <is>
          <t>EJ010825.TXT</t>
        </is>
      </c>
      <c r="B697" s="3" t="inlineStr">
        <is>
          <t>002078</t>
        </is>
      </c>
      <c r="C697" s="3" t="inlineStr">
        <is>
          <t>001304</t>
        </is>
      </c>
      <c r="D697" s="4" t="n">
        <v>45811</v>
      </c>
      <c r="E697" s="2" t="inlineStr">
        <is>
          <t>11:05</t>
        </is>
      </c>
      <c r="F697" s="5" t="n">
        <v>548.33</v>
      </c>
      <c r="G697" s="5" t="n"/>
      <c r="H697" s="5" t="n"/>
      <c r="I697" s="5" t="n"/>
      <c r="J697" s="5" t="n">
        <v>109.67</v>
      </c>
      <c r="K697" s="5" t="n"/>
      <c r="L697" s="5" t="n"/>
      <c r="M697" s="5" t="n"/>
      <c r="N697" s="5" t="n"/>
      <c r="O697" s="5" t="n">
        <v>658</v>
      </c>
      <c r="P697" s="5" t="n">
        <v>658</v>
      </c>
      <c r="Q697" s="5" t="n"/>
      <c r="R697" s="5" t="n"/>
      <c r="S697" s="5">
        <f>SUM(F697:I697)+N697</f>
        <v/>
      </c>
      <c r="T697" s="5">
        <f>J697</f>
        <v/>
      </c>
      <c r="U697" s="6">
        <f>YEAR(D697)</f>
        <v/>
      </c>
      <c r="V697" s="5">
        <f>TEXT(D697,"yyyy-mm")</f>
        <v/>
      </c>
    </row>
    <row r="698">
      <c r="A698" s="2" t="inlineStr">
        <is>
          <t>EJ010825.TXT</t>
        </is>
      </c>
      <c r="B698" s="3" t="inlineStr">
        <is>
          <t>002079</t>
        </is>
      </c>
      <c r="C698" s="3" t="inlineStr">
        <is>
          <t>001305</t>
        </is>
      </c>
      <c r="D698" s="4" t="n">
        <v>45811</v>
      </c>
      <c r="E698" s="2" t="inlineStr">
        <is>
          <t>11:37</t>
        </is>
      </c>
      <c r="F698" s="5" t="n">
        <v>49.92</v>
      </c>
      <c r="G698" s="5" t="n"/>
      <c r="H698" s="5" t="n"/>
      <c r="I698" s="5" t="n"/>
      <c r="J698" s="5" t="n">
        <v>9.98</v>
      </c>
      <c r="K698" s="5" t="n"/>
      <c r="L698" s="5" t="n"/>
      <c r="M698" s="5" t="n"/>
      <c r="N698" s="5" t="n"/>
      <c r="O698" s="5" t="n">
        <v>59.9</v>
      </c>
      <c r="P698" s="5" t="n">
        <v>59.9</v>
      </c>
      <c r="Q698" s="5" t="n"/>
      <c r="R698" s="5" t="n"/>
      <c r="S698" s="5">
        <f>SUM(F698:I698)+N698</f>
        <v/>
      </c>
      <c r="T698" s="5">
        <f>J698</f>
        <v/>
      </c>
      <c r="U698" s="6">
        <f>YEAR(D698)</f>
        <v/>
      </c>
      <c r="V698" s="5">
        <f>TEXT(D698,"yyyy-mm")</f>
        <v/>
      </c>
    </row>
    <row r="699">
      <c r="A699" s="2" t="inlineStr">
        <is>
          <t>EJ010825.TXT</t>
        </is>
      </c>
      <c r="B699" s="3" t="inlineStr">
        <is>
          <t>002080</t>
        </is>
      </c>
      <c r="C699" s="3" t="inlineStr">
        <is>
          <t>001306</t>
        </is>
      </c>
      <c r="D699" s="4" t="n">
        <v>45820</v>
      </c>
      <c r="E699" s="2" t="inlineStr">
        <is>
          <t>14:27</t>
        </is>
      </c>
      <c r="F699" s="5" t="n">
        <v>274.17</v>
      </c>
      <c r="G699" s="5" t="n"/>
      <c r="H699" s="5" t="n"/>
      <c r="I699" s="5" t="n"/>
      <c r="J699" s="5" t="n">
        <v>54.83</v>
      </c>
      <c r="K699" s="5" t="n"/>
      <c r="L699" s="5" t="n"/>
      <c r="M699" s="5" t="n"/>
      <c r="N699" s="5" t="n"/>
      <c r="O699" s="5" t="n">
        <v>329</v>
      </c>
      <c r="P699" s="5" t="n"/>
      <c r="Q699" s="5" t="n">
        <v>329</v>
      </c>
      <c r="R699" s="5" t="n"/>
      <c r="S699" s="5">
        <f>SUM(F699:I699)+N699</f>
        <v/>
      </c>
      <c r="T699" s="5">
        <f>J699</f>
        <v/>
      </c>
      <c r="U699" s="6">
        <f>YEAR(D699)</f>
        <v/>
      </c>
      <c r="V699" s="5">
        <f>TEXT(D699,"yyyy-mm")</f>
        <v/>
      </c>
    </row>
    <row r="700">
      <c r="A700" s="2" t="inlineStr">
        <is>
          <t>EJ010825.TXT</t>
        </is>
      </c>
      <c r="B700" s="3" t="inlineStr">
        <is>
          <t>002081</t>
        </is>
      </c>
      <c r="C700" s="3" t="inlineStr">
        <is>
          <t>001307</t>
        </is>
      </c>
      <c r="D700" s="4" t="n">
        <v>45820</v>
      </c>
      <c r="E700" s="2" t="inlineStr">
        <is>
          <t>16:25</t>
        </is>
      </c>
      <c r="F700" s="5" t="n">
        <v>548.33</v>
      </c>
      <c r="G700" s="5" t="n"/>
      <c r="H700" s="5" t="n"/>
      <c r="I700" s="5" t="n"/>
      <c r="J700" s="5" t="n">
        <v>109.67</v>
      </c>
      <c r="K700" s="5" t="n"/>
      <c r="L700" s="5" t="n"/>
      <c r="M700" s="5" t="n"/>
      <c r="N700" s="5" t="n"/>
      <c r="O700" s="5" t="n">
        <v>658</v>
      </c>
      <c r="P700" s="5" t="n">
        <v>658</v>
      </c>
      <c r="Q700" s="5" t="n"/>
      <c r="R700" s="5" t="n"/>
      <c r="S700" s="5">
        <f>SUM(F700:I700)+N700</f>
        <v/>
      </c>
      <c r="T700" s="5">
        <f>J700</f>
        <v/>
      </c>
      <c r="U700" s="6">
        <f>YEAR(D700)</f>
        <v/>
      </c>
      <c r="V700" s="5">
        <f>TEXT(D700,"yyyy-mm")</f>
        <v/>
      </c>
    </row>
    <row r="701">
      <c r="A701" s="2" t="inlineStr">
        <is>
          <t>EJ010825.TXT</t>
        </is>
      </c>
      <c r="B701" s="3" t="inlineStr">
        <is>
          <t>002082</t>
        </is>
      </c>
      <c r="C701" s="3" t="inlineStr">
        <is>
          <t>001308</t>
        </is>
      </c>
      <c r="D701" s="4" t="n">
        <v>45824</v>
      </c>
      <c r="E701" s="2" t="inlineStr">
        <is>
          <t>13:03</t>
        </is>
      </c>
      <c r="F701" s="5" t="n">
        <v>415</v>
      </c>
      <c r="G701" s="5" t="n"/>
      <c r="H701" s="5" t="n"/>
      <c r="I701" s="5" t="n"/>
      <c r="J701" s="5" t="n">
        <v>83</v>
      </c>
      <c r="K701" s="5" t="n"/>
      <c r="L701" s="5" t="n"/>
      <c r="M701" s="5" t="n"/>
      <c r="N701" s="5" t="n"/>
      <c r="O701" s="5" t="n">
        <v>498</v>
      </c>
      <c r="P701" s="5" t="n">
        <v>498</v>
      </c>
      <c r="Q701" s="5" t="n"/>
      <c r="R701" s="5" t="n"/>
      <c r="S701" s="5">
        <f>SUM(F701:I701)+N701</f>
        <v/>
      </c>
      <c r="T701" s="5">
        <f>J701</f>
        <v/>
      </c>
      <c r="U701" s="6">
        <f>YEAR(D701)</f>
        <v/>
      </c>
      <c r="V701" s="5">
        <f>TEXT(D701,"yyyy-mm")</f>
        <v/>
      </c>
    </row>
    <row r="702">
      <c r="A702" s="2" t="inlineStr">
        <is>
          <t>EJ010825.TXT</t>
        </is>
      </c>
      <c r="B702" s="3" t="inlineStr">
        <is>
          <t>002083</t>
        </is>
      </c>
      <c r="C702" s="3" t="inlineStr">
        <is>
          <t>001309</t>
        </is>
      </c>
      <c r="D702" s="4" t="n">
        <v>45825</v>
      </c>
      <c r="E702" s="2" t="inlineStr">
        <is>
          <t>15:58</t>
        </is>
      </c>
      <c r="F702" s="5" t="n">
        <v>274.17</v>
      </c>
      <c r="G702" s="5" t="n"/>
      <c r="H702" s="5" t="n"/>
      <c r="I702" s="5" t="n"/>
      <c r="J702" s="5" t="n">
        <v>54.83</v>
      </c>
      <c r="K702" s="5" t="n"/>
      <c r="L702" s="5" t="n"/>
      <c r="M702" s="5" t="n"/>
      <c r="N702" s="5" t="n"/>
      <c r="O702" s="5" t="n">
        <v>329</v>
      </c>
      <c r="P702" s="5" t="n"/>
      <c r="Q702" s="5" t="n">
        <v>329</v>
      </c>
      <c r="R702" s="5" t="n"/>
      <c r="S702" s="5">
        <f>SUM(F702:I702)+N702</f>
        <v/>
      </c>
      <c r="T702" s="5">
        <f>J702</f>
        <v/>
      </c>
      <c r="U702" s="6">
        <f>YEAR(D702)</f>
        <v/>
      </c>
      <c r="V702" s="5">
        <f>TEXT(D702,"yyyy-mm")</f>
        <v/>
      </c>
    </row>
    <row r="703">
      <c r="A703" s="2" t="inlineStr">
        <is>
          <t>EJ010825.TXT</t>
        </is>
      </c>
      <c r="B703" s="3" t="inlineStr">
        <is>
          <t>002084</t>
        </is>
      </c>
      <c r="C703" s="3" t="inlineStr">
        <is>
          <t>001310</t>
        </is>
      </c>
      <c r="D703" s="4" t="n">
        <v>45828</v>
      </c>
      <c r="E703" s="2" t="inlineStr">
        <is>
          <t>14:36</t>
        </is>
      </c>
      <c r="F703" s="5" t="n">
        <v>274.17</v>
      </c>
      <c r="G703" s="5" t="n"/>
      <c r="H703" s="5" t="n"/>
      <c r="I703" s="5" t="n"/>
      <c r="J703" s="5" t="n">
        <v>54.83</v>
      </c>
      <c r="K703" s="5" t="n"/>
      <c r="L703" s="5" t="n"/>
      <c r="M703" s="5" t="n"/>
      <c r="N703" s="5" t="n"/>
      <c r="O703" s="5" t="n">
        <v>329</v>
      </c>
      <c r="P703" s="5" t="n">
        <v>329</v>
      </c>
      <c r="Q703" s="5" t="n"/>
      <c r="R703" s="5" t="n"/>
      <c r="S703" s="5">
        <f>SUM(F703:I703)+N703</f>
        <v/>
      </c>
      <c r="T703" s="5">
        <f>J703</f>
        <v/>
      </c>
      <c r="U703" s="6">
        <f>YEAR(D703)</f>
        <v/>
      </c>
      <c r="V703" s="5">
        <f>TEXT(D703,"yyyy-mm")</f>
        <v/>
      </c>
    </row>
    <row r="704">
      <c r="A704" s="2" t="inlineStr">
        <is>
          <t>EJ010825.TXT</t>
        </is>
      </c>
      <c r="B704" s="3" t="inlineStr">
        <is>
          <t>002085</t>
        </is>
      </c>
      <c r="C704" s="3" t="inlineStr">
        <is>
          <t>001311</t>
        </is>
      </c>
      <c r="D704" s="4" t="n">
        <v>45835</v>
      </c>
      <c r="E704" s="2" t="inlineStr">
        <is>
          <t>09:08</t>
        </is>
      </c>
      <c r="F704" s="5" t="n">
        <v>73.33</v>
      </c>
      <c r="G704" s="5" t="n"/>
      <c r="H704" s="5" t="n"/>
      <c r="I704" s="5" t="n"/>
      <c r="J704" s="5" t="n">
        <v>14.67</v>
      </c>
      <c r="K704" s="5" t="n"/>
      <c r="L704" s="5" t="n"/>
      <c r="M704" s="5" t="n"/>
      <c r="N704" s="5" t="n"/>
      <c r="O704" s="5" t="n">
        <v>88</v>
      </c>
      <c r="P704" s="5" t="n">
        <v>88</v>
      </c>
      <c r="Q704" s="5" t="n"/>
      <c r="R704" s="5" t="n"/>
      <c r="S704" s="5">
        <f>SUM(F704:I704)+N704</f>
        <v/>
      </c>
      <c r="T704" s="5">
        <f>J704</f>
        <v/>
      </c>
      <c r="U704" s="6">
        <f>YEAR(D704)</f>
        <v/>
      </c>
      <c r="V704" s="5">
        <f>TEXT(D704,"yyyy-mm")</f>
        <v/>
      </c>
    </row>
    <row r="705">
      <c r="A705" s="2" t="inlineStr">
        <is>
          <t>EJ010825.TXT</t>
        </is>
      </c>
      <c r="B705" s="3" t="inlineStr">
        <is>
          <t>002086</t>
        </is>
      </c>
      <c r="C705" s="3" t="inlineStr">
        <is>
          <t>001312</t>
        </is>
      </c>
      <c r="D705" s="4" t="n">
        <v>45839</v>
      </c>
      <c r="E705" s="2" t="inlineStr">
        <is>
          <t>10:01</t>
        </is>
      </c>
      <c r="F705" s="5" t="n">
        <v>531.67</v>
      </c>
      <c r="G705" s="5" t="n"/>
      <c r="H705" s="5" t="n"/>
      <c r="I705" s="5" t="n"/>
      <c r="J705" s="5" t="n">
        <v>106.33</v>
      </c>
      <c r="K705" s="5" t="n"/>
      <c r="L705" s="5" t="n"/>
      <c r="M705" s="5" t="n"/>
      <c r="N705" s="5" t="n"/>
      <c r="O705" s="5" t="n">
        <v>638</v>
      </c>
      <c r="P705" s="5" t="n">
        <v>638</v>
      </c>
      <c r="Q705" s="5" t="n"/>
      <c r="R705" s="5" t="n"/>
      <c r="S705" s="5">
        <f>SUM(F705:I705)+N705</f>
        <v/>
      </c>
      <c r="T705" s="5">
        <f>J705</f>
        <v/>
      </c>
      <c r="U705" s="6">
        <f>YEAR(D705)</f>
        <v/>
      </c>
      <c r="V705" s="5">
        <f>TEXT(D705,"yyyy-mm")</f>
        <v/>
      </c>
    </row>
    <row r="706">
      <c r="A706" s="2" t="inlineStr">
        <is>
          <t>EJ010825.TXT</t>
        </is>
      </c>
      <c r="B706" s="3" t="inlineStr">
        <is>
          <t>002088</t>
        </is>
      </c>
      <c r="C706" s="3" t="inlineStr">
        <is>
          <t>001313</t>
        </is>
      </c>
      <c r="D706" s="4" t="n">
        <v>45841</v>
      </c>
      <c r="E706" s="2" t="inlineStr">
        <is>
          <t>14:15</t>
        </is>
      </c>
      <c r="F706" s="5" t="n">
        <v>248.33</v>
      </c>
      <c r="G706" s="5" t="n"/>
      <c r="H706" s="5" t="n"/>
      <c r="I706" s="5" t="n"/>
      <c r="J706" s="5" t="n">
        <v>49.67</v>
      </c>
      <c r="K706" s="5" t="n"/>
      <c r="L706" s="5" t="n"/>
      <c r="M706" s="5" t="n"/>
      <c r="N706" s="5" t="n"/>
      <c r="O706" s="5" t="n">
        <v>298</v>
      </c>
      <c r="P706" s="5" t="n"/>
      <c r="Q706" s="5" t="n">
        <v>298</v>
      </c>
      <c r="R706" s="5" t="n"/>
      <c r="S706" s="5">
        <f>SUM(F706:I706)+N706</f>
        <v/>
      </c>
      <c r="T706" s="5">
        <f>J706</f>
        <v/>
      </c>
      <c r="U706" s="6">
        <f>YEAR(D706)</f>
        <v/>
      </c>
      <c r="V706" s="5">
        <f>TEXT(D706,"yyyy-mm")</f>
        <v/>
      </c>
    </row>
    <row r="707">
      <c r="A707" s="2" t="inlineStr">
        <is>
          <t>EJ010825.TXT</t>
        </is>
      </c>
      <c r="B707" s="3" t="inlineStr">
        <is>
          <t>002089</t>
        </is>
      </c>
      <c r="C707" s="3" t="inlineStr">
        <is>
          <t>001314</t>
        </is>
      </c>
      <c r="D707" s="4" t="n">
        <v>45848</v>
      </c>
      <c r="E707" s="2" t="inlineStr">
        <is>
          <t>14:53</t>
        </is>
      </c>
      <c r="F707" s="5" t="n">
        <v>866.67</v>
      </c>
      <c r="G707" s="5" t="n"/>
      <c r="H707" s="5" t="n"/>
      <c r="I707" s="5" t="n"/>
      <c r="J707" s="5" t="n">
        <v>173.33</v>
      </c>
      <c r="K707" s="5" t="n"/>
      <c r="L707" s="5" t="n"/>
      <c r="M707" s="5" t="n"/>
      <c r="N707" s="5" t="n"/>
      <c r="O707" s="5" t="n">
        <v>1040</v>
      </c>
      <c r="P707" s="5" t="n">
        <v>1040</v>
      </c>
      <c r="Q707" s="5" t="n"/>
      <c r="R707" s="5" t="n"/>
      <c r="S707" s="5">
        <f>SUM(F707:I707)+N707</f>
        <v/>
      </c>
      <c r="T707" s="5">
        <f>J707</f>
        <v/>
      </c>
      <c r="U707" s="6">
        <f>YEAR(D707)</f>
        <v/>
      </c>
      <c r="V707" s="5">
        <f>TEXT(D707,"yyyy-mm")</f>
        <v/>
      </c>
    </row>
    <row r="708">
      <c r="A708" s="2" t="inlineStr">
        <is>
          <t>EJ010825.TXT</t>
        </is>
      </c>
      <c r="B708" s="3" t="inlineStr">
        <is>
          <t>002090</t>
        </is>
      </c>
      <c r="C708" s="3" t="inlineStr">
        <is>
          <t>001315</t>
        </is>
      </c>
      <c r="D708" s="4" t="n">
        <v>45849</v>
      </c>
      <c r="E708" s="2" t="inlineStr">
        <is>
          <t>15:57</t>
        </is>
      </c>
      <c r="F708" s="5" t="n">
        <v>274.17</v>
      </c>
      <c r="G708" s="5" t="n"/>
      <c r="H708" s="5" t="n"/>
      <c r="I708" s="5" t="n"/>
      <c r="J708" s="5" t="n">
        <v>54.83</v>
      </c>
      <c r="K708" s="5" t="n"/>
      <c r="L708" s="5" t="n"/>
      <c r="M708" s="5" t="n"/>
      <c r="N708" s="5" t="n"/>
      <c r="O708" s="5" t="n">
        <v>329</v>
      </c>
      <c r="P708" s="5" t="n">
        <v>329</v>
      </c>
      <c r="Q708" s="5" t="n"/>
      <c r="R708" s="5" t="n"/>
      <c r="S708" s="5">
        <f>SUM(F708:I708)+N708</f>
        <v/>
      </c>
      <c r="T708" s="5">
        <f>J708</f>
        <v/>
      </c>
      <c r="U708" s="6">
        <f>YEAR(D708)</f>
        <v/>
      </c>
      <c r="V708" s="5">
        <f>TEXT(D708,"yyyy-mm")</f>
        <v/>
      </c>
    </row>
    <row r="709">
      <c r="A709" s="2" t="inlineStr">
        <is>
          <t>EJ010825.TXT</t>
        </is>
      </c>
      <c r="B709" s="3" t="inlineStr">
        <is>
          <t>002092</t>
        </is>
      </c>
      <c r="C709" s="3" t="inlineStr">
        <is>
          <t>001316</t>
        </is>
      </c>
      <c r="D709" s="4" t="n">
        <v>45854</v>
      </c>
      <c r="E709" s="2" t="inlineStr">
        <is>
          <t>12:41</t>
        </is>
      </c>
      <c r="F709" s="5" t="n">
        <v>474.17</v>
      </c>
      <c r="G709" s="5" t="n"/>
      <c r="H709" s="5" t="n"/>
      <c r="I709" s="5" t="n"/>
      <c r="J709" s="5" t="n">
        <v>94.83</v>
      </c>
      <c r="K709" s="5" t="n"/>
      <c r="L709" s="5" t="n"/>
      <c r="M709" s="5" t="n"/>
      <c r="N709" s="5" t="n"/>
      <c r="O709" s="5" t="n">
        <v>569</v>
      </c>
      <c r="P709" s="5" t="n"/>
      <c r="Q709" s="5" t="n">
        <v>569</v>
      </c>
      <c r="R709" s="5" t="n"/>
      <c r="S709" s="5">
        <f>SUM(F709:I709)+N709</f>
        <v/>
      </c>
      <c r="T709" s="5">
        <f>J709</f>
        <v/>
      </c>
      <c r="U709" s="6">
        <f>YEAR(D709)</f>
        <v/>
      </c>
      <c r="V709" s="5">
        <f>TEXT(D709,"yyyy-mm")</f>
        <v/>
      </c>
    </row>
    <row r="710">
      <c r="A710" s="2" t="inlineStr">
        <is>
          <t>EJ010825.TXT</t>
        </is>
      </c>
      <c r="B710" s="3" t="inlineStr">
        <is>
          <t>002093</t>
        </is>
      </c>
      <c r="C710" s="3" t="inlineStr">
        <is>
          <t>001317</t>
        </is>
      </c>
      <c r="D710" s="4" t="n">
        <v>45854</v>
      </c>
      <c r="E710" s="2" t="inlineStr">
        <is>
          <t>12:44</t>
        </is>
      </c>
      <c r="F710" s="5" t="n">
        <v>474.17</v>
      </c>
      <c r="G710" s="5" t="n"/>
      <c r="H710" s="5" t="n"/>
      <c r="I710" s="5" t="n"/>
      <c r="J710" s="5" t="n">
        <v>94.83</v>
      </c>
      <c r="K710" s="5" t="n"/>
      <c r="L710" s="5" t="n"/>
      <c r="M710" s="5" t="n"/>
      <c r="N710" s="5" t="n"/>
      <c r="O710" s="5" t="n">
        <v>569</v>
      </c>
      <c r="P710" s="5" t="n"/>
      <c r="Q710" s="5" t="n">
        <v>569</v>
      </c>
      <c r="R710" s="5" t="n"/>
      <c r="S710" s="5">
        <f>SUM(F710:I710)+N710</f>
        <v/>
      </c>
      <c r="T710" s="5">
        <f>J710</f>
        <v/>
      </c>
      <c r="U710" s="6">
        <f>YEAR(D710)</f>
        <v/>
      </c>
      <c r="V710" s="5">
        <f>TEXT(D710,"yyyy-mm")</f>
        <v/>
      </c>
    </row>
    <row r="711">
      <c r="A711" s="2" t="inlineStr">
        <is>
          <t>EJ010825.TXT</t>
        </is>
      </c>
      <c r="B711" s="3" t="inlineStr">
        <is>
          <t>002094</t>
        </is>
      </c>
      <c r="C711" s="3" t="inlineStr">
        <is>
          <t>001318</t>
        </is>
      </c>
      <c r="D711" s="4" t="n">
        <v>45854</v>
      </c>
      <c r="E711" s="2" t="inlineStr">
        <is>
          <t>12:44</t>
        </is>
      </c>
      <c r="F711" s="5" t="n">
        <v>474.17</v>
      </c>
      <c r="G711" s="5" t="n"/>
      <c r="H711" s="5" t="n"/>
      <c r="I711" s="5" t="n"/>
      <c r="J711" s="5" t="n">
        <v>94.83</v>
      </c>
      <c r="K711" s="5" t="n"/>
      <c r="L711" s="5" t="n"/>
      <c r="M711" s="5" t="n"/>
      <c r="N711" s="5" t="n"/>
      <c r="O711" s="5" t="n">
        <v>569</v>
      </c>
      <c r="P711" s="5" t="n"/>
      <c r="Q711" s="5" t="n">
        <v>569</v>
      </c>
      <c r="R711" s="5" t="n"/>
      <c r="S711" s="5">
        <f>SUM(F711:I711)+N711</f>
        <v/>
      </c>
      <c r="T711" s="5">
        <f>J711</f>
        <v/>
      </c>
      <c r="U711" s="6">
        <f>YEAR(D711)</f>
        <v/>
      </c>
      <c r="V711" s="5">
        <f>TEXT(D711,"yyyy-mm")</f>
        <v/>
      </c>
    </row>
    <row r="712">
      <c r="A712" s="2" t="inlineStr">
        <is>
          <t>EJ010825.TXT</t>
        </is>
      </c>
      <c r="B712" s="3" t="inlineStr">
        <is>
          <t>002095</t>
        </is>
      </c>
      <c r="C712" s="3" t="inlineStr">
        <is>
          <t>001319</t>
        </is>
      </c>
      <c r="D712" s="4" t="n">
        <v>45854</v>
      </c>
      <c r="E712" s="2" t="inlineStr">
        <is>
          <t>12:44</t>
        </is>
      </c>
      <c r="F712" s="5" t="n">
        <v>474.17</v>
      </c>
      <c r="G712" s="5" t="n"/>
      <c r="H712" s="5" t="n"/>
      <c r="I712" s="5" t="n"/>
      <c r="J712" s="5" t="n">
        <v>94.83</v>
      </c>
      <c r="K712" s="5" t="n"/>
      <c r="L712" s="5" t="n"/>
      <c r="M712" s="5" t="n"/>
      <c r="N712" s="5" t="n"/>
      <c r="O712" s="5" t="n">
        <v>569</v>
      </c>
      <c r="P712" s="5" t="n"/>
      <c r="Q712" s="5" t="n">
        <v>569</v>
      </c>
      <c r="R712" s="5" t="n"/>
      <c r="S712" s="5">
        <f>SUM(F712:I712)+N712</f>
        <v/>
      </c>
      <c r="T712" s="5">
        <f>J712</f>
        <v/>
      </c>
      <c r="U712" s="6">
        <f>YEAR(D712)</f>
        <v/>
      </c>
      <c r="V712" s="5">
        <f>TEXT(D712,"yyyy-mm")</f>
        <v/>
      </c>
    </row>
    <row r="713">
      <c r="A713" s="2" t="inlineStr">
        <is>
          <t>EJ010825.TXT</t>
        </is>
      </c>
      <c r="B713" s="3" t="inlineStr">
        <is>
          <t>002096</t>
        </is>
      </c>
      <c r="C713" s="3" t="inlineStr">
        <is>
          <t>001320</t>
        </is>
      </c>
      <c r="D713" s="4" t="n">
        <v>45854</v>
      </c>
      <c r="E713" s="2" t="inlineStr">
        <is>
          <t>12:44</t>
        </is>
      </c>
      <c r="F713" s="5" t="n">
        <v>474.17</v>
      </c>
      <c r="G713" s="5" t="n"/>
      <c r="H713" s="5" t="n"/>
      <c r="I713" s="5" t="n"/>
      <c r="J713" s="5" t="n">
        <v>94.83</v>
      </c>
      <c r="K713" s="5" t="n"/>
      <c r="L713" s="5" t="n"/>
      <c r="M713" s="5" t="n"/>
      <c r="N713" s="5" t="n"/>
      <c r="O713" s="5" t="n">
        <v>569</v>
      </c>
      <c r="P713" s="5" t="n"/>
      <c r="Q713" s="5" t="n">
        <v>569</v>
      </c>
      <c r="R713" s="5" t="n"/>
      <c r="S713" s="5">
        <f>SUM(F713:I713)+N713</f>
        <v/>
      </c>
      <c r="T713" s="5">
        <f>J713</f>
        <v/>
      </c>
      <c r="U713" s="6">
        <f>YEAR(D713)</f>
        <v/>
      </c>
      <c r="V713" s="5">
        <f>TEXT(D713,"yyyy-mm")</f>
        <v/>
      </c>
    </row>
    <row r="714">
      <c r="A714" s="2" t="inlineStr">
        <is>
          <t>EJ010825.TXT</t>
        </is>
      </c>
      <c r="B714" s="3" t="inlineStr">
        <is>
          <t>002097</t>
        </is>
      </c>
      <c r="C714" s="3" t="inlineStr">
        <is>
          <t>001321</t>
        </is>
      </c>
      <c r="D714" s="4" t="n">
        <v>45866</v>
      </c>
      <c r="E714" s="2" t="inlineStr">
        <is>
          <t>14:18</t>
        </is>
      </c>
      <c r="F714" s="5" t="n">
        <v>73.33</v>
      </c>
      <c r="G714" s="5" t="n"/>
      <c r="H714" s="5" t="n"/>
      <c r="I714" s="5" t="n"/>
      <c r="J714" s="5" t="n">
        <v>14.67</v>
      </c>
      <c r="K714" s="5" t="n"/>
      <c r="L714" s="5" t="n"/>
      <c r="M714" s="5" t="n"/>
      <c r="N714" s="5" t="n"/>
      <c r="O714" s="5" t="n">
        <v>88</v>
      </c>
      <c r="P714" s="5" t="n"/>
      <c r="Q714" s="5" t="n">
        <v>88</v>
      </c>
      <c r="R714" s="5" t="n"/>
      <c r="S714" s="5">
        <f>SUM(F714:I714)+N714</f>
        <v/>
      </c>
      <c r="T714" s="5">
        <f>J714</f>
        <v/>
      </c>
      <c r="U714" s="6">
        <f>YEAR(D714)</f>
        <v/>
      </c>
      <c r="V714" s="5">
        <f>TEXT(D714,"yyyy-mm")</f>
        <v/>
      </c>
    </row>
    <row r="715">
      <c r="A715" s="2" t="inlineStr">
        <is>
          <t>EJ010825.TXT</t>
        </is>
      </c>
      <c r="B715" s="3" t="inlineStr">
        <is>
          <t>002098</t>
        </is>
      </c>
      <c r="C715" s="3" t="inlineStr">
        <is>
          <t>001322</t>
        </is>
      </c>
      <c r="D715" s="4" t="n">
        <v>45867</v>
      </c>
      <c r="E715" s="2" t="inlineStr">
        <is>
          <t>10:07</t>
        </is>
      </c>
      <c r="F715" s="5" t="n">
        <v>274.17</v>
      </c>
      <c r="G715" s="5" t="n"/>
      <c r="H715" s="5" t="n"/>
      <c r="I715" s="5" t="n"/>
      <c r="J715" s="5" t="n">
        <v>54.83</v>
      </c>
      <c r="K715" s="5" t="n"/>
      <c r="L715" s="5" t="n"/>
      <c r="M715" s="5" t="n"/>
      <c r="N715" s="5" t="n"/>
      <c r="O715" s="5" t="n">
        <v>329</v>
      </c>
      <c r="P715" s="5" t="n">
        <v>229</v>
      </c>
      <c r="Q715" s="5" t="n">
        <v>100</v>
      </c>
      <c r="R715" s="5" t="n"/>
      <c r="S715" s="5">
        <f>SUM(F715:I715)+N715</f>
        <v/>
      </c>
      <c r="T715" s="5">
        <f>J715</f>
        <v/>
      </c>
      <c r="U715" s="6">
        <f>YEAR(D715)</f>
        <v/>
      </c>
      <c r="V715" s="5">
        <f>TEXT(D715,"yyyy-mm")</f>
        <v/>
      </c>
    </row>
    <row r="716">
      <c r="A716" s="2" t="inlineStr">
        <is>
          <t>EJ010825.TXT</t>
        </is>
      </c>
      <c r="B716" s="3" t="inlineStr">
        <is>
          <t>002100</t>
        </is>
      </c>
      <c r="C716" s="3" t="inlineStr">
        <is>
          <t>001323</t>
        </is>
      </c>
      <c r="D716" s="4" t="n">
        <v>45868</v>
      </c>
      <c r="E716" s="2" t="inlineStr">
        <is>
          <t>12:18</t>
        </is>
      </c>
      <c r="F716" s="5" t="n">
        <v>1107.5</v>
      </c>
      <c r="G716" s="5" t="n"/>
      <c r="H716" s="5" t="n"/>
      <c r="I716" s="5" t="n"/>
      <c r="J716" s="5" t="n">
        <v>221.5</v>
      </c>
      <c r="K716" s="5" t="n"/>
      <c r="L716" s="5" t="n"/>
      <c r="M716" s="5" t="n"/>
      <c r="N716" s="5" t="n"/>
      <c r="O716" s="5" t="n">
        <v>1329</v>
      </c>
      <c r="P716" s="5" t="n">
        <v>329</v>
      </c>
      <c r="Q716" s="5" t="n">
        <v>1000</v>
      </c>
      <c r="R716" s="5" t="n"/>
      <c r="S716" s="5">
        <f>SUM(F716:I716)+N716</f>
        <v/>
      </c>
      <c r="T716" s="5">
        <f>J716</f>
        <v/>
      </c>
      <c r="U716" s="6">
        <f>YEAR(D716)</f>
        <v/>
      </c>
      <c r="V716" s="5">
        <f>TEXT(D716,"yyyy-mm")</f>
        <v/>
      </c>
    </row>
    <row r="717">
      <c r="A717" s="2" t="inlineStr">
        <is>
          <t>EJ010825.TXT</t>
        </is>
      </c>
      <c r="B717" s="3" t="inlineStr">
        <is>
          <t>002102</t>
        </is>
      </c>
      <c r="C717" s="3" t="inlineStr">
        <is>
          <t>001324</t>
        </is>
      </c>
      <c r="D717" s="4" t="n">
        <v>45870</v>
      </c>
      <c r="E717" s="2" t="inlineStr">
        <is>
          <t>09:37</t>
        </is>
      </c>
      <c r="F717" s="5" t="n">
        <v>190.83</v>
      </c>
      <c r="G717" s="5" t="n"/>
      <c r="H717" s="5" t="n"/>
      <c r="I717" s="5" t="n"/>
      <c r="J717" s="5" t="n">
        <v>38.17</v>
      </c>
      <c r="K717" s="5" t="n"/>
      <c r="L717" s="5" t="n"/>
      <c r="M717" s="5" t="n"/>
      <c r="N717" s="5" t="n"/>
      <c r="O717" s="5" t="n">
        <v>229</v>
      </c>
      <c r="P717" s="5" t="n">
        <v>229</v>
      </c>
      <c r="Q717" s="5" t="n"/>
      <c r="R717" s="5" t="n"/>
      <c r="S717" s="5">
        <f>SUM(F717:I717)+N717</f>
        <v/>
      </c>
      <c r="T717" s="5">
        <f>J717</f>
        <v/>
      </c>
      <c r="U717" s="6">
        <f>YEAR(D717)</f>
        <v/>
      </c>
      <c r="V717" s="5">
        <f>TEXT(D717,"yyyy-mm")</f>
        <v/>
      </c>
    </row>
    <row r="718">
      <c r="A718" s="2" t="inlineStr">
        <is>
          <t>EJ010925.TXT</t>
        </is>
      </c>
      <c r="B718" s="3" t="inlineStr">
        <is>
          <t>002106</t>
        </is>
      </c>
      <c r="C718" s="3" t="inlineStr">
        <is>
          <t>001325</t>
        </is>
      </c>
      <c r="D718" s="4" t="n">
        <v>45875</v>
      </c>
      <c r="E718" s="2" t="inlineStr">
        <is>
          <t>16:08</t>
        </is>
      </c>
      <c r="F718" s="5" t="n">
        <v>73.33</v>
      </c>
      <c r="G718" s="5" t="n"/>
      <c r="H718" s="5" t="n"/>
      <c r="I718" s="5" t="n"/>
      <c r="J718" s="5" t="n">
        <v>14.67</v>
      </c>
      <c r="K718" s="5" t="n"/>
      <c r="L718" s="5" t="n"/>
      <c r="M718" s="5" t="n"/>
      <c r="N718" s="5" t="n"/>
      <c r="O718" s="5" t="n">
        <v>88</v>
      </c>
      <c r="P718" s="5" t="n">
        <v>88</v>
      </c>
      <c r="Q718" s="5" t="n"/>
      <c r="R718" s="5" t="n"/>
      <c r="S718" s="5">
        <f>SUM(F718:I718)+N718</f>
        <v/>
      </c>
      <c r="T718" s="5">
        <f>J718</f>
        <v/>
      </c>
      <c r="U718" s="6">
        <f>YEAR(D718)</f>
        <v/>
      </c>
      <c r="V718" s="5">
        <f>TEXT(D718,"yyyy-mm")</f>
        <v/>
      </c>
    </row>
    <row r="719">
      <c r="A719" s="2" t="inlineStr">
        <is>
          <t>EJ010925.TXT</t>
        </is>
      </c>
      <c r="B719" s="3" t="inlineStr">
        <is>
          <t>002107</t>
        </is>
      </c>
      <c r="C719" s="3" t="inlineStr">
        <is>
          <t>001326</t>
        </is>
      </c>
      <c r="D719" s="4" t="n">
        <v>45877</v>
      </c>
      <c r="E719" s="2" t="inlineStr">
        <is>
          <t>12:03</t>
        </is>
      </c>
      <c r="F719" s="5" t="n">
        <v>473.33</v>
      </c>
      <c r="G719" s="5" t="n"/>
      <c r="H719" s="5" t="n"/>
      <c r="I719" s="5" t="n"/>
      <c r="J719" s="5" t="n">
        <v>94.67</v>
      </c>
      <c r="K719" s="5" t="n"/>
      <c r="L719" s="5" t="n"/>
      <c r="M719" s="5" t="n"/>
      <c r="N719" s="5" t="n"/>
      <c r="O719" s="5" t="n">
        <v>568</v>
      </c>
      <c r="P719" s="5" t="n">
        <v>568</v>
      </c>
      <c r="Q719" s="5" t="n"/>
      <c r="R719" s="5" t="n"/>
      <c r="S719" s="5">
        <f>SUM(F719:I719)+N719</f>
        <v/>
      </c>
      <c r="T719" s="5">
        <f>J719</f>
        <v/>
      </c>
      <c r="U719" s="6">
        <f>YEAR(D719)</f>
        <v/>
      </c>
      <c r="V719" s="5">
        <f>TEXT(D719,"yyyy-mm")</f>
        <v/>
      </c>
    </row>
    <row r="720">
      <c r="A720" s="2" t="inlineStr">
        <is>
          <t>EJ010925.TXT</t>
        </is>
      </c>
      <c r="B720" s="3" t="inlineStr">
        <is>
          <t>002108</t>
        </is>
      </c>
      <c r="C720" s="3" t="inlineStr">
        <is>
          <t>001327</t>
        </is>
      </c>
      <c r="D720" s="4" t="n">
        <v>45891</v>
      </c>
      <c r="E720" s="2" t="inlineStr">
        <is>
          <t>16:41</t>
        </is>
      </c>
      <c r="F720" s="5" t="n">
        <v>329.17</v>
      </c>
      <c r="G720" s="5" t="n"/>
      <c r="H720" s="5" t="n"/>
      <c r="I720" s="5" t="n"/>
      <c r="J720" s="5" t="n">
        <v>65.83</v>
      </c>
      <c r="K720" s="5" t="n"/>
      <c r="L720" s="5" t="n"/>
      <c r="M720" s="5" t="n"/>
      <c r="N720" s="5" t="n"/>
      <c r="O720" s="5" t="n">
        <v>395</v>
      </c>
      <c r="P720" s="5" t="n"/>
      <c r="Q720" s="5" t="n">
        <v>395</v>
      </c>
      <c r="R720" s="5" t="n"/>
      <c r="S720" s="5">
        <f>SUM(F720:I720)+N720</f>
        <v/>
      </c>
      <c r="T720" s="5">
        <f>J720</f>
        <v/>
      </c>
      <c r="U720" s="6">
        <f>YEAR(D720)</f>
        <v/>
      </c>
      <c r="V720" s="5">
        <f>TEXT(D720,"yyyy-mm")</f>
        <v/>
      </c>
    </row>
    <row r="721">
      <c r="A721" s="2" t="inlineStr">
        <is>
          <t>EJ010925.TXT</t>
        </is>
      </c>
      <c r="B721" s="3" t="inlineStr">
        <is>
          <t>002109</t>
        </is>
      </c>
      <c r="C721" s="3" t="inlineStr">
        <is>
          <t>001328</t>
        </is>
      </c>
      <c r="D721" s="4" t="n">
        <v>45891</v>
      </c>
      <c r="E721" s="2" t="inlineStr">
        <is>
          <t>16:52</t>
        </is>
      </c>
      <c r="F721" s="5" t="n">
        <v>590</v>
      </c>
      <c r="G721" s="5" t="n"/>
      <c r="H721" s="5" t="n"/>
      <c r="I721" s="5" t="n"/>
      <c r="J721" s="5" t="n">
        <v>118</v>
      </c>
      <c r="K721" s="5" t="n"/>
      <c r="L721" s="5" t="n"/>
      <c r="M721" s="5" t="n"/>
      <c r="N721" s="5" t="n"/>
      <c r="O721" s="5" t="n">
        <v>708</v>
      </c>
      <c r="P721" s="5" t="n"/>
      <c r="Q721" s="5" t="n">
        <v>708</v>
      </c>
      <c r="R721" s="5" t="n"/>
      <c r="S721" s="5">
        <f>SUM(F721:I721)+N721</f>
        <v/>
      </c>
      <c r="T721" s="5">
        <f>J721</f>
        <v/>
      </c>
      <c r="U721" s="6">
        <f>YEAR(D721)</f>
        <v/>
      </c>
      <c r="V721" s="5">
        <f>TEXT(D721,"yyyy-mm")</f>
        <v/>
      </c>
    </row>
    <row r="722">
      <c r="A722" s="2" t="inlineStr">
        <is>
          <t>EJ010925.TXT</t>
        </is>
      </c>
      <c r="B722" s="3" t="inlineStr">
        <is>
          <t>002110</t>
        </is>
      </c>
      <c r="C722" s="3" t="inlineStr">
        <is>
          <t>001329</t>
        </is>
      </c>
      <c r="D722" s="4" t="n">
        <v>45892</v>
      </c>
      <c r="E722" s="2" t="inlineStr">
        <is>
          <t>14:18</t>
        </is>
      </c>
      <c r="F722" s="5" t="n">
        <v>274.17</v>
      </c>
      <c r="G722" s="5" t="n"/>
      <c r="H722" s="5" t="n"/>
      <c r="I722" s="5" t="n"/>
      <c r="J722" s="5" t="n">
        <v>54.83</v>
      </c>
      <c r="K722" s="5" t="n"/>
      <c r="L722" s="5" t="n"/>
      <c r="M722" s="5" t="n"/>
      <c r="N722" s="5" t="n"/>
      <c r="O722" s="5" t="n">
        <v>329</v>
      </c>
      <c r="P722" s="5" t="n"/>
      <c r="Q722" s="5" t="n">
        <v>329</v>
      </c>
      <c r="R722" s="5" t="n"/>
      <c r="S722" s="5">
        <f>SUM(F722:I722)+N722</f>
        <v/>
      </c>
      <c r="T722" s="5">
        <f>J722</f>
        <v/>
      </c>
      <c r="U722" s="6">
        <f>YEAR(D722)</f>
        <v/>
      </c>
      <c r="V722" s="5">
        <f>TEXT(D722,"yyyy-mm")</f>
        <v/>
      </c>
    </row>
    <row r="723">
      <c r="A723" s="2" t="inlineStr">
        <is>
          <t>EJ010925.TXT</t>
        </is>
      </c>
      <c r="B723" s="3" t="inlineStr">
        <is>
          <t>002113</t>
        </is>
      </c>
      <c r="C723" s="3" t="inlineStr">
        <is>
          <t>001330</t>
        </is>
      </c>
      <c r="D723" s="4" t="n">
        <v>45898</v>
      </c>
      <c r="E723" s="2" t="inlineStr">
        <is>
          <t>15:06</t>
        </is>
      </c>
      <c r="F723" s="5" t="n">
        <v>73.33</v>
      </c>
      <c r="G723" s="5" t="n"/>
      <c r="H723" s="5" t="n"/>
      <c r="I723" s="5" t="n"/>
      <c r="J723" s="5" t="n">
        <v>14.67</v>
      </c>
      <c r="K723" s="5" t="n"/>
      <c r="L723" s="5" t="n"/>
      <c r="M723" s="5" t="n"/>
      <c r="N723" s="5" t="n"/>
      <c r="O723" s="5" t="n">
        <v>88</v>
      </c>
      <c r="P723" s="5" t="n">
        <v>88</v>
      </c>
      <c r="Q723" s="5" t="n"/>
      <c r="R723" s="5" t="n"/>
      <c r="S723" s="5">
        <f>SUM(F723:I723)+N723</f>
        <v/>
      </c>
      <c r="T723" s="5">
        <f>J723</f>
        <v/>
      </c>
      <c r="U723" s="6">
        <f>YEAR(D723)</f>
        <v/>
      </c>
      <c r="V723" s="5">
        <f>TEXT(D723,"yyyy-mm")</f>
        <v/>
      </c>
    </row>
  </sheetData>
  <autoFilter ref="A1:V72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4" customHeight="1">
      <c r="A1" s="1" t="inlineStr">
        <is>
          <t>AJ_ANNEE</t>
        </is>
      </c>
      <c r="B1" s="1" t="inlineStr">
        <is>
          <t>AJ_MOIS</t>
        </is>
      </c>
      <c r="C1" s="1" t="inlineStr">
        <is>
          <t>SOMME_E_TTC</t>
        </is>
      </c>
      <c r="D1" s="1" t="inlineStr">
        <is>
          <t>SOMME_E_MDP_CB</t>
        </is>
      </c>
      <c r="E1" s="1" t="inlineStr">
        <is>
          <t>SOMME_E_MDP_CHEQUES</t>
        </is>
      </c>
      <c r="F1" s="1" t="inlineStr">
        <is>
          <t>SOMME_E_MDP_ESPECES</t>
        </is>
      </c>
    </row>
    <row r="2">
      <c r="A2" s="6" t="n">
        <v>2023</v>
      </c>
      <c r="B2" s="5" t="inlineStr">
        <is>
          <t>2023-01</t>
        </is>
      </c>
      <c r="C2" s="5">
        <f>SUMIFS('Entetes_CplteAnneeMois'!$O$2:$O$723,'Entetes_CplteAnneeMois'!$V$2:$V$723,B2)</f>
        <v/>
      </c>
      <c r="D2" s="5">
        <f>SUMIFS('Entetes_CplteAnneeMois'!$P$2:$P$723,'Entetes_CplteAnneeMois'!$V$2:$V$723,B2)</f>
        <v/>
      </c>
      <c r="E2" s="5">
        <f>SUMIFS('Entetes_CplteAnneeMois'!$R$2:$R$723,'Entetes_CplteAnneeMois'!$V$2:$V$723,B2)</f>
        <v/>
      </c>
      <c r="F2" s="5">
        <f>SUMIFS('Entetes_CplteAnneeMois'!$Q$2:$Q$723,'Entetes_CplteAnneeMois'!$V$2:$V$723,B2)</f>
        <v/>
      </c>
    </row>
    <row r="3">
      <c r="A3" s="6" t="n">
        <v>2023</v>
      </c>
      <c r="B3" s="5" t="inlineStr">
        <is>
          <t>2023-02</t>
        </is>
      </c>
      <c r="C3" s="5">
        <f>SUMIFS('Entetes_CplteAnneeMois'!$O$2:$O$723,'Entetes_CplteAnneeMois'!$V$2:$V$723,B3)</f>
        <v/>
      </c>
      <c r="D3" s="5">
        <f>SUMIFS('Entetes_CplteAnneeMois'!$P$2:$P$723,'Entetes_CplteAnneeMois'!$V$2:$V$723,B3)</f>
        <v/>
      </c>
      <c r="E3" s="5">
        <f>SUMIFS('Entetes_CplteAnneeMois'!$R$2:$R$723,'Entetes_CplteAnneeMois'!$V$2:$V$723,B3)</f>
        <v/>
      </c>
      <c r="F3" s="5">
        <f>SUMIFS('Entetes_CplteAnneeMois'!$Q$2:$Q$723,'Entetes_CplteAnneeMois'!$V$2:$V$723,B3)</f>
        <v/>
      </c>
    </row>
    <row r="4">
      <c r="A4" s="6" t="n">
        <v>2023</v>
      </c>
      <c r="B4" s="5" t="inlineStr">
        <is>
          <t>2023-03</t>
        </is>
      </c>
      <c r="C4" s="5">
        <f>SUMIFS('Entetes_CplteAnneeMois'!$O$2:$O$723,'Entetes_CplteAnneeMois'!$V$2:$V$723,B4)</f>
        <v/>
      </c>
      <c r="D4" s="5">
        <f>SUMIFS('Entetes_CplteAnneeMois'!$P$2:$P$723,'Entetes_CplteAnneeMois'!$V$2:$V$723,B4)</f>
        <v/>
      </c>
      <c r="E4" s="5">
        <f>SUMIFS('Entetes_CplteAnneeMois'!$R$2:$R$723,'Entetes_CplteAnneeMois'!$V$2:$V$723,B4)</f>
        <v/>
      </c>
      <c r="F4" s="5">
        <f>SUMIFS('Entetes_CplteAnneeMois'!$Q$2:$Q$723,'Entetes_CplteAnneeMois'!$V$2:$V$723,B4)</f>
        <v/>
      </c>
    </row>
    <row r="5">
      <c r="A5" s="6" t="n">
        <v>2023</v>
      </c>
      <c r="B5" s="5" t="inlineStr">
        <is>
          <t>2023-04</t>
        </is>
      </c>
      <c r="C5" s="5">
        <f>SUMIFS('Entetes_CplteAnneeMois'!$O$2:$O$723,'Entetes_CplteAnneeMois'!$V$2:$V$723,B5)</f>
        <v/>
      </c>
      <c r="D5" s="5">
        <f>SUMIFS('Entetes_CplteAnneeMois'!$P$2:$P$723,'Entetes_CplteAnneeMois'!$V$2:$V$723,B5)</f>
        <v/>
      </c>
      <c r="E5" s="5">
        <f>SUMIFS('Entetes_CplteAnneeMois'!$R$2:$R$723,'Entetes_CplteAnneeMois'!$V$2:$V$723,B5)</f>
        <v/>
      </c>
      <c r="F5" s="5">
        <f>SUMIFS('Entetes_CplteAnneeMois'!$Q$2:$Q$723,'Entetes_CplteAnneeMois'!$V$2:$V$723,B5)</f>
        <v/>
      </c>
    </row>
    <row r="6">
      <c r="A6" s="6" t="n">
        <v>2023</v>
      </c>
      <c r="B6" s="5" t="inlineStr">
        <is>
          <t>2023-05</t>
        </is>
      </c>
      <c r="C6" s="5">
        <f>SUMIFS('Entetes_CplteAnneeMois'!$O$2:$O$723,'Entetes_CplteAnneeMois'!$V$2:$V$723,B6)</f>
        <v/>
      </c>
      <c r="D6" s="5">
        <f>SUMIFS('Entetes_CplteAnneeMois'!$P$2:$P$723,'Entetes_CplteAnneeMois'!$V$2:$V$723,B6)</f>
        <v/>
      </c>
      <c r="E6" s="5">
        <f>SUMIFS('Entetes_CplteAnneeMois'!$R$2:$R$723,'Entetes_CplteAnneeMois'!$V$2:$V$723,B6)</f>
        <v/>
      </c>
      <c r="F6" s="5">
        <f>SUMIFS('Entetes_CplteAnneeMois'!$Q$2:$Q$723,'Entetes_CplteAnneeMois'!$V$2:$V$723,B6)</f>
        <v/>
      </c>
    </row>
    <row r="7">
      <c r="A7" s="6" t="n">
        <v>2023</v>
      </c>
      <c r="B7" s="5" t="inlineStr">
        <is>
          <t>2023-06</t>
        </is>
      </c>
      <c r="C7" s="5">
        <f>SUMIFS('Entetes_CplteAnneeMois'!$O$2:$O$723,'Entetes_CplteAnneeMois'!$V$2:$V$723,B7)</f>
        <v/>
      </c>
      <c r="D7" s="5">
        <f>SUMIFS('Entetes_CplteAnneeMois'!$P$2:$P$723,'Entetes_CplteAnneeMois'!$V$2:$V$723,B7)</f>
        <v/>
      </c>
      <c r="E7" s="5">
        <f>SUMIFS('Entetes_CplteAnneeMois'!$R$2:$R$723,'Entetes_CplteAnneeMois'!$V$2:$V$723,B7)</f>
        <v/>
      </c>
      <c r="F7" s="5">
        <f>SUMIFS('Entetes_CplteAnneeMois'!$Q$2:$Q$723,'Entetes_CplteAnneeMois'!$V$2:$V$723,B7)</f>
        <v/>
      </c>
    </row>
    <row r="8">
      <c r="A8" s="6" t="n">
        <v>2023</v>
      </c>
      <c r="B8" s="5" t="inlineStr">
        <is>
          <t>2023-07</t>
        </is>
      </c>
      <c r="C8" s="5">
        <f>SUMIFS('Entetes_CplteAnneeMois'!$O$2:$O$723,'Entetes_CplteAnneeMois'!$V$2:$V$723,B8)</f>
        <v/>
      </c>
      <c r="D8" s="5">
        <f>SUMIFS('Entetes_CplteAnneeMois'!$P$2:$P$723,'Entetes_CplteAnneeMois'!$V$2:$V$723,B8)</f>
        <v/>
      </c>
      <c r="E8" s="5">
        <f>SUMIFS('Entetes_CplteAnneeMois'!$R$2:$R$723,'Entetes_CplteAnneeMois'!$V$2:$V$723,B8)</f>
        <v/>
      </c>
      <c r="F8" s="5">
        <f>SUMIFS('Entetes_CplteAnneeMois'!$Q$2:$Q$723,'Entetes_CplteAnneeMois'!$V$2:$V$723,B8)</f>
        <v/>
      </c>
    </row>
    <row r="9">
      <c r="A9" s="6" t="n">
        <v>2023</v>
      </c>
      <c r="B9" s="5" t="inlineStr">
        <is>
          <t>2023-08</t>
        </is>
      </c>
      <c r="C9" s="5">
        <f>SUMIFS('Entetes_CplteAnneeMois'!$O$2:$O$723,'Entetes_CplteAnneeMois'!$V$2:$V$723,B9)</f>
        <v/>
      </c>
      <c r="D9" s="5">
        <f>SUMIFS('Entetes_CplteAnneeMois'!$P$2:$P$723,'Entetes_CplteAnneeMois'!$V$2:$V$723,B9)</f>
        <v/>
      </c>
      <c r="E9" s="5">
        <f>SUMIFS('Entetes_CplteAnneeMois'!$R$2:$R$723,'Entetes_CplteAnneeMois'!$V$2:$V$723,B9)</f>
        <v/>
      </c>
      <c r="F9" s="5">
        <f>SUMIFS('Entetes_CplteAnneeMois'!$Q$2:$Q$723,'Entetes_CplteAnneeMois'!$V$2:$V$723,B9)</f>
        <v/>
      </c>
    </row>
    <row r="10">
      <c r="A10" s="6" t="n">
        <v>2023</v>
      </c>
      <c r="B10" s="5" t="inlineStr">
        <is>
          <t>2023-09</t>
        </is>
      </c>
      <c r="C10" s="5">
        <f>SUMIFS('Entetes_CplteAnneeMois'!$O$2:$O$723,'Entetes_CplteAnneeMois'!$V$2:$V$723,B10)</f>
        <v/>
      </c>
      <c r="D10" s="5">
        <f>SUMIFS('Entetes_CplteAnneeMois'!$P$2:$P$723,'Entetes_CplteAnneeMois'!$V$2:$V$723,B10)</f>
        <v/>
      </c>
      <c r="E10" s="5">
        <f>SUMIFS('Entetes_CplteAnneeMois'!$R$2:$R$723,'Entetes_CplteAnneeMois'!$V$2:$V$723,B10)</f>
        <v/>
      </c>
      <c r="F10" s="5">
        <f>SUMIFS('Entetes_CplteAnneeMois'!$Q$2:$Q$723,'Entetes_CplteAnneeMois'!$V$2:$V$723,B10)</f>
        <v/>
      </c>
    </row>
    <row r="11">
      <c r="A11" s="6" t="n">
        <v>2023</v>
      </c>
      <c r="B11" s="5" t="inlineStr">
        <is>
          <t>2023-10</t>
        </is>
      </c>
      <c r="C11" s="5">
        <f>SUMIFS('Entetes_CplteAnneeMois'!$O$2:$O$723,'Entetes_CplteAnneeMois'!$V$2:$V$723,B11)</f>
        <v/>
      </c>
      <c r="D11" s="5">
        <f>SUMIFS('Entetes_CplteAnneeMois'!$P$2:$P$723,'Entetes_CplteAnneeMois'!$V$2:$V$723,B11)</f>
        <v/>
      </c>
      <c r="E11" s="5">
        <f>SUMIFS('Entetes_CplteAnneeMois'!$R$2:$R$723,'Entetes_CplteAnneeMois'!$V$2:$V$723,B11)</f>
        <v/>
      </c>
      <c r="F11" s="5">
        <f>SUMIFS('Entetes_CplteAnneeMois'!$Q$2:$Q$723,'Entetes_CplteAnneeMois'!$V$2:$V$723,B11)</f>
        <v/>
      </c>
    </row>
    <row r="12">
      <c r="A12" s="6" t="n">
        <v>2023</v>
      </c>
      <c r="B12" s="5" t="inlineStr">
        <is>
          <t>2023-11</t>
        </is>
      </c>
      <c r="C12" s="5">
        <f>SUMIFS('Entetes_CplteAnneeMois'!$O$2:$O$723,'Entetes_CplteAnneeMois'!$V$2:$V$723,B12)</f>
        <v/>
      </c>
      <c r="D12" s="5">
        <f>SUMIFS('Entetes_CplteAnneeMois'!$P$2:$P$723,'Entetes_CplteAnneeMois'!$V$2:$V$723,B12)</f>
        <v/>
      </c>
      <c r="E12" s="5">
        <f>SUMIFS('Entetes_CplteAnneeMois'!$R$2:$R$723,'Entetes_CplteAnneeMois'!$V$2:$V$723,B12)</f>
        <v/>
      </c>
      <c r="F12" s="5">
        <f>SUMIFS('Entetes_CplteAnneeMois'!$Q$2:$Q$723,'Entetes_CplteAnneeMois'!$V$2:$V$723,B12)</f>
        <v/>
      </c>
    </row>
    <row r="13">
      <c r="A13" s="6" t="n">
        <v>2023</v>
      </c>
      <c r="B13" s="5" t="inlineStr">
        <is>
          <t>2023-12</t>
        </is>
      </c>
      <c r="C13" s="5">
        <f>SUMIFS('Entetes_CplteAnneeMois'!$O$2:$O$723,'Entetes_CplteAnneeMois'!$V$2:$V$723,B13)</f>
        <v/>
      </c>
      <c r="D13" s="5">
        <f>SUMIFS('Entetes_CplteAnneeMois'!$P$2:$P$723,'Entetes_CplteAnneeMois'!$V$2:$V$723,B13)</f>
        <v/>
      </c>
      <c r="E13" s="5">
        <f>SUMIFS('Entetes_CplteAnneeMois'!$R$2:$R$723,'Entetes_CplteAnneeMois'!$V$2:$V$723,B13)</f>
        <v/>
      </c>
      <c r="F13" s="5">
        <f>SUMIFS('Entetes_CplteAnneeMois'!$Q$2:$Q$723,'Entetes_CplteAnneeMois'!$V$2:$V$723,B13)</f>
        <v/>
      </c>
    </row>
    <row r="14">
      <c r="A14" s="6" t="n">
        <v>2024</v>
      </c>
      <c r="B14" s="5" t="inlineStr">
        <is>
          <t>2024-01</t>
        </is>
      </c>
      <c r="C14" s="5">
        <f>SUMIFS('Entetes_CplteAnneeMois'!$O$2:$O$723,'Entetes_CplteAnneeMois'!$V$2:$V$723,B14)</f>
        <v/>
      </c>
      <c r="D14" s="5">
        <f>SUMIFS('Entetes_CplteAnneeMois'!$P$2:$P$723,'Entetes_CplteAnneeMois'!$V$2:$V$723,B14)</f>
        <v/>
      </c>
      <c r="E14" s="5">
        <f>SUMIFS('Entetes_CplteAnneeMois'!$R$2:$R$723,'Entetes_CplteAnneeMois'!$V$2:$V$723,B14)</f>
        <v/>
      </c>
      <c r="F14" s="5">
        <f>SUMIFS('Entetes_CplteAnneeMois'!$Q$2:$Q$723,'Entetes_CplteAnneeMois'!$V$2:$V$723,B14)</f>
        <v/>
      </c>
    </row>
    <row r="15">
      <c r="A15" s="6" t="n">
        <v>2024</v>
      </c>
      <c r="B15" s="5" t="inlineStr">
        <is>
          <t>2024-02</t>
        </is>
      </c>
      <c r="C15" s="5">
        <f>SUMIFS('Entetes_CplteAnneeMois'!$O$2:$O$723,'Entetes_CplteAnneeMois'!$V$2:$V$723,B15)</f>
        <v/>
      </c>
      <c r="D15" s="5">
        <f>SUMIFS('Entetes_CplteAnneeMois'!$P$2:$P$723,'Entetes_CplteAnneeMois'!$V$2:$V$723,B15)</f>
        <v/>
      </c>
      <c r="E15" s="5">
        <f>SUMIFS('Entetes_CplteAnneeMois'!$R$2:$R$723,'Entetes_CplteAnneeMois'!$V$2:$V$723,B15)</f>
        <v/>
      </c>
      <c r="F15" s="5">
        <f>SUMIFS('Entetes_CplteAnneeMois'!$Q$2:$Q$723,'Entetes_CplteAnneeMois'!$V$2:$V$723,B15)</f>
        <v/>
      </c>
    </row>
    <row r="16">
      <c r="A16" s="6" t="n">
        <v>2024</v>
      </c>
      <c r="B16" s="5" t="inlineStr">
        <is>
          <t>2024-03</t>
        </is>
      </c>
      <c r="C16" s="5">
        <f>SUMIFS('Entetes_CplteAnneeMois'!$O$2:$O$723,'Entetes_CplteAnneeMois'!$V$2:$V$723,B16)</f>
        <v/>
      </c>
      <c r="D16" s="5">
        <f>SUMIFS('Entetes_CplteAnneeMois'!$P$2:$P$723,'Entetes_CplteAnneeMois'!$V$2:$V$723,B16)</f>
        <v/>
      </c>
      <c r="E16" s="5">
        <f>SUMIFS('Entetes_CplteAnneeMois'!$R$2:$R$723,'Entetes_CplteAnneeMois'!$V$2:$V$723,B16)</f>
        <v/>
      </c>
      <c r="F16" s="5">
        <f>SUMIFS('Entetes_CplteAnneeMois'!$Q$2:$Q$723,'Entetes_CplteAnneeMois'!$V$2:$V$723,B16)</f>
        <v/>
      </c>
    </row>
    <row r="17">
      <c r="A17" s="6" t="n">
        <v>2024</v>
      </c>
      <c r="B17" s="5" t="inlineStr">
        <is>
          <t>2024-04</t>
        </is>
      </c>
      <c r="C17" s="5">
        <f>SUMIFS('Entetes_CplteAnneeMois'!$O$2:$O$723,'Entetes_CplteAnneeMois'!$V$2:$V$723,B17)</f>
        <v/>
      </c>
      <c r="D17" s="5">
        <f>SUMIFS('Entetes_CplteAnneeMois'!$P$2:$P$723,'Entetes_CplteAnneeMois'!$V$2:$V$723,B17)</f>
        <v/>
      </c>
      <c r="E17" s="5">
        <f>SUMIFS('Entetes_CplteAnneeMois'!$R$2:$R$723,'Entetes_CplteAnneeMois'!$V$2:$V$723,B17)</f>
        <v/>
      </c>
      <c r="F17" s="5">
        <f>SUMIFS('Entetes_CplteAnneeMois'!$Q$2:$Q$723,'Entetes_CplteAnneeMois'!$V$2:$V$723,B17)</f>
        <v/>
      </c>
    </row>
    <row r="18">
      <c r="A18" s="6" t="n">
        <v>2024</v>
      </c>
      <c r="B18" s="5" t="inlineStr">
        <is>
          <t>2024-05</t>
        </is>
      </c>
      <c r="C18" s="5">
        <f>SUMIFS('Entetes_CplteAnneeMois'!$O$2:$O$723,'Entetes_CplteAnneeMois'!$V$2:$V$723,B18)</f>
        <v/>
      </c>
      <c r="D18" s="5">
        <f>SUMIFS('Entetes_CplteAnneeMois'!$P$2:$P$723,'Entetes_CplteAnneeMois'!$V$2:$V$723,B18)</f>
        <v/>
      </c>
      <c r="E18" s="5">
        <f>SUMIFS('Entetes_CplteAnneeMois'!$R$2:$R$723,'Entetes_CplteAnneeMois'!$V$2:$V$723,B18)</f>
        <v/>
      </c>
      <c r="F18" s="5">
        <f>SUMIFS('Entetes_CplteAnneeMois'!$Q$2:$Q$723,'Entetes_CplteAnneeMois'!$V$2:$V$723,B18)</f>
        <v/>
      </c>
    </row>
    <row r="19">
      <c r="A19" s="6" t="n">
        <v>2024</v>
      </c>
      <c r="B19" s="5" t="inlineStr">
        <is>
          <t>2024-06</t>
        </is>
      </c>
      <c r="C19" s="5">
        <f>SUMIFS('Entetes_CplteAnneeMois'!$O$2:$O$723,'Entetes_CplteAnneeMois'!$V$2:$V$723,B19)</f>
        <v/>
      </c>
      <c r="D19" s="5">
        <f>SUMIFS('Entetes_CplteAnneeMois'!$P$2:$P$723,'Entetes_CplteAnneeMois'!$V$2:$V$723,B19)</f>
        <v/>
      </c>
      <c r="E19" s="5">
        <f>SUMIFS('Entetes_CplteAnneeMois'!$R$2:$R$723,'Entetes_CplteAnneeMois'!$V$2:$V$723,B19)</f>
        <v/>
      </c>
      <c r="F19" s="5">
        <f>SUMIFS('Entetes_CplteAnneeMois'!$Q$2:$Q$723,'Entetes_CplteAnneeMois'!$V$2:$V$723,B19)</f>
        <v/>
      </c>
    </row>
    <row r="20">
      <c r="A20" s="6" t="n">
        <v>2024</v>
      </c>
      <c r="B20" s="5" t="inlineStr">
        <is>
          <t>2024-07</t>
        </is>
      </c>
      <c r="C20" s="5">
        <f>SUMIFS('Entetes_CplteAnneeMois'!$O$2:$O$723,'Entetes_CplteAnneeMois'!$V$2:$V$723,B20)</f>
        <v/>
      </c>
      <c r="D20" s="5">
        <f>SUMIFS('Entetes_CplteAnneeMois'!$P$2:$P$723,'Entetes_CplteAnneeMois'!$V$2:$V$723,B20)</f>
        <v/>
      </c>
      <c r="E20" s="5">
        <f>SUMIFS('Entetes_CplteAnneeMois'!$R$2:$R$723,'Entetes_CplteAnneeMois'!$V$2:$V$723,B20)</f>
        <v/>
      </c>
      <c r="F20" s="5">
        <f>SUMIFS('Entetes_CplteAnneeMois'!$Q$2:$Q$723,'Entetes_CplteAnneeMois'!$V$2:$V$723,B20)</f>
        <v/>
      </c>
    </row>
    <row r="21">
      <c r="A21" s="6" t="n">
        <v>2024</v>
      </c>
      <c r="B21" s="5" t="inlineStr">
        <is>
          <t>2024-08</t>
        </is>
      </c>
      <c r="C21" s="5">
        <f>SUMIFS('Entetes_CplteAnneeMois'!$O$2:$O$723,'Entetes_CplteAnneeMois'!$V$2:$V$723,B21)</f>
        <v/>
      </c>
      <c r="D21" s="5">
        <f>SUMIFS('Entetes_CplteAnneeMois'!$P$2:$P$723,'Entetes_CplteAnneeMois'!$V$2:$V$723,B21)</f>
        <v/>
      </c>
      <c r="E21" s="5">
        <f>SUMIFS('Entetes_CplteAnneeMois'!$R$2:$R$723,'Entetes_CplteAnneeMois'!$V$2:$V$723,B21)</f>
        <v/>
      </c>
      <c r="F21" s="5">
        <f>SUMIFS('Entetes_CplteAnneeMois'!$Q$2:$Q$723,'Entetes_CplteAnneeMois'!$V$2:$V$723,B21)</f>
        <v/>
      </c>
    </row>
    <row r="22">
      <c r="A22" s="6" t="n">
        <v>2024</v>
      </c>
      <c r="B22" s="5" t="inlineStr">
        <is>
          <t>2024-09</t>
        </is>
      </c>
      <c r="C22" s="5">
        <f>SUMIFS('Entetes_CplteAnneeMois'!$O$2:$O$723,'Entetes_CplteAnneeMois'!$V$2:$V$723,B22)</f>
        <v/>
      </c>
      <c r="D22" s="5">
        <f>SUMIFS('Entetes_CplteAnneeMois'!$P$2:$P$723,'Entetes_CplteAnneeMois'!$V$2:$V$723,B22)</f>
        <v/>
      </c>
      <c r="E22" s="5">
        <f>SUMIFS('Entetes_CplteAnneeMois'!$R$2:$R$723,'Entetes_CplteAnneeMois'!$V$2:$V$723,B22)</f>
        <v/>
      </c>
      <c r="F22" s="5">
        <f>SUMIFS('Entetes_CplteAnneeMois'!$Q$2:$Q$723,'Entetes_CplteAnneeMois'!$V$2:$V$723,B22)</f>
        <v/>
      </c>
    </row>
    <row r="23">
      <c r="A23" s="6" t="n">
        <v>2024</v>
      </c>
      <c r="B23" s="5" t="inlineStr">
        <is>
          <t>2024-10</t>
        </is>
      </c>
      <c r="C23" s="5">
        <f>SUMIFS('Entetes_CplteAnneeMois'!$O$2:$O$723,'Entetes_CplteAnneeMois'!$V$2:$V$723,B23)</f>
        <v/>
      </c>
      <c r="D23" s="5">
        <f>SUMIFS('Entetes_CplteAnneeMois'!$P$2:$P$723,'Entetes_CplteAnneeMois'!$V$2:$V$723,B23)</f>
        <v/>
      </c>
      <c r="E23" s="5">
        <f>SUMIFS('Entetes_CplteAnneeMois'!$R$2:$R$723,'Entetes_CplteAnneeMois'!$V$2:$V$723,B23)</f>
        <v/>
      </c>
      <c r="F23" s="5">
        <f>SUMIFS('Entetes_CplteAnneeMois'!$Q$2:$Q$723,'Entetes_CplteAnneeMois'!$V$2:$V$723,B23)</f>
        <v/>
      </c>
    </row>
    <row r="24">
      <c r="A24" s="6" t="n">
        <v>2024</v>
      </c>
      <c r="B24" s="5" t="inlineStr">
        <is>
          <t>2024-11</t>
        </is>
      </c>
      <c r="C24" s="5">
        <f>SUMIFS('Entetes_CplteAnneeMois'!$O$2:$O$723,'Entetes_CplteAnneeMois'!$V$2:$V$723,B24)</f>
        <v/>
      </c>
      <c r="D24" s="5">
        <f>SUMIFS('Entetes_CplteAnneeMois'!$P$2:$P$723,'Entetes_CplteAnneeMois'!$V$2:$V$723,B24)</f>
        <v/>
      </c>
      <c r="E24" s="5">
        <f>SUMIFS('Entetes_CplteAnneeMois'!$R$2:$R$723,'Entetes_CplteAnneeMois'!$V$2:$V$723,B24)</f>
        <v/>
      </c>
      <c r="F24" s="5">
        <f>SUMIFS('Entetes_CplteAnneeMois'!$Q$2:$Q$723,'Entetes_CplteAnneeMois'!$V$2:$V$723,B24)</f>
        <v/>
      </c>
    </row>
    <row r="25">
      <c r="A25" s="6" t="n">
        <v>2024</v>
      </c>
      <c r="B25" s="5" t="inlineStr">
        <is>
          <t>2024-12</t>
        </is>
      </c>
      <c r="C25" s="5">
        <f>SUMIFS('Entetes_CplteAnneeMois'!$O$2:$O$723,'Entetes_CplteAnneeMois'!$V$2:$V$723,B25)</f>
        <v/>
      </c>
      <c r="D25" s="5">
        <f>SUMIFS('Entetes_CplteAnneeMois'!$P$2:$P$723,'Entetes_CplteAnneeMois'!$V$2:$V$723,B25)</f>
        <v/>
      </c>
      <c r="E25" s="5">
        <f>SUMIFS('Entetes_CplteAnneeMois'!$R$2:$R$723,'Entetes_CplteAnneeMois'!$V$2:$V$723,B25)</f>
        <v/>
      </c>
      <c r="F25" s="5">
        <f>SUMIFS('Entetes_CplteAnneeMois'!$Q$2:$Q$723,'Entetes_CplteAnneeMois'!$V$2:$V$723,B25)</f>
        <v/>
      </c>
    </row>
    <row r="26">
      <c r="A26" s="6" t="n">
        <v>2025</v>
      </c>
      <c r="B26" s="5" t="inlineStr">
        <is>
          <t>2025-01</t>
        </is>
      </c>
      <c r="C26" s="5">
        <f>SUMIFS('Entetes_CplteAnneeMois'!$O$2:$O$723,'Entetes_CplteAnneeMois'!$V$2:$V$723,B26)</f>
        <v/>
      </c>
      <c r="D26" s="5">
        <f>SUMIFS('Entetes_CplteAnneeMois'!$P$2:$P$723,'Entetes_CplteAnneeMois'!$V$2:$V$723,B26)</f>
        <v/>
      </c>
      <c r="E26" s="5">
        <f>SUMIFS('Entetes_CplteAnneeMois'!$R$2:$R$723,'Entetes_CplteAnneeMois'!$V$2:$V$723,B26)</f>
        <v/>
      </c>
      <c r="F26" s="5">
        <f>SUMIFS('Entetes_CplteAnneeMois'!$Q$2:$Q$723,'Entetes_CplteAnneeMois'!$V$2:$V$723,B26)</f>
        <v/>
      </c>
    </row>
    <row r="27">
      <c r="A27" s="6" t="n">
        <v>2025</v>
      </c>
      <c r="B27" s="5" t="inlineStr">
        <is>
          <t>2025-02</t>
        </is>
      </c>
      <c r="C27" s="5">
        <f>SUMIFS('Entetes_CplteAnneeMois'!$O$2:$O$723,'Entetes_CplteAnneeMois'!$V$2:$V$723,B27)</f>
        <v/>
      </c>
      <c r="D27" s="5">
        <f>SUMIFS('Entetes_CplteAnneeMois'!$P$2:$P$723,'Entetes_CplteAnneeMois'!$V$2:$V$723,B27)</f>
        <v/>
      </c>
      <c r="E27" s="5">
        <f>SUMIFS('Entetes_CplteAnneeMois'!$R$2:$R$723,'Entetes_CplteAnneeMois'!$V$2:$V$723,B27)</f>
        <v/>
      </c>
      <c r="F27" s="5">
        <f>SUMIFS('Entetes_CplteAnneeMois'!$Q$2:$Q$723,'Entetes_CplteAnneeMois'!$V$2:$V$723,B27)</f>
        <v/>
      </c>
    </row>
    <row r="28">
      <c r="A28" s="6" t="n">
        <v>2025</v>
      </c>
      <c r="B28" s="5" t="inlineStr">
        <is>
          <t>2025-03</t>
        </is>
      </c>
      <c r="C28" s="5">
        <f>SUMIFS('Entetes_CplteAnneeMois'!$O$2:$O$723,'Entetes_CplteAnneeMois'!$V$2:$V$723,B28)</f>
        <v/>
      </c>
      <c r="D28" s="5">
        <f>SUMIFS('Entetes_CplteAnneeMois'!$P$2:$P$723,'Entetes_CplteAnneeMois'!$V$2:$V$723,B28)</f>
        <v/>
      </c>
      <c r="E28" s="5">
        <f>SUMIFS('Entetes_CplteAnneeMois'!$R$2:$R$723,'Entetes_CplteAnneeMois'!$V$2:$V$723,B28)</f>
        <v/>
      </c>
      <c r="F28" s="5">
        <f>SUMIFS('Entetes_CplteAnneeMois'!$Q$2:$Q$723,'Entetes_CplteAnneeMois'!$V$2:$V$723,B28)</f>
        <v/>
      </c>
    </row>
    <row r="29">
      <c r="A29" s="6" t="n">
        <v>2025</v>
      </c>
      <c r="B29" s="5" t="inlineStr">
        <is>
          <t>2025-04</t>
        </is>
      </c>
      <c r="C29" s="5">
        <f>SUMIFS('Entetes_CplteAnneeMois'!$O$2:$O$723,'Entetes_CplteAnneeMois'!$V$2:$V$723,B29)</f>
        <v/>
      </c>
      <c r="D29" s="5">
        <f>SUMIFS('Entetes_CplteAnneeMois'!$P$2:$P$723,'Entetes_CplteAnneeMois'!$V$2:$V$723,B29)</f>
        <v/>
      </c>
      <c r="E29" s="5">
        <f>SUMIFS('Entetes_CplteAnneeMois'!$R$2:$R$723,'Entetes_CplteAnneeMois'!$V$2:$V$723,B29)</f>
        <v/>
      </c>
      <c r="F29" s="5">
        <f>SUMIFS('Entetes_CplteAnneeMois'!$Q$2:$Q$723,'Entetes_CplteAnneeMois'!$V$2:$V$723,B29)</f>
        <v/>
      </c>
    </row>
    <row r="30">
      <c r="A30" s="6" t="n">
        <v>2025</v>
      </c>
      <c r="B30" s="5" t="inlineStr">
        <is>
          <t>2025-05</t>
        </is>
      </c>
      <c r="C30" s="5">
        <f>SUMIFS('Entetes_CplteAnneeMois'!$O$2:$O$723,'Entetes_CplteAnneeMois'!$V$2:$V$723,B30)</f>
        <v/>
      </c>
      <c r="D30" s="5">
        <f>SUMIFS('Entetes_CplteAnneeMois'!$P$2:$P$723,'Entetes_CplteAnneeMois'!$V$2:$V$723,B30)</f>
        <v/>
      </c>
      <c r="E30" s="5">
        <f>SUMIFS('Entetes_CplteAnneeMois'!$R$2:$R$723,'Entetes_CplteAnneeMois'!$V$2:$V$723,B30)</f>
        <v/>
      </c>
      <c r="F30" s="5">
        <f>SUMIFS('Entetes_CplteAnneeMois'!$Q$2:$Q$723,'Entetes_CplteAnneeMois'!$V$2:$V$723,B30)</f>
        <v/>
      </c>
    </row>
    <row r="31">
      <c r="A31" s="6" t="n">
        <v>2025</v>
      </c>
      <c r="B31" s="5" t="inlineStr">
        <is>
          <t>2025-06</t>
        </is>
      </c>
      <c r="C31" s="5">
        <f>SUMIFS('Entetes_CplteAnneeMois'!$O$2:$O$723,'Entetes_CplteAnneeMois'!$V$2:$V$723,B31)</f>
        <v/>
      </c>
      <c r="D31" s="5">
        <f>SUMIFS('Entetes_CplteAnneeMois'!$P$2:$P$723,'Entetes_CplteAnneeMois'!$V$2:$V$723,B31)</f>
        <v/>
      </c>
      <c r="E31" s="5">
        <f>SUMIFS('Entetes_CplteAnneeMois'!$R$2:$R$723,'Entetes_CplteAnneeMois'!$V$2:$V$723,B31)</f>
        <v/>
      </c>
      <c r="F31" s="5">
        <f>SUMIFS('Entetes_CplteAnneeMois'!$Q$2:$Q$723,'Entetes_CplteAnneeMois'!$V$2:$V$723,B31)</f>
        <v/>
      </c>
    </row>
    <row r="32">
      <c r="A32" s="6" t="n">
        <v>2025</v>
      </c>
      <c r="B32" s="5" t="inlineStr">
        <is>
          <t>2025-07</t>
        </is>
      </c>
      <c r="C32" s="5">
        <f>SUMIFS('Entetes_CplteAnneeMois'!$O$2:$O$723,'Entetes_CplteAnneeMois'!$V$2:$V$723,B32)</f>
        <v/>
      </c>
      <c r="D32" s="5">
        <f>SUMIFS('Entetes_CplteAnneeMois'!$P$2:$P$723,'Entetes_CplteAnneeMois'!$V$2:$V$723,B32)</f>
        <v/>
      </c>
      <c r="E32" s="5">
        <f>SUMIFS('Entetes_CplteAnneeMois'!$R$2:$R$723,'Entetes_CplteAnneeMois'!$V$2:$V$723,B32)</f>
        <v/>
      </c>
      <c r="F32" s="5">
        <f>SUMIFS('Entetes_CplteAnneeMois'!$Q$2:$Q$723,'Entetes_CplteAnneeMois'!$V$2:$V$723,B32)</f>
        <v/>
      </c>
    </row>
    <row r="33">
      <c r="A33" s="6" t="n">
        <v>2025</v>
      </c>
      <c r="B33" s="5" t="inlineStr">
        <is>
          <t>2025-08</t>
        </is>
      </c>
      <c r="C33" s="5">
        <f>SUMIFS('Entetes_CplteAnneeMois'!$O$2:$O$723,'Entetes_CplteAnneeMois'!$V$2:$V$723,B33)</f>
        <v/>
      </c>
      <c r="D33" s="5">
        <f>SUMIFS('Entetes_CplteAnneeMois'!$P$2:$P$723,'Entetes_CplteAnneeMois'!$V$2:$V$723,B33)</f>
        <v/>
      </c>
      <c r="E33" s="5">
        <f>SUMIFS('Entetes_CplteAnneeMois'!$R$2:$R$723,'Entetes_CplteAnneeMois'!$V$2:$V$723,B33)</f>
        <v/>
      </c>
      <c r="F33" s="5">
        <f>SUMIFS('Entetes_CplteAnneeMois'!$Q$2:$Q$723,'Entetes_CplteAnneeMois'!$V$2:$V$723,B33)</f>
        <v/>
      </c>
    </row>
  </sheetData>
  <autoFilter ref="A1:F3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4" customHeight="1">
      <c r="A1" s="1" t="inlineStr">
        <is>
          <t>AJ_ANNEE</t>
        </is>
      </c>
      <c r="B1" s="1" t="inlineStr">
        <is>
          <t>AJ_MOIS</t>
        </is>
      </c>
      <c r="C1" s="1" t="inlineStr">
        <is>
          <t>SOMME_E_TTC</t>
        </is>
      </c>
      <c r="D1" s="1" t="inlineStr">
        <is>
          <t>SOMME_E_MDP_CB</t>
        </is>
      </c>
      <c r="E1" s="1" t="inlineStr">
        <is>
          <t>SOMME_E_MDP_CHEQUES</t>
        </is>
      </c>
      <c r="F1" s="1" t="inlineStr">
        <is>
          <t>SOMME_E_MDP_ESPECES</t>
        </is>
      </c>
    </row>
    <row r="2">
      <c r="A2" s="6">
        <f>'TD_TotalEnctTTC'!A2</f>
        <v/>
      </c>
      <c r="B2" s="5">
        <f>'TD_TotalEnctTTC'!B2</f>
        <v/>
      </c>
      <c r="C2" s="5">
        <f>'TD_TotalEnctTTC'!C2</f>
        <v/>
      </c>
      <c r="D2" s="5">
        <f>'TD_TotalEnctTTC'!D2</f>
        <v/>
      </c>
      <c r="E2" s="5">
        <f>'TD_TotalEnctTTC'!E2</f>
        <v/>
      </c>
      <c r="F2" s="5">
        <f>'TD_TotalEnctTTC'!F2</f>
        <v/>
      </c>
    </row>
    <row r="3">
      <c r="A3" s="6">
        <f>'TD_TotalEnctTTC'!A3</f>
        <v/>
      </c>
      <c r="B3" s="5">
        <f>'TD_TotalEnctTTC'!B3</f>
        <v/>
      </c>
      <c r="C3" s="5">
        <f>'TD_TotalEnctTTC'!C3</f>
        <v/>
      </c>
      <c r="D3" s="5">
        <f>'TD_TotalEnctTTC'!D3</f>
        <v/>
      </c>
      <c r="E3" s="5">
        <f>'TD_TotalEnctTTC'!E3</f>
        <v/>
      </c>
      <c r="F3" s="5">
        <f>'TD_TotalEnctTTC'!F3</f>
        <v/>
      </c>
    </row>
    <row r="4">
      <c r="A4" s="6">
        <f>'TD_TotalEnctTTC'!A4</f>
        <v/>
      </c>
      <c r="B4" s="5">
        <f>'TD_TotalEnctTTC'!B4</f>
        <v/>
      </c>
      <c r="C4" s="5">
        <f>'TD_TotalEnctTTC'!C4</f>
        <v/>
      </c>
      <c r="D4" s="5">
        <f>'TD_TotalEnctTTC'!D4</f>
        <v/>
      </c>
      <c r="E4" s="5">
        <f>'TD_TotalEnctTTC'!E4</f>
        <v/>
      </c>
      <c r="F4" s="5">
        <f>'TD_TotalEnctTTC'!F4</f>
        <v/>
      </c>
    </row>
    <row r="5">
      <c r="A5" s="6">
        <f>'TD_TotalEnctTTC'!A5</f>
        <v/>
      </c>
      <c r="B5" s="5">
        <f>'TD_TotalEnctTTC'!B5</f>
        <v/>
      </c>
      <c r="C5" s="5">
        <f>'TD_TotalEnctTTC'!C5</f>
        <v/>
      </c>
      <c r="D5" s="5">
        <f>'TD_TotalEnctTTC'!D5</f>
        <v/>
      </c>
      <c r="E5" s="5">
        <f>'TD_TotalEnctTTC'!E5</f>
        <v/>
      </c>
      <c r="F5" s="5">
        <f>'TD_TotalEnctTTC'!F5</f>
        <v/>
      </c>
    </row>
    <row r="6">
      <c r="A6" s="6">
        <f>'TD_TotalEnctTTC'!A6</f>
        <v/>
      </c>
      <c r="B6" s="5">
        <f>'TD_TotalEnctTTC'!B6</f>
        <v/>
      </c>
      <c r="C6" s="5">
        <f>'TD_TotalEnctTTC'!C6</f>
        <v/>
      </c>
      <c r="D6" s="5">
        <f>'TD_TotalEnctTTC'!D6</f>
        <v/>
      </c>
      <c r="E6" s="5">
        <f>'TD_TotalEnctTTC'!E6</f>
        <v/>
      </c>
      <c r="F6" s="5">
        <f>'TD_TotalEnctTTC'!F6</f>
        <v/>
      </c>
    </row>
    <row r="7">
      <c r="A7" s="6">
        <f>'TD_TotalEnctTTC'!A7</f>
        <v/>
      </c>
      <c r="B7" s="5">
        <f>'TD_TotalEnctTTC'!B7</f>
        <v/>
      </c>
      <c r="C7" s="5">
        <f>'TD_TotalEnctTTC'!C7</f>
        <v/>
      </c>
      <c r="D7" s="5">
        <f>'TD_TotalEnctTTC'!D7</f>
        <v/>
      </c>
      <c r="E7" s="5">
        <f>'TD_TotalEnctTTC'!E7</f>
        <v/>
      </c>
      <c r="F7" s="5">
        <f>'TD_TotalEnctTTC'!F7</f>
        <v/>
      </c>
    </row>
    <row r="8">
      <c r="A8" s="6">
        <f>'TD_TotalEnctTTC'!A8</f>
        <v/>
      </c>
      <c r="B8" s="5">
        <f>'TD_TotalEnctTTC'!B8</f>
        <v/>
      </c>
      <c r="C8" s="5">
        <f>'TD_TotalEnctTTC'!C8</f>
        <v/>
      </c>
      <c r="D8" s="5">
        <f>'TD_TotalEnctTTC'!D8</f>
        <v/>
      </c>
      <c r="E8" s="5">
        <f>'TD_TotalEnctTTC'!E8</f>
        <v/>
      </c>
      <c r="F8" s="5">
        <f>'TD_TotalEnctTTC'!F8</f>
        <v/>
      </c>
    </row>
    <row r="9">
      <c r="A9" s="6">
        <f>'TD_TotalEnctTTC'!A9</f>
        <v/>
      </c>
      <c r="B9" s="5">
        <f>'TD_TotalEnctTTC'!B9</f>
        <v/>
      </c>
      <c r="C9" s="5">
        <f>'TD_TotalEnctTTC'!C9</f>
        <v/>
      </c>
      <c r="D9" s="5">
        <f>'TD_TotalEnctTTC'!D9</f>
        <v/>
      </c>
      <c r="E9" s="5">
        <f>'TD_TotalEnctTTC'!E9</f>
        <v/>
      </c>
      <c r="F9" s="5">
        <f>'TD_TotalEnctTTC'!F9</f>
        <v/>
      </c>
    </row>
    <row r="10">
      <c r="A10" s="6">
        <f>'TD_TotalEnctTTC'!A10</f>
        <v/>
      </c>
      <c r="B10" s="5">
        <f>'TD_TotalEnctTTC'!B10</f>
        <v/>
      </c>
      <c r="C10" s="5">
        <f>'TD_TotalEnctTTC'!C10</f>
        <v/>
      </c>
      <c r="D10" s="5">
        <f>'TD_TotalEnctTTC'!D10</f>
        <v/>
      </c>
      <c r="E10" s="5">
        <f>'TD_TotalEnctTTC'!E10</f>
        <v/>
      </c>
      <c r="F10" s="5">
        <f>'TD_TotalEnctTTC'!F10</f>
        <v/>
      </c>
    </row>
    <row r="11">
      <c r="A11" s="6">
        <f>'TD_TotalEnctTTC'!A11</f>
        <v/>
      </c>
      <c r="B11" s="5">
        <f>'TD_TotalEnctTTC'!B11</f>
        <v/>
      </c>
      <c r="C11" s="5">
        <f>'TD_TotalEnctTTC'!C11</f>
        <v/>
      </c>
      <c r="D11" s="5">
        <f>'TD_TotalEnctTTC'!D11</f>
        <v/>
      </c>
      <c r="E11" s="5">
        <f>'TD_TotalEnctTTC'!E11</f>
        <v/>
      </c>
      <c r="F11" s="5">
        <f>'TD_TotalEnctTTC'!F11</f>
        <v/>
      </c>
    </row>
    <row r="12">
      <c r="A12" s="6">
        <f>'TD_TotalEnctTTC'!A12</f>
        <v/>
      </c>
      <c r="B12" s="5">
        <f>'TD_TotalEnctTTC'!B12</f>
        <v/>
      </c>
      <c r="C12" s="5">
        <f>'TD_TotalEnctTTC'!C12</f>
        <v/>
      </c>
      <c r="D12" s="5">
        <f>'TD_TotalEnctTTC'!D12</f>
        <v/>
      </c>
      <c r="E12" s="5">
        <f>'TD_TotalEnctTTC'!E12</f>
        <v/>
      </c>
      <c r="F12" s="5">
        <f>'TD_TotalEnctTTC'!F12</f>
        <v/>
      </c>
    </row>
    <row r="13">
      <c r="A13" s="6">
        <f>'TD_TotalEnctTTC'!A13</f>
        <v/>
      </c>
      <c r="B13" s="5">
        <f>'TD_TotalEnctTTC'!B13</f>
        <v/>
      </c>
      <c r="C13" s="5">
        <f>'TD_TotalEnctTTC'!C13</f>
        <v/>
      </c>
      <c r="D13" s="5">
        <f>'TD_TotalEnctTTC'!D13</f>
        <v/>
      </c>
      <c r="E13" s="5">
        <f>'TD_TotalEnctTTC'!E13</f>
        <v/>
      </c>
      <c r="F13" s="5">
        <f>'TD_TotalEnctTTC'!F13</f>
        <v/>
      </c>
    </row>
    <row r="14">
      <c r="A14" s="6">
        <f>'TD_TotalEnctTTC'!A14</f>
        <v/>
      </c>
      <c r="B14" s="5">
        <f>'TD_TotalEnctTTC'!B14</f>
        <v/>
      </c>
      <c r="C14" s="5">
        <f>'TD_TotalEnctTTC'!C14</f>
        <v/>
      </c>
      <c r="D14" s="5">
        <f>'TD_TotalEnctTTC'!D14</f>
        <v/>
      </c>
      <c r="E14" s="5">
        <f>'TD_TotalEnctTTC'!E14</f>
        <v/>
      </c>
      <c r="F14" s="5">
        <f>'TD_TotalEnctTTC'!F14</f>
        <v/>
      </c>
    </row>
    <row r="15">
      <c r="A15" s="6">
        <f>'TD_TotalEnctTTC'!A15</f>
        <v/>
      </c>
      <c r="B15" s="5">
        <f>'TD_TotalEnctTTC'!B15</f>
        <v/>
      </c>
      <c r="C15" s="5">
        <f>'TD_TotalEnctTTC'!C15</f>
        <v/>
      </c>
      <c r="D15" s="5">
        <f>'TD_TotalEnctTTC'!D15</f>
        <v/>
      </c>
      <c r="E15" s="5">
        <f>'TD_TotalEnctTTC'!E15</f>
        <v/>
      </c>
      <c r="F15" s="5">
        <f>'TD_TotalEnctTTC'!F15</f>
        <v/>
      </c>
    </row>
    <row r="16">
      <c r="A16" s="6">
        <f>'TD_TotalEnctTTC'!A16</f>
        <v/>
      </c>
      <c r="B16" s="5">
        <f>'TD_TotalEnctTTC'!B16</f>
        <v/>
      </c>
      <c r="C16" s="5">
        <f>'TD_TotalEnctTTC'!C16</f>
        <v/>
      </c>
      <c r="D16" s="5">
        <f>'TD_TotalEnctTTC'!D16</f>
        <v/>
      </c>
      <c r="E16" s="5">
        <f>'TD_TotalEnctTTC'!E16</f>
        <v/>
      </c>
      <c r="F16" s="5">
        <f>'TD_TotalEnctTTC'!F16</f>
        <v/>
      </c>
    </row>
    <row r="17">
      <c r="A17" s="6">
        <f>'TD_TotalEnctTTC'!A17</f>
        <v/>
      </c>
      <c r="B17" s="5">
        <f>'TD_TotalEnctTTC'!B17</f>
        <v/>
      </c>
      <c r="C17" s="5">
        <f>'TD_TotalEnctTTC'!C17</f>
        <v/>
      </c>
      <c r="D17" s="5">
        <f>'TD_TotalEnctTTC'!D17</f>
        <v/>
      </c>
      <c r="E17" s="5">
        <f>'TD_TotalEnctTTC'!E17</f>
        <v/>
      </c>
      <c r="F17" s="5">
        <f>'TD_TotalEnctTTC'!F17</f>
        <v/>
      </c>
    </row>
    <row r="18">
      <c r="A18" s="6">
        <f>'TD_TotalEnctTTC'!A18</f>
        <v/>
      </c>
      <c r="B18" s="5">
        <f>'TD_TotalEnctTTC'!B18</f>
        <v/>
      </c>
      <c r="C18" s="5">
        <f>'TD_TotalEnctTTC'!C18</f>
        <v/>
      </c>
      <c r="D18" s="5">
        <f>'TD_TotalEnctTTC'!D18</f>
        <v/>
      </c>
      <c r="E18" s="5">
        <f>'TD_TotalEnctTTC'!E18</f>
        <v/>
      </c>
      <c r="F18" s="5">
        <f>'TD_TotalEnctTTC'!F18</f>
        <v/>
      </c>
    </row>
    <row r="19">
      <c r="A19" s="6">
        <f>'TD_TotalEnctTTC'!A19</f>
        <v/>
      </c>
      <c r="B19" s="5">
        <f>'TD_TotalEnctTTC'!B19</f>
        <v/>
      </c>
      <c r="C19" s="5">
        <f>'TD_TotalEnctTTC'!C19</f>
        <v/>
      </c>
      <c r="D19" s="5">
        <f>'TD_TotalEnctTTC'!D19</f>
        <v/>
      </c>
      <c r="E19" s="5">
        <f>'TD_TotalEnctTTC'!E19</f>
        <v/>
      </c>
      <c r="F19" s="5">
        <f>'TD_TotalEnctTTC'!F19</f>
        <v/>
      </c>
    </row>
    <row r="20">
      <c r="A20" s="6">
        <f>'TD_TotalEnctTTC'!A20</f>
        <v/>
      </c>
      <c r="B20" s="5">
        <f>'TD_TotalEnctTTC'!B20</f>
        <v/>
      </c>
      <c r="C20" s="5">
        <f>'TD_TotalEnctTTC'!C20</f>
        <v/>
      </c>
      <c r="D20" s="5">
        <f>'TD_TotalEnctTTC'!D20</f>
        <v/>
      </c>
      <c r="E20" s="5">
        <f>'TD_TotalEnctTTC'!E20</f>
        <v/>
      </c>
      <c r="F20" s="5">
        <f>'TD_TotalEnctTTC'!F20</f>
        <v/>
      </c>
    </row>
    <row r="21">
      <c r="A21" s="6">
        <f>'TD_TotalEnctTTC'!A21</f>
        <v/>
      </c>
      <c r="B21" s="5">
        <f>'TD_TotalEnctTTC'!B21</f>
        <v/>
      </c>
      <c r="C21" s="5">
        <f>'TD_TotalEnctTTC'!C21</f>
        <v/>
      </c>
      <c r="D21" s="5">
        <f>'TD_TotalEnctTTC'!D21</f>
        <v/>
      </c>
      <c r="E21" s="5">
        <f>'TD_TotalEnctTTC'!E21</f>
        <v/>
      </c>
      <c r="F21" s="5">
        <f>'TD_TotalEnctTTC'!F21</f>
        <v/>
      </c>
    </row>
    <row r="22">
      <c r="A22" s="6">
        <f>'TD_TotalEnctTTC'!A22</f>
        <v/>
      </c>
      <c r="B22" s="5">
        <f>'TD_TotalEnctTTC'!B22</f>
        <v/>
      </c>
      <c r="C22" s="5">
        <f>'TD_TotalEnctTTC'!C22</f>
        <v/>
      </c>
      <c r="D22" s="5">
        <f>'TD_TotalEnctTTC'!D22</f>
        <v/>
      </c>
      <c r="E22" s="5">
        <f>'TD_TotalEnctTTC'!E22</f>
        <v/>
      </c>
      <c r="F22" s="5">
        <f>'TD_TotalEnctTTC'!F22</f>
        <v/>
      </c>
    </row>
    <row r="23">
      <c r="A23" s="6">
        <f>'TD_TotalEnctTTC'!A23</f>
        <v/>
      </c>
      <c r="B23" s="5">
        <f>'TD_TotalEnctTTC'!B23</f>
        <v/>
      </c>
      <c r="C23" s="5">
        <f>'TD_TotalEnctTTC'!C23</f>
        <v/>
      </c>
      <c r="D23" s="5">
        <f>'TD_TotalEnctTTC'!D23</f>
        <v/>
      </c>
      <c r="E23" s="5">
        <f>'TD_TotalEnctTTC'!E23</f>
        <v/>
      </c>
      <c r="F23" s="5">
        <f>'TD_TotalEnctTTC'!F23</f>
        <v/>
      </c>
    </row>
    <row r="24">
      <c r="A24" s="6">
        <f>'TD_TotalEnctTTC'!A24</f>
        <v/>
      </c>
      <c r="B24" s="5">
        <f>'TD_TotalEnctTTC'!B24</f>
        <v/>
      </c>
      <c r="C24" s="5">
        <f>'TD_TotalEnctTTC'!C24</f>
        <v/>
      </c>
      <c r="D24" s="5">
        <f>'TD_TotalEnctTTC'!D24</f>
        <v/>
      </c>
      <c r="E24" s="5">
        <f>'TD_TotalEnctTTC'!E24</f>
        <v/>
      </c>
      <c r="F24" s="5">
        <f>'TD_TotalEnctTTC'!F24</f>
        <v/>
      </c>
    </row>
    <row r="25">
      <c r="A25" s="6">
        <f>'TD_TotalEnctTTC'!A25</f>
        <v/>
      </c>
      <c r="B25" s="5">
        <f>'TD_TotalEnctTTC'!B25</f>
        <v/>
      </c>
      <c r="C25" s="5">
        <f>'TD_TotalEnctTTC'!C25</f>
        <v/>
      </c>
      <c r="D25" s="5">
        <f>'TD_TotalEnctTTC'!D25</f>
        <v/>
      </c>
      <c r="E25" s="5">
        <f>'TD_TotalEnctTTC'!E25</f>
        <v/>
      </c>
      <c r="F25" s="5">
        <f>'TD_TotalEnctTTC'!F25</f>
        <v/>
      </c>
    </row>
    <row r="26">
      <c r="A26" s="6">
        <f>'TD_TotalEnctTTC'!A26</f>
        <v/>
      </c>
      <c r="B26" s="5">
        <f>'TD_TotalEnctTTC'!B26</f>
        <v/>
      </c>
      <c r="C26" s="5">
        <f>'TD_TotalEnctTTC'!C26</f>
        <v/>
      </c>
      <c r="D26" s="5">
        <f>'TD_TotalEnctTTC'!D26</f>
        <v/>
      </c>
      <c r="E26" s="5">
        <f>'TD_TotalEnctTTC'!E26</f>
        <v/>
      </c>
      <c r="F26" s="5">
        <f>'TD_TotalEnctTTC'!F26</f>
        <v/>
      </c>
    </row>
    <row r="27">
      <c r="A27" s="6">
        <f>'TD_TotalEnctTTC'!A27</f>
        <v/>
      </c>
      <c r="B27" s="5">
        <f>'TD_TotalEnctTTC'!B27</f>
        <v/>
      </c>
      <c r="C27" s="5">
        <f>'TD_TotalEnctTTC'!C27</f>
        <v/>
      </c>
      <c r="D27" s="5">
        <f>'TD_TotalEnctTTC'!D27</f>
        <v/>
      </c>
      <c r="E27" s="5">
        <f>'TD_TotalEnctTTC'!E27</f>
        <v/>
      </c>
      <c r="F27" s="5">
        <f>'TD_TotalEnctTTC'!F27</f>
        <v/>
      </c>
    </row>
    <row r="28">
      <c r="A28" s="6">
        <f>'TD_TotalEnctTTC'!A28</f>
        <v/>
      </c>
      <c r="B28" s="5">
        <f>'TD_TotalEnctTTC'!B28</f>
        <v/>
      </c>
      <c r="C28" s="5">
        <f>'TD_TotalEnctTTC'!C28</f>
        <v/>
      </c>
      <c r="D28" s="5">
        <f>'TD_TotalEnctTTC'!D28</f>
        <v/>
      </c>
      <c r="E28" s="5">
        <f>'TD_TotalEnctTTC'!E28</f>
        <v/>
      </c>
      <c r="F28" s="5">
        <f>'TD_TotalEnctTTC'!F28</f>
        <v/>
      </c>
    </row>
    <row r="29">
      <c r="A29" s="6">
        <f>'TD_TotalEnctTTC'!A29</f>
        <v/>
      </c>
      <c r="B29" s="5">
        <f>'TD_TotalEnctTTC'!B29</f>
        <v/>
      </c>
      <c r="C29" s="5">
        <f>'TD_TotalEnctTTC'!C29</f>
        <v/>
      </c>
      <c r="D29" s="5">
        <f>'TD_TotalEnctTTC'!D29</f>
        <v/>
      </c>
      <c r="E29" s="5">
        <f>'TD_TotalEnctTTC'!E29</f>
        <v/>
      </c>
      <c r="F29" s="5">
        <f>'TD_TotalEnctTTC'!F29</f>
        <v/>
      </c>
    </row>
    <row r="30">
      <c r="A30" s="6">
        <f>'TD_TotalEnctTTC'!A30</f>
        <v/>
      </c>
      <c r="B30" s="5">
        <f>'TD_TotalEnctTTC'!B30</f>
        <v/>
      </c>
      <c r="C30" s="5">
        <f>'TD_TotalEnctTTC'!C30</f>
        <v/>
      </c>
      <c r="D30" s="5">
        <f>'TD_TotalEnctTTC'!D30</f>
        <v/>
      </c>
      <c r="E30" s="5">
        <f>'TD_TotalEnctTTC'!E30</f>
        <v/>
      </c>
      <c r="F30" s="5">
        <f>'TD_TotalEnctTTC'!F30</f>
        <v/>
      </c>
    </row>
    <row r="31">
      <c r="A31" s="6">
        <f>'TD_TotalEnctTTC'!A31</f>
        <v/>
      </c>
      <c r="B31" s="5">
        <f>'TD_TotalEnctTTC'!B31</f>
        <v/>
      </c>
      <c r="C31" s="5">
        <f>'TD_TotalEnctTTC'!C31</f>
        <v/>
      </c>
      <c r="D31" s="5">
        <f>'TD_TotalEnctTTC'!D31</f>
        <v/>
      </c>
      <c r="E31" s="5">
        <f>'TD_TotalEnctTTC'!E31</f>
        <v/>
      </c>
      <c r="F31" s="5">
        <f>'TD_TotalEnctTTC'!F31</f>
        <v/>
      </c>
    </row>
    <row r="32">
      <c r="A32" s="6">
        <f>'TD_TotalEnctTTC'!A32</f>
        <v/>
      </c>
      <c r="B32" s="5">
        <f>'TD_TotalEnctTTC'!B32</f>
        <v/>
      </c>
      <c r="C32" s="5">
        <f>'TD_TotalEnctTTC'!C32</f>
        <v/>
      </c>
      <c r="D32" s="5">
        <f>'TD_TotalEnctTTC'!D32</f>
        <v/>
      </c>
      <c r="E32" s="5">
        <f>'TD_TotalEnctTTC'!E32</f>
        <v/>
      </c>
      <c r="F32" s="5">
        <f>'TD_TotalEnctTTC'!F32</f>
        <v/>
      </c>
    </row>
    <row r="33">
      <c r="A33" s="6">
        <f>'TD_TotalEnctTTC'!A33</f>
        <v/>
      </c>
      <c r="B33" s="5">
        <f>'TD_TotalEnctTTC'!B33</f>
        <v/>
      </c>
      <c r="C33" s="5">
        <f>'TD_TotalEnctTTC'!C33</f>
        <v/>
      </c>
      <c r="D33" s="5">
        <f>'TD_TotalEnctTTC'!D33</f>
        <v/>
      </c>
      <c r="E33" s="5">
        <f>'TD_TotalEnctTTC'!E33</f>
        <v/>
      </c>
      <c r="F33" s="5">
        <f>'TD_TotalEnctTTC'!F33</f>
        <v/>
      </c>
    </row>
  </sheetData>
  <autoFilter ref="A1:F3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34" customHeight="1">
      <c r="A1" s="1" t="inlineStr">
        <is>
          <t>AJ_ANNEE</t>
        </is>
      </c>
      <c r="B1" s="1" t="inlineStr">
        <is>
          <t>AJ_MOIS</t>
        </is>
      </c>
      <c r="C1" s="1" t="inlineStr">
        <is>
          <t>SOMME_AJ_TOTAL_HT</t>
        </is>
      </c>
      <c r="D1" s="1" t="inlineStr">
        <is>
          <t>SOMME_AJ_TOTAL_TVA_20</t>
        </is>
      </c>
      <c r="E1" s="1" t="inlineStr">
        <is>
          <t>SOMME_E_TTC</t>
        </is>
      </c>
    </row>
    <row r="2">
      <c r="A2" s="6" t="n">
        <v>2023</v>
      </c>
      <c r="B2" s="5" t="inlineStr">
        <is>
          <t>2023-01</t>
        </is>
      </c>
      <c r="C2" s="5">
        <f>SUMIFS('Entetes_CplteAnneeMois'!$S$2:$S$723,'Entetes_CplteAnneeMois'!$V$2:$V$723,B2)</f>
        <v/>
      </c>
      <c r="D2" s="5">
        <f>SUMIFS('Entetes_CplteAnneeMois'!$T$2:$T$723,'Entetes_CplteAnneeMois'!$V$2:$V$723,B2)</f>
        <v/>
      </c>
      <c r="E2" s="5">
        <f>SUMIFS('Entetes_CplteAnneeMois'!$O$2:$O$723,'Entetes_CplteAnneeMois'!$V$2:$V$723,B2)</f>
        <v/>
      </c>
    </row>
    <row r="3">
      <c r="A3" s="6" t="n">
        <v>2023</v>
      </c>
      <c r="B3" s="5" t="inlineStr">
        <is>
          <t>2023-02</t>
        </is>
      </c>
      <c r="C3" s="5">
        <f>SUMIFS('Entetes_CplteAnneeMois'!$S$2:$S$723,'Entetes_CplteAnneeMois'!$V$2:$V$723,B3)</f>
        <v/>
      </c>
      <c r="D3" s="5">
        <f>SUMIFS('Entetes_CplteAnneeMois'!$T$2:$T$723,'Entetes_CplteAnneeMois'!$V$2:$V$723,B3)</f>
        <v/>
      </c>
      <c r="E3" s="5">
        <f>SUMIFS('Entetes_CplteAnneeMois'!$O$2:$O$723,'Entetes_CplteAnneeMois'!$V$2:$V$723,B3)</f>
        <v/>
      </c>
    </row>
    <row r="4">
      <c r="A4" s="6" t="n">
        <v>2023</v>
      </c>
      <c r="B4" s="5" t="inlineStr">
        <is>
          <t>2023-03</t>
        </is>
      </c>
      <c r="C4" s="5">
        <f>SUMIFS('Entetes_CplteAnneeMois'!$S$2:$S$723,'Entetes_CplteAnneeMois'!$V$2:$V$723,B4)</f>
        <v/>
      </c>
      <c r="D4" s="5">
        <f>SUMIFS('Entetes_CplteAnneeMois'!$T$2:$T$723,'Entetes_CplteAnneeMois'!$V$2:$V$723,B4)</f>
        <v/>
      </c>
      <c r="E4" s="5">
        <f>SUMIFS('Entetes_CplteAnneeMois'!$O$2:$O$723,'Entetes_CplteAnneeMois'!$V$2:$V$723,B4)</f>
        <v/>
      </c>
    </row>
    <row r="5">
      <c r="A5" s="6" t="n">
        <v>2023</v>
      </c>
      <c r="B5" s="5" t="inlineStr">
        <is>
          <t>2023-04</t>
        </is>
      </c>
      <c r="C5" s="5">
        <f>SUMIFS('Entetes_CplteAnneeMois'!$S$2:$S$723,'Entetes_CplteAnneeMois'!$V$2:$V$723,B5)</f>
        <v/>
      </c>
      <c r="D5" s="5">
        <f>SUMIFS('Entetes_CplteAnneeMois'!$T$2:$T$723,'Entetes_CplteAnneeMois'!$V$2:$V$723,B5)</f>
        <v/>
      </c>
      <c r="E5" s="5">
        <f>SUMIFS('Entetes_CplteAnneeMois'!$O$2:$O$723,'Entetes_CplteAnneeMois'!$V$2:$V$723,B5)</f>
        <v/>
      </c>
    </row>
    <row r="6">
      <c r="A6" s="6" t="n">
        <v>2023</v>
      </c>
      <c r="B6" s="5" t="inlineStr">
        <is>
          <t>2023-05</t>
        </is>
      </c>
      <c r="C6" s="5">
        <f>SUMIFS('Entetes_CplteAnneeMois'!$S$2:$S$723,'Entetes_CplteAnneeMois'!$V$2:$V$723,B6)</f>
        <v/>
      </c>
      <c r="D6" s="5">
        <f>SUMIFS('Entetes_CplteAnneeMois'!$T$2:$T$723,'Entetes_CplteAnneeMois'!$V$2:$V$723,B6)</f>
        <v/>
      </c>
      <c r="E6" s="5">
        <f>SUMIFS('Entetes_CplteAnneeMois'!$O$2:$O$723,'Entetes_CplteAnneeMois'!$V$2:$V$723,B6)</f>
        <v/>
      </c>
    </row>
    <row r="7">
      <c r="A7" s="6" t="n">
        <v>2023</v>
      </c>
      <c r="B7" s="5" t="inlineStr">
        <is>
          <t>2023-06</t>
        </is>
      </c>
      <c r="C7" s="5">
        <f>SUMIFS('Entetes_CplteAnneeMois'!$S$2:$S$723,'Entetes_CplteAnneeMois'!$V$2:$V$723,B7)</f>
        <v/>
      </c>
      <c r="D7" s="5">
        <f>SUMIFS('Entetes_CplteAnneeMois'!$T$2:$T$723,'Entetes_CplteAnneeMois'!$V$2:$V$723,B7)</f>
        <v/>
      </c>
      <c r="E7" s="5">
        <f>SUMIFS('Entetes_CplteAnneeMois'!$O$2:$O$723,'Entetes_CplteAnneeMois'!$V$2:$V$723,B7)</f>
        <v/>
      </c>
    </row>
    <row r="8">
      <c r="A8" s="6" t="n">
        <v>2023</v>
      </c>
      <c r="B8" s="5" t="inlineStr">
        <is>
          <t>2023-07</t>
        </is>
      </c>
      <c r="C8" s="5">
        <f>SUMIFS('Entetes_CplteAnneeMois'!$S$2:$S$723,'Entetes_CplteAnneeMois'!$V$2:$V$723,B8)</f>
        <v/>
      </c>
      <c r="D8" s="5">
        <f>SUMIFS('Entetes_CplteAnneeMois'!$T$2:$T$723,'Entetes_CplteAnneeMois'!$V$2:$V$723,B8)</f>
        <v/>
      </c>
      <c r="E8" s="5">
        <f>SUMIFS('Entetes_CplteAnneeMois'!$O$2:$O$723,'Entetes_CplteAnneeMois'!$V$2:$V$723,B8)</f>
        <v/>
      </c>
    </row>
    <row r="9">
      <c r="A9" s="6" t="n">
        <v>2023</v>
      </c>
      <c r="B9" s="5" t="inlineStr">
        <is>
          <t>2023-08</t>
        </is>
      </c>
      <c r="C9" s="5">
        <f>SUMIFS('Entetes_CplteAnneeMois'!$S$2:$S$723,'Entetes_CplteAnneeMois'!$V$2:$V$723,B9)</f>
        <v/>
      </c>
      <c r="D9" s="5">
        <f>SUMIFS('Entetes_CplteAnneeMois'!$T$2:$T$723,'Entetes_CplteAnneeMois'!$V$2:$V$723,B9)</f>
        <v/>
      </c>
      <c r="E9" s="5">
        <f>SUMIFS('Entetes_CplteAnneeMois'!$O$2:$O$723,'Entetes_CplteAnneeMois'!$V$2:$V$723,B9)</f>
        <v/>
      </c>
    </row>
    <row r="10">
      <c r="A10" s="6" t="n">
        <v>2023</v>
      </c>
      <c r="B10" s="5" t="inlineStr">
        <is>
          <t>2023-09</t>
        </is>
      </c>
      <c r="C10" s="5">
        <f>SUMIFS('Entetes_CplteAnneeMois'!$S$2:$S$723,'Entetes_CplteAnneeMois'!$V$2:$V$723,B10)</f>
        <v/>
      </c>
      <c r="D10" s="5">
        <f>SUMIFS('Entetes_CplteAnneeMois'!$T$2:$T$723,'Entetes_CplteAnneeMois'!$V$2:$V$723,B10)</f>
        <v/>
      </c>
      <c r="E10" s="5">
        <f>SUMIFS('Entetes_CplteAnneeMois'!$O$2:$O$723,'Entetes_CplteAnneeMois'!$V$2:$V$723,B10)</f>
        <v/>
      </c>
    </row>
    <row r="11">
      <c r="A11" s="6" t="n">
        <v>2023</v>
      </c>
      <c r="B11" s="5" t="inlineStr">
        <is>
          <t>2023-10</t>
        </is>
      </c>
      <c r="C11" s="5">
        <f>SUMIFS('Entetes_CplteAnneeMois'!$S$2:$S$723,'Entetes_CplteAnneeMois'!$V$2:$V$723,B11)</f>
        <v/>
      </c>
      <c r="D11" s="5">
        <f>SUMIFS('Entetes_CplteAnneeMois'!$T$2:$T$723,'Entetes_CplteAnneeMois'!$V$2:$V$723,B11)</f>
        <v/>
      </c>
      <c r="E11" s="5">
        <f>SUMIFS('Entetes_CplteAnneeMois'!$O$2:$O$723,'Entetes_CplteAnneeMois'!$V$2:$V$723,B11)</f>
        <v/>
      </c>
    </row>
    <row r="12">
      <c r="A12" s="6" t="n">
        <v>2023</v>
      </c>
      <c r="B12" s="5" t="inlineStr">
        <is>
          <t>2023-11</t>
        </is>
      </c>
      <c r="C12" s="5">
        <f>SUMIFS('Entetes_CplteAnneeMois'!$S$2:$S$723,'Entetes_CplteAnneeMois'!$V$2:$V$723,B12)</f>
        <v/>
      </c>
      <c r="D12" s="5">
        <f>SUMIFS('Entetes_CplteAnneeMois'!$T$2:$T$723,'Entetes_CplteAnneeMois'!$V$2:$V$723,B12)</f>
        <v/>
      </c>
      <c r="E12" s="5">
        <f>SUMIFS('Entetes_CplteAnneeMois'!$O$2:$O$723,'Entetes_CplteAnneeMois'!$V$2:$V$723,B12)</f>
        <v/>
      </c>
    </row>
    <row r="13">
      <c r="A13" s="6" t="n">
        <v>2023</v>
      </c>
      <c r="B13" s="5" t="inlineStr">
        <is>
          <t>2023-12</t>
        </is>
      </c>
      <c r="C13" s="5">
        <f>SUMIFS('Entetes_CplteAnneeMois'!$S$2:$S$723,'Entetes_CplteAnneeMois'!$V$2:$V$723,B13)</f>
        <v/>
      </c>
      <c r="D13" s="5">
        <f>SUMIFS('Entetes_CplteAnneeMois'!$T$2:$T$723,'Entetes_CplteAnneeMois'!$V$2:$V$723,B13)</f>
        <v/>
      </c>
      <c r="E13" s="5">
        <f>SUMIFS('Entetes_CplteAnneeMois'!$O$2:$O$723,'Entetes_CplteAnneeMois'!$V$2:$V$723,B13)</f>
        <v/>
      </c>
    </row>
    <row r="14">
      <c r="A14" s="6" t="n">
        <v>2024</v>
      </c>
      <c r="B14" s="5" t="inlineStr">
        <is>
          <t>2024-01</t>
        </is>
      </c>
      <c r="C14" s="5">
        <f>SUMIFS('Entetes_CplteAnneeMois'!$S$2:$S$723,'Entetes_CplteAnneeMois'!$V$2:$V$723,B14)</f>
        <v/>
      </c>
      <c r="D14" s="5">
        <f>SUMIFS('Entetes_CplteAnneeMois'!$T$2:$T$723,'Entetes_CplteAnneeMois'!$V$2:$V$723,B14)</f>
        <v/>
      </c>
      <c r="E14" s="5">
        <f>SUMIFS('Entetes_CplteAnneeMois'!$O$2:$O$723,'Entetes_CplteAnneeMois'!$V$2:$V$723,B14)</f>
        <v/>
      </c>
    </row>
    <row r="15">
      <c r="A15" s="6" t="n">
        <v>2024</v>
      </c>
      <c r="B15" s="5" t="inlineStr">
        <is>
          <t>2024-02</t>
        </is>
      </c>
      <c r="C15" s="5">
        <f>SUMIFS('Entetes_CplteAnneeMois'!$S$2:$S$723,'Entetes_CplteAnneeMois'!$V$2:$V$723,B15)</f>
        <v/>
      </c>
      <c r="D15" s="5">
        <f>SUMIFS('Entetes_CplteAnneeMois'!$T$2:$T$723,'Entetes_CplteAnneeMois'!$V$2:$V$723,B15)</f>
        <v/>
      </c>
      <c r="E15" s="5">
        <f>SUMIFS('Entetes_CplteAnneeMois'!$O$2:$O$723,'Entetes_CplteAnneeMois'!$V$2:$V$723,B15)</f>
        <v/>
      </c>
    </row>
    <row r="16">
      <c r="A16" s="6" t="n">
        <v>2024</v>
      </c>
      <c r="B16" s="5" t="inlineStr">
        <is>
          <t>2024-03</t>
        </is>
      </c>
      <c r="C16" s="5">
        <f>SUMIFS('Entetes_CplteAnneeMois'!$S$2:$S$723,'Entetes_CplteAnneeMois'!$V$2:$V$723,B16)</f>
        <v/>
      </c>
      <c r="D16" s="5">
        <f>SUMIFS('Entetes_CplteAnneeMois'!$T$2:$T$723,'Entetes_CplteAnneeMois'!$V$2:$V$723,B16)</f>
        <v/>
      </c>
      <c r="E16" s="5">
        <f>SUMIFS('Entetes_CplteAnneeMois'!$O$2:$O$723,'Entetes_CplteAnneeMois'!$V$2:$V$723,B16)</f>
        <v/>
      </c>
    </row>
    <row r="17">
      <c r="A17" s="6" t="n">
        <v>2024</v>
      </c>
      <c r="B17" s="5" t="inlineStr">
        <is>
          <t>2024-04</t>
        </is>
      </c>
      <c r="C17" s="5">
        <f>SUMIFS('Entetes_CplteAnneeMois'!$S$2:$S$723,'Entetes_CplteAnneeMois'!$V$2:$V$723,B17)</f>
        <v/>
      </c>
      <c r="D17" s="5">
        <f>SUMIFS('Entetes_CplteAnneeMois'!$T$2:$T$723,'Entetes_CplteAnneeMois'!$V$2:$V$723,B17)</f>
        <v/>
      </c>
      <c r="E17" s="5">
        <f>SUMIFS('Entetes_CplteAnneeMois'!$O$2:$O$723,'Entetes_CplteAnneeMois'!$V$2:$V$723,B17)</f>
        <v/>
      </c>
    </row>
    <row r="18">
      <c r="A18" s="6" t="n">
        <v>2024</v>
      </c>
      <c r="B18" s="5" t="inlineStr">
        <is>
          <t>2024-05</t>
        </is>
      </c>
      <c r="C18" s="5">
        <f>SUMIFS('Entetes_CplteAnneeMois'!$S$2:$S$723,'Entetes_CplteAnneeMois'!$V$2:$V$723,B18)</f>
        <v/>
      </c>
      <c r="D18" s="5">
        <f>SUMIFS('Entetes_CplteAnneeMois'!$T$2:$T$723,'Entetes_CplteAnneeMois'!$V$2:$V$723,B18)</f>
        <v/>
      </c>
      <c r="E18" s="5">
        <f>SUMIFS('Entetes_CplteAnneeMois'!$O$2:$O$723,'Entetes_CplteAnneeMois'!$V$2:$V$723,B18)</f>
        <v/>
      </c>
    </row>
    <row r="19">
      <c r="A19" s="6" t="n">
        <v>2024</v>
      </c>
      <c r="B19" s="5" t="inlineStr">
        <is>
          <t>2024-06</t>
        </is>
      </c>
      <c r="C19" s="5">
        <f>SUMIFS('Entetes_CplteAnneeMois'!$S$2:$S$723,'Entetes_CplteAnneeMois'!$V$2:$V$723,B19)</f>
        <v/>
      </c>
      <c r="D19" s="5">
        <f>SUMIFS('Entetes_CplteAnneeMois'!$T$2:$T$723,'Entetes_CplteAnneeMois'!$V$2:$V$723,B19)</f>
        <v/>
      </c>
      <c r="E19" s="5">
        <f>SUMIFS('Entetes_CplteAnneeMois'!$O$2:$O$723,'Entetes_CplteAnneeMois'!$V$2:$V$723,B19)</f>
        <v/>
      </c>
    </row>
    <row r="20">
      <c r="A20" s="6" t="n">
        <v>2024</v>
      </c>
      <c r="B20" s="5" t="inlineStr">
        <is>
          <t>2024-07</t>
        </is>
      </c>
      <c r="C20" s="5">
        <f>SUMIFS('Entetes_CplteAnneeMois'!$S$2:$S$723,'Entetes_CplteAnneeMois'!$V$2:$V$723,B20)</f>
        <v/>
      </c>
      <c r="D20" s="5">
        <f>SUMIFS('Entetes_CplteAnneeMois'!$T$2:$T$723,'Entetes_CplteAnneeMois'!$V$2:$V$723,B20)</f>
        <v/>
      </c>
      <c r="E20" s="5">
        <f>SUMIFS('Entetes_CplteAnneeMois'!$O$2:$O$723,'Entetes_CplteAnneeMois'!$V$2:$V$723,B20)</f>
        <v/>
      </c>
    </row>
    <row r="21">
      <c r="A21" s="6" t="n">
        <v>2024</v>
      </c>
      <c r="B21" s="5" t="inlineStr">
        <is>
          <t>2024-08</t>
        </is>
      </c>
      <c r="C21" s="5">
        <f>SUMIFS('Entetes_CplteAnneeMois'!$S$2:$S$723,'Entetes_CplteAnneeMois'!$V$2:$V$723,B21)</f>
        <v/>
      </c>
      <c r="D21" s="5">
        <f>SUMIFS('Entetes_CplteAnneeMois'!$T$2:$T$723,'Entetes_CplteAnneeMois'!$V$2:$V$723,B21)</f>
        <v/>
      </c>
      <c r="E21" s="5">
        <f>SUMIFS('Entetes_CplteAnneeMois'!$O$2:$O$723,'Entetes_CplteAnneeMois'!$V$2:$V$723,B21)</f>
        <v/>
      </c>
    </row>
    <row r="22">
      <c r="A22" s="6" t="n">
        <v>2024</v>
      </c>
      <c r="B22" s="5" t="inlineStr">
        <is>
          <t>2024-09</t>
        </is>
      </c>
      <c r="C22" s="5">
        <f>SUMIFS('Entetes_CplteAnneeMois'!$S$2:$S$723,'Entetes_CplteAnneeMois'!$V$2:$V$723,B22)</f>
        <v/>
      </c>
      <c r="D22" s="5">
        <f>SUMIFS('Entetes_CplteAnneeMois'!$T$2:$T$723,'Entetes_CplteAnneeMois'!$V$2:$V$723,B22)</f>
        <v/>
      </c>
      <c r="E22" s="5">
        <f>SUMIFS('Entetes_CplteAnneeMois'!$O$2:$O$723,'Entetes_CplteAnneeMois'!$V$2:$V$723,B22)</f>
        <v/>
      </c>
    </row>
    <row r="23">
      <c r="A23" s="6" t="n">
        <v>2024</v>
      </c>
      <c r="B23" s="5" t="inlineStr">
        <is>
          <t>2024-10</t>
        </is>
      </c>
      <c r="C23" s="5">
        <f>SUMIFS('Entetes_CplteAnneeMois'!$S$2:$S$723,'Entetes_CplteAnneeMois'!$V$2:$V$723,B23)</f>
        <v/>
      </c>
      <c r="D23" s="5">
        <f>SUMIFS('Entetes_CplteAnneeMois'!$T$2:$T$723,'Entetes_CplteAnneeMois'!$V$2:$V$723,B23)</f>
        <v/>
      </c>
      <c r="E23" s="5">
        <f>SUMIFS('Entetes_CplteAnneeMois'!$O$2:$O$723,'Entetes_CplteAnneeMois'!$V$2:$V$723,B23)</f>
        <v/>
      </c>
    </row>
    <row r="24">
      <c r="A24" s="6" t="n">
        <v>2024</v>
      </c>
      <c r="B24" s="5" t="inlineStr">
        <is>
          <t>2024-11</t>
        </is>
      </c>
      <c r="C24" s="5">
        <f>SUMIFS('Entetes_CplteAnneeMois'!$S$2:$S$723,'Entetes_CplteAnneeMois'!$V$2:$V$723,B24)</f>
        <v/>
      </c>
      <c r="D24" s="5">
        <f>SUMIFS('Entetes_CplteAnneeMois'!$T$2:$T$723,'Entetes_CplteAnneeMois'!$V$2:$V$723,B24)</f>
        <v/>
      </c>
      <c r="E24" s="5">
        <f>SUMIFS('Entetes_CplteAnneeMois'!$O$2:$O$723,'Entetes_CplteAnneeMois'!$V$2:$V$723,B24)</f>
        <v/>
      </c>
    </row>
    <row r="25">
      <c r="A25" s="6" t="n">
        <v>2024</v>
      </c>
      <c r="B25" s="5" t="inlineStr">
        <is>
          <t>2024-12</t>
        </is>
      </c>
      <c r="C25" s="5">
        <f>SUMIFS('Entetes_CplteAnneeMois'!$S$2:$S$723,'Entetes_CplteAnneeMois'!$V$2:$V$723,B25)</f>
        <v/>
      </c>
      <c r="D25" s="5">
        <f>SUMIFS('Entetes_CplteAnneeMois'!$T$2:$T$723,'Entetes_CplteAnneeMois'!$V$2:$V$723,B25)</f>
        <v/>
      </c>
      <c r="E25" s="5">
        <f>SUMIFS('Entetes_CplteAnneeMois'!$O$2:$O$723,'Entetes_CplteAnneeMois'!$V$2:$V$723,B25)</f>
        <v/>
      </c>
    </row>
    <row r="26">
      <c r="A26" s="6" t="n">
        <v>2025</v>
      </c>
      <c r="B26" s="5" t="inlineStr">
        <is>
          <t>2025-01</t>
        </is>
      </c>
      <c r="C26" s="5">
        <f>SUMIFS('Entetes_CplteAnneeMois'!$S$2:$S$723,'Entetes_CplteAnneeMois'!$V$2:$V$723,B26)</f>
        <v/>
      </c>
      <c r="D26" s="5">
        <f>SUMIFS('Entetes_CplteAnneeMois'!$T$2:$T$723,'Entetes_CplteAnneeMois'!$V$2:$V$723,B26)</f>
        <v/>
      </c>
      <c r="E26" s="5">
        <f>SUMIFS('Entetes_CplteAnneeMois'!$O$2:$O$723,'Entetes_CplteAnneeMois'!$V$2:$V$723,B26)</f>
        <v/>
      </c>
    </row>
    <row r="27">
      <c r="A27" s="6" t="n">
        <v>2025</v>
      </c>
      <c r="B27" s="5" t="inlineStr">
        <is>
          <t>2025-02</t>
        </is>
      </c>
      <c r="C27" s="5">
        <f>SUMIFS('Entetes_CplteAnneeMois'!$S$2:$S$723,'Entetes_CplteAnneeMois'!$V$2:$V$723,B27)</f>
        <v/>
      </c>
      <c r="D27" s="5">
        <f>SUMIFS('Entetes_CplteAnneeMois'!$T$2:$T$723,'Entetes_CplteAnneeMois'!$V$2:$V$723,B27)</f>
        <v/>
      </c>
      <c r="E27" s="5">
        <f>SUMIFS('Entetes_CplteAnneeMois'!$O$2:$O$723,'Entetes_CplteAnneeMois'!$V$2:$V$723,B27)</f>
        <v/>
      </c>
    </row>
    <row r="28">
      <c r="A28" s="6" t="n">
        <v>2025</v>
      </c>
      <c r="B28" s="5" t="inlineStr">
        <is>
          <t>2025-03</t>
        </is>
      </c>
      <c r="C28" s="5">
        <f>SUMIFS('Entetes_CplteAnneeMois'!$S$2:$S$723,'Entetes_CplteAnneeMois'!$V$2:$V$723,B28)</f>
        <v/>
      </c>
      <c r="D28" s="5">
        <f>SUMIFS('Entetes_CplteAnneeMois'!$T$2:$T$723,'Entetes_CplteAnneeMois'!$V$2:$V$723,B28)</f>
        <v/>
      </c>
      <c r="E28" s="5">
        <f>SUMIFS('Entetes_CplteAnneeMois'!$O$2:$O$723,'Entetes_CplteAnneeMois'!$V$2:$V$723,B28)</f>
        <v/>
      </c>
    </row>
    <row r="29">
      <c r="A29" s="6" t="n">
        <v>2025</v>
      </c>
      <c r="B29" s="5" t="inlineStr">
        <is>
          <t>2025-04</t>
        </is>
      </c>
      <c r="C29" s="5">
        <f>SUMIFS('Entetes_CplteAnneeMois'!$S$2:$S$723,'Entetes_CplteAnneeMois'!$V$2:$V$723,B29)</f>
        <v/>
      </c>
      <c r="D29" s="5">
        <f>SUMIFS('Entetes_CplteAnneeMois'!$T$2:$T$723,'Entetes_CplteAnneeMois'!$V$2:$V$723,B29)</f>
        <v/>
      </c>
      <c r="E29" s="5">
        <f>SUMIFS('Entetes_CplteAnneeMois'!$O$2:$O$723,'Entetes_CplteAnneeMois'!$V$2:$V$723,B29)</f>
        <v/>
      </c>
    </row>
    <row r="30">
      <c r="A30" s="6" t="n">
        <v>2025</v>
      </c>
      <c r="B30" s="5" t="inlineStr">
        <is>
          <t>2025-05</t>
        </is>
      </c>
      <c r="C30" s="5">
        <f>SUMIFS('Entetes_CplteAnneeMois'!$S$2:$S$723,'Entetes_CplteAnneeMois'!$V$2:$V$723,B30)</f>
        <v/>
      </c>
      <c r="D30" s="5">
        <f>SUMIFS('Entetes_CplteAnneeMois'!$T$2:$T$723,'Entetes_CplteAnneeMois'!$V$2:$V$723,B30)</f>
        <v/>
      </c>
      <c r="E30" s="5">
        <f>SUMIFS('Entetes_CplteAnneeMois'!$O$2:$O$723,'Entetes_CplteAnneeMois'!$V$2:$V$723,B30)</f>
        <v/>
      </c>
    </row>
    <row r="31">
      <c r="A31" s="6" t="n">
        <v>2025</v>
      </c>
      <c r="B31" s="5" t="inlineStr">
        <is>
          <t>2025-06</t>
        </is>
      </c>
      <c r="C31" s="5">
        <f>SUMIFS('Entetes_CplteAnneeMois'!$S$2:$S$723,'Entetes_CplteAnneeMois'!$V$2:$V$723,B31)</f>
        <v/>
      </c>
      <c r="D31" s="5">
        <f>SUMIFS('Entetes_CplteAnneeMois'!$T$2:$T$723,'Entetes_CplteAnneeMois'!$V$2:$V$723,B31)</f>
        <v/>
      </c>
      <c r="E31" s="5">
        <f>SUMIFS('Entetes_CplteAnneeMois'!$O$2:$O$723,'Entetes_CplteAnneeMois'!$V$2:$V$723,B31)</f>
        <v/>
      </c>
    </row>
    <row r="32">
      <c r="A32" s="6" t="n">
        <v>2025</v>
      </c>
      <c r="B32" s="5" t="inlineStr">
        <is>
          <t>2025-07</t>
        </is>
      </c>
      <c r="C32" s="5">
        <f>SUMIFS('Entetes_CplteAnneeMois'!$S$2:$S$723,'Entetes_CplteAnneeMois'!$V$2:$V$723,B32)</f>
        <v/>
      </c>
      <c r="D32" s="5">
        <f>SUMIFS('Entetes_CplteAnneeMois'!$T$2:$T$723,'Entetes_CplteAnneeMois'!$V$2:$V$723,B32)</f>
        <v/>
      </c>
      <c r="E32" s="5">
        <f>SUMIFS('Entetes_CplteAnneeMois'!$O$2:$O$723,'Entetes_CplteAnneeMois'!$V$2:$V$723,B32)</f>
        <v/>
      </c>
    </row>
    <row r="33">
      <c r="A33" s="6" t="n">
        <v>2025</v>
      </c>
      <c r="B33" s="5" t="inlineStr">
        <is>
          <t>2025-08</t>
        </is>
      </c>
      <c r="C33" s="5">
        <f>SUMIFS('Entetes_CplteAnneeMois'!$S$2:$S$723,'Entetes_CplteAnneeMois'!$V$2:$V$723,B33)</f>
        <v/>
      </c>
      <c r="D33" s="5">
        <f>SUMIFS('Entetes_CplteAnneeMois'!$T$2:$T$723,'Entetes_CplteAnneeMois'!$V$2:$V$723,B33)</f>
        <v/>
      </c>
      <c r="E33" s="5">
        <f>SUMIFS('Entetes_CplteAnneeMois'!$O$2:$O$723,'Entetes_CplteAnneeMois'!$V$2:$V$723,B33)</f>
        <v/>
      </c>
    </row>
  </sheetData>
  <autoFilter ref="A1:E3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34" customHeight="1">
      <c r="A1" s="1" t="inlineStr">
        <is>
          <t>AJ_ANNEE</t>
        </is>
      </c>
      <c r="B1" s="1" t="inlineStr">
        <is>
          <t>AJ_MOIS</t>
        </is>
      </c>
      <c r="C1" s="1" t="inlineStr">
        <is>
          <t>SOMME_AJ_TOTAL_HT</t>
        </is>
      </c>
      <c r="D1" s="1" t="inlineStr">
        <is>
          <t>SOMME_AJ_TOTAL_TVA_20</t>
        </is>
      </c>
      <c r="E1" s="1" t="inlineStr">
        <is>
          <t>SOMME_E_TTC</t>
        </is>
      </c>
    </row>
    <row r="2">
      <c r="A2" s="6">
        <f>'TD_TotalHtTvaTtc'!A2</f>
        <v/>
      </c>
      <c r="B2" s="5">
        <f>'TD_TotalHtTvaTtc'!B2</f>
        <v/>
      </c>
      <c r="C2" s="5">
        <f>'TD_TotalHtTvaTtc'!C2</f>
        <v/>
      </c>
      <c r="D2" s="5">
        <f>'TD_TotalHtTvaTtc'!D2</f>
        <v/>
      </c>
      <c r="E2" s="5">
        <f>'TD_TotalHtTvaTtc'!E2</f>
        <v/>
      </c>
    </row>
    <row r="3">
      <c r="A3" s="6">
        <f>'TD_TotalHtTvaTtc'!A3</f>
        <v/>
      </c>
      <c r="B3" s="5">
        <f>'TD_TotalHtTvaTtc'!B3</f>
        <v/>
      </c>
      <c r="C3" s="5">
        <f>'TD_TotalHtTvaTtc'!C3</f>
        <v/>
      </c>
      <c r="D3" s="5">
        <f>'TD_TotalHtTvaTtc'!D3</f>
        <v/>
      </c>
      <c r="E3" s="5">
        <f>'TD_TotalHtTvaTtc'!E3</f>
        <v/>
      </c>
    </row>
    <row r="4">
      <c r="A4" s="6">
        <f>'TD_TotalHtTvaTtc'!A4</f>
        <v/>
      </c>
      <c r="B4" s="5">
        <f>'TD_TotalHtTvaTtc'!B4</f>
        <v/>
      </c>
      <c r="C4" s="5">
        <f>'TD_TotalHtTvaTtc'!C4</f>
        <v/>
      </c>
      <c r="D4" s="5">
        <f>'TD_TotalHtTvaTtc'!D4</f>
        <v/>
      </c>
      <c r="E4" s="5">
        <f>'TD_TotalHtTvaTtc'!E4</f>
        <v/>
      </c>
    </row>
    <row r="5">
      <c r="A5" s="6">
        <f>'TD_TotalHtTvaTtc'!A5</f>
        <v/>
      </c>
      <c r="B5" s="5">
        <f>'TD_TotalHtTvaTtc'!B5</f>
        <v/>
      </c>
      <c r="C5" s="5">
        <f>'TD_TotalHtTvaTtc'!C5</f>
        <v/>
      </c>
      <c r="D5" s="5">
        <f>'TD_TotalHtTvaTtc'!D5</f>
        <v/>
      </c>
      <c r="E5" s="5">
        <f>'TD_TotalHtTvaTtc'!E5</f>
        <v/>
      </c>
    </row>
    <row r="6">
      <c r="A6" s="6">
        <f>'TD_TotalHtTvaTtc'!A6</f>
        <v/>
      </c>
      <c r="B6" s="5">
        <f>'TD_TotalHtTvaTtc'!B6</f>
        <v/>
      </c>
      <c r="C6" s="5">
        <f>'TD_TotalHtTvaTtc'!C6</f>
        <v/>
      </c>
      <c r="D6" s="5">
        <f>'TD_TotalHtTvaTtc'!D6</f>
        <v/>
      </c>
      <c r="E6" s="5">
        <f>'TD_TotalHtTvaTtc'!E6</f>
        <v/>
      </c>
    </row>
    <row r="7">
      <c r="A7" s="6">
        <f>'TD_TotalHtTvaTtc'!A7</f>
        <v/>
      </c>
      <c r="B7" s="5">
        <f>'TD_TotalHtTvaTtc'!B7</f>
        <v/>
      </c>
      <c r="C7" s="5">
        <f>'TD_TotalHtTvaTtc'!C7</f>
        <v/>
      </c>
      <c r="D7" s="5">
        <f>'TD_TotalHtTvaTtc'!D7</f>
        <v/>
      </c>
      <c r="E7" s="5">
        <f>'TD_TotalHtTvaTtc'!E7</f>
        <v/>
      </c>
    </row>
    <row r="8">
      <c r="A8" s="6">
        <f>'TD_TotalHtTvaTtc'!A8</f>
        <v/>
      </c>
      <c r="B8" s="5">
        <f>'TD_TotalHtTvaTtc'!B8</f>
        <v/>
      </c>
      <c r="C8" s="5">
        <f>'TD_TotalHtTvaTtc'!C8</f>
        <v/>
      </c>
      <c r="D8" s="5">
        <f>'TD_TotalHtTvaTtc'!D8</f>
        <v/>
      </c>
      <c r="E8" s="5">
        <f>'TD_TotalHtTvaTtc'!E8</f>
        <v/>
      </c>
    </row>
    <row r="9">
      <c r="A9" s="6">
        <f>'TD_TotalHtTvaTtc'!A9</f>
        <v/>
      </c>
      <c r="B9" s="5">
        <f>'TD_TotalHtTvaTtc'!B9</f>
        <v/>
      </c>
      <c r="C9" s="5">
        <f>'TD_TotalHtTvaTtc'!C9</f>
        <v/>
      </c>
      <c r="D9" s="5">
        <f>'TD_TotalHtTvaTtc'!D9</f>
        <v/>
      </c>
      <c r="E9" s="5">
        <f>'TD_TotalHtTvaTtc'!E9</f>
        <v/>
      </c>
    </row>
    <row r="10">
      <c r="A10" s="6">
        <f>'TD_TotalHtTvaTtc'!A10</f>
        <v/>
      </c>
      <c r="B10" s="5">
        <f>'TD_TotalHtTvaTtc'!B10</f>
        <v/>
      </c>
      <c r="C10" s="5">
        <f>'TD_TotalHtTvaTtc'!C10</f>
        <v/>
      </c>
      <c r="D10" s="5">
        <f>'TD_TotalHtTvaTtc'!D10</f>
        <v/>
      </c>
      <c r="E10" s="5">
        <f>'TD_TotalHtTvaTtc'!E10</f>
        <v/>
      </c>
    </row>
    <row r="11">
      <c r="A11" s="6">
        <f>'TD_TotalHtTvaTtc'!A11</f>
        <v/>
      </c>
      <c r="B11" s="5">
        <f>'TD_TotalHtTvaTtc'!B11</f>
        <v/>
      </c>
      <c r="C11" s="5">
        <f>'TD_TotalHtTvaTtc'!C11</f>
        <v/>
      </c>
      <c r="D11" s="5">
        <f>'TD_TotalHtTvaTtc'!D11</f>
        <v/>
      </c>
      <c r="E11" s="5">
        <f>'TD_TotalHtTvaTtc'!E11</f>
        <v/>
      </c>
    </row>
    <row r="12">
      <c r="A12" s="6">
        <f>'TD_TotalHtTvaTtc'!A12</f>
        <v/>
      </c>
      <c r="B12" s="5">
        <f>'TD_TotalHtTvaTtc'!B12</f>
        <v/>
      </c>
      <c r="C12" s="5">
        <f>'TD_TotalHtTvaTtc'!C12</f>
        <v/>
      </c>
      <c r="D12" s="5">
        <f>'TD_TotalHtTvaTtc'!D12</f>
        <v/>
      </c>
      <c r="E12" s="5">
        <f>'TD_TotalHtTvaTtc'!E12</f>
        <v/>
      </c>
    </row>
    <row r="13">
      <c r="A13" s="6">
        <f>'TD_TotalHtTvaTtc'!A13</f>
        <v/>
      </c>
      <c r="B13" s="5">
        <f>'TD_TotalHtTvaTtc'!B13</f>
        <v/>
      </c>
      <c r="C13" s="5">
        <f>'TD_TotalHtTvaTtc'!C13</f>
        <v/>
      </c>
      <c r="D13" s="5">
        <f>'TD_TotalHtTvaTtc'!D13</f>
        <v/>
      </c>
      <c r="E13" s="5">
        <f>'TD_TotalHtTvaTtc'!E13</f>
        <v/>
      </c>
    </row>
    <row r="14">
      <c r="A14" s="6">
        <f>'TD_TotalHtTvaTtc'!A14</f>
        <v/>
      </c>
      <c r="B14" s="5">
        <f>'TD_TotalHtTvaTtc'!B14</f>
        <v/>
      </c>
      <c r="C14" s="5">
        <f>'TD_TotalHtTvaTtc'!C14</f>
        <v/>
      </c>
      <c r="D14" s="5">
        <f>'TD_TotalHtTvaTtc'!D14</f>
        <v/>
      </c>
      <c r="E14" s="5">
        <f>'TD_TotalHtTvaTtc'!E14</f>
        <v/>
      </c>
    </row>
    <row r="15">
      <c r="A15" s="6">
        <f>'TD_TotalHtTvaTtc'!A15</f>
        <v/>
      </c>
      <c r="B15" s="5">
        <f>'TD_TotalHtTvaTtc'!B15</f>
        <v/>
      </c>
      <c r="C15" s="5">
        <f>'TD_TotalHtTvaTtc'!C15</f>
        <v/>
      </c>
      <c r="D15" s="5">
        <f>'TD_TotalHtTvaTtc'!D15</f>
        <v/>
      </c>
      <c r="E15" s="5">
        <f>'TD_TotalHtTvaTtc'!E15</f>
        <v/>
      </c>
    </row>
    <row r="16">
      <c r="A16" s="6">
        <f>'TD_TotalHtTvaTtc'!A16</f>
        <v/>
      </c>
      <c r="B16" s="5">
        <f>'TD_TotalHtTvaTtc'!B16</f>
        <v/>
      </c>
      <c r="C16" s="5">
        <f>'TD_TotalHtTvaTtc'!C16</f>
        <v/>
      </c>
      <c r="D16" s="5">
        <f>'TD_TotalHtTvaTtc'!D16</f>
        <v/>
      </c>
      <c r="E16" s="5">
        <f>'TD_TotalHtTvaTtc'!E16</f>
        <v/>
      </c>
    </row>
    <row r="17">
      <c r="A17" s="6">
        <f>'TD_TotalHtTvaTtc'!A17</f>
        <v/>
      </c>
      <c r="B17" s="5">
        <f>'TD_TotalHtTvaTtc'!B17</f>
        <v/>
      </c>
      <c r="C17" s="5">
        <f>'TD_TotalHtTvaTtc'!C17</f>
        <v/>
      </c>
      <c r="D17" s="5">
        <f>'TD_TotalHtTvaTtc'!D17</f>
        <v/>
      </c>
      <c r="E17" s="5">
        <f>'TD_TotalHtTvaTtc'!E17</f>
        <v/>
      </c>
    </row>
    <row r="18">
      <c r="A18" s="6">
        <f>'TD_TotalHtTvaTtc'!A18</f>
        <v/>
      </c>
      <c r="B18" s="5">
        <f>'TD_TotalHtTvaTtc'!B18</f>
        <v/>
      </c>
      <c r="C18" s="5">
        <f>'TD_TotalHtTvaTtc'!C18</f>
        <v/>
      </c>
      <c r="D18" s="5">
        <f>'TD_TotalHtTvaTtc'!D18</f>
        <v/>
      </c>
      <c r="E18" s="5">
        <f>'TD_TotalHtTvaTtc'!E18</f>
        <v/>
      </c>
    </row>
    <row r="19">
      <c r="A19" s="6">
        <f>'TD_TotalHtTvaTtc'!A19</f>
        <v/>
      </c>
      <c r="B19" s="5">
        <f>'TD_TotalHtTvaTtc'!B19</f>
        <v/>
      </c>
      <c r="C19" s="5">
        <f>'TD_TotalHtTvaTtc'!C19</f>
        <v/>
      </c>
      <c r="D19" s="5">
        <f>'TD_TotalHtTvaTtc'!D19</f>
        <v/>
      </c>
      <c r="E19" s="5">
        <f>'TD_TotalHtTvaTtc'!E19</f>
        <v/>
      </c>
    </row>
    <row r="20">
      <c r="A20" s="6">
        <f>'TD_TotalHtTvaTtc'!A20</f>
        <v/>
      </c>
      <c r="B20" s="5">
        <f>'TD_TotalHtTvaTtc'!B20</f>
        <v/>
      </c>
      <c r="C20" s="5">
        <f>'TD_TotalHtTvaTtc'!C20</f>
        <v/>
      </c>
      <c r="D20" s="5">
        <f>'TD_TotalHtTvaTtc'!D20</f>
        <v/>
      </c>
      <c r="E20" s="5">
        <f>'TD_TotalHtTvaTtc'!E20</f>
        <v/>
      </c>
    </row>
    <row r="21">
      <c r="A21" s="6">
        <f>'TD_TotalHtTvaTtc'!A21</f>
        <v/>
      </c>
      <c r="B21" s="5">
        <f>'TD_TotalHtTvaTtc'!B21</f>
        <v/>
      </c>
      <c r="C21" s="5">
        <f>'TD_TotalHtTvaTtc'!C21</f>
        <v/>
      </c>
      <c r="D21" s="5">
        <f>'TD_TotalHtTvaTtc'!D21</f>
        <v/>
      </c>
      <c r="E21" s="5">
        <f>'TD_TotalHtTvaTtc'!E21</f>
        <v/>
      </c>
    </row>
    <row r="22">
      <c r="A22" s="6">
        <f>'TD_TotalHtTvaTtc'!A22</f>
        <v/>
      </c>
      <c r="B22" s="5">
        <f>'TD_TotalHtTvaTtc'!B22</f>
        <v/>
      </c>
      <c r="C22" s="5">
        <f>'TD_TotalHtTvaTtc'!C22</f>
        <v/>
      </c>
      <c r="D22" s="5">
        <f>'TD_TotalHtTvaTtc'!D22</f>
        <v/>
      </c>
      <c r="E22" s="5">
        <f>'TD_TotalHtTvaTtc'!E22</f>
        <v/>
      </c>
    </row>
    <row r="23">
      <c r="A23" s="6">
        <f>'TD_TotalHtTvaTtc'!A23</f>
        <v/>
      </c>
      <c r="B23" s="5">
        <f>'TD_TotalHtTvaTtc'!B23</f>
        <v/>
      </c>
      <c r="C23" s="5">
        <f>'TD_TotalHtTvaTtc'!C23</f>
        <v/>
      </c>
      <c r="D23" s="5">
        <f>'TD_TotalHtTvaTtc'!D23</f>
        <v/>
      </c>
      <c r="E23" s="5">
        <f>'TD_TotalHtTvaTtc'!E23</f>
        <v/>
      </c>
    </row>
    <row r="24">
      <c r="A24" s="6">
        <f>'TD_TotalHtTvaTtc'!A24</f>
        <v/>
      </c>
      <c r="B24" s="5">
        <f>'TD_TotalHtTvaTtc'!B24</f>
        <v/>
      </c>
      <c r="C24" s="5">
        <f>'TD_TotalHtTvaTtc'!C24</f>
        <v/>
      </c>
      <c r="D24" s="5">
        <f>'TD_TotalHtTvaTtc'!D24</f>
        <v/>
      </c>
      <c r="E24" s="5">
        <f>'TD_TotalHtTvaTtc'!E24</f>
        <v/>
      </c>
    </row>
    <row r="25">
      <c r="A25" s="6">
        <f>'TD_TotalHtTvaTtc'!A25</f>
        <v/>
      </c>
      <c r="B25" s="5">
        <f>'TD_TotalHtTvaTtc'!B25</f>
        <v/>
      </c>
      <c r="C25" s="5">
        <f>'TD_TotalHtTvaTtc'!C25</f>
        <v/>
      </c>
      <c r="D25" s="5">
        <f>'TD_TotalHtTvaTtc'!D25</f>
        <v/>
      </c>
      <c r="E25" s="5">
        <f>'TD_TotalHtTvaTtc'!E25</f>
        <v/>
      </c>
    </row>
    <row r="26">
      <c r="A26" s="6">
        <f>'TD_TotalHtTvaTtc'!A26</f>
        <v/>
      </c>
      <c r="B26" s="5">
        <f>'TD_TotalHtTvaTtc'!B26</f>
        <v/>
      </c>
      <c r="C26" s="5">
        <f>'TD_TotalHtTvaTtc'!C26</f>
        <v/>
      </c>
      <c r="D26" s="5">
        <f>'TD_TotalHtTvaTtc'!D26</f>
        <v/>
      </c>
      <c r="E26" s="5">
        <f>'TD_TotalHtTvaTtc'!E26</f>
        <v/>
      </c>
    </row>
    <row r="27">
      <c r="A27" s="6">
        <f>'TD_TotalHtTvaTtc'!A27</f>
        <v/>
      </c>
      <c r="B27" s="5">
        <f>'TD_TotalHtTvaTtc'!B27</f>
        <v/>
      </c>
      <c r="C27" s="5">
        <f>'TD_TotalHtTvaTtc'!C27</f>
        <v/>
      </c>
      <c r="D27" s="5">
        <f>'TD_TotalHtTvaTtc'!D27</f>
        <v/>
      </c>
      <c r="E27" s="5">
        <f>'TD_TotalHtTvaTtc'!E27</f>
        <v/>
      </c>
    </row>
    <row r="28">
      <c r="A28" s="6">
        <f>'TD_TotalHtTvaTtc'!A28</f>
        <v/>
      </c>
      <c r="B28" s="5">
        <f>'TD_TotalHtTvaTtc'!B28</f>
        <v/>
      </c>
      <c r="C28" s="5">
        <f>'TD_TotalHtTvaTtc'!C28</f>
        <v/>
      </c>
      <c r="D28" s="5">
        <f>'TD_TotalHtTvaTtc'!D28</f>
        <v/>
      </c>
      <c r="E28" s="5">
        <f>'TD_TotalHtTvaTtc'!E28</f>
        <v/>
      </c>
    </row>
    <row r="29">
      <c r="A29" s="6">
        <f>'TD_TotalHtTvaTtc'!A29</f>
        <v/>
      </c>
      <c r="B29" s="5">
        <f>'TD_TotalHtTvaTtc'!B29</f>
        <v/>
      </c>
      <c r="C29" s="5">
        <f>'TD_TotalHtTvaTtc'!C29</f>
        <v/>
      </c>
      <c r="D29" s="5">
        <f>'TD_TotalHtTvaTtc'!D29</f>
        <v/>
      </c>
      <c r="E29" s="5">
        <f>'TD_TotalHtTvaTtc'!E29</f>
        <v/>
      </c>
    </row>
    <row r="30">
      <c r="A30" s="6">
        <f>'TD_TotalHtTvaTtc'!A30</f>
        <v/>
      </c>
      <c r="B30" s="5">
        <f>'TD_TotalHtTvaTtc'!B30</f>
        <v/>
      </c>
      <c r="C30" s="5">
        <f>'TD_TotalHtTvaTtc'!C30</f>
        <v/>
      </c>
      <c r="D30" s="5">
        <f>'TD_TotalHtTvaTtc'!D30</f>
        <v/>
      </c>
      <c r="E30" s="5">
        <f>'TD_TotalHtTvaTtc'!E30</f>
        <v/>
      </c>
    </row>
    <row r="31">
      <c r="A31" s="6">
        <f>'TD_TotalHtTvaTtc'!A31</f>
        <v/>
      </c>
      <c r="B31" s="5">
        <f>'TD_TotalHtTvaTtc'!B31</f>
        <v/>
      </c>
      <c r="C31" s="5">
        <f>'TD_TotalHtTvaTtc'!C31</f>
        <v/>
      </c>
      <c r="D31" s="5">
        <f>'TD_TotalHtTvaTtc'!D31</f>
        <v/>
      </c>
      <c r="E31" s="5">
        <f>'TD_TotalHtTvaTtc'!E31</f>
        <v/>
      </c>
    </row>
    <row r="32">
      <c r="A32" s="6">
        <f>'TD_TotalHtTvaTtc'!A32</f>
        <v/>
      </c>
      <c r="B32" s="5">
        <f>'TD_TotalHtTvaTtc'!B32</f>
        <v/>
      </c>
      <c r="C32" s="5">
        <f>'TD_TotalHtTvaTtc'!C32</f>
        <v/>
      </c>
      <c r="D32" s="5">
        <f>'TD_TotalHtTvaTtc'!D32</f>
        <v/>
      </c>
      <c r="E32" s="5">
        <f>'TD_TotalHtTvaTtc'!E32</f>
        <v/>
      </c>
    </row>
    <row r="33">
      <c r="A33" s="6">
        <f>'TD_TotalHtTvaTtc'!A33</f>
        <v/>
      </c>
      <c r="B33" s="5">
        <f>'TD_TotalHtTvaTtc'!B33</f>
        <v/>
      </c>
      <c r="C33" s="5">
        <f>'TD_TotalHtTvaTtc'!C33</f>
        <v/>
      </c>
      <c r="D33" s="5">
        <f>'TD_TotalHtTvaTtc'!D33</f>
        <v/>
      </c>
      <c r="E33" s="5">
        <f>'TD_TotalHtTvaTtc'!E33</f>
        <v/>
      </c>
    </row>
  </sheetData>
  <autoFilter ref="A1:E3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2026-08-15T11:39:12Z</dcterms:created>
  <dcterms:modified xsi:type="dcterms:W3CDTF">2026-08-15T11:39:15Z</dcterms:modified>
</cp:coreProperties>
</file>
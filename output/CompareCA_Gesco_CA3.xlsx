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CA_Gesco_CA3" sheetId="1" state="visible" r:id="rId1"/>
  </sheets>
  <definedNames>
    <definedName name="_xlnm._FilterDatabase" localSheetId="0" hidden="1">'CompareCA_Gesco_CA3'!$A$1:$L$33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0" borderId="2" pivotButton="0" quotePrefix="0" xfId="0"/>
    <xf numFmtId="164" fontId="2" fillId="0" borderId="2" pivotButton="0" quotePrefix="0" xfId="0"/>
    <xf numFmtId="164" fontId="2" fillId="3" borderId="2" pivotButton="0" quotePrefix="0" xfId="0"/>
    <xf numFmtId="0" fontId="2" fillId="3" borderId="2" pivotButton="0" quotePrefix="0" xfId="0"/>
  </cellXfs>
  <cellStyles count="1">
    <cellStyle name="Normal" xfId="0" builtinId="0" hidden="0"/>
  </cellStyles>
  <dxfs count="2"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areCA3" displayName="CompareCA3" ref="A1:L33" headerRowCount="1">
  <autoFilter ref="A1:L33"/>
  <tableColumns count="12">
    <tableColumn id="1" name="AJ_ANNEE"/>
    <tableColumn id="2" name="AJ_MOIS"/>
    <tableColumn id="3" name="AJ_TOTAL_TOUS_BOUTIQUE_HT"/>
    <tableColumn id="4" name="AJ_TOTAL_TOUS_BOUTIQUE_TVA"/>
    <tableColumn id="5" name="AJ_TOTAL_TOUS_BOUTIQUE_TTC"/>
    <tableColumn id="6" name="MTT_HT1_CA3"/>
    <tableColumn id="7" name="MTT_HT1_20_CA3"/>
    <tableColumn id="8" name="MTT_TVA_20_CA3"/>
    <tableColumn id="9" name="AJ_ECART_HT20"/>
    <tableColumn id="10" name="AJ_ECART_TVA20"/>
    <tableColumn id="11" name="STATUT"/>
    <tableColumn id="12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4" customWidth="1" min="12" max="12"/>
    <col width="26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24" customWidth="1" min="25" max="25"/>
    <col width="16" customWidth="1" min="26" max="2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AJ_TOTAL_TOUS_BOUTIQUE_HT</t>
        </is>
      </c>
      <c r="D1" s="1" t="inlineStr">
        <is>
          <t>AJ_TOTAL_TOUS_BOUTIQUE_TVA</t>
        </is>
      </c>
      <c r="E1" s="1" t="inlineStr">
        <is>
          <t>AJ_TOTAL_TOUS_BOUTIQUE_TTC</t>
        </is>
      </c>
      <c r="F1" s="1" t="inlineStr">
        <is>
          <t>MTT_HT1_CA3</t>
        </is>
      </c>
      <c r="G1" s="1" t="inlineStr">
        <is>
          <t>MTT_HT1_20_CA3</t>
        </is>
      </c>
      <c r="H1" s="1" t="inlineStr">
        <is>
          <t>MTT_TVA_20_CA3</t>
        </is>
      </c>
      <c r="I1" s="1" t="inlineStr">
        <is>
          <t>AJ_ECART_HT20</t>
        </is>
      </c>
      <c r="J1" s="1" t="inlineStr">
        <is>
          <t>AJ_ECART_TVA20</t>
        </is>
      </c>
      <c r="K1" s="1" t="inlineStr">
        <is>
          <t>STATUT</t>
        </is>
      </c>
      <c r="L1" s="1" t="inlineStr">
        <is>
          <t>COMMENTAIRE</t>
        </is>
      </c>
      <c r="N1" s="1" t="inlineStr">
        <is>
          <t>EXERCICE</t>
        </is>
      </c>
      <c r="O1" s="1" t="inlineStr">
        <is>
          <t>PERIODE</t>
        </is>
      </c>
      <c r="P1" s="1" t="inlineStr">
        <is>
          <t>GESCo_HT</t>
        </is>
      </c>
      <c r="Q1" s="1" t="inlineStr">
        <is>
          <t>GESCo_TVA</t>
        </is>
      </c>
      <c r="R1" s="1" t="inlineStr">
        <is>
          <t>GESCo_TTC</t>
        </is>
      </c>
      <c r="S1" s="1" t="inlineStr">
        <is>
          <t>CA_HT_FEC</t>
        </is>
      </c>
      <c r="T1" s="1" t="inlineStr">
        <is>
          <t>TVA_COLLECTEE_FEC</t>
        </is>
      </c>
      <c r="U1" s="1" t="inlineStr">
        <is>
          <t>CA_TTC_FEC</t>
        </is>
      </c>
      <c r="V1" s="1" t="inlineStr">
        <is>
          <t>AJ_ECART_HT</t>
        </is>
      </c>
      <c r="W1" s="1" t="inlineStr">
        <is>
          <t>AJ_ECART_TVA</t>
        </is>
      </c>
      <c r="X1" s="1" t="inlineStr">
        <is>
          <t>AJ_ECART_TTC</t>
        </is>
      </c>
      <c r="Y1" s="1" t="inlineStr">
        <is>
          <t>SOURCE_FEC</t>
        </is>
      </c>
      <c r="Z1" s="1" t="inlineStr">
        <is>
          <t>STATUT</t>
        </is>
      </c>
    </row>
    <row r="2">
      <c r="A2" s="2" t="n">
        <v>2023</v>
      </c>
      <c r="B2" s="3" t="inlineStr">
        <is>
          <t>2023-01</t>
        </is>
      </c>
      <c r="C2" s="3" t="n">
        <v>82985.31</v>
      </c>
      <c r="D2" s="3" t="n">
        <v>16597.09</v>
      </c>
      <c r="E2" s="3" t="n">
        <v>99582.39999999999</v>
      </c>
      <c r="F2" s="4" t="n"/>
      <c r="G2" s="4" t="n"/>
      <c r="H2" s="4" t="n"/>
      <c r="I2" s="3">
        <f>IF(G2="","",C2-G2)</f>
        <v/>
      </c>
      <c r="J2" s="3">
        <f>IF(H2="","",D2-H2)</f>
        <v/>
      </c>
      <c r="K2" s="5">
        <f>IF(COUNTA(F2:H2)=0,"À SAISIR","RENSEIGNÉ")</f>
        <v/>
      </c>
      <c r="L2" s="6" t="n"/>
      <c r="N2" s="7" t="n">
        <v>2023</v>
      </c>
      <c r="O2" s="7" t="inlineStr">
        <is>
          <t>2023-01-01 au 2023-12-31</t>
        </is>
      </c>
      <c r="P2" s="8" t="n">
        <v>553388.22</v>
      </c>
      <c r="Q2" s="8" t="n">
        <v>110677.7</v>
      </c>
      <c r="R2" s="8" t="n">
        <v>664065.92</v>
      </c>
      <c r="S2" s="9" t="n"/>
      <c r="T2" s="9" t="n"/>
      <c r="U2" s="9" t="n"/>
      <c r="V2" s="8">
        <f>IF(S2="","",P2-S2)</f>
        <v/>
      </c>
      <c r="W2" s="8">
        <f>IF(T2="","",Q2-T2)</f>
        <v/>
      </c>
      <c r="X2" s="8">
        <f>IF(U2="","",R2-U2)</f>
        <v/>
      </c>
      <c r="Y2" s="10" t="n"/>
      <c r="Z2" s="7">
        <f>IF(COUNTA(S2:U2)=0,"À SAISIR","RENSEIGNÉ")</f>
        <v/>
      </c>
    </row>
    <row r="3">
      <c r="A3" s="2" t="n">
        <v>2023</v>
      </c>
      <c r="B3" s="3" t="inlineStr">
        <is>
          <t>2023-02</t>
        </is>
      </c>
      <c r="C3" s="3" t="n">
        <v>52562.34</v>
      </c>
      <c r="D3" s="3" t="n">
        <v>10512.46</v>
      </c>
      <c r="E3" s="3" t="n">
        <v>63074.8</v>
      </c>
      <c r="F3" s="4" t="n"/>
      <c r="G3" s="4" t="n"/>
      <c r="H3" s="4" t="n"/>
      <c r="I3" s="3">
        <f>IF(G3="","",C3-G3)</f>
        <v/>
      </c>
      <c r="J3" s="3">
        <f>IF(H3="","",D3-H3)</f>
        <v/>
      </c>
      <c r="K3" s="5">
        <f>IF(COUNTA(F3:H3)=0,"À SAISIR","RENSEIGNÉ")</f>
        <v/>
      </c>
      <c r="L3" s="6" t="n"/>
      <c r="N3" s="7" t="n">
        <v>2024</v>
      </c>
      <c r="O3" s="7" t="inlineStr">
        <is>
          <t>2024-01-01 au 2024-12-31</t>
        </is>
      </c>
      <c r="P3" s="8" t="n">
        <v>432371</v>
      </c>
      <c r="Q3" s="8" t="n">
        <v>86474.58</v>
      </c>
      <c r="R3" s="8" t="n">
        <v>518845.58</v>
      </c>
      <c r="S3" s="9" t="n"/>
      <c r="T3" s="9" t="n"/>
      <c r="U3" s="9" t="n"/>
      <c r="V3" s="8">
        <f>IF(S3="","",P3-S3)</f>
        <v/>
      </c>
      <c r="W3" s="8">
        <f>IF(T3="","",Q3-T3)</f>
        <v/>
      </c>
      <c r="X3" s="8">
        <f>IF(U3="","",R3-U3)</f>
        <v/>
      </c>
      <c r="Y3" s="10" t="n"/>
      <c r="Z3" s="7">
        <f>IF(COUNTA(S3:U3)=0,"À SAISIR","RENSEIGNÉ")</f>
        <v/>
      </c>
    </row>
    <row r="4">
      <c r="A4" s="2" t="n">
        <v>2023</v>
      </c>
      <c r="B4" s="3" t="inlineStr">
        <is>
          <t>2023-03</t>
        </is>
      </c>
      <c r="C4" s="3" t="n">
        <v>57543.31</v>
      </c>
      <c r="D4" s="3" t="n">
        <v>11508.69</v>
      </c>
      <c r="E4" s="3" t="n">
        <v>69052</v>
      </c>
      <c r="F4" s="4" t="n"/>
      <c r="G4" s="4" t="n"/>
      <c r="H4" s="4" t="n"/>
      <c r="I4" s="3">
        <f>IF(G4="","",C4-G4)</f>
        <v/>
      </c>
      <c r="J4" s="3">
        <f>IF(H4="","",D4-H4)</f>
        <v/>
      </c>
      <c r="K4" s="5">
        <f>IF(COUNTA(F4:H4)=0,"À SAISIR","RENSEIGNÉ")</f>
        <v/>
      </c>
      <c r="L4" s="6" t="n"/>
      <c r="N4" s="7" t="n">
        <v>2025</v>
      </c>
      <c r="O4" s="7" t="inlineStr">
        <is>
          <t>2025-01-01 au 2025-08-31</t>
        </is>
      </c>
      <c r="P4" s="8" t="n">
        <v>111565.93</v>
      </c>
      <c r="Q4" s="8" t="n">
        <v>22313.17</v>
      </c>
      <c r="R4" s="8" t="n">
        <v>133879.1</v>
      </c>
      <c r="S4" s="9" t="n"/>
      <c r="T4" s="9" t="n"/>
      <c r="U4" s="9" t="n"/>
      <c r="V4" s="8">
        <f>IF(S4="","",P4-S4)</f>
        <v/>
      </c>
      <c r="W4" s="8">
        <f>IF(T4="","",Q4-T4)</f>
        <v/>
      </c>
      <c r="X4" s="8">
        <f>IF(U4="","",R4-U4)</f>
        <v/>
      </c>
      <c r="Y4" s="10" t="n"/>
      <c r="Z4" s="7">
        <f>IF(COUNTA(S4:U4)=0,"À SAISIR","RENSEIGNÉ")</f>
        <v/>
      </c>
    </row>
    <row r="5">
      <c r="A5" s="2" t="n">
        <v>2023</v>
      </c>
      <c r="B5" s="3" t="inlineStr">
        <is>
          <t>2023-04</t>
        </is>
      </c>
      <c r="C5" s="3" t="n">
        <v>57944.13</v>
      </c>
      <c r="D5" s="3" t="n">
        <v>11588.87</v>
      </c>
      <c r="E5" s="3" t="n">
        <v>69533</v>
      </c>
      <c r="F5" s="4" t="n"/>
      <c r="G5" s="4" t="n"/>
      <c r="H5" s="4" t="n"/>
      <c r="I5" s="3">
        <f>IF(G5="","",C5-G5)</f>
        <v/>
      </c>
      <c r="J5" s="3">
        <f>IF(H5="","",D5-H5)</f>
        <v/>
      </c>
      <c r="K5" s="5">
        <f>IF(COUNTA(F5:H5)=0,"À SAISIR","RENSEIGNÉ")</f>
        <v/>
      </c>
      <c r="L5" s="6" t="n"/>
    </row>
    <row r="6">
      <c r="A6" s="2" t="n">
        <v>2023</v>
      </c>
      <c r="B6" s="3" t="inlineStr">
        <is>
          <t>2023-05</t>
        </is>
      </c>
      <c r="C6" s="3" t="n">
        <v>46589.98</v>
      </c>
      <c r="D6" s="3" t="n">
        <v>9318.02</v>
      </c>
      <c r="E6" s="3" t="n">
        <v>55908</v>
      </c>
      <c r="F6" s="4" t="n"/>
      <c r="G6" s="4" t="n"/>
      <c r="H6" s="4" t="n"/>
      <c r="I6" s="3">
        <f>IF(G6="","",C6-G6)</f>
        <v/>
      </c>
      <c r="J6" s="3">
        <f>IF(H6="","",D6-H6)</f>
        <v/>
      </c>
      <c r="K6" s="5">
        <f>IF(COUNTA(F6:H6)=0,"À SAISIR","RENSEIGNÉ")</f>
        <v/>
      </c>
      <c r="L6" s="6" t="n"/>
    </row>
    <row r="7">
      <c r="A7" s="2" t="n">
        <v>2023</v>
      </c>
      <c r="B7" s="3" t="inlineStr">
        <is>
          <t>2023-06</t>
        </is>
      </c>
      <c r="C7" s="3" t="n">
        <v>45516.87</v>
      </c>
      <c r="D7" s="3" t="n">
        <v>9103.4</v>
      </c>
      <c r="E7" s="3" t="n">
        <v>54620.27</v>
      </c>
      <c r="F7" s="4" t="n"/>
      <c r="G7" s="4" t="n"/>
      <c r="H7" s="4" t="n"/>
      <c r="I7" s="3">
        <f>IF(G7="","",C7-G7)</f>
        <v/>
      </c>
      <c r="J7" s="3">
        <f>IF(H7="","",D7-H7)</f>
        <v/>
      </c>
      <c r="K7" s="5">
        <f>IF(COUNTA(F7:H7)=0,"À SAISIR","RENSEIGNÉ")</f>
        <v/>
      </c>
      <c r="L7" s="6" t="n"/>
    </row>
    <row r="8">
      <c r="A8" s="2" t="n">
        <v>2023</v>
      </c>
      <c r="B8" s="3" t="inlineStr">
        <is>
          <t>2023-07</t>
        </is>
      </c>
      <c r="C8" s="3" t="n">
        <v>52947.5</v>
      </c>
      <c r="D8" s="3" t="n">
        <v>10589.5</v>
      </c>
      <c r="E8" s="3" t="n">
        <v>63537</v>
      </c>
      <c r="F8" s="4" t="n"/>
      <c r="G8" s="4" t="n"/>
      <c r="H8" s="4" t="n"/>
      <c r="I8" s="3">
        <f>IF(G8="","",C8-G8)</f>
        <v/>
      </c>
      <c r="J8" s="3">
        <f>IF(H8="","",D8-H8)</f>
        <v/>
      </c>
      <c r="K8" s="5">
        <f>IF(COUNTA(F8:H8)=0,"À SAISIR","RENSEIGNÉ")</f>
        <v/>
      </c>
      <c r="L8" s="6" t="n"/>
    </row>
    <row r="9">
      <c r="A9" s="2" t="n">
        <v>2023</v>
      </c>
      <c r="B9" s="3" t="inlineStr">
        <is>
          <t>2023-08</t>
        </is>
      </c>
      <c r="C9" s="3" t="n">
        <v>32991.33</v>
      </c>
      <c r="D9" s="3" t="n">
        <v>6598.27</v>
      </c>
      <c r="E9" s="3" t="n">
        <v>39589.6</v>
      </c>
      <c r="F9" s="4" t="n"/>
      <c r="G9" s="4" t="n"/>
      <c r="H9" s="4" t="n"/>
      <c r="I9" s="3">
        <f>IF(G9="","",C9-G9)</f>
        <v/>
      </c>
      <c r="J9" s="3">
        <f>IF(H9="","",D9-H9)</f>
        <v/>
      </c>
      <c r="K9" s="5">
        <f>IF(COUNTA(F9:H9)=0,"À SAISIR","RENSEIGNÉ")</f>
        <v/>
      </c>
      <c r="L9" s="6" t="n"/>
    </row>
    <row r="10">
      <c r="A10" s="2" t="n">
        <v>2023</v>
      </c>
      <c r="B10" s="3" t="inlineStr">
        <is>
          <t>2023-09</t>
        </is>
      </c>
      <c r="C10" s="3" t="n">
        <v>45025.95</v>
      </c>
      <c r="D10" s="3" t="n">
        <v>9005.15</v>
      </c>
      <c r="E10" s="3" t="n">
        <v>54031.1</v>
      </c>
      <c r="F10" s="4" t="n"/>
      <c r="G10" s="4" t="n"/>
      <c r="H10" s="4" t="n"/>
      <c r="I10" s="3">
        <f>IF(G10="","",C10-G10)</f>
        <v/>
      </c>
      <c r="J10" s="3">
        <f>IF(H10="","",D10-H10)</f>
        <v/>
      </c>
      <c r="K10" s="5">
        <f>IF(COUNTA(F10:H10)=0,"À SAISIR","RENSEIGNÉ")</f>
        <v/>
      </c>
      <c r="L10" s="6" t="n"/>
    </row>
    <row r="11">
      <c r="A11" s="2" t="n">
        <v>2023</v>
      </c>
      <c r="B11" s="3" t="inlineStr">
        <is>
          <t>2023-10</t>
        </is>
      </c>
      <c r="C11" s="3" t="n">
        <v>42949.85</v>
      </c>
      <c r="D11" s="3" t="n">
        <v>8589.950000000001</v>
      </c>
      <c r="E11" s="3" t="n">
        <v>51539.8</v>
      </c>
      <c r="F11" s="4" t="n"/>
      <c r="G11" s="4" t="n"/>
      <c r="H11" s="4" t="n"/>
      <c r="I11" s="3">
        <f>IF(G11="","",C11-G11)</f>
        <v/>
      </c>
      <c r="J11" s="3">
        <f>IF(H11="","",D11-H11)</f>
        <v/>
      </c>
      <c r="K11" s="5">
        <f>IF(COUNTA(F11:H11)=0,"À SAISIR","RENSEIGNÉ")</f>
        <v/>
      </c>
      <c r="L11" s="6" t="n"/>
    </row>
    <row r="12">
      <c r="A12" s="2" t="n">
        <v>2023</v>
      </c>
      <c r="B12" s="3" t="inlineStr">
        <is>
          <t>2023-11</t>
        </is>
      </c>
      <c r="C12" s="3" t="n">
        <v>25839.96</v>
      </c>
      <c r="D12" s="3" t="n">
        <v>5167.99</v>
      </c>
      <c r="E12" s="3" t="n">
        <v>31007.95</v>
      </c>
      <c r="F12" s="4" t="n"/>
      <c r="G12" s="4" t="n"/>
      <c r="H12" s="4" t="n"/>
      <c r="I12" s="3">
        <f>IF(G12="","",C12-G12)</f>
        <v/>
      </c>
      <c r="J12" s="3">
        <f>IF(H12="","",D12-H12)</f>
        <v/>
      </c>
      <c r="K12" s="5">
        <f>IF(COUNTA(F12:H12)=0,"À SAISIR","RENSEIGNÉ")</f>
        <v/>
      </c>
      <c r="L12" s="6" t="n"/>
    </row>
    <row r="13">
      <c r="A13" s="2" t="n">
        <v>2023</v>
      </c>
      <c r="B13" s="3" t="inlineStr">
        <is>
          <t>2023-12</t>
        </is>
      </c>
      <c r="C13" s="3" t="n">
        <v>10491.69</v>
      </c>
      <c r="D13" s="3" t="n">
        <v>2098.31</v>
      </c>
      <c r="E13" s="3" t="n">
        <v>12590</v>
      </c>
      <c r="F13" s="4" t="n"/>
      <c r="G13" s="4" t="n"/>
      <c r="H13" s="4" t="n"/>
      <c r="I13" s="3">
        <f>IF(G13="","",C13-G13)</f>
        <v/>
      </c>
      <c r="J13" s="3">
        <f>IF(H13="","",D13-H13)</f>
        <v/>
      </c>
      <c r="K13" s="5">
        <f>IF(COUNTA(F13:H13)=0,"À SAISIR","RENSEIGNÉ")</f>
        <v/>
      </c>
      <c r="L13" s="6" t="n"/>
    </row>
    <row r="14">
      <c r="A14" s="2" t="n">
        <v>2024</v>
      </c>
      <c r="B14" s="3" t="inlineStr">
        <is>
          <t>2024-01</t>
        </is>
      </c>
      <c r="C14" s="3" t="n">
        <v>26443.07</v>
      </c>
      <c r="D14" s="3" t="n">
        <v>5288.63</v>
      </c>
      <c r="E14" s="3" t="n">
        <v>31731.7</v>
      </c>
      <c r="F14" s="4" t="n"/>
      <c r="G14" s="4" t="n"/>
      <c r="H14" s="4" t="n"/>
      <c r="I14" s="3">
        <f>IF(G14="","",C14-G14)</f>
        <v/>
      </c>
      <c r="J14" s="3">
        <f>IF(H14="","",D14-H14)</f>
        <v/>
      </c>
      <c r="K14" s="5">
        <f>IF(COUNTA(F14:H14)=0,"À SAISIR","RENSEIGNÉ")</f>
        <v/>
      </c>
      <c r="L14" s="6" t="n"/>
    </row>
    <row r="15">
      <c r="A15" s="2" t="n">
        <v>2024</v>
      </c>
      <c r="B15" s="3" t="inlineStr">
        <is>
          <t>2024-02</t>
        </is>
      </c>
      <c r="C15" s="3" t="n">
        <v>34860.41</v>
      </c>
      <c r="D15" s="3" t="n">
        <v>6972.09</v>
      </c>
      <c r="E15" s="3" t="n">
        <v>41832.5</v>
      </c>
      <c r="F15" s="4" t="n"/>
      <c r="G15" s="4" t="n"/>
      <c r="H15" s="4" t="n"/>
      <c r="I15" s="3">
        <f>IF(G15="","",C15-G15)</f>
        <v/>
      </c>
      <c r="J15" s="3">
        <f>IF(H15="","",D15-H15)</f>
        <v/>
      </c>
      <c r="K15" s="5">
        <f>IF(COUNTA(F15:H15)=0,"À SAISIR","RENSEIGNÉ")</f>
        <v/>
      </c>
      <c r="L15" s="6" t="n"/>
    </row>
    <row r="16">
      <c r="A16" s="2" t="n">
        <v>2024</v>
      </c>
      <c r="B16" s="3" t="inlineStr">
        <is>
          <t>2024-03</t>
        </is>
      </c>
      <c r="C16" s="3" t="n">
        <v>28787.88</v>
      </c>
      <c r="D16" s="3" t="n">
        <v>5757.62</v>
      </c>
      <c r="E16" s="3" t="n">
        <v>34545.5</v>
      </c>
      <c r="F16" s="4" t="n"/>
      <c r="G16" s="4" t="n"/>
      <c r="H16" s="4" t="n"/>
      <c r="I16" s="3">
        <f>IF(G16="","",C16-G16)</f>
        <v/>
      </c>
      <c r="J16" s="3">
        <f>IF(H16="","",D16-H16)</f>
        <v/>
      </c>
      <c r="K16" s="5">
        <f>IF(COUNTA(F16:H16)=0,"À SAISIR","RENSEIGNÉ")</f>
        <v/>
      </c>
      <c r="L16" s="6" t="n"/>
    </row>
    <row r="17">
      <c r="A17" s="2" t="n">
        <v>2024</v>
      </c>
      <c r="B17" s="3" t="inlineStr">
        <is>
          <t>2024-04</t>
        </is>
      </c>
      <c r="C17" s="3" t="n">
        <v>28488.85</v>
      </c>
      <c r="D17" s="3" t="n">
        <v>5697.83</v>
      </c>
      <c r="E17" s="3" t="n">
        <v>34186.68</v>
      </c>
      <c r="F17" s="4" t="n"/>
      <c r="G17" s="4" t="n"/>
      <c r="H17" s="4" t="n"/>
      <c r="I17" s="3">
        <f>IF(G17="","",C17-G17)</f>
        <v/>
      </c>
      <c r="J17" s="3">
        <f>IF(H17="","",D17-H17)</f>
        <v/>
      </c>
      <c r="K17" s="5">
        <f>IF(COUNTA(F17:H17)=0,"À SAISIR","RENSEIGNÉ")</f>
        <v/>
      </c>
      <c r="L17" s="6" t="n"/>
    </row>
    <row r="18">
      <c r="A18" s="2" t="n">
        <v>2024</v>
      </c>
      <c r="B18" s="3" t="inlineStr">
        <is>
          <t>2024-05</t>
        </is>
      </c>
      <c r="C18" s="3" t="n">
        <v>28348.46</v>
      </c>
      <c r="D18" s="3" t="n">
        <v>5669.74</v>
      </c>
      <c r="E18" s="3" t="n">
        <v>34018.2</v>
      </c>
      <c r="F18" s="4" t="n"/>
      <c r="G18" s="4" t="n"/>
      <c r="H18" s="4" t="n"/>
      <c r="I18" s="3">
        <f>IF(G18="","",C18-G18)</f>
        <v/>
      </c>
      <c r="J18" s="3">
        <f>IF(H18="","",D18-H18)</f>
        <v/>
      </c>
      <c r="K18" s="5">
        <f>IF(COUNTA(F18:H18)=0,"À SAISIR","RENSEIGNÉ")</f>
        <v/>
      </c>
      <c r="L18" s="6" t="n"/>
    </row>
    <row r="19">
      <c r="A19" s="2" t="n">
        <v>2024</v>
      </c>
      <c r="B19" s="3" t="inlineStr">
        <is>
          <t>2024-06</t>
        </is>
      </c>
      <c r="C19" s="3" t="n">
        <v>57404.54</v>
      </c>
      <c r="D19" s="3" t="n">
        <v>11480.96</v>
      </c>
      <c r="E19" s="3" t="n">
        <v>68885.5</v>
      </c>
      <c r="F19" s="4" t="n"/>
      <c r="G19" s="4" t="n"/>
      <c r="H19" s="4" t="n"/>
      <c r="I19" s="3">
        <f>IF(G19="","",C19-G19)</f>
        <v/>
      </c>
      <c r="J19" s="3">
        <f>IF(H19="","",D19-H19)</f>
        <v/>
      </c>
      <c r="K19" s="5">
        <f>IF(COUNTA(F19:H19)=0,"À SAISIR","RENSEIGNÉ")</f>
        <v/>
      </c>
      <c r="L19" s="6" t="n"/>
    </row>
    <row r="20">
      <c r="A20" s="2" t="n">
        <v>2024</v>
      </c>
      <c r="B20" s="3" t="inlineStr">
        <is>
          <t>2024-07</t>
        </is>
      </c>
      <c r="C20" s="3" t="n">
        <v>53084.19</v>
      </c>
      <c r="D20" s="3" t="n">
        <v>10616.81</v>
      </c>
      <c r="E20" s="3" t="n">
        <v>63701</v>
      </c>
      <c r="F20" s="4" t="n"/>
      <c r="G20" s="4" t="n"/>
      <c r="H20" s="4" t="n"/>
      <c r="I20" s="3">
        <f>IF(G20="","",C20-G20)</f>
        <v/>
      </c>
      <c r="J20" s="3">
        <f>IF(H20="","",D20-H20)</f>
        <v/>
      </c>
      <c r="K20" s="5">
        <f>IF(COUNTA(F20:H20)=0,"À SAISIR","RENSEIGNÉ")</f>
        <v/>
      </c>
      <c r="L20" s="6" t="n"/>
    </row>
    <row r="21">
      <c r="A21" s="2" t="n">
        <v>2024</v>
      </c>
      <c r="B21" s="3" t="inlineStr">
        <is>
          <t>2024-08</t>
        </is>
      </c>
      <c r="C21" s="3" t="n">
        <v>68273.89999999999</v>
      </c>
      <c r="D21" s="3" t="n">
        <v>13654.8</v>
      </c>
      <c r="E21" s="3" t="n">
        <v>81928.7</v>
      </c>
      <c r="F21" s="4" t="n"/>
      <c r="G21" s="4" t="n"/>
      <c r="H21" s="4" t="n"/>
      <c r="I21" s="3">
        <f>IF(G21="","",C21-G21)</f>
        <v/>
      </c>
      <c r="J21" s="3">
        <f>IF(H21="","",D21-H21)</f>
        <v/>
      </c>
      <c r="K21" s="5">
        <f>IF(COUNTA(F21:H21)=0,"À SAISIR","RENSEIGNÉ")</f>
        <v/>
      </c>
      <c r="L21" s="6" t="n"/>
    </row>
    <row r="22">
      <c r="A22" s="2" t="n">
        <v>2024</v>
      </c>
      <c r="B22" s="3" t="inlineStr">
        <is>
          <t>2024-09</t>
        </is>
      </c>
      <c r="C22" s="3" t="n">
        <v>27861.45</v>
      </c>
      <c r="D22" s="3" t="n">
        <v>5572.35</v>
      </c>
      <c r="E22" s="3" t="n">
        <v>33433.8</v>
      </c>
      <c r="F22" s="4" t="n"/>
      <c r="G22" s="4" t="n"/>
      <c r="H22" s="4" t="n"/>
      <c r="I22" s="3">
        <f>IF(G22="","",C22-G22)</f>
        <v/>
      </c>
      <c r="J22" s="3">
        <f>IF(H22="","",D22-H22)</f>
        <v/>
      </c>
      <c r="K22" s="5">
        <f>IF(COUNTA(F22:H22)=0,"À SAISIR","RENSEIGNÉ")</f>
        <v/>
      </c>
      <c r="L22" s="6" t="n"/>
    </row>
    <row r="23">
      <c r="A23" s="2" t="n">
        <v>2024</v>
      </c>
      <c r="B23" s="3" t="inlineStr">
        <is>
          <t>2024-10</t>
        </is>
      </c>
      <c r="C23" s="3" t="n">
        <v>46149.46</v>
      </c>
      <c r="D23" s="3" t="n">
        <v>9229.940000000001</v>
      </c>
      <c r="E23" s="3" t="n">
        <v>55379.4</v>
      </c>
      <c r="F23" s="4" t="n"/>
      <c r="G23" s="4" t="n"/>
      <c r="H23" s="4" t="n"/>
      <c r="I23" s="3">
        <f>IF(G23="","",C23-G23)</f>
        <v/>
      </c>
      <c r="J23" s="3">
        <f>IF(H23="","",D23-H23)</f>
        <v/>
      </c>
      <c r="K23" s="5">
        <f>IF(COUNTA(F23:H23)=0,"À SAISIR","RENSEIGNÉ")</f>
        <v/>
      </c>
      <c r="L23" s="6" t="n"/>
    </row>
    <row r="24">
      <c r="A24" s="2" t="n">
        <v>2024</v>
      </c>
      <c r="B24" s="3" t="inlineStr">
        <is>
          <t>2024-11</t>
        </is>
      </c>
      <c r="C24" s="3" t="n">
        <v>12734.51</v>
      </c>
      <c r="D24" s="3" t="n">
        <v>2546.89</v>
      </c>
      <c r="E24" s="3" t="n">
        <v>15281.4</v>
      </c>
      <c r="F24" s="4" t="n"/>
      <c r="G24" s="4" t="n"/>
      <c r="H24" s="4" t="n"/>
      <c r="I24" s="3">
        <f>IF(G24="","",C24-G24)</f>
        <v/>
      </c>
      <c r="J24" s="3">
        <f>IF(H24="","",D24-H24)</f>
        <v/>
      </c>
      <c r="K24" s="5">
        <f>IF(COUNTA(F24:H24)=0,"À SAISIR","RENSEIGNÉ")</f>
        <v/>
      </c>
      <c r="L24" s="6" t="n"/>
    </row>
    <row r="25">
      <c r="A25" s="2" t="n">
        <v>2024</v>
      </c>
      <c r="B25" s="3" t="inlineStr">
        <is>
          <t>2024-12</t>
        </is>
      </c>
      <c r="C25" s="3" t="n">
        <v>19934.28</v>
      </c>
      <c r="D25" s="3" t="n">
        <v>3986.92</v>
      </c>
      <c r="E25" s="3" t="n">
        <v>23921.2</v>
      </c>
      <c r="F25" s="4" t="n"/>
      <c r="G25" s="4" t="n"/>
      <c r="H25" s="4" t="n"/>
      <c r="I25" s="3">
        <f>IF(G25="","",C25-G25)</f>
        <v/>
      </c>
      <c r="J25" s="3">
        <f>IF(H25="","",D25-H25)</f>
        <v/>
      </c>
      <c r="K25" s="5">
        <f>IF(COUNTA(F25:H25)=0,"À SAISIR","RENSEIGNÉ")</f>
        <v/>
      </c>
      <c r="L25" s="6" t="n"/>
    </row>
    <row r="26">
      <c r="A26" s="2" t="n">
        <v>2025</v>
      </c>
      <c r="B26" s="3" t="inlineStr">
        <is>
          <t>2025-01</t>
        </is>
      </c>
      <c r="C26" s="3" t="n">
        <v>16764.57</v>
      </c>
      <c r="D26" s="3" t="n">
        <v>3352.93</v>
      </c>
      <c r="E26" s="3" t="n">
        <v>20117.5</v>
      </c>
      <c r="F26" s="4" t="n"/>
      <c r="G26" s="4" t="n"/>
      <c r="H26" s="4" t="n"/>
      <c r="I26" s="3">
        <f>IF(G26="","",C26-G26)</f>
        <v/>
      </c>
      <c r="J26" s="3">
        <f>IF(H26="","",D26-H26)</f>
        <v/>
      </c>
      <c r="K26" s="5">
        <f>IF(COUNTA(F26:H26)=0,"À SAISIR","RENSEIGNÉ")</f>
        <v/>
      </c>
      <c r="L26" s="6" t="n"/>
    </row>
    <row r="27">
      <c r="A27" s="2" t="n">
        <v>2025</v>
      </c>
      <c r="B27" s="3" t="inlineStr">
        <is>
          <t>2025-02</t>
        </is>
      </c>
      <c r="C27" s="3" t="n">
        <v>19496.33</v>
      </c>
      <c r="D27" s="3" t="n">
        <v>3899.27</v>
      </c>
      <c r="E27" s="3" t="n">
        <v>23395.6</v>
      </c>
      <c r="F27" s="4" t="n"/>
      <c r="G27" s="4" t="n"/>
      <c r="H27" s="4" t="n"/>
      <c r="I27" s="3">
        <f>IF(G27="","",C27-G27)</f>
        <v/>
      </c>
      <c r="J27" s="3">
        <f>IF(H27="","",D27-H27)</f>
        <v/>
      </c>
      <c r="K27" s="5">
        <f>IF(COUNTA(F27:H27)=0,"À SAISIR","RENSEIGNÉ")</f>
        <v/>
      </c>
      <c r="L27" s="6" t="n"/>
    </row>
    <row r="28">
      <c r="A28" s="2" t="n">
        <v>2025</v>
      </c>
      <c r="B28" s="3" t="inlineStr">
        <is>
          <t>2025-03</t>
        </is>
      </c>
      <c r="C28" s="3" t="n">
        <v>20405.36</v>
      </c>
      <c r="D28" s="3" t="n">
        <v>4081.04</v>
      </c>
      <c r="E28" s="3" t="n">
        <v>24486.4</v>
      </c>
      <c r="F28" s="4" t="n"/>
      <c r="G28" s="4" t="n"/>
      <c r="H28" s="4" t="n"/>
      <c r="I28" s="3">
        <f>IF(G28="","",C28-G28)</f>
        <v/>
      </c>
      <c r="J28" s="3">
        <f>IF(H28="","",D28-H28)</f>
        <v/>
      </c>
      <c r="K28" s="5">
        <f>IF(COUNTA(F28:H28)=0,"À SAISIR","RENSEIGNÉ")</f>
        <v/>
      </c>
      <c r="L28" s="6" t="n"/>
    </row>
    <row r="29">
      <c r="A29" s="2" t="n">
        <v>2025</v>
      </c>
      <c r="B29" s="3" t="inlineStr">
        <is>
          <t>2025-04</t>
        </is>
      </c>
      <c r="C29" s="3" t="n">
        <v>16847.74</v>
      </c>
      <c r="D29" s="3" t="n">
        <v>3369.56</v>
      </c>
      <c r="E29" s="3" t="n">
        <v>20217.3</v>
      </c>
      <c r="F29" s="4" t="n"/>
      <c r="G29" s="4" t="n"/>
      <c r="H29" s="4" t="n"/>
      <c r="I29" s="3">
        <f>IF(G29="","",C29-G29)</f>
        <v/>
      </c>
      <c r="J29" s="3">
        <f>IF(H29="","",D29-H29)</f>
        <v/>
      </c>
      <c r="K29" s="5">
        <f>IF(COUNTA(F29:H29)=0,"À SAISIR","RENSEIGNÉ")</f>
        <v/>
      </c>
      <c r="L29" s="6" t="n"/>
    </row>
    <row r="30">
      <c r="A30" s="2" t="n">
        <v>2025</v>
      </c>
      <c r="B30" s="3" t="inlineStr">
        <is>
          <t>2025-05</t>
        </is>
      </c>
      <c r="C30" s="3" t="n">
        <v>5856.31</v>
      </c>
      <c r="D30" s="3" t="n">
        <v>1171.29</v>
      </c>
      <c r="E30" s="3" t="n">
        <v>7027.6</v>
      </c>
      <c r="F30" s="4" t="n"/>
      <c r="G30" s="4" t="n"/>
      <c r="H30" s="4" t="n"/>
      <c r="I30" s="3">
        <f>IF(G30="","",C30-G30)</f>
        <v/>
      </c>
      <c r="J30" s="3">
        <f>IF(H30="","",D30-H30)</f>
        <v/>
      </c>
      <c r="K30" s="5">
        <f>IF(COUNTA(F30:H30)=0,"À SAISIR","RENSEIGNÉ")</f>
        <v/>
      </c>
      <c r="L30" s="6" t="n"/>
    </row>
    <row r="31">
      <c r="A31" s="2" t="n">
        <v>2025</v>
      </c>
      <c r="B31" s="3" t="inlineStr">
        <is>
          <t>2025-06</t>
        </is>
      </c>
      <c r="C31" s="3" t="n">
        <v>4302.35</v>
      </c>
      <c r="D31" s="3" t="n">
        <v>860.45</v>
      </c>
      <c r="E31" s="3" t="n">
        <v>5162.8</v>
      </c>
      <c r="F31" s="4" t="n"/>
      <c r="G31" s="4" t="n"/>
      <c r="H31" s="4" t="n"/>
      <c r="I31" s="3">
        <f>IF(G31="","",C31-G31)</f>
        <v/>
      </c>
      <c r="J31" s="3">
        <f>IF(H31="","",D31-H31)</f>
        <v/>
      </c>
      <c r="K31" s="5">
        <f>IF(COUNTA(F31:H31)=0,"À SAISIR","RENSEIGNÉ")</f>
        <v/>
      </c>
      <c r="L31" s="6" t="n"/>
    </row>
    <row r="32">
      <c r="A32" s="2" t="n">
        <v>2025</v>
      </c>
      <c r="B32" s="3" t="inlineStr">
        <is>
          <t>2025-07</t>
        </is>
      </c>
      <c r="C32" s="3" t="n">
        <v>22567.45</v>
      </c>
      <c r="D32" s="3" t="n">
        <v>4513.45</v>
      </c>
      <c r="E32" s="3" t="n">
        <v>27080.9</v>
      </c>
      <c r="F32" s="4" t="n"/>
      <c r="G32" s="4" t="n"/>
      <c r="H32" s="4" t="n"/>
      <c r="I32" s="3">
        <f>IF(G32="","",C32-G32)</f>
        <v/>
      </c>
      <c r="J32" s="3">
        <f>IF(H32="","",D32-H32)</f>
        <v/>
      </c>
      <c r="K32" s="5">
        <f>IF(COUNTA(F32:H32)=0,"À SAISIR","RENSEIGNÉ")</f>
        <v/>
      </c>
      <c r="L32" s="6" t="n"/>
    </row>
    <row r="33">
      <c r="A33" s="2" t="n">
        <v>2025</v>
      </c>
      <c r="B33" s="3" t="inlineStr">
        <is>
          <t>2025-08</t>
        </is>
      </c>
      <c r="C33" s="3" t="n">
        <v>5325.82</v>
      </c>
      <c r="D33" s="3" t="n">
        <v>1065.18</v>
      </c>
      <c r="E33" s="3" t="n">
        <v>6391</v>
      </c>
      <c r="F33" s="4" t="n"/>
      <c r="G33" s="4" t="n"/>
      <c r="H33" s="4" t="n"/>
      <c r="I33" s="3">
        <f>IF(G33="","",C33-G33)</f>
        <v/>
      </c>
      <c r="J33" s="3">
        <f>IF(H33="","",D33-H33)</f>
        <v/>
      </c>
      <c r="K33" s="5">
        <f>IF(COUNTA(F33:H33)=0,"À SAISIR","RENSEIGNÉ")</f>
        <v/>
      </c>
      <c r="L33" s="6" t="n"/>
    </row>
  </sheetData>
  <autoFilter ref="A1:L33"/>
  <conditionalFormatting sqref="K2:K33">
    <cfRule type="expression" priority="1" dxfId="0">
      <formula>ISNUMBER(SEARCH("À SAISIR",K2))</formula>
    </cfRule>
  </conditionalFormatting>
  <conditionalFormatting sqref="I2:I33">
    <cfRule type="cellIs" priority="2" operator="greaterThan" dxfId="1">
      <formula>0.02</formula>
    </cfRule>
    <cfRule type="cellIs" priority="3" operator="lessThan" dxfId="1">
      <formula>-0.02</formula>
    </cfRule>
  </conditionalFormatting>
  <conditionalFormatting sqref="J2:J33">
    <cfRule type="cellIs" priority="4" operator="greaterThan" dxfId="1">
      <formula>0.02</formula>
    </cfRule>
    <cfRule type="cellIs" priority="5" operator="lessThan" dxfId="1">
      <formula>-0.02</formula>
    </cfRule>
  </conditionalFormatting>
  <conditionalFormatting sqref="Z2:Z4">
    <cfRule type="expression" priority="6" dxfId="0">
      <formula>ISNUMBER(SEARCH("À SAISIR",Z2))</formula>
    </cfRule>
  </conditionalFormatting>
  <conditionalFormatting sqref="V2:V4">
    <cfRule type="cellIs" priority="7" operator="greaterThan" dxfId="1">
      <formula>0.02</formula>
    </cfRule>
    <cfRule type="cellIs" priority="8" operator="lessThan" dxfId="1">
      <formula>-0.02</formula>
    </cfRule>
  </conditionalFormatting>
  <conditionalFormatting sqref="W2:W4">
    <cfRule type="cellIs" priority="9" operator="greaterThan" dxfId="1">
      <formula>0.02</formula>
    </cfRule>
    <cfRule type="cellIs" priority="10" operator="lessThan" dxfId="1">
      <formula>-0.02</formula>
    </cfRule>
  </conditionalFormatting>
  <conditionalFormatting sqref="X2:X4">
    <cfRule type="cellIs" priority="11" operator="greaterThan" dxfId="1">
      <formula>0.02</formula>
    </cfRule>
    <cfRule type="cellIs" priority="12" operator="lessThan" dxfId="1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2026-08-15T11:39:34Z</dcterms:created>
  <dcterms:modified xsi:type="dcterms:W3CDTF">2026-08-15T11:39:34Z</dcterms:modified>
</cp:coreProperties>
</file>